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theme/themeOverride4.xml" ContentType="application/vnd.openxmlformats-officedocument.themeOverride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theme/themeOverride6.xml" ContentType="application/vnd.openxmlformats-officedocument.themeOverrid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6.xml" ContentType="application/vnd.openxmlformats-officedocument.drawing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3 - Publications\01 - Rapports du COR\Droits familiaux et conjugaux\Rédaction\Données en ligne\Fichiers liens\"/>
    </mc:Choice>
  </mc:AlternateContent>
  <xr:revisionPtr revIDLastSave="0" documentId="13_ncr:1_{E8D76520-CFC7-4A59-874E-4B9A1B28601E}" xr6:coauthVersionLast="47" xr6:coauthVersionMax="47" xr10:uidLastSave="{00000000-0000-0000-0000-000000000000}"/>
  <bookViews>
    <workbookView xWindow="-120" yWindow="-120" windowWidth="29040" windowHeight="15720" xr2:uid="{C72A545D-3473-4CAE-9364-A84B882E1DD0}"/>
  </bookViews>
  <sheets>
    <sheet name="SOMMAIRE" sheetId="1" r:id="rId1"/>
    <sheet name="Fig A.1" sheetId="35" r:id="rId2"/>
    <sheet name="Fig A.2" sheetId="36" r:id="rId3"/>
    <sheet name="Fig A.3" sheetId="37" r:id="rId4"/>
    <sheet name="Fig A.4" sheetId="38" r:id="rId5"/>
    <sheet name="Fig A.5" sheetId="39" r:id="rId6"/>
    <sheet name="Fig A.6" sheetId="40" r:id="rId7"/>
    <sheet name="Fig A.7" sheetId="41" r:id="rId8"/>
    <sheet name="Fig A.8" sheetId="42" r:id="rId9"/>
    <sheet name="Fig A.9" sheetId="43" r:id="rId10"/>
    <sheet name="Tab B.1" sheetId="44" r:id="rId11"/>
    <sheet name="Tab B.2" sheetId="45" r:id="rId12"/>
    <sheet name="Tab B.3" sheetId="46" r:id="rId13"/>
    <sheet name="Tab B.4" sheetId="48" r:id="rId14"/>
    <sheet name="Tab B.5" sheetId="51" r:id="rId15"/>
    <sheet name="Fig B.1" sheetId="64" r:id="rId16"/>
    <sheet name="Fig B.2" sheetId="65" r:id="rId17"/>
    <sheet name="Fig B.3" sheetId="66" r:id="rId18"/>
    <sheet name="Tab C.1" sheetId="49" r:id="rId19"/>
    <sheet name="Tab C.2" sheetId="53" r:id="rId20"/>
    <sheet name="Tab C.3" sheetId="50" r:id="rId21"/>
    <sheet name="Tab C.4" sheetId="54" r:id="rId22"/>
    <sheet name="Tab C.5" sheetId="52" r:id="rId23"/>
    <sheet name="Fig C.1" sheetId="68" r:id="rId24"/>
    <sheet name="Fig C.2" sheetId="70" r:id="rId25"/>
    <sheet name="Fig C.3" sheetId="69" r:id="rId26"/>
    <sheet name="Fig C.4" sheetId="71" r:id="rId27"/>
    <sheet name="Tab D.1" sheetId="55" r:id="rId28"/>
    <sheet name="Tab D.2" sheetId="57" r:id="rId29"/>
    <sheet name="Tab D.3" sheetId="58" r:id="rId30"/>
    <sheet name="Tab D.4" sheetId="59" r:id="rId31"/>
    <sheet name="Tab D.5" sheetId="60" r:id="rId32"/>
    <sheet name="Tab D.6" sheetId="61" r:id="rId33"/>
    <sheet name="Tab D.7" sheetId="62" r:id="rId34"/>
    <sheet name="Tab D.8" sheetId="63" r:id="rId35"/>
    <sheet name="Tab D.9" sheetId="56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_123Graph_A" hidden="1">[1]A11!#REF!</definedName>
    <definedName name="__123Graph_ABERLGRAP" hidden="1">'[2]Time series'!#REF!</definedName>
    <definedName name="__123Graph_ACATCH1" hidden="1">'[2]Time series'!#REF!</definedName>
    <definedName name="__123Graph_ACONVERG1" hidden="1">'[2]Time series'!#REF!</definedName>
    <definedName name="__123Graph_AECTOT" hidden="1">#REF!</definedName>
    <definedName name="__123Graph_AGRAPH2" hidden="1">'[2]Time series'!#REF!</definedName>
    <definedName name="__123Graph_AGRAPH41" hidden="1">'[2]Time series'!#REF!</definedName>
    <definedName name="__123Graph_AGRAPH42" hidden="1">'[2]Time series'!#REF!</definedName>
    <definedName name="__123Graph_AGRAPH44" hidden="1">'[2]Time series'!#REF!</definedName>
    <definedName name="__123Graph_APERIB" hidden="1">'[2]Time series'!#REF!</definedName>
    <definedName name="__123Graph_APERIB_2" hidden="1">'[2]Time series'!#REF!</definedName>
    <definedName name="__123Graph_APRODABS2" hidden="1">'[2]Time series'!#REF!</definedName>
    <definedName name="__123Graph_APRODABSC" hidden="1">'[2]Time series'!#REF!</definedName>
    <definedName name="__123Graph_APRODABSC_2" hidden="1">'[2]Time series'!#REF!</definedName>
    <definedName name="__123Graph_APRODABSD" hidden="1">'[2]Time series'!#REF!</definedName>
    <definedName name="__123Graph_APRODTRE2" hidden="1">'[2]Time series'!#REF!</definedName>
    <definedName name="__123Graph_APRODTRE3" hidden="1">'[2]Time series'!#REF!</definedName>
    <definedName name="__123Graph_APRODTRE4" hidden="1">'[2]Time series'!#REF!</definedName>
    <definedName name="__123Graph_APRODTREND" hidden="1">'[2]Time series'!#REF!</definedName>
    <definedName name="__123Graph_APROTREND_2" hidden="1">'[2]Time series'!#REF!</definedName>
    <definedName name="__123Graph_AUTRECHT" hidden="1">'[2]Time series'!#REF!</definedName>
    <definedName name="__123Graph_AUTRECHT_2" hidden="1">'[2]Time series'!#REF!</definedName>
    <definedName name="__123Graph_B" hidden="1">[1]A11!#REF!</definedName>
    <definedName name="__123Graph_BBERLGRAP" hidden="1">'[2]Time series'!#REF!</definedName>
    <definedName name="__123Graph_BBERLGRAP_2" hidden="1">'[2]Time series'!#REF!</definedName>
    <definedName name="__123Graph_BCATCH1" hidden="1">'[2]Time series'!#REF!</definedName>
    <definedName name="__123Graph_BCATCH2" hidden="1">'[2]Time series'!#REF!</definedName>
    <definedName name="__123Graph_BCONVERG1" hidden="1">'[2]Time series'!#REF!</definedName>
    <definedName name="__123Graph_BECTOT" hidden="1">#REF!</definedName>
    <definedName name="__123Graph_BGRAPH2" hidden="1">'[2]Time series'!#REF!</definedName>
    <definedName name="__123Graph_BGRAPH41" hidden="1">'[2]Time series'!#REF!</definedName>
    <definedName name="__123Graph_BPERIB" hidden="1">'[2]Time series'!#REF!</definedName>
    <definedName name="__123Graph_BPRODABSC" hidden="1">'[2]Time series'!#REF!</definedName>
    <definedName name="__123Graph_BPRODABSD" hidden="1">'[2]Time series'!#REF!</definedName>
    <definedName name="__123Graph_C" hidden="1">[1]A11!#REF!</definedName>
    <definedName name="__123Graph_CBERLGRAP" hidden="1">'[2]Time series'!#REF!</definedName>
    <definedName name="__123Graph_CCATCH1" hidden="1">'[2]Time series'!#REF!</definedName>
    <definedName name="__123Graph_CCONVERG1" hidden="1">#REF!</definedName>
    <definedName name="__123Graph_CECTOT" hidden="1">#REF!</definedName>
    <definedName name="__123Graph_CGRAPH41" hidden="1">'[2]Time series'!#REF!</definedName>
    <definedName name="__123Graph_CGRAPH44" hidden="1">'[2]Time series'!#REF!</definedName>
    <definedName name="__123Graph_CPERIA" hidden="1">'[2]Time series'!#REF!</definedName>
    <definedName name="__123Graph_CPERIB" hidden="1">'[2]Time series'!#REF!</definedName>
    <definedName name="__123Graph_CPRODABSC" hidden="1">'[2]Time series'!#REF!</definedName>
    <definedName name="__123Graph_CPRODTRE2" hidden="1">'[2]Time series'!#REF!</definedName>
    <definedName name="__123Graph_CPRODTREND" hidden="1">'[2]Time series'!#REF!</definedName>
    <definedName name="__123Graph_CUTRECHT" hidden="1">'[2]Time series'!#REF!</definedName>
    <definedName name="__123Graph_D" hidden="1">[1]A11!#REF!</definedName>
    <definedName name="__123Graph_DBERLGRAP" hidden="1">'[2]Time series'!#REF!</definedName>
    <definedName name="__123Graph_DCATCH1" hidden="1">'[2]Time series'!#REF!</definedName>
    <definedName name="__123Graph_DCONVERG1" hidden="1">'[2]Time series'!#REF!</definedName>
    <definedName name="__123Graph_DECTOT" hidden="1">#REF!</definedName>
    <definedName name="__123Graph_DGRAPH41" hidden="1">'[2]Time series'!#REF!</definedName>
    <definedName name="__123Graph_DPERIA" hidden="1">'[2]Time series'!#REF!</definedName>
    <definedName name="__123Graph_DPERIB" hidden="1">'[2]Time series'!#REF!</definedName>
    <definedName name="__123Graph_DPRODABSC" hidden="1">'[2]Time series'!#REF!</definedName>
    <definedName name="__123Graph_DUTRECHT" hidden="1">'[2]Time series'!#REF!</definedName>
    <definedName name="__123Graph_E" hidden="1">[1]A11!#REF!</definedName>
    <definedName name="__123Graph_EBERLGRAP" hidden="1">'[2]Time series'!#REF!</definedName>
    <definedName name="__123Graph_ECATCH1" hidden="1">#REF!</definedName>
    <definedName name="__123Graph_ECONVERG1" hidden="1">'[2]Time series'!#REF!</definedName>
    <definedName name="__123Graph_EECTOT" hidden="1">#REF!</definedName>
    <definedName name="__123Graph_EGRAPH41" hidden="1">'[2]Time series'!#REF!</definedName>
    <definedName name="__123Graph_EPERIA" hidden="1">'[2]Time series'!#REF!</definedName>
    <definedName name="__123Graph_EPRODABSC" hidden="1">'[2]Time series'!#REF!</definedName>
    <definedName name="__123Graph_F" hidden="1">[3]A11!#REF!</definedName>
    <definedName name="__123Graph_FBERLGRAP" hidden="1">'[2]Time series'!#REF!</definedName>
    <definedName name="__123Graph_FGRAPH41" hidden="1">'[2]Time series'!#REF!</definedName>
    <definedName name="__123Graph_FPRODABSC" hidden="1">'[2]Time series'!#REF!</definedName>
    <definedName name="__123Graph_X" hidden="1">#REF!</definedName>
    <definedName name="__123Graph_XECTOT" hidden="1">#REF!</definedName>
    <definedName name="__AD1">#REF!</definedName>
    <definedName name="__D3">#REF!</definedName>
    <definedName name="__DAT1">#REF!</definedName>
    <definedName name="__DAT10">#REF!</definedName>
    <definedName name="__DAT11">#REF!</definedName>
    <definedName name="__DAT12">'[4]C. PENSION'!#REF!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T1">#REF!</definedName>
    <definedName name="__T2">#REF!</definedName>
    <definedName name="__T5">#REF!</definedName>
    <definedName name="_1__123Graph_ADEV_EMPL" hidden="1">'[5]Time series'!#REF!</definedName>
    <definedName name="_102__123Graph_C_CURRENT_7" hidden="1">[3]A11!#REF!</definedName>
    <definedName name="_105__123Graph_C_CURRENT_8" hidden="1">[3]A11!#REF!</definedName>
    <definedName name="_108__123Graph_C_CURRENT_9" hidden="1">[3]A11!#REF!</definedName>
    <definedName name="_111__123Graph_CDEV_EMPL" hidden="1">'[2]Time series'!#REF!</definedName>
    <definedName name="_114__123Graph_CSWE_EMPL" hidden="1">'[2]Time series'!#REF!</definedName>
    <definedName name="_117__123Graph_D_CURRENT" hidden="1">[3]A11!#REF!</definedName>
    <definedName name="_12__123Graph_A_CURRENT_2" hidden="1">[3]A11!#REF!</definedName>
    <definedName name="_120__123Graph_D_CURRENT_1" hidden="1">[3]A11!#REF!</definedName>
    <definedName name="_123__123Graph_D_CURRENT_10" hidden="1">[3]A11!#REF!</definedName>
    <definedName name="_126__123Graph_D_CURRENT_2" hidden="1">[3]A11!#REF!</definedName>
    <definedName name="_129__123Graph_D_CURRENT_3" hidden="1">[3]A11!#REF!</definedName>
    <definedName name="_132__123Graph_D_CURRENT_4" hidden="1">[3]A11!#REF!</definedName>
    <definedName name="_135__123Graph_D_CURRENT_5" hidden="1">[3]A11!#REF!</definedName>
    <definedName name="_138__123Graph_D_CURRENT_6" hidden="1">[3]A11!#REF!</definedName>
    <definedName name="_141__123Graph_D_CURRENT_7" hidden="1">[3]A11!#REF!</definedName>
    <definedName name="_144__123Graph_D_CURRENT_8" hidden="1">[3]A11!#REF!</definedName>
    <definedName name="_147__123Graph_D_CURRENT_9" hidden="1">[3]A11!#REF!</definedName>
    <definedName name="_15__123Graph_A_CURRENT_3" hidden="1">[3]A11!#REF!</definedName>
    <definedName name="_150__123Graph_E_CURRENT" hidden="1">[3]A11!#REF!</definedName>
    <definedName name="_153__123Graph_E_CURRENT_1" hidden="1">[3]A11!#REF!</definedName>
    <definedName name="_156__123Graph_E_CURRENT_10" hidden="1">[3]A11!#REF!</definedName>
    <definedName name="_159__123Graph_E_CURRENT_2" hidden="1">[3]A11!#REF!</definedName>
    <definedName name="_162__123Graph_E_CURRENT_3" hidden="1">[3]A11!#REF!</definedName>
    <definedName name="_165__123Graph_E_CURRENT_4" hidden="1">[3]A11!#REF!</definedName>
    <definedName name="_168__123Graph_E_CURRENT_5" hidden="1">[3]A11!#REF!</definedName>
    <definedName name="_171__123Graph_E_CURRENT_6" hidden="1">[3]A11!#REF!</definedName>
    <definedName name="_174__123Graph_E_CURRENT_7" hidden="1">[3]A11!#REF!</definedName>
    <definedName name="_177__123Graph_E_CURRENT_8" hidden="1">[3]A11!#REF!</definedName>
    <definedName name="_18__123Graph_A_CURRENT_4" hidden="1">[3]A11!#REF!</definedName>
    <definedName name="_180__123Graph_E_CURRENT_9" hidden="1">[3]A11!#REF!</definedName>
    <definedName name="_183__123Graph_F_CURRENT" hidden="1">[3]A11!#REF!</definedName>
    <definedName name="_186__123Graph_F_CURRENT_1" hidden="1">[3]A11!#REF!</definedName>
    <definedName name="_189__123Graph_F_CURRENT_10" hidden="1">[3]A11!#REF!</definedName>
    <definedName name="_192__123Graph_F_CURRENT_2" hidden="1">[3]A11!#REF!</definedName>
    <definedName name="_195__123Graph_F_CURRENT_3" hidden="1">[3]A11!#REF!</definedName>
    <definedName name="_198__123Graph_F_CURRENT_4" hidden="1">[3]A11!#REF!</definedName>
    <definedName name="_1P68">'[6]%'!$B$2:$Z$17</definedName>
    <definedName name="_2__123Graph_BDEV_EMPL" hidden="1">'[5]Time series'!#REF!</definedName>
    <definedName name="_201__123Graph_F_CURRENT_5" hidden="1">[3]A11!#REF!</definedName>
    <definedName name="_204__123Graph_F_CURRENT_6" hidden="1">[3]A11!#REF!</definedName>
    <definedName name="_207__123Graph_F_CURRENT_7" hidden="1">[3]A11!#REF!</definedName>
    <definedName name="_21__123Graph_A_CURRENT_5" hidden="1">[3]A11!#REF!</definedName>
    <definedName name="_210__123Graph_F_CURRENT_8" hidden="1">[3]A11!#REF!</definedName>
    <definedName name="_213__123Graph_F_CURRENT_9" hidden="1">[3]A11!#REF!</definedName>
    <definedName name="_24__123Graph_A_CURRENT_6" hidden="1">[3]A11!#REF!</definedName>
    <definedName name="_27__123Graph_A_CURRENT_7" hidden="1">[3]A11!#REF!</definedName>
    <definedName name="_2P68">#REF!</definedName>
    <definedName name="_3__123Graph_A_CURRENT" hidden="1">[3]A11!#REF!</definedName>
    <definedName name="_3__123Graph_CDEV_EMPL" hidden="1">'[5]Time series'!#REF!</definedName>
    <definedName name="_30__123Graph_A_CURRENT_8" hidden="1">[3]A11!#REF!</definedName>
    <definedName name="_33__123Graph_A_CURRENT_9" hidden="1">[3]A11!#REF!</definedName>
    <definedName name="_36__123Graph_AChart_1" hidden="1">'[7]Table 1'!#REF!</definedName>
    <definedName name="_39__123Graph_ADEV_EMPL" hidden="1">'[2]Time series'!#REF!</definedName>
    <definedName name="_4__123Graph_CSWE_EMPL" hidden="1">'[5]Time series'!#REF!</definedName>
    <definedName name="_42__123Graph_B_CURRENT" hidden="1">[3]A11!#REF!</definedName>
    <definedName name="_45__123Graph_B_CURRENT_1" hidden="1">[3]A11!#REF!</definedName>
    <definedName name="_48__123Graph_B_CURRENT_10" hidden="1">[3]A11!#REF!</definedName>
    <definedName name="_51__123Graph_B_CURRENT_2" hidden="1">[3]A11!#REF!</definedName>
    <definedName name="_54__123Graph_B_CURRENT_3" hidden="1">[3]A11!#REF!</definedName>
    <definedName name="_55">[8]Macro1!$B$29:$C$29</definedName>
    <definedName name="_55_F">[9]Macro1!$B$159:$C$159</definedName>
    <definedName name="_55_H">[9]Macro1!$B$94:$C$94</definedName>
    <definedName name="_56">[10]Macro1!#REF!</definedName>
    <definedName name="_56_59">[10]Macro1!#REF!</definedName>
    <definedName name="_56_a_59">[8]Macro1!$B$31:$C$31</definedName>
    <definedName name="_56_a_59_F">[9]Macro1!$B$161:$C$161</definedName>
    <definedName name="_56_a_59_H">[9]Macro1!$B$96:$C$96</definedName>
    <definedName name="_57">[10]Macro1!#REF!</definedName>
    <definedName name="_57__123Graph_B_CURRENT_4" hidden="1">[3]A11!#REF!</definedName>
    <definedName name="_58">[10]Macro1!#REF!</definedName>
    <definedName name="_59">[10]Macro1!#REF!</definedName>
    <definedName name="_6__123Graph_A_CURRENT_1" hidden="1">[3]A11!#REF!</definedName>
    <definedName name="_60">[8]Macro1!$B$34:$C$34</definedName>
    <definedName name="_60__123Graph_B_CURRENT_5" hidden="1">[3]A11!#REF!</definedName>
    <definedName name="_60_F">[9]Macro1!$B$164:$C$164</definedName>
    <definedName name="_60_H">[9]Macro1!$B$99:$C$99</definedName>
    <definedName name="_61">[10]Macro1!#REF!</definedName>
    <definedName name="_61_64">[10]Macro1!#REF!</definedName>
    <definedName name="_61_a_64">[8]Macro1!$B$36:$C$36</definedName>
    <definedName name="_61_a_64_F">[9]Macro1!$B$166:$C$166</definedName>
    <definedName name="_61_a_64_H">[9]Macro1!$B$101:$C$101</definedName>
    <definedName name="_62">[10]Macro1!#REF!</definedName>
    <definedName name="_63">[10]Macro1!#REF!</definedName>
    <definedName name="_63__123Graph_B_CURRENT_6" hidden="1">[3]A11!#REF!</definedName>
    <definedName name="_64">[10]Macro1!#REF!</definedName>
    <definedName name="_65">[8]Macro1!$B$39:$C$39</definedName>
    <definedName name="_65_et_plus">[10]Macro1!#REF!</definedName>
    <definedName name="_65_F">[9]Macro1!$B$169:$C$169</definedName>
    <definedName name="_65_H">[9]Macro1!$B$104:$C$104</definedName>
    <definedName name="_66__123Graph_B_CURRENT_7" hidden="1">[3]A11!#REF!</definedName>
    <definedName name="_66_et_plus">[8]Macro1!$B$41:$C$41</definedName>
    <definedName name="_66_et_plus_F">[9]Macro1!$B$171:$C$171</definedName>
    <definedName name="_66_et_plus_H">[9]Macro1!$B$106:$C$106</definedName>
    <definedName name="_69__123Graph_B_CURRENT_8" hidden="1">[3]A11!#REF!</definedName>
    <definedName name="_72__123Graph_B_CURRENT_9" hidden="1">[3]A11!#REF!</definedName>
    <definedName name="_75__123Graph_BDEV_EMPL" hidden="1">'[2]Time series'!#REF!</definedName>
    <definedName name="_78__123Graph_C_CURRENT" hidden="1">[3]A11!#REF!</definedName>
    <definedName name="_81__123Graph_C_CURRENT_1" hidden="1">[3]A11!#REF!</definedName>
    <definedName name="_84__123Graph_C_CURRENT_10" hidden="1">[3]A11!#REF!</definedName>
    <definedName name="_87__123Graph_C_CURRENT_2" hidden="1">[3]A11!#REF!</definedName>
    <definedName name="_9__123Graph_A_CURRENT_10" hidden="1">[3]A11!#REF!</definedName>
    <definedName name="_90__123Graph_C_CURRENT_3" hidden="1">[3]A11!#REF!</definedName>
    <definedName name="_93__123Graph_C_CURRENT_4" hidden="1">[3]A11!#REF!</definedName>
    <definedName name="_96__123Graph_C_CURRENT_5" hidden="1">[3]A11!#REF!</definedName>
    <definedName name="_99__123Graph_C_CURRENT_6" hidden="1">[3]A11!#REF!</definedName>
    <definedName name="_AD1">#REF!</definedName>
    <definedName name="_AMO_UniqueIdentifier" hidden="1">"'d476caa3-df4c-4598-85a6-a85f7eb284ed'"</definedName>
    <definedName name="_D3">#REF!</definedName>
    <definedName name="_DAT1">#REF!</definedName>
    <definedName name="_DAT10">#REF!</definedName>
    <definedName name="_DAT11">#REF!</definedName>
    <definedName name="_DAT12">'[4]C. PENSION'!#REF!</definedName>
    <definedName name="_DAT13">[11]mensual!#REF!</definedName>
    <definedName name="_DAT14">[11]mensual!#REF!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#REF!</definedName>
    <definedName name="_eir12">#REF!</definedName>
    <definedName name="_Fill" hidden="1">#REF!</definedName>
    <definedName name="_xlnm._FilterDatabase">#REF!</definedName>
    <definedName name="_ggg4">#REF!</definedName>
    <definedName name="_kk1">#REF!</definedName>
    <definedName name="_kk10">#REF!</definedName>
    <definedName name="_kk12">#REF!</definedName>
    <definedName name="_kk13">#REF!</definedName>
    <definedName name="_kk2">#REF!</definedName>
    <definedName name="_kk3">#REF!</definedName>
    <definedName name="_kk4">#REF!</definedName>
    <definedName name="_kk5">#REF!</definedName>
    <definedName name="_kk6">#REF!</definedName>
    <definedName name="_kk7">#REF!</definedName>
    <definedName name="_kk8">#REF!</definedName>
    <definedName name="_kk9">#REF!</definedName>
    <definedName name="_Order1" hidden="1">0</definedName>
    <definedName name="_Regression_Out" hidden="1">#REF!</definedName>
    <definedName name="_Regression_X" hidden="1">#REF!</definedName>
    <definedName name="_Regression_Y" hidden="1">#REF!</definedName>
    <definedName name="_t1">#REF!</definedName>
    <definedName name="_t11">#REF!</definedName>
    <definedName name="_T2">#REF!</definedName>
    <definedName name="_T5">#REF!</definedName>
    <definedName name="_tab1">#REF!</definedName>
    <definedName name="a" hidden="1">{"TABL1",#N/A,TRUE,"TABLX";"TABL2",#N/A,TRUE,"TABLX"}</definedName>
    <definedName name="aa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aaa" hidden="1">'[2]Time series'!#REF!</definedName>
    <definedName name="ab">#REF!</definedName>
    <definedName name="AGE" localSheetId="2">#REF!</definedName>
    <definedName name="AGE" localSheetId="3">#REF!</definedName>
    <definedName name="AGE" localSheetId="4">#REF!</definedName>
    <definedName name="AGE" localSheetId="7">#REF!</definedName>
    <definedName name="AGE">#REF!</definedName>
    <definedName name="ageliq_reg">#REF!</definedName>
    <definedName name="ageliq_sres">#REF!</definedName>
    <definedName name="agemoy_reg">#REF!</definedName>
    <definedName name="Agirc">[12]RecapAGIRCm0m7!$A$9:$AZ$50</definedName>
    <definedName name="AgircArrco">[12]RecapRUm0m7!$A$9:$AZ$50</definedName>
    <definedName name="alt">#REF!</definedName>
    <definedName name="ancetre">#REF!</definedName>
    <definedName name="ANCETRE_2">#REF!</definedName>
    <definedName name="ANCETRE_2009_control">#REF!</definedName>
    <definedName name="ANCETRE_2010_control">#REF!</definedName>
    <definedName name="ANCETRE_2011">#REF!</definedName>
    <definedName name="ANCETRE_2011_control">#REF!</definedName>
    <definedName name="ANCETRE_2012">#REF!</definedName>
    <definedName name="ANCETRE_2012_control">#REF!</definedName>
    <definedName name="ANCETRE_control">#REF!</definedName>
    <definedName name="ancetre_t3_1">#REF!</definedName>
    <definedName name="ancetre_t3_2">#REF!</definedName>
    <definedName name="ancetre2">#REF!</definedName>
    <definedName name="ANNEE">[13]ACTUEL!$A$10</definedName>
    <definedName name="Année">[14]TX!$C$8</definedName>
    <definedName name="annéean">[15]txcot!#REF!</definedName>
    <definedName name="ar">#REF!</definedName>
    <definedName name="Arrco">[12]RecapARRCOm0m7!$A$9:$AZ$50</definedName>
    <definedName name="arth">#REF!</definedName>
    <definedName name="b" hidden="1">{"Page1",#N/A,FALSE,"ARA M&amp;F&amp;T";"Page2",#N/A,FALSE,"ARA M&amp;F&amp;T";"Page3",#N/A,FALSE,"ARA M&amp;F&amp;T"}</definedName>
    <definedName name="b__ANCETRE_2012_control">#REF!</definedName>
    <definedName name="b_eacr">#REF!</definedName>
    <definedName name="Base_de_datos">#REF!</definedName>
    <definedName name="_xlnm.Database">#REF!</definedName>
    <definedName name="beacr">#REF!</definedName>
    <definedName name="bisous" hidden="1">{"TABL1",#N/A,TRUE,"TABLX";"TABL2",#N/A,TRUE,"TABLX"}</definedName>
    <definedName name="blabla" hidden="1">{"TABL1",#N/A,TRUE,"TABLX";"TABL2",#N/A,TRUE,"TABLX"}</definedName>
    <definedName name="blabla2" hidden="1">{"TABL1",#N/A,TRUE,"TABLX";"TABL2",#N/A,TRUE,"TABLX"}</definedName>
    <definedName name="BMASKeyIsInplace">FALSE</definedName>
    <definedName name="brut_graph2">#REF!</definedName>
    <definedName name="brut_mt">#REF!</definedName>
    <definedName name="brut_tab1">#REF!</definedName>
    <definedName name="brut_txplein">#REF!</definedName>
    <definedName name="CALCULO_INICIAL_2008">#REF!</definedName>
    <definedName name="carrières_longues">[16]Macro1!$B$35:$C$35</definedName>
    <definedName name="carrières_longues_F_M">[17]Macro1!$B$206:$C$206</definedName>
    <definedName name="carrières_longues_F_P">[17]Macro1!$B$181:$C$181</definedName>
    <definedName name="carrières_longues_H_M">[17]Macro1!$B$121:$C$121</definedName>
    <definedName name="carrières_longues_H_P">[17]Macro1!$B$96:$C$96</definedName>
    <definedName name="cb">#REF!</definedName>
    <definedName name="cc">#REF!</definedName>
    <definedName name="CC_10">#REF!</definedName>
    <definedName name="cc_10_2">#REF!</definedName>
    <definedName name="CHO_INAC_FLUX_ECHANT">#REF!</definedName>
    <definedName name="cm">#REF!</definedName>
    <definedName name="COHERENCE">#REF!</definedName>
    <definedName name="COHERENCE_FLUX_ECHANT">#REF!</definedName>
    <definedName name="COMPARAISON_FLUXECHAN">#REF!</definedName>
    <definedName name="COMPROBACIÓN">#REF!</definedName>
    <definedName name="CONSULTA_EVALUACION">#REF!</definedName>
    <definedName name="Consulta_Evaluación">#REF!</definedName>
    <definedName name="Consulta5">#REF!</definedName>
    <definedName name="_xlnm.Criteria">[18]TRASPL!$H$81</definedName>
    <definedName name="D">#REF!</definedName>
    <definedName name="D1_liq">#REF!</definedName>
    <definedName name="DA">#REF!</definedName>
    <definedName name="dat">#REF!</definedName>
    <definedName name="Data">#REF!</definedName>
    <definedName name="Data_regimes">#REF!</definedName>
    <definedName name="DATOS">[19]rangos!$E$2:$H$26</definedName>
    <definedName name="ddd">#REF!</definedName>
    <definedName name="dddd">#REF!</definedName>
    <definedName name="dder">#REF!</definedName>
    <definedName name="dder2016">#REF!</definedName>
    <definedName name="ddir">#REF!</definedName>
    <definedName name="ddir_b">#REF!</definedName>
    <definedName name="ddir2016">#REF!</definedName>
    <definedName name="de">#REF!</definedName>
    <definedName name="DECILE_PENS" localSheetId="2">#REF!</definedName>
    <definedName name="DECILE_PENS" localSheetId="3">#REF!</definedName>
    <definedName name="DECILE_PENS" localSheetId="4">#REF!</definedName>
    <definedName name="DECILE_PENS" localSheetId="7">#REF!</definedName>
    <definedName name="DECILE_PENS">#REF!</definedName>
    <definedName name="DECOMPO_DUREE" localSheetId="2">#REF!</definedName>
    <definedName name="DECOMPO_DUREE" localSheetId="3">#REF!</definedName>
    <definedName name="DECOMPO_DUREE" localSheetId="4">#REF!</definedName>
    <definedName name="DECOMPO_DUREE" localSheetId="7">#REF!</definedName>
    <definedName name="DECOMPO_DUREE">#REF!</definedName>
    <definedName name="décote">[16]Macro1!$B$23:$C$23</definedName>
    <definedName name="décote_F_M">[17]Macro1!$B$194:$C$194</definedName>
    <definedName name="décote_F_P">[17]Macro1!$B$169:$C$169</definedName>
    <definedName name="décote_H_M">[17]Macro1!$B$109:$C$109</definedName>
    <definedName name="décote_H_P">[17]Macro1!$B$84:$C$84</definedName>
    <definedName name="deee">#REF!</definedName>
    <definedName name="départs_normaux">[16]Macro1!$B$38:$C$38</definedName>
    <definedName name="départs_normaux_F_M">[17]Macro1!$B$209:$C$209</definedName>
    <definedName name="départs_normaux_F_P">[17]Macro1!$B$184:$C$184</definedName>
    <definedName name="départs_normaux_H_M">[17]Macro1!$B$124:$C$124</definedName>
    <definedName name="départs_normaux_H_P">[17]Macro1!$B$99:$C$99</definedName>
    <definedName name="DESLIZAMIENTO_ANTIG_TOTAL">#REF!</definedName>
    <definedName name="DUREE_VAL_MOY" localSheetId="2">#REF!</definedName>
    <definedName name="DUREE_VAL_MOY" localSheetId="3">#REF!</definedName>
    <definedName name="DUREE_VAL_MOY" localSheetId="4">#REF!</definedName>
    <definedName name="DUREE_VAL_MOY" localSheetId="7">#REF!</definedName>
    <definedName name="DUREE_VAL_MOY">#REF!</definedName>
    <definedName name="dv">#REF!</definedName>
    <definedName name="e">#REF!</definedName>
    <definedName name="eacr">#REF!</definedName>
    <definedName name="EACR_2">#REF!</definedName>
    <definedName name="EACR_b">#REF!</definedName>
    <definedName name="eacr_bis">#REF!</definedName>
    <definedName name="eacr_graph">#REF!</definedName>
    <definedName name="eacr_ter">#REF!</definedName>
    <definedName name="eacr2">#REF!</definedName>
    <definedName name="eacr3">#REF!</definedName>
    <definedName name="ed">#REF!</definedName>
    <definedName name="edades">#REF!</definedName>
    <definedName name="EF_FAMI">#REF!</definedName>
    <definedName name="Eff_derive">#REF!</definedName>
    <definedName name="effectif">[16]Macro1!#REF!</definedName>
    <definedName name="effectifE">[16]Macro1!#REF!</definedName>
    <definedName name="effectifE2005">[16]Macro1!#REF!</definedName>
    <definedName name="effectifE2006">[16]Macro1!#REF!</definedName>
    <definedName name="effectifF">[16]Macro1!#REF!</definedName>
    <definedName name="effectifF2005">[16]Macro1!#REF!</definedName>
    <definedName name="effectifF2006">[16]Macro1!#REF!</definedName>
    <definedName name="effectifH">[16]Macro1!#REF!</definedName>
    <definedName name="effectifH2005">[16]Macro1!#REF!</definedName>
    <definedName name="effectifH2006">[16]Macro1!#REF!</definedName>
    <definedName name="EIP">#REF!</definedName>
    <definedName name="EJUBI">#REF!</definedName>
    <definedName name="ENERO">#REF!</definedName>
    <definedName name="ENTRANTES">#REF!</definedName>
    <definedName name="EORFANDAD">#REF!</definedName>
    <definedName name="ETSIS">#REF!</definedName>
    <definedName name="euro">[20]SOMMAIRE!$C$131</definedName>
    <definedName name="EVIUDEDAD">#REF!</definedName>
    <definedName name="evo">#REF!</definedName>
    <definedName name="ex_invalide">[16]Macro1!$B$26:$C$26</definedName>
    <definedName name="ex_invalide_F_M">[17]Macro1!$B$197:$C$197</definedName>
    <definedName name="ex_invalide_F_P">[17]Macro1!$B$172:$C$172</definedName>
    <definedName name="ex_invalide_H_M">[17]Macro1!$B$112:$C$112</definedName>
    <definedName name="ex_invalide_H_P">[17]Macro1!$B$87:$C$87</definedName>
    <definedName name="FEA">[16]Macro1!#REF!</definedName>
    <definedName name="FEB">[16]Macro1!#REF!</definedName>
    <definedName name="Febrero06">#REF!</definedName>
    <definedName name="FFAMILI_TOTAL">#REF!</definedName>
    <definedName name="fff">#REF!</definedName>
    <definedName name="ffffvf">#REF!</definedName>
    <definedName name="FIG2wp1" hidden="1">#REF!</definedName>
    <definedName name="_xlnm.Recorder">#REF!</definedName>
    <definedName name="Format">#REF!</definedName>
    <definedName name="franc">[21]SOMMAIRE!$C$131</definedName>
    <definedName name="G">[10]Macro1!#REF!</definedName>
    <definedName name="gain_surcote_FP_1">[10]Macro1!#REF!</definedName>
    <definedName name="gain_surcote_FP_2">[10]Macro1!#REF!</definedName>
    <definedName name="gg">[22]gg!#REF!</definedName>
    <definedName name="ggg">#REF!</definedName>
    <definedName name="GORLIZ">#REF!</definedName>
    <definedName name="grabació">#REF!</definedName>
    <definedName name="H">#REF!</definedName>
    <definedName name="handicap">[16]Macro1!$B$32:$C$32</definedName>
    <definedName name="handicap_F_M">[17]Macro1!$B$203:$C$203</definedName>
    <definedName name="handicap_F_P">[17]Macro1!$B$178:$C$178</definedName>
    <definedName name="handicap_H_M">[17]Macro1!$B$118:$C$118</definedName>
    <definedName name="handicap_H_P">[17]Macro1!$B$93:$C$93</definedName>
    <definedName name="HBID_sal_Agosto">#REF!</definedName>
    <definedName name="HBID_sal_Dic">#REF!</definedName>
    <definedName name="HBID_sal_Enero">#REF!</definedName>
    <definedName name="HBID_sal_Mar">#REF!</definedName>
    <definedName name="HBID_sal_mayo">#REF!</definedName>
    <definedName name="HBID_sal_Nov">#REF!</definedName>
    <definedName name="HBID_sal_Oct">#REF!</definedName>
    <definedName name="Header">#REF!</definedName>
    <definedName name="Heidi">#REF!</definedName>
    <definedName name="histo_ageliq">#REF!</definedName>
    <definedName name="I.1.1._Pensiones_en_vigor_por_regímenes._Total_pensiones">#REF!</definedName>
    <definedName name="I.1.2._Pensiones_en_vigor_por_regímenes._Incapacidad_permanente">#REF!</definedName>
    <definedName name="I.1.3._Pensiones_en_vigor_por_regímenes._Jubilación">#REF!</definedName>
    <definedName name="I.1.4._Pensiones_en_vigor_por_regímenes._Viudedad">#REF!</definedName>
    <definedName name="I.1.5._Pensiones_en_vigor_por_regímenes._Orfandad">#REF!</definedName>
    <definedName name="I.1.6._Pensiones_en_vigor_por_regímenes._Favor_de_familiares">#REF!</definedName>
    <definedName name="IDX">#REF!</definedName>
    <definedName name="impor">#REF!</definedName>
    <definedName name="importe">#REF!</definedName>
    <definedName name="IMPORTE_P67">'[6]IMPORTE POR CONCEPTOS'!$B$2:$Z$18</definedName>
    <definedName name="_xlnm.Print_Titles">#N/A</definedName>
    <definedName name="inaptitude">[16]Macro1!$B$29:$C$29</definedName>
    <definedName name="inaptitude_F_M">[17]Macro1!$B$200:$C$200</definedName>
    <definedName name="inaptitude_F_P">[17]Macro1!$B$175:$C$175</definedName>
    <definedName name="inaptitude_H_M">[17]Macro1!$B$115:$C$115</definedName>
    <definedName name="inaptitude_H_P">[17]Macro1!$B$90:$C$90</definedName>
    <definedName name="INCP_JUBILA">#REF!</definedName>
    <definedName name="IND.APROVISIONAMIENTOS">#REF!</definedName>
    <definedName name="INDIC_BASE">#REF!</definedName>
    <definedName name="INDIC_ECH">#REF!</definedName>
    <definedName name="Ingresos">#REF!</definedName>
    <definedName name="INVERSIONES">#REF!</definedName>
    <definedName name="ip">#REF!</definedName>
    <definedName name="J">#REF!</definedName>
    <definedName name="j63.1">#REF!</definedName>
    <definedName name="jjjmmhh" hidden="1">{"TABL1",#N/A,TRUE,"TABLX";"TABL2",#N/A,TRUE,"TABLX"}</definedName>
    <definedName name="jjmmhh" hidden="1">{"TABL1",#N/A,TRUE,"TABLX";"TABL2",#N/A,TRUE,"TABLX"}</definedName>
    <definedName name="jmh">[15]txcot!#REF!</definedName>
    <definedName name="jmhjmh" hidden="1">{"TABL1",#N/A,TRUE,"TABLX";"TABL2",#N/A,TRUE,"TABLX"}</definedName>
    <definedName name="jmhjmhh" hidden="1">{"TABL1",#N/A,TRUE,"TABLX";"TABL2",#N/A,TRUE,"TABLX"}</definedName>
    <definedName name="K">#REF!</definedName>
    <definedName name="kailis">#REF!</definedName>
    <definedName name="KK">#REF!</definedName>
    <definedName name="kkk">#REF!</definedName>
    <definedName name="kkkkk">#REF!</definedName>
    <definedName name="LIST_INCOHERENCE">#REF!</definedName>
    <definedName name="LIST_INCOHERENCE_2">#REF!</definedName>
    <definedName name="LIST_INCOHERENCE_CHO">#REF!</definedName>
    <definedName name="LIST_INCOHERENCE_CHO2">#REF!</definedName>
    <definedName name="LL">#REF!</definedName>
    <definedName name="m">#REF!</definedName>
    <definedName name="MAJO_3ENF_DECILE" localSheetId="2">#REF!</definedName>
    <definedName name="MAJO_3ENF_DECILE" localSheetId="3">#REF!</definedName>
    <definedName name="MAJO_3ENF_DECILE" localSheetId="4">#REF!</definedName>
    <definedName name="MAJO_3ENF_DECILE" localSheetId="7">#REF!</definedName>
    <definedName name="MAJO_3ENF_DECILE">#REF!</definedName>
    <definedName name="Mat">#REF!</definedName>
    <definedName name="Mes">[23]Rangos!$A$2:$B$13</definedName>
    <definedName name="MESES">"enero, febrero, marzo, abril, mayo, junio, julio, agosto, septiembre, octubre, noviembre, diciembre"</definedName>
    <definedName name="mmmmmm">#REF!</definedName>
    <definedName name="mmmmmmmm">#REF!</definedName>
    <definedName name="moins_de_50">[8]Macro1!$B$23:$C$23</definedName>
    <definedName name="moins_de_50_F">[9]Macro1!$B$153:$C$153</definedName>
    <definedName name="moins_de_50_H">[9]Macro1!$B$88:$C$88</definedName>
    <definedName name="moins_de_55">[8]Macro1!$B$26:$C$26</definedName>
    <definedName name="moins_de_55_F">[9]Macro1!$B$156:$C$156</definedName>
    <definedName name="moins_de_55_H">[9]Macro1!$B$91:$C$91</definedName>
    <definedName name="MOIS_EJ">#REF!</definedName>
    <definedName name="montant">[16]Macro1!#REF!</definedName>
    <definedName name="MONTANT_REVISION">#REF!</definedName>
    <definedName name="montantE">[16]Macro1!#REF!</definedName>
    <definedName name="montantE2005">[16]Macro1!#REF!</definedName>
    <definedName name="montantE2005B">#REF!</definedName>
    <definedName name="montantE2006">[16]Macro1!#REF!</definedName>
    <definedName name="montantE2006B">#REF!</definedName>
    <definedName name="montantF">[16]Macro1!#REF!</definedName>
    <definedName name="montantF2005">[16]Macro1!#REF!</definedName>
    <definedName name="montantF2005B">#REF!</definedName>
    <definedName name="montantF2006">[16]Macro1!#REF!</definedName>
    <definedName name="montantF2006B">#REF!</definedName>
    <definedName name="montantH">[16]Macro1!#REF!</definedName>
    <definedName name="montantH2005">[16]Macro1!#REF!</definedName>
    <definedName name="montantH2005B">#REF!</definedName>
    <definedName name="montantH2006">[16]Macro1!#REF!</definedName>
    <definedName name="montantH2006B">#REF!</definedName>
    <definedName name="N">#REF!</definedName>
    <definedName name="npi">#REF!</definedName>
    <definedName name="paraconta">#REF!</definedName>
    <definedName name="Part">[24]CADES!$A$1</definedName>
    <definedName name="PART_BENEF_DF" localSheetId="2">#REF!</definedName>
    <definedName name="PART_BENEF_DF" localSheetId="3">#REF!</definedName>
    <definedName name="PART_BENEF_DF" localSheetId="4">#REF!</definedName>
    <definedName name="PART_BENEF_DF" localSheetId="7">#REF!</definedName>
    <definedName name="PART_BENEF_DF">#REF!</definedName>
    <definedName name="PART_PRORAT_SUSP">#REF!</definedName>
    <definedName name="PB_COHERENCE">#REF!</definedName>
    <definedName name="PENSIONS" localSheetId="2">#REF!</definedName>
    <definedName name="PENSIONS" localSheetId="3">#REF!</definedName>
    <definedName name="PENSIONS" localSheetId="4">#REF!</definedName>
    <definedName name="PENSIONS" localSheetId="7">#REF!</definedName>
    <definedName name="PENSIONS">#REF!</definedName>
    <definedName name="PENSIONS_ENF_MOTIF" localSheetId="2">#REF!</definedName>
    <definedName name="PENSIONS_ENF_MOTIF" localSheetId="3">#REF!</definedName>
    <definedName name="PENSIONS_ENF_MOTIF" localSheetId="4">#REF!</definedName>
    <definedName name="PENSIONS_ENF_MOTIF" localSheetId="7">#REF!</definedName>
    <definedName name="PENSIONS_ENF_MOTIF">#REF!</definedName>
    <definedName name="PERSONAL">#REF!</definedName>
    <definedName name="POR_SOCIEDAD">#REF!</definedName>
    <definedName name="primo">#REF!</definedName>
    <definedName name="Probaa">#REF!</definedName>
    <definedName name="Q">#REF!</definedName>
    <definedName name="qq" hidden="1">[3]A11!#REF!</definedName>
    <definedName name="qqq" hidden="1">[3]A11!#REF!</definedName>
    <definedName name="qwrw">#REF!</definedName>
    <definedName name="RawData">#REF!</definedName>
    <definedName name="RawHeader">#REF!</definedName>
    <definedName name="Rodriguez">#REF!</definedName>
    <definedName name="SAS_TAB_TEST_INDICATEUR">#REF!</definedName>
    <definedName name="SAS_TAB1">#REF!</definedName>
    <definedName name="sdfsdf" hidden="1">[25]A11!#REF!</definedName>
    <definedName name="soldes_EEC">[26]soldes!$B$34:$BS$40</definedName>
    <definedName name="soldes_EPR">[26]soldes!$B$50:$BS$56</definedName>
    <definedName name="soldes_tcc">[26]soldes!$B$18:$BS$24</definedName>
    <definedName name="ss">#REF!</definedName>
    <definedName name="surcote">[16]Macro1!$B$41:$C$41</definedName>
    <definedName name="surcote_F_M">[17]Macro1!$B$212:$C$212</definedName>
    <definedName name="surcote_F_P">[17]Macro1!$B$187:$C$187</definedName>
    <definedName name="surcote_H_M">[17]Macro1!$B$127:$C$127</definedName>
    <definedName name="surcote_H_P">[17]Macro1!$B$102:$C$102</definedName>
    <definedName name="T_Démo_COR">'[27]Données COR'!$Q$3:$AH$56</definedName>
    <definedName name="T_Données_DSS">'[27]Données DSS'!$A$3:$X$56</definedName>
    <definedName name="T_Générations">'[27]Données COR'!$BH$3:$BL$60</definedName>
    <definedName name="T_hypo_gest">[27]Hypothèses!$H$4:$P$54</definedName>
    <definedName name="T_hypo_macro">[27]Hypothèses!$A$4:$F$54</definedName>
    <definedName name="T_hypo_Taux">[27]Hypothèses!$R$3:$AB$54</definedName>
    <definedName name="T_hypo_TauxFi">[27]Hypothèses!$AD$3:$AJ$54</definedName>
    <definedName name="T_MassesFi_COR">'[27]Données COR'!$A$3:$O$56</definedName>
    <definedName name="T_PF_Réserves">'[27]Données DSS'!$Z$3:$AC$56</definedName>
    <definedName name="T_PM_COR">'[27]Données COR'!$AJ$3:$AP$56</definedName>
    <definedName name="t46h">[28]MS!$B$3:$B$63</definedName>
    <definedName name="Tab">#REF!</definedName>
    <definedName name="Tab_1">#REF!</definedName>
    <definedName name="Tab_1b">#REF!</definedName>
    <definedName name="Tab_1tr">#REF!</definedName>
    <definedName name="Tab_2">#REF!</definedName>
    <definedName name="Tab_2bis">#REF!</definedName>
    <definedName name="Tab_3">#REF!</definedName>
    <definedName name="Tab_lag">#REF!</definedName>
    <definedName name="tab1FP">#REF!</definedName>
    <definedName name="tab1MSACAVIter">#REF!</definedName>
    <definedName name="Table">#REF!</definedName>
    <definedName name="table2">#REF!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vola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ST0">#REF!</definedName>
    <definedName name="TESTHKEY">#REF!</definedName>
    <definedName name="TESTKEYS">#REF!</definedName>
    <definedName name="TESTVKEY">#REF!</definedName>
    <definedName name="TMS">[29]MS!$B$3:$B$63</definedName>
    <definedName name="TMTR">[29]MTR!$B$3:$B$52</definedName>
    <definedName name="tmtrr">[28]MTR!$B$3:$B$61</definedName>
    <definedName name="tnvb">[28]MS!$B$3:$B$63</definedName>
    <definedName name="toto">#REF!</definedName>
    <definedName name="TRAMOS_CUANTÍA">#REF!</definedName>
    <definedName name="TSHO">#REF!</definedName>
    <definedName name="TSM">#REF!</definedName>
    <definedName name="tt">#REF!</definedName>
    <definedName name="txretr_anc14">#REF!</definedName>
    <definedName name="txretr_anc15">#REF!</definedName>
    <definedName name="unite">[30]NATnon03324!#REF!</definedName>
    <definedName name="valeur">[16]Macro1!#REF!</definedName>
    <definedName name="ve">#REF!</definedName>
    <definedName name="VERIFICATION_MONTANT">#REF!</definedName>
    <definedName name="VERIFICATION_PRORATISATION">#REF!</definedName>
    <definedName name="VERIFICATION_PRORATISATION2">#REF!</definedName>
    <definedName name="VIUDE_ORFAN">#REF!</definedName>
    <definedName name="vvcwxcv" hidden="1">[25]A11!#REF!</definedName>
    <definedName name="w" hidden="1">'[2]Time series'!#REF!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apport." hidden="1">{"TABL1",#N/A,TRUE,"TABLX";"TABL2",#N/A,TRUE,"TABLX"}</definedName>
    <definedName name="wrn.TabARA." hidden="1">{"Page1",#N/A,FALSE,"ARA M&amp;F&amp;T";"Page2",#N/A,FALSE,"ARA M&amp;F&amp;T";"Page3",#N/A,FALSE,"ARA M&amp;F&amp;T"}</definedName>
    <definedName name="WW">#REF!</definedName>
    <definedName name="x" hidden="1">{"TABL1",#N/A,TRUE,"TABLX";"TABL2",#N/A,TRUE,"TABLX"}</definedName>
    <definedName name="xx">#REF!</definedName>
    <definedName name="y" hidden="1">'[5]Time series'!#REF!</definedName>
    <definedName name="years">[31]txcot!#REF!</definedName>
    <definedName name="yyy">#REF!</definedName>
    <definedName name="Z">#REF!</definedName>
    <definedName name="Z_3F39BED9_252F_4F3D_84F1_EFDC52B79657_.wvu.FilterData" hidden="1">#REF!</definedName>
    <definedName name="Z_E05BD6CD_67F8_4CD2_AB45_A42587AD9A8B_.wvu.FilterData" hidden="1">#REF!</definedName>
    <definedName name="_xlnm.Print_Area">#REF!</definedName>
    <definedName name="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2" i="1" l="1"/>
  <c r="A41" i="1" l="1"/>
  <c r="A40" i="1"/>
  <c r="A39" i="1"/>
  <c r="A34" i="1"/>
  <c r="A29" i="1"/>
  <c r="A28" i="1"/>
  <c r="A27" i="1"/>
  <c r="H11" i="71"/>
  <c r="G11" i="71"/>
  <c r="F11" i="71"/>
  <c r="E11" i="71"/>
  <c r="D11" i="71"/>
  <c r="C11" i="71"/>
  <c r="H10" i="71"/>
  <c r="G10" i="71"/>
  <c r="F10" i="71"/>
  <c r="E10" i="71"/>
  <c r="D10" i="71"/>
  <c r="C10" i="71"/>
  <c r="H9" i="71"/>
  <c r="G9" i="71"/>
  <c r="F9" i="71"/>
  <c r="E9" i="71"/>
  <c r="D9" i="71"/>
  <c r="C9" i="71"/>
  <c r="H7" i="71"/>
  <c r="G7" i="71"/>
  <c r="F7" i="71"/>
  <c r="E7" i="71"/>
  <c r="D7" i="71"/>
  <c r="C7" i="71"/>
  <c r="H6" i="71"/>
  <c r="G6" i="71"/>
  <c r="F6" i="71"/>
  <c r="E6" i="71"/>
  <c r="D6" i="71"/>
  <c r="C6" i="71"/>
  <c r="H5" i="71"/>
  <c r="G5" i="71"/>
  <c r="F5" i="71"/>
  <c r="E5" i="71"/>
  <c r="D5" i="71"/>
  <c r="C5" i="71"/>
  <c r="D6" i="70"/>
  <c r="E6" i="70"/>
  <c r="F6" i="70"/>
  <c r="G6" i="70"/>
  <c r="H6" i="70"/>
  <c r="I6" i="70"/>
  <c r="J6" i="70"/>
  <c r="K6" i="70"/>
  <c r="L6" i="70"/>
  <c r="M6" i="70"/>
  <c r="N6" i="70"/>
  <c r="O6" i="70"/>
  <c r="P6" i="70"/>
  <c r="Q6" i="70"/>
  <c r="R6" i="70"/>
  <c r="S6" i="70"/>
  <c r="T6" i="70"/>
  <c r="U6" i="70"/>
  <c r="V6" i="70"/>
  <c r="W6" i="70"/>
  <c r="X6" i="70"/>
  <c r="Y6" i="70"/>
  <c r="Z6" i="70"/>
  <c r="AA6" i="70"/>
  <c r="AB6" i="70"/>
  <c r="AC6" i="70"/>
  <c r="AD6" i="70"/>
  <c r="AE6" i="70"/>
  <c r="AF6" i="70"/>
  <c r="AG6" i="70"/>
  <c r="AH6" i="70"/>
  <c r="AI6" i="70"/>
  <c r="AJ6" i="70"/>
  <c r="AK6" i="70"/>
  <c r="AL6" i="70"/>
  <c r="AM6" i="70"/>
  <c r="AN6" i="70"/>
  <c r="AO6" i="70"/>
  <c r="AP6" i="70"/>
  <c r="AQ6" i="70"/>
  <c r="AR6" i="70"/>
  <c r="AS6" i="70"/>
  <c r="AT6" i="70"/>
  <c r="AU6" i="70"/>
  <c r="C6" i="70"/>
  <c r="D5" i="70"/>
  <c r="E5" i="70"/>
  <c r="F5" i="70"/>
  <c r="G5" i="70"/>
  <c r="H5" i="70"/>
  <c r="I5" i="70"/>
  <c r="J5" i="70"/>
  <c r="K5" i="70"/>
  <c r="L5" i="70"/>
  <c r="M5" i="70"/>
  <c r="N5" i="70"/>
  <c r="O5" i="70"/>
  <c r="P5" i="70"/>
  <c r="Q5" i="70"/>
  <c r="R5" i="70"/>
  <c r="S5" i="70"/>
  <c r="T5" i="70"/>
  <c r="U5" i="70"/>
  <c r="V5" i="70"/>
  <c r="W5" i="70"/>
  <c r="X5" i="70"/>
  <c r="Y5" i="70"/>
  <c r="Z5" i="70"/>
  <c r="AA5" i="70"/>
  <c r="AB5" i="70"/>
  <c r="AC5" i="70"/>
  <c r="AD5" i="70"/>
  <c r="AE5" i="70"/>
  <c r="AF5" i="70"/>
  <c r="AG5" i="70"/>
  <c r="AH5" i="70"/>
  <c r="AI5" i="70"/>
  <c r="AJ5" i="70"/>
  <c r="AK5" i="70"/>
  <c r="AL5" i="70"/>
  <c r="AM5" i="70"/>
  <c r="AN5" i="70"/>
  <c r="AO5" i="70"/>
  <c r="AP5" i="70"/>
  <c r="AQ5" i="70"/>
  <c r="AR5" i="70"/>
  <c r="AS5" i="70"/>
  <c r="AT5" i="70"/>
  <c r="AU5" i="70"/>
  <c r="C5" i="70"/>
  <c r="D9" i="69"/>
  <c r="E9" i="69"/>
  <c r="F9" i="69"/>
  <c r="G9" i="69"/>
  <c r="H9" i="69"/>
  <c r="I9" i="69"/>
  <c r="J9" i="69"/>
  <c r="K9" i="69"/>
  <c r="L9" i="69"/>
  <c r="M9" i="69"/>
  <c r="N9" i="69"/>
  <c r="O9" i="69"/>
  <c r="P9" i="69"/>
  <c r="Q9" i="69"/>
  <c r="R9" i="69"/>
  <c r="S9" i="69"/>
  <c r="T9" i="69"/>
  <c r="U9" i="69"/>
  <c r="V9" i="69"/>
  <c r="W9" i="69"/>
  <c r="X9" i="69"/>
  <c r="Y9" i="69"/>
  <c r="Z9" i="69"/>
  <c r="AA9" i="69"/>
  <c r="AB9" i="69"/>
  <c r="AC9" i="69"/>
  <c r="AD9" i="69"/>
  <c r="AE9" i="69"/>
  <c r="AF9" i="69"/>
  <c r="AG9" i="69"/>
  <c r="AH9" i="69"/>
  <c r="AI9" i="69"/>
  <c r="AJ9" i="69"/>
  <c r="AK9" i="69"/>
  <c r="AL9" i="69"/>
  <c r="AM9" i="69"/>
  <c r="AN9" i="69"/>
  <c r="AO9" i="69"/>
  <c r="AP9" i="69"/>
  <c r="AQ9" i="69"/>
  <c r="AR9" i="69"/>
  <c r="AS9" i="69"/>
  <c r="AT9" i="69"/>
  <c r="AU9" i="69"/>
  <c r="C9" i="69"/>
  <c r="D8" i="69"/>
  <c r="E8" i="69"/>
  <c r="F8" i="69"/>
  <c r="G8" i="69"/>
  <c r="H8" i="69"/>
  <c r="I8" i="69"/>
  <c r="J8" i="69"/>
  <c r="K8" i="69"/>
  <c r="L8" i="69"/>
  <c r="M8" i="69"/>
  <c r="N8" i="69"/>
  <c r="O8" i="69"/>
  <c r="P8" i="69"/>
  <c r="Q8" i="69"/>
  <c r="R8" i="69"/>
  <c r="S8" i="69"/>
  <c r="T8" i="69"/>
  <c r="U8" i="69"/>
  <c r="V8" i="69"/>
  <c r="W8" i="69"/>
  <c r="X8" i="69"/>
  <c r="Y8" i="69"/>
  <c r="Z8" i="69"/>
  <c r="AA8" i="69"/>
  <c r="AB8" i="69"/>
  <c r="AC8" i="69"/>
  <c r="AD8" i="69"/>
  <c r="AE8" i="69"/>
  <c r="AF8" i="69"/>
  <c r="AG8" i="69"/>
  <c r="AH8" i="69"/>
  <c r="AI8" i="69"/>
  <c r="AJ8" i="69"/>
  <c r="AK8" i="69"/>
  <c r="AL8" i="69"/>
  <c r="AM8" i="69"/>
  <c r="AN8" i="69"/>
  <c r="AO8" i="69"/>
  <c r="AP8" i="69"/>
  <c r="AQ8" i="69"/>
  <c r="AR8" i="69"/>
  <c r="AS8" i="69"/>
  <c r="AT8" i="69"/>
  <c r="AU8" i="69"/>
  <c r="C8" i="69"/>
  <c r="D7" i="69"/>
  <c r="E7" i="69"/>
  <c r="F7" i="69"/>
  <c r="G7" i="69"/>
  <c r="H7" i="69"/>
  <c r="I7" i="69"/>
  <c r="J7" i="69"/>
  <c r="K7" i="69"/>
  <c r="L7" i="69"/>
  <c r="M7" i="69"/>
  <c r="N7" i="69"/>
  <c r="O7" i="69"/>
  <c r="P7" i="69"/>
  <c r="Q7" i="69"/>
  <c r="R7" i="69"/>
  <c r="S7" i="69"/>
  <c r="T7" i="69"/>
  <c r="U7" i="69"/>
  <c r="V7" i="69"/>
  <c r="W7" i="69"/>
  <c r="X7" i="69"/>
  <c r="Y7" i="69"/>
  <c r="Z7" i="69"/>
  <c r="AA7" i="69"/>
  <c r="AB7" i="69"/>
  <c r="AC7" i="69"/>
  <c r="AD7" i="69"/>
  <c r="AE7" i="69"/>
  <c r="AF7" i="69"/>
  <c r="AG7" i="69"/>
  <c r="AH7" i="69"/>
  <c r="AI7" i="69"/>
  <c r="AJ7" i="69"/>
  <c r="AK7" i="69"/>
  <c r="AL7" i="69"/>
  <c r="AM7" i="69"/>
  <c r="AN7" i="69"/>
  <c r="AO7" i="69"/>
  <c r="AP7" i="69"/>
  <c r="AQ7" i="69"/>
  <c r="AR7" i="69"/>
  <c r="AS7" i="69"/>
  <c r="AT7" i="69"/>
  <c r="AU7" i="69"/>
  <c r="C7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AK6" i="69"/>
  <c r="AL6" i="69"/>
  <c r="AM6" i="69"/>
  <c r="AN6" i="69"/>
  <c r="AO6" i="69"/>
  <c r="AP6" i="69"/>
  <c r="AQ6" i="69"/>
  <c r="AR6" i="69"/>
  <c r="AS6" i="69"/>
  <c r="AT6" i="69"/>
  <c r="AU6" i="69"/>
  <c r="C6" i="69"/>
  <c r="D5" i="69"/>
  <c r="E5" i="69"/>
  <c r="F5" i="69"/>
  <c r="G5" i="69"/>
  <c r="H5" i="69"/>
  <c r="I5" i="69"/>
  <c r="J5" i="69"/>
  <c r="K5" i="69"/>
  <c r="L5" i="69"/>
  <c r="M5" i="69"/>
  <c r="N5" i="69"/>
  <c r="O5" i="69"/>
  <c r="P5" i="69"/>
  <c r="Q5" i="69"/>
  <c r="R5" i="69"/>
  <c r="S5" i="69"/>
  <c r="T5" i="69"/>
  <c r="U5" i="69"/>
  <c r="V5" i="69"/>
  <c r="W5" i="69"/>
  <c r="X5" i="69"/>
  <c r="Y5" i="69"/>
  <c r="Z5" i="69"/>
  <c r="AA5" i="69"/>
  <c r="AB5" i="69"/>
  <c r="AC5" i="69"/>
  <c r="AD5" i="69"/>
  <c r="AE5" i="69"/>
  <c r="AF5" i="69"/>
  <c r="AG5" i="69"/>
  <c r="AH5" i="69"/>
  <c r="AI5" i="69"/>
  <c r="AJ5" i="69"/>
  <c r="AK5" i="69"/>
  <c r="AL5" i="69"/>
  <c r="AM5" i="69"/>
  <c r="AN5" i="69"/>
  <c r="AO5" i="69"/>
  <c r="AP5" i="69"/>
  <c r="AQ5" i="69"/>
  <c r="AR5" i="69"/>
  <c r="AS5" i="69"/>
  <c r="AT5" i="69"/>
  <c r="AU5" i="69"/>
  <c r="C5" i="69"/>
  <c r="B9" i="69" l="1"/>
  <c r="B8" i="69"/>
  <c r="B7" i="69"/>
  <c r="B6" i="69"/>
  <c r="B5" i="69"/>
  <c r="AU4" i="69"/>
  <c r="AT4" i="69"/>
  <c r="AS4" i="69"/>
  <c r="AR4" i="69"/>
  <c r="AQ4" i="69"/>
  <c r="AP4" i="69"/>
  <c r="AO4" i="69"/>
  <c r="AN4" i="69"/>
  <c r="AM4" i="69"/>
  <c r="AL4" i="69"/>
  <c r="AK4" i="69"/>
  <c r="AJ4" i="69"/>
  <c r="AI4" i="69"/>
  <c r="AH4" i="69"/>
  <c r="AG4" i="69"/>
  <c r="AF4" i="69"/>
  <c r="AE4" i="69"/>
  <c r="AD4" i="69"/>
  <c r="AC4" i="69"/>
  <c r="AB4" i="69"/>
  <c r="AA4" i="69"/>
  <c r="Z4" i="69"/>
  <c r="Y4" i="69"/>
  <c r="X4" i="69"/>
  <c r="W4" i="69"/>
  <c r="V4" i="69"/>
  <c r="U4" i="69"/>
  <c r="T4" i="69"/>
  <c r="S4" i="69"/>
  <c r="R4" i="69"/>
  <c r="Q4" i="69"/>
  <c r="P4" i="69"/>
  <c r="O4" i="69"/>
  <c r="N4" i="69"/>
  <c r="M4" i="69"/>
  <c r="L4" i="69"/>
  <c r="K4" i="69"/>
  <c r="J4" i="69"/>
  <c r="I4" i="69"/>
  <c r="H4" i="69"/>
  <c r="G4" i="69"/>
  <c r="F4" i="69"/>
  <c r="E4" i="69"/>
  <c r="D4" i="69"/>
  <c r="C4" i="69"/>
  <c r="B9" i="68"/>
  <c r="B8" i="68"/>
  <c r="B7" i="68"/>
  <c r="B6" i="68"/>
  <c r="B5" i="68"/>
  <c r="AU4" i="68"/>
  <c r="AT4" i="68"/>
  <c r="AS4" i="68"/>
  <c r="AR4" i="68"/>
  <c r="AQ4" i="68"/>
  <c r="AP4" i="68"/>
  <c r="AO4" i="68"/>
  <c r="AN4" i="68"/>
  <c r="AM4" i="68"/>
  <c r="AL4" i="68"/>
  <c r="AK4" i="68"/>
  <c r="AJ4" i="68"/>
  <c r="AI4" i="68"/>
  <c r="AH4" i="68"/>
  <c r="AG4" i="68"/>
  <c r="AF4" i="68"/>
  <c r="AE4" i="68"/>
  <c r="AD4" i="68"/>
  <c r="AC4" i="68"/>
  <c r="AB4" i="68"/>
  <c r="AA4" i="68"/>
  <c r="Z4" i="68"/>
  <c r="Y4" i="68"/>
  <c r="X4" i="68"/>
  <c r="W4" i="68"/>
  <c r="V4" i="68"/>
  <c r="U4" i="68"/>
  <c r="T4" i="68"/>
  <c r="S4" i="68"/>
  <c r="R4" i="68"/>
  <c r="Q4" i="68"/>
  <c r="P4" i="68"/>
  <c r="O4" i="68"/>
  <c r="N4" i="68"/>
  <c r="M4" i="68"/>
  <c r="L4" i="68"/>
  <c r="K4" i="68"/>
  <c r="J4" i="68"/>
  <c r="I4" i="68"/>
  <c r="H4" i="68"/>
  <c r="G4" i="68"/>
  <c r="F4" i="68"/>
  <c r="E4" i="68"/>
  <c r="D4" i="68"/>
  <c r="C4" i="68"/>
  <c r="C4" i="66"/>
  <c r="D4" i="66"/>
  <c r="E4" i="66"/>
  <c r="F4" i="66"/>
  <c r="G4" i="66"/>
  <c r="H4" i="66"/>
  <c r="I4" i="66"/>
  <c r="J4" i="66"/>
  <c r="K4" i="66"/>
  <c r="L4" i="66"/>
  <c r="M4" i="66"/>
  <c r="N4" i="66"/>
  <c r="O4" i="66"/>
  <c r="P4" i="66"/>
  <c r="Q4" i="66"/>
  <c r="R4" i="66"/>
  <c r="S4" i="66"/>
  <c r="T4" i="66"/>
  <c r="U4" i="66"/>
  <c r="V4" i="66"/>
  <c r="W4" i="66"/>
  <c r="X4" i="66"/>
  <c r="Y4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AP4" i="66"/>
  <c r="AQ4" i="66"/>
  <c r="AR4" i="66"/>
  <c r="AS4" i="66"/>
  <c r="AT4" i="66"/>
  <c r="AU4" i="66"/>
  <c r="B5" i="66"/>
  <c r="C5" i="66"/>
  <c r="D5" i="66"/>
  <c r="E5" i="66"/>
  <c r="F5" i="66"/>
  <c r="G5" i="66"/>
  <c r="H5" i="66"/>
  <c r="I5" i="66"/>
  <c r="J5" i="66"/>
  <c r="K5" i="66"/>
  <c r="L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AA5" i="66"/>
  <c r="AB5" i="66"/>
  <c r="AC5" i="66"/>
  <c r="AD5" i="66"/>
  <c r="AE5" i="66"/>
  <c r="AF5" i="66"/>
  <c r="AG5" i="66"/>
  <c r="AH5" i="66"/>
  <c r="AI5" i="66"/>
  <c r="AJ5" i="66"/>
  <c r="AK5" i="66"/>
  <c r="AL5" i="66"/>
  <c r="AM5" i="66"/>
  <c r="AN5" i="66"/>
  <c r="AO5" i="66"/>
  <c r="AP5" i="66"/>
  <c r="AQ5" i="66"/>
  <c r="AR5" i="66"/>
  <c r="AS5" i="66"/>
  <c r="AT5" i="66"/>
  <c r="AU5" i="66"/>
  <c r="B6" i="66"/>
  <c r="C6" i="66"/>
  <c r="D6" i="66"/>
  <c r="E6" i="66"/>
  <c r="F6" i="66"/>
  <c r="G6" i="66"/>
  <c r="H6" i="66"/>
  <c r="I6" i="66"/>
  <c r="J6" i="66"/>
  <c r="K6" i="66"/>
  <c r="L6" i="66"/>
  <c r="M6" i="66"/>
  <c r="N6" i="66"/>
  <c r="O6" i="66"/>
  <c r="P6" i="66"/>
  <c r="Q6" i="66"/>
  <c r="R6" i="66"/>
  <c r="S6" i="66"/>
  <c r="T6" i="66"/>
  <c r="U6" i="66"/>
  <c r="V6" i="66"/>
  <c r="W6" i="66"/>
  <c r="X6" i="66"/>
  <c r="Y6" i="66"/>
  <c r="Z6" i="66"/>
  <c r="AA6" i="66"/>
  <c r="AB6" i="66"/>
  <c r="AC6" i="66"/>
  <c r="AD6" i="66"/>
  <c r="AE6" i="66"/>
  <c r="AF6" i="66"/>
  <c r="AG6" i="66"/>
  <c r="AH6" i="66"/>
  <c r="AI6" i="66"/>
  <c r="AJ6" i="66"/>
  <c r="AK6" i="66"/>
  <c r="AL6" i="66"/>
  <c r="AM6" i="66"/>
  <c r="AN6" i="66"/>
  <c r="AO6" i="66"/>
  <c r="AP6" i="66"/>
  <c r="AQ6" i="66"/>
  <c r="AR6" i="66"/>
  <c r="AS6" i="66"/>
  <c r="AT6" i="66"/>
  <c r="AU6" i="66"/>
  <c r="B7" i="66"/>
  <c r="C7" i="66"/>
  <c r="D7" i="66"/>
  <c r="E7" i="66"/>
  <c r="F7" i="66"/>
  <c r="G7" i="66"/>
  <c r="H7" i="66"/>
  <c r="I7" i="66"/>
  <c r="J7" i="66"/>
  <c r="K7" i="66"/>
  <c r="L7" i="66"/>
  <c r="M7" i="66"/>
  <c r="N7" i="66"/>
  <c r="O7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B8" i="66"/>
  <c r="C8" i="66"/>
  <c r="D8" i="66"/>
  <c r="E8" i="66"/>
  <c r="F8" i="66"/>
  <c r="G8" i="66"/>
  <c r="H8" i="66"/>
  <c r="I8" i="66"/>
  <c r="J8" i="66"/>
  <c r="K8" i="66"/>
  <c r="L8" i="66"/>
  <c r="M8" i="66"/>
  <c r="N8" i="66"/>
  <c r="O8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B9" i="66"/>
  <c r="C9" i="66"/>
  <c r="D9" i="66"/>
  <c r="E9" i="66"/>
  <c r="F9" i="66"/>
  <c r="G9" i="66"/>
  <c r="H9" i="66"/>
  <c r="I9" i="66"/>
  <c r="J9" i="66"/>
  <c r="K9" i="66"/>
  <c r="L9" i="66"/>
  <c r="M9" i="66"/>
  <c r="N9" i="66"/>
  <c r="O9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C4" i="65" l="1"/>
  <c r="D4" i="65"/>
  <c r="E4" i="65"/>
  <c r="F4" i="65"/>
  <c r="G4" i="65"/>
  <c r="H4" i="65"/>
  <c r="B5" i="65"/>
  <c r="C5" i="65"/>
  <c r="D5" i="65"/>
  <c r="E5" i="65"/>
  <c r="F5" i="65"/>
  <c r="G5" i="65"/>
  <c r="H5" i="65"/>
  <c r="B6" i="65"/>
  <c r="C6" i="65"/>
  <c r="D6" i="65"/>
  <c r="E6" i="65"/>
  <c r="F6" i="65"/>
  <c r="G6" i="65"/>
  <c r="H6" i="65"/>
  <c r="B7" i="65"/>
  <c r="C7" i="65"/>
  <c r="D7" i="65"/>
  <c r="E7" i="65"/>
  <c r="F7" i="65"/>
  <c r="G7" i="65"/>
  <c r="H7" i="65"/>
  <c r="B8" i="65"/>
  <c r="C8" i="65"/>
  <c r="D8" i="65"/>
  <c r="E8" i="65"/>
  <c r="F8" i="65"/>
  <c r="G8" i="65"/>
  <c r="H8" i="65"/>
  <c r="B9" i="65"/>
  <c r="C9" i="65"/>
  <c r="D9" i="65"/>
  <c r="E9" i="65"/>
  <c r="F9" i="65"/>
  <c r="G9" i="65"/>
  <c r="H9" i="65"/>
  <c r="C11" i="65"/>
  <c r="D11" i="65"/>
  <c r="E11" i="65"/>
  <c r="F11" i="65"/>
  <c r="G11" i="65"/>
  <c r="H11" i="65"/>
  <c r="C12" i="65"/>
  <c r="D12" i="65"/>
  <c r="E12" i="65"/>
  <c r="F12" i="65"/>
  <c r="G12" i="65"/>
  <c r="H12" i="65"/>
  <c r="C13" i="65"/>
  <c r="D13" i="65"/>
  <c r="E13" i="65"/>
  <c r="F13" i="65"/>
  <c r="G13" i="65"/>
  <c r="H13" i="65"/>
  <c r="C14" i="65"/>
  <c r="D14" i="65"/>
  <c r="E14" i="65"/>
  <c r="F14" i="65"/>
  <c r="G14" i="65"/>
  <c r="H14" i="65"/>
  <c r="C15" i="65"/>
  <c r="D15" i="65"/>
  <c r="E15" i="65"/>
  <c r="F15" i="65"/>
  <c r="G15" i="65"/>
  <c r="H15" i="65"/>
  <c r="C17" i="65"/>
  <c r="D17" i="65"/>
  <c r="E17" i="65"/>
  <c r="F17" i="65"/>
  <c r="G17" i="65"/>
  <c r="H17" i="65"/>
  <c r="C18" i="65"/>
  <c r="D18" i="65"/>
  <c r="E18" i="65"/>
  <c r="F18" i="65"/>
  <c r="G18" i="65"/>
  <c r="H18" i="65"/>
  <c r="C19" i="65"/>
  <c r="D19" i="65"/>
  <c r="E19" i="65"/>
  <c r="F19" i="65"/>
  <c r="G19" i="65"/>
  <c r="H19" i="65"/>
  <c r="C20" i="65"/>
  <c r="D20" i="65"/>
  <c r="E20" i="65"/>
  <c r="F20" i="65"/>
  <c r="G20" i="65"/>
  <c r="H20" i="65"/>
  <c r="C21" i="65"/>
  <c r="D21" i="65"/>
  <c r="E21" i="65"/>
  <c r="F21" i="65"/>
  <c r="G21" i="65"/>
  <c r="H21" i="65"/>
  <c r="C23" i="65"/>
  <c r="D23" i="65"/>
  <c r="E23" i="65"/>
  <c r="F23" i="65"/>
  <c r="G23" i="65"/>
  <c r="H23" i="65"/>
  <c r="C24" i="65"/>
  <c r="D24" i="65"/>
  <c r="E24" i="65"/>
  <c r="F24" i="65"/>
  <c r="G24" i="65"/>
  <c r="H24" i="65"/>
  <c r="C25" i="65"/>
  <c r="D25" i="65"/>
  <c r="E25" i="65"/>
  <c r="F25" i="65"/>
  <c r="G25" i="65"/>
  <c r="H25" i="65"/>
  <c r="C26" i="65"/>
  <c r="D26" i="65"/>
  <c r="E26" i="65"/>
  <c r="F26" i="65"/>
  <c r="G26" i="65"/>
  <c r="H26" i="65"/>
  <c r="C27" i="65"/>
  <c r="D27" i="65"/>
  <c r="E27" i="65"/>
  <c r="F27" i="65"/>
  <c r="G27" i="65"/>
  <c r="H27" i="65"/>
  <c r="B29" i="65"/>
  <c r="C29" i="65"/>
  <c r="D29" i="65"/>
  <c r="E29" i="65"/>
  <c r="F29" i="65"/>
  <c r="G29" i="65"/>
  <c r="H29" i="65"/>
  <c r="B30" i="65"/>
  <c r="C30" i="65"/>
  <c r="D30" i="65"/>
  <c r="E30" i="65"/>
  <c r="F30" i="65"/>
  <c r="G30" i="65"/>
  <c r="H30" i="65"/>
  <c r="B31" i="65"/>
  <c r="C31" i="65"/>
  <c r="D31" i="65"/>
  <c r="E31" i="65"/>
  <c r="F31" i="65"/>
  <c r="G31" i="65"/>
  <c r="H31" i="65"/>
  <c r="C4" i="64" l="1"/>
  <c r="D4" i="64"/>
  <c r="E4" i="64"/>
  <c r="F4" i="64"/>
  <c r="G4" i="64"/>
  <c r="H4" i="64"/>
  <c r="C5" i="64"/>
  <c r="D5" i="64"/>
  <c r="E5" i="64"/>
  <c r="F5" i="64"/>
  <c r="G5" i="64"/>
  <c r="H5" i="64"/>
  <c r="C6" i="64"/>
  <c r="D6" i="64"/>
  <c r="E6" i="64"/>
  <c r="F6" i="64"/>
  <c r="G6" i="64"/>
  <c r="H6" i="64"/>
  <c r="C7" i="64"/>
  <c r="D7" i="64"/>
  <c r="E7" i="64"/>
  <c r="F7" i="64"/>
  <c r="G7" i="64"/>
  <c r="H7" i="64"/>
  <c r="C8" i="64"/>
  <c r="D8" i="64"/>
  <c r="E8" i="64"/>
  <c r="F8" i="64"/>
  <c r="G8" i="64"/>
  <c r="H8" i="64"/>
  <c r="C9" i="64"/>
  <c r="D9" i="64"/>
  <c r="E9" i="64"/>
  <c r="F9" i="64"/>
  <c r="G9" i="64"/>
  <c r="H9" i="64"/>
  <c r="C11" i="64"/>
  <c r="D11" i="64"/>
  <c r="E11" i="64"/>
  <c r="F11" i="64"/>
  <c r="G11" i="64"/>
  <c r="H11" i="64"/>
  <c r="C12" i="64"/>
  <c r="D12" i="64"/>
  <c r="E12" i="64"/>
  <c r="F12" i="64"/>
  <c r="G12" i="64"/>
  <c r="H12" i="64"/>
  <c r="C13" i="64"/>
  <c r="D13" i="64"/>
  <c r="E13" i="64"/>
  <c r="F13" i="64"/>
  <c r="G13" i="64"/>
  <c r="H13" i="64"/>
  <c r="C14" i="64"/>
  <c r="D14" i="64"/>
  <c r="E14" i="64"/>
  <c r="F14" i="64"/>
  <c r="G14" i="64"/>
  <c r="H14" i="64"/>
  <c r="C15" i="64"/>
  <c r="D15" i="64"/>
  <c r="E15" i="64"/>
  <c r="F15" i="64"/>
  <c r="G15" i="64"/>
  <c r="H15" i="64"/>
  <c r="B17" i="64"/>
  <c r="C17" i="64"/>
  <c r="D17" i="64"/>
  <c r="E17" i="64"/>
  <c r="F17" i="64"/>
  <c r="G17" i="64"/>
  <c r="H17" i="64"/>
  <c r="B18" i="64"/>
  <c r="C18" i="64"/>
  <c r="D18" i="64"/>
  <c r="E18" i="64"/>
  <c r="F18" i="64"/>
  <c r="G18" i="64"/>
  <c r="H18" i="64"/>
  <c r="B19" i="64"/>
  <c r="C19" i="64"/>
  <c r="D19" i="64"/>
  <c r="E19" i="64"/>
  <c r="F19" i="64"/>
  <c r="G19" i="64"/>
  <c r="H19" i="64"/>
  <c r="A54" i="1" l="1"/>
  <c r="A53" i="1"/>
  <c r="A52" i="1"/>
  <c r="A51" i="1"/>
  <c r="A50" i="1"/>
  <c r="B24" i="63"/>
  <c r="D25" i="63"/>
  <c r="E25" i="63"/>
  <c r="F25" i="63"/>
  <c r="G25" i="63"/>
  <c r="H25" i="63"/>
  <c r="I25" i="63"/>
  <c r="B26" i="63"/>
  <c r="D26" i="63"/>
  <c r="E26" i="63"/>
  <c r="F26" i="63"/>
  <c r="G26" i="63"/>
  <c r="H26" i="63"/>
  <c r="I26" i="63"/>
  <c r="D27" i="63"/>
  <c r="E27" i="63"/>
  <c r="F27" i="63"/>
  <c r="G27" i="63"/>
  <c r="H27" i="63"/>
  <c r="I27" i="63"/>
  <c r="D28" i="63"/>
  <c r="E28" i="63"/>
  <c r="F28" i="63"/>
  <c r="G28" i="63"/>
  <c r="H28" i="63"/>
  <c r="I28" i="63"/>
  <c r="B29" i="63"/>
  <c r="D29" i="63"/>
  <c r="E29" i="63"/>
  <c r="F29" i="63"/>
  <c r="G29" i="63"/>
  <c r="H29" i="63"/>
  <c r="I29" i="63"/>
  <c r="D30" i="63"/>
  <c r="E30" i="63"/>
  <c r="F30" i="63"/>
  <c r="G30" i="63"/>
  <c r="H30" i="63"/>
  <c r="I30" i="63"/>
  <c r="D31" i="63"/>
  <c r="E31" i="63"/>
  <c r="F31" i="63"/>
  <c r="G31" i="63"/>
  <c r="H31" i="63"/>
  <c r="I31" i="63"/>
  <c r="B15" i="63"/>
  <c r="D16" i="63"/>
  <c r="E16" i="63"/>
  <c r="F16" i="63"/>
  <c r="G16" i="63"/>
  <c r="H16" i="63"/>
  <c r="I16" i="63"/>
  <c r="J16" i="63"/>
  <c r="B17" i="63"/>
  <c r="D17" i="63"/>
  <c r="E17" i="63"/>
  <c r="F17" i="63"/>
  <c r="G17" i="63"/>
  <c r="H17" i="63"/>
  <c r="I17" i="63"/>
  <c r="J17" i="63"/>
  <c r="D18" i="63"/>
  <c r="E18" i="63"/>
  <c r="F18" i="63"/>
  <c r="G18" i="63"/>
  <c r="H18" i="63"/>
  <c r="I18" i="63"/>
  <c r="J18" i="63"/>
  <c r="D19" i="63"/>
  <c r="E19" i="63"/>
  <c r="F19" i="63"/>
  <c r="G19" i="63"/>
  <c r="H19" i="63"/>
  <c r="I19" i="63"/>
  <c r="J19" i="63"/>
  <c r="B20" i="63"/>
  <c r="D20" i="63"/>
  <c r="E20" i="63"/>
  <c r="F20" i="63"/>
  <c r="G20" i="63"/>
  <c r="H20" i="63"/>
  <c r="I20" i="63"/>
  <c r="J20" i="63"/>
  <c r="D21" i="63"/>
  <c r="E21" i="63"/>
  <c r="F21" i="63"/>
  <c r="G21" i="63"/>
  <c r="H21" i="63"/>
  <c r="I21" i="63"/>
  <c r="J21" i="63"/>
  <c r="D22" i="63"/>
  <c r="E22" i="63"/>
  <c r="F22" i="63"/>
  <c r="G22" i="63"/>
  <c r="H22" i="63"/>
  <c r="I22" i="63"/>
  <c r="J22" i="63"/>
  <c r="E8" i="63"/>
  <c r="E9" i="63"/>
  <c r="E10" i="63"/>
  <c r="E11" i="63"/>
  <c r="E12" i="63"/>
  <c r="E13" i="63"/>
  <c r="E5" i="63"/>
  <c r="E6" i="63"/>
  <c r="D13" i="63"/>
  <c r="C13" i="63"/>
  <c r="B13" i="63"/>
  <c r="D12" i="63"/>
  <c r="C12" i="63"/>
  <c r="B12" i="63"/>
  <c r="D11" i="63"/>
  <c r="C11" i="63"/>
  <c r="B11" i="63"/>
  <c r="D10" i="63"/>
  <c r="C10" i="63"/>
  <c r="B10" i="63"/>
  <c r="D9" i="63"/>
  <c r="C9" i="63"/>
  <c r="B9" i="63"/>
  <c r="D8" i="63"/>
  <c r="C8" i="63"/>
  <c r="B8" i="63"/>
  <c r="B7" i="63"/>
  <c r="D6" i="63"/>
  <c r="C6" i="63"/>
  <c r="B6" i="63"/>
  <c r="D5" i="63"/>
  <c r="C5" i="63"/>
  <c r="B5" i="63"/>
  <c r="F4" i="63"/>
  <c r="E4" i="63"/>
  <c r="D4" i="63"/>
  <c r="E33" i="56"/>
  <c r="F33" i="56"/>
  <c r="G33" i="56"/>
  <c r="H33" i="56"/>
  <c r="I33" i="56"/>
  <c r="J33" i="56"/>
  <c r="K33" i="56"/>
  <c r="L33" i="56"/>
  <c r="M33" i="56"/>
  <c r="N33" i="56"/>
  <c r="O33" i="56"/>
  <c r="P33" i="56"/>
  <c r="Q33" i="56"/>
  <c r="R33" i="56"/>
  <c r="S33" i="56"/>
  <c r="T33" i="56"/>
  <c r="U33" i="56"/>
  <c r="V33" i="56"/>
  <c r="W33" i="56"/>
  <c r="X33" i="56"/>
  <c r="Y33" i="56"/>
  <c r="Z33" i="56"/>
  <c r="AA33" i="56"/>
  <c r="AB33" i="56"/>
  <c r="AC33" i="56"/>
  <c r="AD33" i="56"/>
  <c r="AE33" i="56"/>
  <c r="AF33" i="56"/>
  <c r="AG33" i="56"/>
  <c r="AH33" i="56"/>
  <c r="AI33" i="56"/>
  <c r="AJ33" i="56"/>
  <c r="AK33" i="56"/>
  <c r="AL33" i="56"/>
  <c r="AM33" i="56"/>
  <c r="AN33" i="56"/>
  <c r="AO33" i="56"/>
  <c r="AP33" i="56"/>
  <c r="AQ33" i="56"/>
  <c r="AR33" i="56"/>
  <c r="AS33" i="56"/>
  <c r="AT33" i="56"/>
  <c r="AU33" i="56"/>
  <c r="AV33" i="56"/>
  <c r="AW33" i="56"/>
  <c r="B24" i="62" l="1"/>
  <c r="D25" i="62"/>
  <c r="E25" i="62"/>
  <c r="F25" i="62"/>
  <c r="G25" i="62"/>
  <c r="H25" i="62"/>
  <c r="I25" i="62"/>
  <c r="B26" i="62"/>
  <c r="D26" i="62"/>
  <c r="E26" i="62"/>
  <c r="F26" i="62"/>
  <c r="G26" i="62"/>
  <c r="H26" i="62"/>
  <c r="I26" i="62"/>
  <c r="D27" i="62"/>
  <c r="E27" i="62"/>
  <c r="F27" i="62"/>
  <c r="G27" i="62"/>
  <c r="H27" i="62"/>
  <c r="I27" i="62"/>
  <c r="D28" i="62"/>
  <c r="E28" i="62"/>
  <c r="F28" i="62"/>
  <c r="G28" i="62"/>
  <c r="H28" i="62"/>
  <c r="I28" i="62"/>
  <c r="B29" i="62"/>
  <c r="D29" i="62"/>
  <c r="E29" i="62"/>
  <c r="F29" i="62"/>
  <c r="G29" i="62"/>
  <c r="H29" i="62"/>
  <c r="I29" i="62"/>
  <c r="D30" i="62"/>
  <c r="E30" i="62"/>
  <c r="F30" i="62"/>
  <c r="G30" i="62"/>
  <c r="H30" i="62"/>
  <c r="I30" i="62"/>
  <c r="D31" i="62"/>
  <c r="E31" i="62"/>
  <c r="F31" i="62"/>
  <c r="G31" i="62"/>
  <c r="H31" i="62"/>
  <c r="I31" i="62"/>
  <c r="B15" i="62"/>
  <c r="D16" i="62"/>
  <c r="E16" i="62"/>
  <c r="F16" i="62"/>
  <c r="G16" i="62"/>
  <c r="H16" i="62"/>
  <c r="I16" i="62"/>
  <c r="J16" i="62"/>
  <c r="B17" i="62"/>
  <c r="D17" i="62"/>
  <c r="E17" i="62"/>
  <c r="F17" i="62"/>
  <c r="G17" i="62"/>
  <c r="H17" i="62"/>
  <c r="I17" i="62"/>
  <c r="J17" i="62"/>
  <c r="D18" i="62"/>
  <c r="E18" i="62"/>
  <c r="F18" i="62"/>
  <c r="G18" i="62"/>
  <c r="H18" i="62"/>
  <c r="I18" i="62"/>
  <c r="J18" i="62"/>
  <c r="D19" i="62"/>
  <c r="E19" i="62"/>
  <c r="F19" i="62"/>
  <c r="G19" i="62"/>
  <c r="H19" i="62"/>
  <c r="I19" i="62"/>
  <c r="J19" i="62"/>
  <c r="B20" i="62"/>
  <c r="D20" i="62"/>
  <c r="E20" i="62"/>
  <c r="F20" i="62"/>
  <c r="G20" i="62"/>
  <c r="H20" i="62"/>
  <c r="I20" i="62"/>
  <c r="J20" i="62"/>
  <c r="D21" i="62"/>
  <c r="E21" i="62"/>
  <c r="F21" i="62"/>
  <c r="G21" i="62"/>
  <c r="H21" i="62"/>
  <c r="I21" i="62"/>
  <c r="J21" i="62"/>
  <c r="D22" i="62"/>
  <c r="E22" i="62"/>
  <c r="F22" i="62"/>
  <c r="G22" i="62"/>
  <c r="H22" i="62"/>
  <c r="I22" i="62"/>
  <c r="J22" i="62"/>
  <c r="E8" i="62"/>
  <c r="E9" i="62"/>
  <c r="E10" i="62"/>
  <c r="E11" i="62"/>
  <c r="E12" i="62"/>
  <c r="E13" i="62"/>
  <c r="E5" i="62"/>
  <c r="E6" i="62"/>
  <c r="D13" i="62"/>
  <c r="C13" i="62"/>
  <c r="B13" i="62"/>
  <c r="D12" i="62"/>
  <c r="C12" i="62"/>
  <c r="B12" i="62"/>
  <c r="D11" i="62"/>
  <c r="C11" i="62"/>
  <c r="B11" i="62"/>
  <c r="D10" i="62"/>
  <c r="C10" i="62"/>
  <c r="B10" i="62"/>
  <c r="D9" i="62"/>
  <c r="C9" i="62"/>
  <c r="B9" i="62"/>
  <c r="D8" i="62"/>
  <c r="C8" i="62"/>
  <c r="B8" i="62"/>
  <c r="B7" i="62"/>
  <c r="D6" i="62"/>
  <c r="C6" i="62"/>
  <c r="B6" i="62"/>
  <c r="D5" i="62"/>
  <c r="C5" i="62"/>
  <c r="B5" i="62"/>
  <c r="F4" i="62"/>
  <c r="E4" i="62"/>
  <c r="D4" i="62"/>
  <c r="E23" i="56" l="1"/>
  <c r="F23" i="56"/>
  <c r="G23" i="56"/>
  <c r="H23" i="56"/>
  <c r="I23" i="56"/>
  <c r="J23" i="56"/>
  <c r="K23" i="56"/>
  <c r="L23" i="56"/>
  <c r="M23" i="56"/>
  <c r="N23" i="56"/>
  <c r="O23" i="56"/>
  <c r="P23" i="56"/>
  <c r="Q23" i="56"/>
  <c r="R23" i="56"/>
  <c r="S23" i="56"/>
  <c r="T23" i="56"/>
  <c r="U23" i="56"/>
  <c r="V23" i="56"/>
  <c r="W23" i="56"/>
  <c r="X23" i="56"/>
  <c r="Y23" i="56"/>
  <c r="Z23" i="56"/>
  <c r="AA23" i="56"/>
  <c r="AB23" i="56"/>
  <c r="AC23" i="56"/>
  <c r="AD23" i="56"/>
  <c r="AE23" i="56"/>
  <c r="AF23" i="56"/>
  <c r="AG23" i="56"/>
  <c r="AH23" i="56"/>
  <c r="AI23" i="56"/>
  <c r="AJ23" i="56"/>
  <c r="AK23" i="56"/>
  <c r="AL23" i="56"/>
  <c r="AM23" i="56"/>
  <c r="AN23" i="56"/>
  <c r="AO23" i="56"/>
  <c r="AP23" i="56"/>
  <c r="AQ23" i="56"/>
  <c r="AR23" i="56"/>
  <c r="AS23" i="56"/>
  <c r="AT23" i="56"/>
  <c r="AU23" i="56"/>
  <c r="AV23" i="56"/>
  <c r="AW23" i="56"/>
  <c r="D4" i="61"/>
  <c r="E4" i="61"/>
  <c r="F4" i="61"/>
  <c r="B5" i="61"/>
  <c r="C5" i="61"/>
  <c r="D5" i="61"/>
  <c r="E5" i="61"/>
  <c r="F5" i="61"/>
  <c r="B6" i="61"/>
  <c r="C6" i="61"/>
  <c r="D6" i="61"/>
  <c r="E6" i="61"/>
  <c r="F6" i="61"/>
  <c r="B7" i="61"/>
  <c r="B8" i="61"/>
  <c r="C8" i="61"/>
  <c r="D8" i="61"/>
  <c r="E8" i="61"/>
  <c r="F8" i="61"/>
  <c r="B9" i="61"/>
  <c r="C9" i="61"/>
  <c r="D9" i="61"/>
  <c r="E9" i="61"/>
  <c r="F9" i="61"/>
  <c r="B10" i="61"/>
  <c r="C10" i="61"/>
  <c r="D10" i="61"/>
  <c r="E10" i="61"/>
  <c r="F10" i="61"/>
  <c r="B11" i="61"/>
  <c r="C11" i="61"/>
  <c r="D11" i="61"/>
  <c r="E11" i="61"/>
  <c r="F11" i="61"/>
  <c r="B12" i="61"/>
  <c r="C12" i="61"/>
  <c r="D12" i="61"/>
  <c r="E12" i="61"/>
  <c r="F12" i="61"/>
  <c r="B13" i="61"/>
  <c r="C13" i="61"/>
  <c r="D13" i="61"/>
  <c r="E13" i="61"/>
  <c r="F13" i="61"/>
  <c r="B15" i="61"/>
  <c r="C15" i="61"/>
  <c r="D15" i="61"/>
  <c r="E15" i="61"/>
  <c r="F15" i="61"/>
  <c r="G15" i="61"/>
  <c r="H15" i="61"/>
  <c r="I15" i="61"/>
  <c r="J15" i="61"/>
  <c r="D16" i="61"/>
  <c r="E16" i="61"/>
  <c r="F16" i="61"/>
  <c r="G16" i="61"/>
  <c r="H16" i="61"/>
  <c r="I16" i="61"/>
  <c r="J16" i="61"/>
  <c r="B17" i="61"/>
  <c r="C17" i="61"/>
  <c r="D17" i="61"/>
  <c r="E17" i="61"/>
  <c r="F17" i="61"/>
  <c r="G17" i="61"/>
  <c r="H17" i="61"/>
  <c r="I17" i="61"/>
  <c r="J17" i="61"/>
  <c r="B18" i="61"/>
  <c r="C18" i="61"/>
  <c r="D18" i="61"/>
  <c r="E18" i="61"/>
  <c r="F18" i="61"/>
  <c r="G18" i="61"/>
  <c r="H18" i="61"/>
  <c r="I18" i="61"/>
  <c r="J18" i="61"/>
  <c r="B19" i="61"/>
  <c r="C19" i="61"/>
  <c r="D19" i="61"/>
  <c r="E19" i="61"/>
  <c r="F19" i="61"/>
  <c r="G19" i="61"/>
  <c r="H19" i="61"/>
  <c r="I19" i="61"/>
  <c r="J19" i="61"/>
  <c r="B20" i="61"/>
  <c r="C20" i="61"/>
  <c r="D20" i="61"/>
  <c r="E20" i="61"/>
  <c r="F20" i="61"/>
  <c r="G20" i="61"/>
  <c r="H20" i="61"/>
  <c r="I20" i="61"/>
  <c r="J20" i="61"/>
  <c r="B21" i="61"/>
  <c r="C21" i="61"/>
  <c r="D21" i="61"/>
  <c r="E21" i="61"/>
  <c r="F21" i="61"/>
  <c r="G21" i="61"/>
  <c r="H21" i="61"/>
  <c r="I21" i="61"/>
  <c r="J21" i="61"/>
  <c r="B22" i="61"/>
  <c r="C22" i="61"/>
  <c r="D22" i="61"/>
  <c r="E22" i="61"/>
  <c r="F22" i="61"/>
  <c r="G22" i="61"/>
  <c r="H22" i="61"/>
  <c r="I22" i="61"/>
  <c r="J22" i="61"/>
  <c r="B24" i="61"/>
  <c r="C24" i="61"/>
  <c r="D24" i="61"/>
  <c r="E24" i="61"/>
  <c r="F24" i="61"/>
  <c r="G24" i="61"/>
  <c r="H24" i="61"/>
  <c r="I24" i="61"/>
  <c r="D25" i="61"/>
  <c r="E25" i="61"/>
  <c r="F25" i="61"/>
  <c r="G25" i="61"/>
  <c r="H25" i="61"/>
  <c r="I25" i="61"/>
  <c r="B26" i="61"/>
  <c r="C26" i="61"/>
  <c r="D26" i="61"/>
  <c r="E26" i="61"/>
  <c r="F26" i="61"/>
  <c r="G26" i="61"/>
  <c r="H26" i="61"/>
  <c r="I26" i="61"/>
  <c r="B27" i="61"/>
  <c r="C27" i="61"/>
  <c r="D27" i="61"/>
  <c r="E27" i="61"/>
  <c r="F27" i="61"/>
  <c r="G27" i="61"/>
  <c r="H27" i="61"/>
  <c r="I27" i="61"/>
  <c r="B28" i="61"/>
  <c r="C28" i="61"/>
  <c r="D28" i="61"/>
  <c r="E28" i="61"/>
  <c r="F28" i="61"/>
  <c r="G28" i="61"/>
  <c r="H28" i="61"/>
  <c r="I28" i="61"/>
  <c r="B29" i="61"/>
  <c r="C29" i="61"/>
  <c r="D29" i="61"/>
  <c r="E29" i="61"/>
  <c r="F29" i="61"/>
  <c r="G29" i="61"/>
  <c r="H29" i="61"/>
  <c r="I29" i="61"/>
  <c r="B30" i="61"/>
  <c r="C30" i="61"/>
  <c r="D30" i="61"/>
  <c r="E30" i="61"/>
  <c r="F30" i="61"/>
  <c r="G30" i="61"/>
  <c r="H30" i="61"/>
  <c r="I30" i="61"/>
  <c r="B31" i="61"/>
  <c r="C31" i="61"/>
  <c r="D31" i="61"/>
  <c r="E31" i="61"/>
  <c r="F31" i="61"/>
  <c r="G31" i="61"/>
  <c r="H31" i="61"/>
  <c r="I31" i="61"/>
  <c r="D4" i="60" l="1"/>
  <c r="E4" i="60"/>
  <c r="F4" i="60"/>
  <c r="G4" i="60"/>
  <c r="H4" i="60"/>
  <c r="B5" i="60"/>
  <c r="D5" i="60"/>
  <c r="E5" i="60"/>
  <c r="F5" i="60"/>
  <c r="G5" i="60"/>
  <c r="H5" i="60"/>
  <c r="B6" i="60"/>
  <c r="D6" i="60"/>
  <c r="E6" i="60"/>
  <c r="F6" i="60"/>
  <c r="G6" i="60"/>
  <c r="H6" i="60"/>
  <c r="B7" i="60"/>
  <c r="B8" i="60"/>
  <c r="D8" i="60"/>
  <c r="E8" i="60"/>
  <c r="F8" i="60"/>
  <c r="G8" i="60"/>
  <c r="H8" i="60"/>
  <c r="D9" i="60"/>
  <c r="E9" i="60"/>
  <c r="F9" i="60"/>
  <c r="G9" i="60"/>
  <c r="H9" i="60"/>
  <c r="D10" i="60"/>
  <c r="E10" i="60"/>
  <c r="F10" i="60"/>
  <c r="G10" i="60"/>
  <c r="H10" i="60"/>
  <c r="D11" i="60"/>
  <c r="E11" i="60"/>
  <c r="F11" i="60"/>
  <c r="G11" i="60"/>
  <c r="H11" i="60"/>
  <c r="D12" i="60"/>
  <c r="E12" i="60"/>
  <c r="F12" i="60"/>
  <c r="G12" i="60"/>
  <c r="H12" i="60"/>
  <c r="B13" i="60"/>
  <c r="D13" i="60"/>
  <c r="E13" i="60"/>
  <c r="F13" i="60"/>
  <c r="G13" i="60"/>
  <c r="H13" i="60"/>
  <c r="D14" i="60"/>
  <c r="E14" i="60"/>
  <c r="F14" i="60"/>
  <c r="G14" i="60"/>
  <c r="H14" i="60"/>
  <c r="D15" i="60"/>
  <c r="E15" i="60"/>
  <c r="F15" i="60"/>
  <c r="G15" i="60"/>
  <c r="H15" i="60"/>
  <c r="D16" i="60"/>
  <c r="E16" i="60"/>
  <c r="F16" i="60"/>
  <c r="G16" i="60"/>
  <c r="H16" i="60"/>
  <c r="D17" i="60"/>
  <c r="E17" i="60"/>
  <c r="F17" i="60"/>
  <c r="G17" i="60"/>
  <c r="H17" i="60"/>
  <c r="D4" i="59" l="1"/>
  <c r="E4" i="59"/>
  <c r="F4" i="59"/>
  <c r="G4" i="59"/>
  <c r="H4" i="59"/>
  <c r="B5" i="59"/>
  <c r="C5" i="59"/>
  <c r="D5" i="59"/>
  <c r="E5" i="59"/>
  <c r="F5" i="59"/>
  <c r="G5" i="59"/>
  <c r="H5" i="59"/>
  <c r="B6" i="59"/>
  <c r="C6" i="59"/>
  <c r="D6" i="59"/>
  <c r="E6" i="59"/>
  <c r="F6" i="59"/>
  <c r="G6" i="59"/>
  <c r="H6" i="59"/>
  <c r="B7" i="59"/>
  <c r="C7" i="59"/>
  <c r="D7" i="59"/>
  <c r="E7" i="59"/>
  <c r="F7" i="59"/>
  <c r="G7" i="59"/>
  <c r="H7" i="59"/>
  <c r="B8" i="59"/>
  <c r="C8" i="59"/>
  <c r="D8" i="59"/>
  <c r="E8" i="59"/>
  <c r="F8" i="59"/>
  <c r="G8" i="59"/>
  <c r="H8" i="59"/>
  <c r="B9" i="59"/>
  <c r="C9" i="59"/>
  <c r="D9" i="59"/>
  <c r="E9" i="59"/>
  <c r="F9" i="59"/>
  <c r="G9" i="59"/>
  <c r="H9" i="59"/>
  <c r="B10" i="59"/>
  <c r="C10" i="59"/>
  <c r="D10" i="59"/>
  <c r="E10" i="59"/>
  <c r="F10" i="59"/>
  <c r="G10" i="59"/>
  <c r="H10" i="59"/>
  <c r="B11" i="59"/>
  <c r="C11" i="59"/>
  <c r="D11" i="59"/>
  <c r="E11" i="59"/>
  <c r="F11" i="59"/>
  <c r="G11" i="59"/>
  <c r="H11" i="59"/>
  <c r="B12" i="59"/>
  <c r="C12" i="59"/>
  <c r="D12" i="59"/>
  <c r="E12" i="59"/>
  <c r="F12" i="59"/>
  <c r="G12" i="59"/>
  <c r="H12" i="59"/>
  <c r="B13" i="59"/>
  <c r="C13" i="59"/>
  <c r="D13" i="59"/>
  <c r="E13" i="59"/>
  <c r="F13" i="59"/>
  <c r="G13" i="59"/>
  <c r="H13" i="59"/>
  <c r="B14" i="59"/>
  <c r="C14" i="59"/>
  <c r="D14" i="59"/>
  <c r="E14" i="59"/>
  <c r="F14" i="59"/>
  <c r="G14" i="59"/>
  <c r="H14" i="59"/>
  <c r="B15" i="59"/>
  <c r="C15" i="59"/>
  <c r="D15" i="59"/>
  <c r="E15" i="59"/>
  <c r="F15" i="59"/>
  <c r="G15" i="59"/>
  <c r="H15" i="59"/>
  <c r="B16" i="59"/>
  <c r="C16" i="59"/>
  <c r="D16" i="59"/>
  <c r="E16" i="59"/>
  <c r="F16" i="59"/>
  <c r="G16" i="59"/>
  <c r="H16" i="59"/>
  <c r="B17" i="59"/>
  <c r="C17" i="59"/>
  <c r="D17" i="59"/>
  <c r="E17" i="59"/>
  <c r="F17" i="59"/>
  <c r="G17" i="59"/>
  <c r="H17" i="59"/>
  <c r="E14" i="56"/>
  <c r="F14" i="56"/>
  <c r="G14" i="56"/>
  <c r="H14" i="56"/>
  <c r="I14" i="56"/>
  <c r="J14" i="56"/>
  <c r="K14" i="56"/>
  <c r="L14" i="56"/>
  <c r="M14" i="56"/>
  <c r="N14" i="56"/>
  <c r="O14" i="56"/>
  <c r="P14" i="56"/>
  <c r="Q14" i="56"/>
  <c r="R14" i="56"/>
  <c r="S14" i="56"/>
  <c r="T14" i="56"/>
  <c r="U14" i="56"/>
  <c r="V14" i="56"/>
  <c r="W14" i="56"/>
  <c r="X14" i="56"/>
  <c r="Y14" i="56"/>
  <c r="Z14" i="56"/>
  <c r="AA14" i="56"/>
  <c r="AB14" i="56"/>
  <c r="AC14" i="56"/>
  <c r="AD14" i="56"/>
  <c r="AE14" i="56"/>
  <c r="AF14" i="56"/>
  <c r="AG14" i="56"/>
  <c r="AH14" i="56"/>
  <c r="AI14" i="56"/>
  <c r="AJ14" i="56"/>
  <c r="AK14" i="56"/>
  <c r="AL14" i="56"/>
  <c r="AM14" i="56"/>
  <c r="AN14" i="56"/>
  <c r="AO14" i="56"/>
  <c r="AP14" i="56"/>
  <c r="AQ14" i="56"/>
  <c r="AR14" i="56"/>
  <c r="AS14" i="56"/>
  <c r="AT14" i="56"/>
  <c r="AU14" i="56"/>
  <c r="AV14" i="56"/>
  <c r="AW14" i="56"/>
  <c r="E15" i="56"/>
  <c r="F15" i="56"/>
  <c r="G15" i="56"/>
  <c r="H15" i="56"/>
  <c r="I15" i="56"/>
  <c r="J15" i="56"/>
  <c r="K15" i="56"/>
  <c r="L15" i="56"/>
  <c r="M15" i="56"/>
  <c r="N15" i="56"/>
  <c r="O15" i="56"/>
  <c r="P15" i="56"/>
  <c r="Q15" i="56"/>
  <c r="R15" i="56"/>
  <c r="S15" i="56"/>
  <c r="T15" i="56"/>
  <c r="U15" i="56"/>
  <c r="V15" i="56"/>
  <c r="W15" i="56"/>
  <c r="X15" i="56"/>
  <c r="Y15" i="56"/>
  <c r="Z15" i="56"/>
  <c r="AA15" i="56"/>
  <c r="AB15" i="56"/>
  <c r="AC15" i="56"/>
  <c r="AD15" i="56"/>
  <c r="AE15" i="56"/>
  <c r="AF15" i="56"/>
  <c r="AG15" i="56"/>
  <c r="AH15" i="56"/>
  <c r="AI15" i="56"/>
  <c r="AJ15" i="56"/>
  <c r="AK15" i="56"/>
  <c r="AL15" i="56"/>
  <c r="AM15" i="56"/>
  <c r="AN15" i="56"/>
  <c r="AO15" i="56"/>
  <c r="AP15" i="56"/>
  <c r="AQ15" i="56"/>
  <c r="AR15" i="56"/>
  <c r="AS15" i="56"/>
  <c r="AT15" i="56"/>
  <c r="AU15" i="56"/>
  <c r="AV15" i="56"/>
  <c r="AW15" i="56"/>
  <c r="E16" i="56"/>
  <c r="F16" i="56"/>
  <c r="G16" i="56"/>
  <c r="H16" i="56"/>
  <c r="I16" i="56"/>
  <c r="J16" i="56"/>
  <c r="K16" i="56"/>
  <c r="L16" i="56"/>
  <c r="M16" i="56"/>
  <c r="N16" i="56"/>
  <c r="O16" i="56"/>
  <c r="P16" i="56"/>
  <c r="Q16" i="56"/>
  <c r="R16" i="56"/>
  <c r="S16" i="56"/>
  <c r="T16" i="56"/>
  <c r="U16" i="56"/>
  <c r="V16" i="56"/>
  <c r="W16" i="56"/>
  <c r="X16" i="56"/>
  <c r="Y16" i="56"/>
  <c r="Z16" i="56"/>
  <c r="AA16" i="56"/>
  <c r="AB16" i="56"/>
  <c r="AC16" i="56"/>
  <c r="AD16" i="56"/>
  <c r="AE16" i="56"/>
  <c r="AF16" i="56"/>
  <c r="AG16" i="56"/>
  <c r="AH16" i="56"/>
  <c r="AI16" i="56"/>
  <c r="AJ16" i="56"/>
  <c r="AK16" i="56"/>
  <c r="AL16" i="56"/>
  <c r="AM16" i="56"/>
  <c r="AN16" i="56"/>
  <c r="AO16" i="56"/>
  <c r="AP16" i="56"/>
  <c r="AQ16" i="56"/>
  <c r="AR16" i="56"/>
  <c r="AS16" i="56"/>
  <c r="AT16" i="56"/>
  <c r="AU16" i="56"/>
  <c r="AV16" i="56"/>
  <c r="AW16" i="56"/>
  <c r="E17" i="56"/>
  <c r="F17" i="56"/>
  <c r="G17" i="56"/>
  <c r="H17" i="56"/>
  <c r="I17" i="56"/>
  <c r="J17" i="56"/>
  <c r="K17" i="56"/>
  <c r="L17" i="56"/>
  <c r="M17" i="56"/>
  <c r="N17" i="56"/>
  <c r="O17" i="56"/>
  <c r="P17" i="56"/>
  <c r="Q17" i="56"/>
  <c r="R17" i="56"/>
  <c r="S17" i="56"/>
  <c r="T17" i="56"/>
  <c r="U17" i="56"/>
  <c r="V17" i="56"/>
  <c r="W17" i="56"/>
  <c r="X17" i="56"/>
  <c r="Y17" i="56"/>
  <c r="Z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AM17" i="56"/>
  <c r="AN17" i="56"/>
  <c r="AO17" i="56"/>
  <c r="AP17" i="56"/>
  <c r="AQ17" i="56"/>
  <c r="AR17" i="56"/>
  <c r="AS17" i="56"/>
  <c r="AT17" i="56"/>
  <c r="AU17" i="56"/>
  <c r="AV17" i="56"/>
  <c r="AW17" i="56"/>
  <c r="E18" i="56"/>
  <c r="F18" i="56"/>
  <c r="G18" i="56"/>
  <c r="H18" i="56"/>
  <c r="I18" i="56"/>
  <c r="J18" i="56"/>
  <c r="K18" i="56"/>
  <c r="L18" i="56"/>
  <c r="M18" i="56"/>
  <c r="N18" i="56"/>
  <c r="O18" i="56"/>
  <c r="P18" i="56"/>
  <c r="Q18" i="56"/>
  <c r="R18" i="56"/>
  <c r="S18" i="56"/>
  <c r="T18" i="56"/>
  <c r="U18" i="56"/>
  <c r="V18" i="56"/>
  <c r="W18" i="56"/>
  <c r="X18" i="56"/>
  <c r="Y18" i="56"/>
  <c r="Z18" i="56"/>
  <c r="AA18" i="56"/>
  <c r="AB18" i="56"/>
  <c r="AC18" i="56"/>
  <c r="AD18" i="56"/>
  <c r="AE18" i="56"/>
  <c r="AF18" i="56"/>
  <c r="AG18" i="56"/>
  <c r="AH18" i="56"/>
  <c r="AI18" i="56"/>
  <c r="AJ18" i="56"/>
  <c r="AK18" i="56"/>
  <c r="AL18" i="56"/>
  <c r="AM18" i="56"/>
  <c r="AN18" i="56"/>
  <c r="AO18" i="56"/>
  <c r="AP18" i="56"/>
  <c r="AQ18" i="56"/>
  <c r="AR18" i="56"/>
  <c r="AS18" i="56"/>
  <c r="AT18" i="56"/>
  <c r="AU18" i="56"/>
  <c r="AV18" i="56"/>
  <c r="AW18" i="56"/>
  <c r="E19" i="56"/>
  <c r="F19" i="56"/>
  <c r="G19" i="56"/>
  <c r="H19" i="56"/>
  <c r="I19" i="56"/>
  <c r="J19" i="56"/>
  <c r="K19" i="56"/>
  <c r="L19" i="56"/>
  <c r="M19" i="56"/>
  <c r="N19" i="56"/>
  <c r="O19" i="56"/>
  <c r="P19" i="56"/>
  <c r="Q19" i="56"/>
  <c r="R19" i="56"/>
  <c r="S19" i="56"/>
  <c r="T19" i="56"/>
  <c r="U19" i="56"/>
  <c r="V19" i="56"/>
  <c r="W19" i="56"/>
  <c r="X19" i="56"/>
  <c r="Y19" i="56"/>
  <c r="Z19" i="56"/>
  <c r="AA19" i="56"/>
  <c r="AB19" i="56"/>
  <c r="AC19" i="56"/>
  <c r="AD19" i="56"/>
  <c r="AE19" i="56"/>
  <c r="AF19" i="56"/>
  <c r="AG19" i="56"/>
  <c r="AH19" i="56"/>
  <c r="AI19" i="56"/>
  <c r="AJ19" i="56"/>
  <c r="AK19" i="56"/>
  <c r="AL19" i="56"/>
  <c r="AM19" i="56"/>
  <c r="AN19" i="56"/>
  <c r="AO19" i="56"/>
  <c r="AP19" i="56"/>
  <c r="AQ19" i="56"/>
  <c r="AR19" i="56"/>
  <c r="AS19" i="56"/>
  <c r="AT19" i="56"/>
  <c r="AU19" i="56"/>
  <c r="AV19" i="56"/>
  <c r="AW19" i="56"/>
  <c r="E20" i="56"/>
  <c r="F20" i="56"/>
  <c r="G20" i="56"/>
  <c r="H20" i="56"/>
  <c r="I20" i="56"/>
  <c r="J20" i="56"/>
  <c r="K20" i="56"/>
  <c r="L20" i="56"/>
  <c r="M20" i="56"/>
  <c r="N20" i="56"/>
  <c r="O20" i="56"/>
  <c r="P20" i="56"/>
  <c r="Q20" i="56"/>
  <c r="R20" i="56"/>
  <c r="S20" i="56"/>
  <c r="T20" i="56"/>
  <c r="U20" i="56"/>
  <c r="V20" i="56"/>
  <c r="W20" i="56"/>
  <c r="X20" i="56"/>
  <c r="Y20" i="56"/>
  <c r="Z20" i="56"/>
  <c r="AA20" i="56"/>
  <c r="AB20" i="56"/>
  <c r="AC20" i="56"/>
  <c r="AD20" i="56"/>
  <c r="AE20" i="56"/>
  <c r="AF20" i="56"/>
  <c r="AG20" i="56"/>
  <c r="AH20" i="56"/>
  <c r="AI20" i="56"/>
  <c r="AJ20" i="56"/>
  <c r="AK20" i="56"/>
  <c r="AL20" i="56"/>
  <c r="AM20" i="56"/>
  <c r="AN20" i="56"/>
  <c r="AO20" i="56"/>
  <c r="AP20" i="56"/>
  <c r="AQ20" i="56"/>
  <c r="AR20" i="56"/>
  <c r="AS20" i="56"/>
  <c r="AT20" i="56"/>
  <c r="AU20" i="56"/>
  <c r="AV20" i="56"/>
  <c r="AW20" i="56"/>
  <c r="E21" i="56"/>
  <c r="F21" i="56"/>
  <c r="G21" i="56"/>
  <c r="H21" i="56"/>
  <c r="I21" i="56"/>
  <c r="J21" i="56"/>
  <c r="K21" i="56"/>
  <c r="L21" i="56"/>
  <c r="M21" i="56"/>
  <c r="N21" i="56"/>
  <c r="O21" i="56"/>
  <c r="P21" i="56"/>
  <c r="Q21" i="56"/>
  <c r="R21" i="56"/>
  <c r="S21" i="56"/>
  <c r="T21" i="56"/>
  <c r="U21" i="56"/>
  <c r="V21" i="56"/>
  <c r="W21" i="56"/>
  <c r="X21" i="56"/>
  <c r="Y21" i="56"/>
  <c r="Z21" i="56"/>
  <c r="AA21" i="56"/>
  <c r="AB21" i="56"/>
  <c r="AC21" i="56"/>
  <c r="AD21" i="56"/>
  <c r="AE21" i="56"/>
  <c r="AF21" i="56"/>
  <c r="AG21" i="56"/>
  <c r="AH21" i="56"/>
  <c r="AI21" i="56"/>
  <c r="AJ21" i="56"/>
  <c r="AK21" i="56"/>
  <c r="AL21" i="56"/>
  <c r="AM21" i="56"/>
  <c r="AN21" i="56"/>
  <c r="AO21" i="56"/>
  <c r="AP21" i="56"/>
  <c r="AQ21" i="56"/>
  <c r="AR21" i="56"/>
  <c r="AS21" i="56"/>
  <c r="AT21" i="56"/>
  <c r="AU21" i="56"/>
  <c r="AV21" i="56"/>
  <c r="AW21" i="56"/>
  <c r="E22" i="56"/>
  <c r="F22" i="56"/>
  <c r="G22" i="56"/>
  <c r="H22" i="56"/>
  <c r="I22" i="56"/>
  <c r="J22" i="56"/>
  <c r="K22" i="56"/>
  <c r="L22" i="56"/>
  <c r="M22" i="56"/>
  <c r="N22" i="56"/>
  <c r="O22" i="56"/>
  <c r="P22" i="56"/>
  <c r="Q22" i="56"/>
  <c r="R22" i="56"/>
  <c r="S22" i="56"/>
  <c r="T22" i="56"/>
  <c r="U22" i="56"/>
  <c r="V22" i="56"/>
  <c r="W22" i="56"/>
  <c r="X22" i="56"/>
  <c r="Y22" i="56"/>
  <c r="Z22" i="56"/>
  <c r="AA22" i="56"/>
  <c r="AB22" i="56"/>
  <c r="AC22" i="56"/>
  <c r="AD22" i="56"/>
  <c r="AE22" i="56"/>
  <c r="AF22" i="56"/>
  <c r="AG22" i="56"/>
  <c r="AH22" i="56"/>
  <c r="AI22" i="56"/>
  <c r="AJ22" i="56"/>
  <c r="AK22" i="56"/>
  <c r="AL22" i="56"/>
  <c r="AM22" i="56"/>
  <c r="AN22" i="56"/>
  <c r="AO22" i="56"/>
  <c r="AP22" i="56"/>
  <c r="AQ22" i="56"/>
  <c r="AR22" i="56"/>
  <c r="AS22" i="56"/>
  <c r="AT22" i="56"/>
  <c r="AU22" i="56"/>
  <c r="AV22" i="56"/>
  <c r="AW22" i="56"/>
  <c r="A55" i="1" l="1"/>
  <c r="A49" i="1"/>
  <c r="A48" i="1"/>
  <c r="A47" i="1"/>
  <c r="E24" i="56"/>
  <c r="F24" i="56"/>
  <c r="G24" i="56"/>
  <c r="H24" i="56"/>
  <c r="I24" i="56"/>
  <c r="J24" i="56"/>
  <c r="K24" i="56"/>
  <c r="L24" i="56"/>
  <c r="M24" i="56"/>
  <c r="N24" i="56"/>
  <c r="O24" i="56"/>
  <c r="P24" i="56"/>
  <c r="Q24" i="56"/>
  <c r="R24" i="56"/>
  <c r="S24" i="56"/>
  <c r="T24" i="56"/>
  <c r="U24" i="56"/>
  <c r="V24" i="56"/>
  <c r="W24" i="56"/>
  <c r="X24" i="56"/>
  <c r="Y24" i="56"/>
  <c r="Z24" i="56"/>
  <c r="AA24" i="56"/>
  <c r="AB24" i="56"/>
  <c r="AC24" i="56"/>
  <c r="AD24" i="56"/>
  <c r="AE24" i="56"/>
  <c r="AF24" i="56"/>
  <c r="AG24" i="56"/>
  <c r="AH24" i="56"/>
  <c r="AI24" i="56"/>
  <c r="AJ24" i="56"/>
  <c r="AK24" i="56"/>
  <c r="AL24" i="56"/>
  <c r="AM24" i="56"/>
  <c r="AN24" i="56"/>
  <c r="AO24" i="56"/>
  <c r="AP24" i="56"/>
  <c r="AQ24" i="56"/>
  <c r="AR24" i="56"/>
  <c r="AS24" i="56"/>
  <c r="AT24" i="56"/>
  <c r="AU24" i="56"/>
  <c r="AV24" i="56"/>
  <c r="AW24" i="56"/>
  <c r="E25" i="56"/>
  <c r="F25" i="56"/>
  <c r="G25" i="56"/>
  <c r="H25" i="56"/>
  <c r="I25" i="56"/>
  <c r="J25" i="56"/>
  <c r="K25" i="56"/>
  <c r="L25" i="56"/>
  <c r="M25" i="56"/>
  <c r="N25" i="56"/>
  <c r="O25" i="56"/>
  <c r="P25" i="56"/>
  <c r="Q25" i="56"/>
  <c r="R25" i="56"/>
  <c r="S25" i="56"/>
  <c r="T25" i="56"/>
  <c r="U25" i="56"/>
  <c r="V25" i="56"/>
  <c r="W25" i="56"/>
  <c r="X25" i="56"/>
  <c r="Y25" i="56"/>
  <c r="Z25" i="56"/>
  <c r="AA25" i="56"/>
  <c r="AB25" i="56"/>
  <c r="AC25" i="56"/>
  <c r="AD25" i="56"/>
  <c r="AE25" i="56"/>
  <c r="AF25" i="56"/>
  <c r="AG25" i="56"/>
  <c r="AH25" i="56"/>
  <c r="AI25" i="56"/>
  <c r="AJ25" i="56"/>
  <c r="AK25" i="56"/>
  <c r="AL25" i="56"/>
  <c r="AM25" i="56"/>
  <c r="AN25" i="56"/>
  <c r="AO25" i="56"/>
  <c r="AP25" i="56"/>
  <c r="AQ25" i="56"/>
  <c r="AR25" i="56"/>
  <c r="AS25" i="56"/>
  <c r="AT25" i="56"/>
  <c r="AU25" i="56"/>
  <c r="AV25" i="56"/>
  <c r="AW25" i="56"/>
  <c r="E26" i="56"/>
  <c r="F26" i="56"/>
  <c r="G26" i="56"/>
  <c r="H26" i="56"/>
  <c r="I26" i="56"/>
  <c r="J26" i="56"/>
  <c r="K26" i="56"/>
  <c r="L26" i="56"/>
  <c r="M26" i="56"/>
  <c r="N26" i="56"/>
  <c r="O26" i="56"/>
  <c r="P26" i="56"/>
  <c r="Q26" i="56"/>
  <c r="R26" i="56"/>
  <c r="S26" i="56"/>
  <c r="T26" i="56"/>
  <c r="U26" i="56"/>
  <c r="V26" i="56"/>
  <c r="W26" i="56"/>
  <c r="X26" i="56"/>
  <c r="Y26" i="56"/>
  <c r="Z26" i="56"/>
  <c r="AA26" i="56"/>
  <c r="AB26" i="56"/>
  <c r="AC26" i="56"/>
  <c r="AD26" i="56"/>
  <c r="AE26" i="56"/>
  <c r="AF26" i="56"/>
  <c r="AG26" i="56"/>
  <c r="AH26" i="56"/>
  <c r="AI26" i="56"/>
  <c r="AJ26" i="56"/>
  <c r="AK26" i="56"/>
  <c r="AL26" i="56"/>
  <c r="AM26" i="56"/>
  <c r="AN26" i="56"/>
  <c r="AO26" i="56"/>
  <c r="AP26" i="56"/>
  <c r="AQ26" i="56"/>
  <c r="AR26" i="56"/>
  <c r="AS26" i="56"/>
  <c r="AT26" i="56"/>
  <c r="AU26" i="56"/>
  <c r="AV26" i="56"/>
  <c r="AW26" i="56"/>
  <c r="E27" i="56"/>
  <c r="F27" i="56"/>
  <c r="G27" i="56"/>
  <c r="H27" i="56"/>
  <c r="I27" i="56"/>
  <c r="J27" i="56"/>
  <c r="K27" i="56"/>
  <c r="L27" i="56"/>
  <c r="M27" i="56"/>
  <c r="N27" i="56"/>
  <c r="O27" i="56"/>
  <c r="P27" i="56"/>
  <c r="Q27" i="56"/>
  <c r="R27" i="56"/>
  <c r="S27" i="56"/>
  <c r="T27" i="56"/>
  <c r="U27" i="56"/>
  <c r="V27" i="56"/>
  <c r="W27" i="56"/>
  <c r="X27" i="56"/>
  <c r="Y27" i="56"/>
  <c r="Z27" i="56"/>
  <c r="AA27" i="56"/>
  <c r="AB27" i="56"/>
  <c r="AC27" i="56"/>
  <c r="AD27" i="56"/>
  <c r="AE27" i="56"/>
  <c r="AF27" i="56"/>
  <c r="AG27" i="56"/>
  <c r="AH27" i="56"/>
  <c r="AI27" i="56"/>
  <c r="AJ27" i="56"/>
  <c r="AK27" i="56"/>
  <c r="AL27" i="56"/>
  <c r="AM27" i="56"/>
  <c r="AN27" i="56"/>
  <c r="AO27" i="56"/>
  <c r="AP27" i="56"/>
  <c r="AQ27" i="56"/>
  <c r="AR27" i="56"/>
  <c r="AS27" i="56"/>
  <c r="AT27" i="56"/>
  <c r="AU27" i="56"/>
  <c r="AV27" i="56"/>
  <c r="AW27" i="56"/>
  <c r="E28" i="56"/>
  <c r="F28" i="56"/>
  <c r="G28" i="56"/>
  <c r="H28" i="56"/>
  <c r="I28" i="56"/>
  <c r="J28" i="56"/>
  <c r="K28" i="56"/>
  <c r="L28" i="56"/>
  <c r="M28" i="56"/>
  <c r="N28" i="56"/>
  <c r="O28" i="56"/>
  <c r="P28" i="56"/>
  <c r="Q28" i="56"/>
  <c r="R28" i="56"/>
  <c r="S28" i="56"/>
  <c r="T28" i="56"/>
  <c r="U28" i="56"/>
  <c r="V28" i="56"/>
  <c r="W28" i="56"/>
  <c r="X28" i="56"/>
  <c r="Y28" i="56"/>
  <c r="Z28" i="56"/>
  <c r="AA28" i="56"/>
  <c r="AB28" i="56"/>
  <c r="AC28" i="56"/>
  <c r="AD28" i="56"/>
  <c r="AE28" i="56"/>
  <c r="AF28" i="56"/>
  <c r="AG28" i="56"/>
  <c r="AH28" i="56"/>
  <c r="AI28" i="56"/>
  <c r="AJ28" i="56"/>
  <c r="AK28" i="56"/>
  <c r="AL28" i="56"/>
  <c r="AM28" i="56"/>
  <c r="AN28" i="56"/>
  <c r="AO28" i="56"/>
  <c r="AP28" i="56"/>
  <c r="AQ28" i="56"/>
  <c r="AR28" i="56"/>
  <c r="AS28" i="56"/>
  <c r="AT28" i="56"/>
  <c r="AU28" i="56"/>
  <c r="AV28" i="56"/>
  <c r="AW28" i="56"/>
  <c r="E29" i="56"/>
  <c r="F29" i="56"/>
  <c r="G29" i="56"/>
  <c r="H29" i="56"/>
  <c r="I29" i="56"/>
  <c r="J29" i="56"/>
  <c r="K29" i="56"/>
  <c r="L29" i="56"/>
  <c r="M29" i="56"/>
  <c r="N29" i="56"/>
  <c r="O29" i="56"/>
  <c r="P29" i="56"/>
  <c r="Q29" i="56"/>
  <c r="R29" i="56"/>
  <c r="S29" i="56"/>
  <c r="T29" i="56"/>
  <c r="U29" i="56"/>
  <c r="V29" i="56"/>
  <c r="W29" i="56"/>
  <c r="X29" i="56"/>
  <c r="Y29" i="56"/>
  <c r="Z29" i="56"/>
  <c r="AA29" i="56"/>
  <c r="AB29" i="56"/>
  <c r="AC29" i="56"/>
  <c r="AD29" i="56"/>
  <c r="AE29" i="56"/>
  <c r="AF29" i="56"/>
  <c r="AG29" i="56"/>
  <c r="AH29" i="56"/>
  <c r="AI29" i="56"/>
  <c r="AJ29" i="56"/>
  <c r="AK29" i="56"/>
  <c r="AL29" i="56"/>
  <c r="AM29" i="56"/>
  <c r="AN29" i="56"/>
  <c r="AO29" i="56"/>
  <c r="AP29" i="56"/>
  <c r="AQ29" i="56"/>
  <c r="AR29" i="56"/>
  <c r="AS29" i="56"/>
  <c r="AT29" i="56"/>
  <c r="AU29" i="56"/>
  <c r="AV29" i="56"/>
  <c r="AW29" i="56"/>
  <c r="E30" i="56"/>
  <c r="F30" i="56"/>
  <c r="G30" i="56"/>
  <c r="H30" i="56"/>
  <c r="I30" i="56"/>
  <c r="J30" i="56"/>
  <c r="K30" i="56"/>
  <c r="L30" i="56"/>
  <c r="M30" i="56"/>
  <c r="N30" i="56"/>
  <c r="O30" i="56"/>
  <c r="P30" i="56"/>
  <c r="Q30" i="56"/>
  <c r="R30" i="56"/>
  <c r="S30" i="56"/>
  <c r="T30" i="56"/>
  <c r="U30" i="56"/>
  <c r="V30" i="56"/>
  <c r="W30" i="56"/>
  <c r="X30" i="56"/>
  <c r="Y30" i="56"/>
  <c r="Z30" i="56"/>
  <c r="AA30" i="56"/>
  <c r="AB30" i="56"/>
  <c r="AC30" i="56"/>
  <c r="AD30" i="56"/>
  <c r="AE30" i="56"/>
  <c r="AF30" i="56"/>
  <c r="AG30" i="56"/>
  <c r="AH30" i="56"/>
  <c r="AI30" i="56"/>
  <c r="AJ30" i="56"/>
  <c r="AK30" i="56"/>
  <c r="AL30" i="56"/>
  <c r="AM30" i="56"/>
  <c r="AN30" i="56"/>
  <c r="AO30" i="56"/>
  <c r="AP30" i="56"/>
  <c r="AQ30" i="56"/>
  <c r="AR30" i="56"/>
  <c r="AS30" i="56"/>
  <c r="AT30" i="56"/>
  <c r="AU30" i="56"/>
  <c r="AV30" i="56"/>
  <c r="AW30" i="56"/>
  <c r="E31" i="56"/>
  <c r="F31" i="56"/>
  <c r="G31" i="56"/>
  <c r="H31" i="56"/>
  <c r="I31" i="56"/>
  <c r="J31" i="56"/>
  <c r="K31" i="56"/>
  <c r="L31" i="56"/>
  <c r="M31" i="56"/>
  <c r="N31" i="56"/>
  <c r="O31" i="56"/>
  <c r="P31" i="56"/>
  <c r="Q31" i="56"/>
  <c r="R31" i="56"/>
  <c r="S31" i="56"/>
  <c r="T31" i="56"/>
  <c r="U31" i="56"/>
  <c r="V31" i="56"/>
  <c r="W31" i="56"/>
  <c r="X31" i="56"/>
  <c r="Y31" i="56"/>
  <c r="Z31" i="56"/>
  <c r="AA31" i="56"/>
  <c r="AB31" i="56"/>
  <c r="AC31" i="56"/>
  <c r="AD31" i="56"/>
  <c r="AE31" i="56"/>
  <c r="AF31" i="56"/>
  <c r="AG31" i="56"/>
  <c r="AH31" i="56"/>
  <c r="AI31" i="56"/>
  <c r="AJ31" i="56"/>
  <c r="AK31" i="56"/>
  <c r="AL31" i="56"/>
  <c r="AM31" i="56"/>
  <c r="AN31" i="56"/>
  <c r="AO31" i="56"/>
  <c r="AP31" i="56"/>
  <c r="AQ31" i="56"/>
  <c r="AR31" i="56"/>
  <c r="AS31" i="56"/>
  <c r="AT31" i="56"/>
  <c r="AU31" i="56"/>
  <c r="AV31" i="56"/>
  <c r="AW31" i="56"/>
  <c r="E32" i="56"/>
  <c r="F32" i="56"/>
  <c r="G32" i="56"/>
  <c r="H32" i="56"/>
  <c r="I32" i="56"/>
  <c r="J32" i="56"/>
  <c r="K32" i="56"/>
  <c r="L32" i="56"/>
  <c r="M32" i="56"/>
  <c r="N32" i="56"/>
  <c r="O32" i="56"/>
  <c r="P32" i="56"/>
  <c r="Q32" i="56"/>
  <c r="R32" i="56"/>
  <c r="S32" i="56"/>
  <c r="T32" i="56"/>
  <c r="U32" i="56"/>
  <c r="V32" i="56"/>
  <c r="W32" i="56"/>
  <c r="X32" i="56"/>
  <c r="Y32" i="56"/>
  <c r="Z32" i="56"/>
  <c r="AA32" i="56"/>
  <c r="AB32" i="56"/>
  <c r="AC32" i="56"/>
  <c r="AD32" i="56"/>
  <c r="AE32" i="56"/>
  <c r="AF32" i="56"/>
  <c r="AG32" i="56"/>
  <c r="AH32" i="56"/>
  <c r="AI32" i="56"/>
  <c r="AJ32" i="56"/>
  <c r="AK32" i="56"/>
  <c r="AL32" i="56"/>
  <c r="AM32" i="56"/>
  <c r="AN32" i="56"/>
  <c r="AO32" i="56"/>
  <c r="AP32" i="56"/>
  <c r="AQ32" i="56"/>
  <c r="AR32" i="56"/>
  <c r="AS32" i="56"/>
  <c r="AT32" i="56"/>
  <c r="AU32" i="56"/>
  <c r="AV32" i="56"/>
  <c r="AW32" i="56"/>
  <c r="D4" i="58"/>
  <c r="E4" i="58"/>
  <c r="F4" i="58"/>
  <c r="G4" i="58"/>
  <c r="H4" i="58"/>
  <c r="B5" i="58"/>
  <c r="D5" i="58"/>
  <c r="E5" i="58"/>
  <c r="F5" i="58"/>
  <c r="G5" i="58"/>
  <c r="H5" i="58"/>
  <c r="B6" i="58"/>
  <c r="D6" i="58"/>
  <c r="E6" i="58"/>
  <c r="F6" i="58"/>
  <c r="G6" i="58"/>
  <c r="H6" i="58"/>
  <c r="B7" i="58"/>
  <c r="B8" i="58"/>
  <c r="D8" i="58"/>
  <c r="E8" i="58"/>
  <c r="F8" i="58"/>
  <c r="G8" i="58"/>
  <c r="H8" i="58"/>
  <c r="D9" i="58"/>
  <c r="E9" i="58"/>
  <c r="F9" i="58"/>
  <c r="G9" i="58"/>
  <c r="H9" i="58"/>
  <c r="D10" i="58"/>
  <c r="E10" i="58"/>
  <c r="F10" i="58"/>
  <c r="G10" i="58"/>
  <c r="H10" i="58"/>
  <c r="B11" i="58"/>
  <c r="D11" i="58"/>
  <c r="E11" i="58"/>
  <c r="F11" i="58"/>
  <c r="G11" i="58"/>
  <c r="H11" i="58"/>
  <c r="B12" i="58"/>
  <c r="B13" i="58"/>
  <c r="C13" i="58"/>
  <c r="D13" i="58"/>
  <c r="E13" i="58"/>
  <c r="F13" i="58"/>
  <c r="G13" i="58"/>
  <c r="H13" i="58"/>
  <c r="D14" i="58"/>
  <c r="E14" i="58"/>
  <c r="F14" i="58"/>
  <c r="G14" i="58"/>
  <c r="H14" i="58"/>
  <c r="D15" i="58"/>
  <c r="E15" i="58"/>
  <c r="F15" i="58"/>
  <c r="G15" i="58"/>
  <c r="H15" i="58"/>
  <c r="C16" i="58"/>
  <c r="D16" i="58"/>
  <c r="E16" i="58"/>
  <c r="F16" i="58"/>
  <c r="G16" i="58"/>
  <c r="H16" i="58"/>
  <c r="D17" i="58"/>
  <c r="E17" i="58"/>
  <c r="F17" i="58"/>
  <c r="G17" i="58"/>
  <c r="H17" i="58"/>
  <c r="D18" i="58"/>
  <c r="E18" i="58"/>
  <c r="F18" i="58"/>
  <c r="G18" i="58"/>
  <c r="H18" i="58"/>
  <c r="C19" i="58"/>
  <c r="D19" i="58"/>
  <c r="E19" i="58"/>
  <c r="F19" i="58"/>
  <c r="G19" i="58"/>
  <c r="H19" i="58"/>
  <c r="D20" i="58"/>
  <c r="E20" i="58"/>
  <c r="F20" i="58"/>
  <c r="G20" i="58"/>
  <c r="H20" i="58"/>
  <c r="D21" i="58"/>
  <c r="E21" i="58"/>
  <c r="F21" i="58"/>
  <c r="G21" i="58"/>
  <c r="H21" i="58"/>
  <c r="C22" i="58"/>
  <c r="D22" i="58"/>
  <c r="E22" i="58"/>
  <c r="F22" i="58"/>
  <c r="G22" i="58"/>
  <c r="H22" i="58"/>
  <c r="D23" i="58"/>
  <c r="E23" i="58"/>
  <c r="F23" i="58"/>
  <c r="G23" i="58"/>
  <c r="H23" i="58"/>
  <c r="D24" i="58"/>
  <c r="E24" i="58"/>
  <c r="F24" i="58"/>
  <c r="G24" i="58"/>
  <c r="H24" i="58"/>
  <c r="C25" i="58"/>
  <c r="D25" i="58"/>
  <c r="E25" i="58"/>
  <c r="F25" i="58"/>
  <c r="G25" i="58"/>
  <c r="H25" i="58"/>
  <c r="D26" i="58"/>
  <c r="E26" i="58"/>
  <c r="F26" i="58"/>
  <c r="G26" i="58"/>
  <c r="H26" i="58"/>
  <c r="D27" i="58"/>
  <c r="E27" i="58"/>
  <c r="F27" i="58"/>
  <c r="G27" i="58"/>
  <c r="H27" i="58"/>
  <c r="B28" i="58"/>
  <c r="B29" i="58"/>
  <c r="C29" i="58"/>
  <c r="D29" i="58"/>
  <c r="E29" i="58"/>
  <c r="F29" i="58"/>
  <c r="G29" i="58"/>
  <c r="H29" i="58"/>
  <c r="D30" i="58"/>
  <c r="E30" i="58"/>
  <c r="F30" i="58"/>
  <c r="G30" i="58"/>
  <c r="H30" i="58"/>
  <c r="D31" i="58"/>
  <c r="E31" i="58"/>
  <c r="F31" i="58"/>
  <c r="G31" i="58"/>
  <c r="H31" i="58"/>
  <c r="C32" i="58"/>
  <c r="D32" i="58"/>
  <c r="E32" i="58"/>
  <c r="F32" i="58"/>
  <c r="G32" i="58"/>
  <c r="H32" i="58"/>
  <c r="D33" i="58"/>
  <c r="E33" i="58"/>
  <c r="F33" i="58"/>
  <c r="G33" i="58"/>
  <c r="H33" i="58"/>
  <c r="D34" i="58"/>
  <c r="E34" i="58"/>
  <c r="F34" i="58"/>
  <c r="G34" i="58"/>
  <c r="H34" i="58"/>
  <c r="C35" i="58"/>
  <c r="D35" i="58"/>
  <c r="E35" i="58"/>
  <c r="F35" i="58"/>
  <c r="G35" i="58"/>
  <c r="H35" i="58"/>
  <c r="D36" i="58"/>
  <c r="E36" i="58"/>
  <c r="F36" i="58"/>
  <c r="G36" i="58"/>
  <c r="H36" i="58"/>
  <c r="D37" i="58"/>
  <c r="E37" i="58"/>
  <c r="F37" i="58"/>
  <c r="G37" i="58"/>
  <c r="H37" i="58"/>
  <c r="C38" i="58"/>
  <c r="D38" i="58"/>
  <c r="E38" i="58"/>
  <c r="F38" i="58"/>
  <c r="G38" i="58"/>
  <c r="H38" i="58"/>
  <c r="D39" i="58"/>
  <c r="E39" i="58"/>
  <c r="F39" i="58"/>
  <c r="G39" i="58"/>
  <c r="H39" i="58"/>
  <c r="D40" i="58"/>
  <c r="E40" i="58"/>
  <c r="F40" i="58"/>
  <c r="G40" i="58"/>
  <c r="H40" i="58"/>
  <c r="C41" i="58"/>
  <c r="D41" i="58"/>
  <c r="E41" i="58"/>
  <c r="F41" i="58"/>
  <c r="G41" i="58"/>
  <c r="H41" i="58"/>
  <c r="D42" i="58"/>
  <c r="E42" i="58"/>
  <c r="F42" i="58"/>
  <c r="G42" i="58"/>
  <c r="H42" i="58"/>
  <c r="D43" i="58"/>
  <c r="E43" i="58"/>
  <c r="F43" i="58"/>
  <c r="G43" i="58"/>
  <c r="H43" i="58"/>
  <c r="D4" i="57" l="1"/>
  <c r="E4" i="57"/>
  <c r="F4" i="57"/>
  <c r="G4" i="57"/>
  <c r="H4" i="57"/>
  <c r="B5" i="57"/>
  <c r="D5" i="57"/>
  <c r="E5" i="57"/>
  <c r="F5" i="57"/>
  <c r="G5" i="57"/>
  <c r="H5" i="57"/>
  <c r="B6" i="57"/>
  <c r="D6" i="57"/>
  <c r="E6" i="57"/>
  <c r="F6" i="57"/>
  <c r="G6" i="57"/>
  <c r="H6" i="57"/>
  <c r="B7" i="57"/>
  <c r="B8" i="57"/>
  <c r="D8" i="57"/>
  <c r="E8" i="57"/>
  <c r="F8" i="57"/>
  <c r="G8" i="57"/>
  <c r="H8" i="57"/>
  <c r="D9" i="57"/>
  <c r="E9" i="57"/>
  <c r="F9" i="57"/>
  <c r="G9" i="57"/>
  <c r="H9" i="57"/>
  <c r="D10" i="57"/>
  <c r="E10" i="57"/>
  <c r="F10" i="57"/>
  <c r="G10" i="57"/>
  <c r="H10" i="57"/>
  <c r="B11" i="57"/>
  <c r="D11" i="57"/>
  <c r="E11" i="57"/>
  <c r="F11" i="57"/>
  <c r="G11" i="57"/>
  <c r="H11" i="57"/>
  <c r="B12" i="57"/>
  <c r="B13" i="57"/>
  <c r="C13" i="57"/>
  <c r="D13" i="57"/>
  <c r="E13" i="57"/>
  <c r="F13" i="57"/>
  <c r="G13" i="57"/>
  <c r="H13" i="57"/>
  <c r="D14" i="57"/>
  <c r="E14" i="57"/>
  <c r="F14" i="57"/>
  <c r="G14" i="57"/>
  <c r="H14" i="57"/>
  <c r="D15" i="57"/>
  <c r="E15" i="57"/>
  <c r="F15" i="57"/>
  <c r="G15" i="57"/>
  <c r="H15" i="57"/>
  <c r="C16" i="57"/>
  <c r="D16" i="57"/>
  <c r="E16" i="57"/>
  <c r="F16" i="57"/>
  <c r="G16" i="57"/>
  <c r="H16" i="57"/>
  <c r="D17" i="57"/>
  <c r="E17" i="57"/>
  <c r="F17" i="57"/>
  <c r="G17" i="57"/>
  <c r="H17" i="57"/>
  <c r="D18" i="57"/>
  <c r="E18" i="57"/>
  <c r="F18" i="57"/>
  <c r="G18" i="57"/>
  <c r="H18" i="57"/>
  <c r="C19" i="57"/>
  <c r="D19" i="57"/>
  <c r="E19" i="57"/>
  <c r="F19" i="57"/>
  <c r="G19" i="57"/>
  <c r="H19" i="57"/>
  <c r="D20" i="57"/>
  <c r="E20" i="57"/>
  <c r="F20" i="57"/>
  <c r="G20" i="57"/>
  <c r="H20" i="57"/>
  <c r="D21" i="57"/>
  <c r="E21" i="57"/>
  <c r="F21" i="57"/>
  <c r="G21" i="57"/>
  <c r="H21" i="57"/>
  <c r="C22" i="57"/>
  <c r="D22" i="57"/>
  <c r="E22" i="57"/>
  <c r="F22" i="57"/>
  <c r="G22" i="57"/>
  <c r="H22" i="57"/>
  <c r="D23" i="57"/>
  <c r="E23" i="57"/>
  <c r="F23" i="57"/>
  <c r="G23" i="57"/>
  <c r="H23" i="57"/>
  <c r="D24" i="57"/>
  <c r="E24" i="57"/>
  <c r="F24" i="57"/>
  <c r="G24" i="57"/>
  <c r="H24" i="57"/>
  <c r="C25" i="57"/>
  <c r="D25" i="57"/>
  <c r="E25" i="57"/>
  <c r="F25" i="57"/>
  <c r="G25" i="57"/>
  <c r="H25" i="57"/>
  <c r="D26" i="57"/>
  <c r="E26" i="57"/>
  <c r="F26" i="57"/>
  <c r="G26" i="57"/>
  <c r="H26" i="57"/>
  <c r="D27" i="57"/>
  <c r="E27" i="57"/>
  <c r="F27" i="57"/>
  <c r="G27" i="57"/>
  <c r="H27" i="57"/>
  <c r="B28" i="57"/>
  <c r="B29" i="57"/>
  <c r="C29" i="57"/>
  <c r="D29" i="57"/>
  <c r="E29" i="57"/>
  <c r="F29" i="57"/>
  <c r="G29" i="57"/>
  <c r="H29" i="57"/>
  <c r="D30" i="57"/>
  <c r="E30" i="57"/>
  <c r="F30" i="57"/>
  <c r="G30" i="57"/>
  <c r="H30" i="57"/>
  <c r="D31" i="57"/>
  <c r="E31" i="57"/>
  <c r="F31" i="57"/>
  <c r="G31" i="57"/>
  <c r="H31" i="57"/>
  <c r="C32" i="57"/>
  <c r="D32" i="57"/>
  <c r="E32" i="57"/>
  <c r="F32" i="57"/>
  <c r="G32" i="57"/>
  <c r="H32" i="57"/>
  <c r="D33" i="57"/>
  <c r="E33" i="57"/>
  <c r="F33" i="57"/>
  <c r="G33" i="57"/>
  <c r="H33" i="57"/>
  <c r="D34" i="57"/>
  <c r="E34" i="57"/>
  <c r="F34" i="57"/>
  <c r="G34" i="57"/>
  <c r="H34" i="57"/>
  <c r="C35" i="57"/>
  <c r="D35" i="57"/>
  <c r="E35" i="57"/>
  <c r="F35" i="57"/>
  <c r="G35" i="57"/>
  <c r="H35" i="57"/>
  <c r="D36" i="57"/>
  <c r="E36" i="57"/>
  <c r="F36" i="57"/>
  <c r="G36" i="57"/>
  <c r="H36" i="57"/>
  <c r="D37" i="57"/>
  <c r="E37" i="57"/>
  <c r="F37" i="57"/>
  <c r="G37" i="57"/>
  <c r="H37" i="57"/>
  <c r="C38" i="57"/>
  <c r="D38" i="57"/>
  <c r="E38" i="57"/>
  <c r="F38" i="57"/>
  <c r="G38" i="57"/>
  <c r="H38" i="57"/>
  <c r="D39" i="57"/>
  <c r="E39" i="57"/>
  <c r="F39" i="57"/>
  <c r="G39" i="57"/>
  <c r="H39" i="57"/>
  <c r="D40" i="57"/>
  <c r="E40" i="57"/>
  <c r="F40" i="57"/>
  <c r="G40" i="57"/>
  <c r="H40" i="57"/>
  <c r="C41" i="57"/>
  <c r="D41" i="57"/>
  <c r="E41" i="57"/>
  <c r="F41" i="57"/>
  <c r="G41" i="57"/>
  <c r="H41" i="57"/>
  <c r="D42" i="57"/>
  <c r="E42" i="57"/>
  <c r="F42" i="57"/>
  <c r="G42" i="57"/>
  <c r="H42" i="57"/>
  <c r="D43" i="57"/>
  <c r="E43" i="57"/>
  <c r="F43" i="57"/>
  <c r="G43" i="57"/>
  <c r="H43" i="57"/>
  <c r="E5" i="56" l="1"/>
  <c r="F5" i="56"/>
  <c r="G5" i="56"/>
  <c r="H5" i="56"/>
  <c r="I5" i="56"/>
  <c r="J5" i="56"/>
  <c r="K5" i="56"/>
  <c r="L5" i="56"/>
  <c r="M5" i="56"/>
  <c r="N5" i="56"/>
  <c r="O5" i="56"/>
  <c r="P5" i="56"/>
  <c r="Q5" i="56"/>
  <c r="R5" i="56"/>
  <c r="S5" i="56"/>
  <c r="T5" i="56"/>
  <c r="U5" i="56"/>
  <c r="V5" i="56"/>
  <c r="W5" i="56"/>
  <c r="X5" i="56"/>
  <c r="Y5" i="56"/>
  <c r="Z5" i="56"/>
  <c r="AA5" i="56"/>
  <c r="AB5" i="56"/>
  <c r="AC5" i="56"/>
  <c r="AD5" i="56"/>
  <c r="AE5" i="56"/>
  <c r="AF5" i="56"/>
  <c r="AG5" i="56"/>
  <c r="AH5" i="56"/>
  <c r="AI5" i="56"/>
  <c r="AJ5" i="56"/>
  <c r="AK5" i="56"/>
  <c r="AL5" i="56"/>
  <c r="AM5" i="56"/>
  <c r="AN5" i="56"/>
  <c r="AO5" i="56"/>
  <c r="AP5" i="56"/>
  <c r="AQ5" i="56"/>
  <c r="AR5" i="56"/>
  <c r="AS5" i="56"/>
  <c r="AT5" i="56"/>
  <c r="AU5" i="56"/>
  <c r="AV5" i="56"/>
  <c r="AW5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AK6" i="56"/>
  <c r="AL6" i="56"/>
  <c r="AM6" i="56"/>
  <c r="AN6" i="56"/>
  <c r="AO6" i="56"/>
  <c r="AP6" i="56"/>
  <c r="AQ6" i="56"/>
  <c r="AR6" i="56"/>
  <c r="AS6" i="56"/>
  <c r="AT6" i="56"/>
  <c r="AU6" i="56"/>
  <c r="AV6" i="56"/>
  <c r="AW6" i="56"/>
  <c r="E7" i="56"/>
  <c r="F7" i="56"/>
  <c r="G7" i="56"/>
  <c r="H7" i="56"/>
  <c r="I7" i="56"/>
  <c r="J7" i="56"/>
  <c r="K7" i="56"/>
  <c r="L7" i="56"/>
  <c r="M7" i="56"/>
  <c r="N7" i="56"/>
  <c r="O7" i="56"/>
  <c r="P7" i="56"/>
  <c r="Q7" i="56"/>
  <c r="R7" i="56"/>
  <c r="S7" i="56"/>
  <c r="T7" i="56"/>
  <c r="U7" i="56"/>
  <c r="V7" i="56"/>
  <c r="W7" i="56"/>
  <c r="X7" i="56"/>
  <c r="Y7" i="56"/>
  <c r="Z7" i="56"/>
  <c r="AA7" i="56"/>
  <c r="AB7" i="56"/>
  <c r="AC7" i="56"/>
  <c r="AD7" i="56"/>
  <c r="AE7" i="56"/>
  <c r="AF7" i="56"/>
  <c r="AG7" i="56"/>
  <c r="AH7" i="56"/>
  <c r="AI7" i="56"/>
  <c r="AJ7" i="56"/>
  <c r="AK7" i="56"/>
  <c r="AL7" i="56"/>
  <c r="AM7" i="56"/>
  <c r="AN7" i="56"/>
  <c r="AO7" i="56"/>
  <c r="AP7" i="56"/>
  <c r="AQ7" i="56"/>
  <c r="AR7" i="56"/>
  <c r="AS7" i="56"/>
  <c r="AT7" i="56"/>
  <c r="AU7" i="56"/>
  <c r="AV7" i="56"/>
  <c r="AW7" i="56"/>
  <c r="E8" i="56"/>
  <c r="F8" i="56"/>
  <c r="G8" i="56"/>
  <c r="H8" i="56"/>
  <c r="I8" i="56"/>
  <c r="J8" i="56"/>
  <c r="K8" i="56"/>
  <c r="L8" i="56"/>
  <c r="M8" i="56"/>
  <c r="N8" i="56"/>
  <c r="O8" i="56"/>
  <c r="P8" i="56"/>
  <c r="Q8" i="56"/>
  <c r="R8" i="56"/>
  <c r="S8" i="56"/>
  <c r="T8" i="56"/>
  <c r="U8" i="56"/>
  <c r="V8" i="56"/>
  <c r="W8" i="56"/>
  <c r="X8" i="56"/>
  <c r="Y8" i="56"/>
  <c r="Z8" i="56"/>
  <c r="AA8" i="56"/>
  <c r="AB8" i="56"/>
  <c r="AC8" i="56"/>
  <c r="AD8" i="56"/>
  <c r="AE8" i="56"/>
  <c r="AF8" i="56"/>
  <c r="AG8" i="56"/>
  <c r="AH8" i="56"/>
  <c r="AI8" i="56"/>
  <c r="AJ8" i="56"/>
  <c r="AK8" i="56"/>
  <c r="AL8" i="56"/>
  <c r="AM8" i="56"/>
  <c r="AN8" i="56"/>
  <c r="AO8" i="56"/>
  <c r="AP8" i="56"/>
  <c r="AQ8" i="56"/>
  <c r="AR8" i="56"/>
  <c r="AS8" i="56"/>
  <c r="AT8" i="56"/>
  <c r="AU8" i="56"/>
  <c r="AV8" i="56"/>
  <c r="AW8" i="56"/>
  <c r="E9" i="56"/>
  <c r="F9" i="56"/>
  <c r="G9" i="56"/>
  <c r="H9" i="56"/>
  <c r="I9" i="56"/>
  <c r="J9" i="56"/>
  <c r="K9" i="56"/>
  <c r="L9" i="56"/>
  <c r="M9" i="56"/>
  <c r="N9" i="56"/>
  <c r="O9" i="56"/>
  <c r="P9" i="56"/>
  <c r="Q9" i="56"/>
  <c r="R9" i="56"/>
  <c r="S9" i="56"/>
  <c r="T9" i="56"/>
  <c r="U9" i="56"/>
  <c r="V9" i="56"/>
  <c r="W9" i="56"/>
  <c r="X9" i="56"/>
  <c r="Y9" i="56"/>
  <c r="Z9" i="56"/>
  <c r="AA9" i="56"/>
  <c r="AB9" i="56"/>
  <c r="AC9" i="56"/>
  <c r="AD9" i="56"/>
  <c r="AE9" i="56"/>
  <c r="AF9" i="56"/>
  <c r="AG9" i="56"/>
  <c r="AH9" i="56"/>
  <c r="AI9" i="56"/>
  <c r="AJ9" i="56"/>
  <c r="AK9" i="56"/>
  <c r="AL9" i="56"/>
  <c r="AM9" i="56"/>
  <c r="AN9" i="56"/>
  <c r="AO9" i="56"/>
  <c r="AP9" i="56"/>
  <c r="AQ9" i="56"/>
  <c r="AR9" i="56"/>
  <c r="AS9" i="56"/>
  <c r="AT9" i="56"/>
  <c r="AU9" i="56"/>
  <c r="AV9" i="56"/>
  <c r="AW9" i="56"/>
  <c r="E10" i="56"/>
  <c r="F10" i="56"/>
  <c r="G10" i="56"/>
  <c r="H10" i="56"/>
  <c r="I10" i="56"/>
  <c r="J10" i="56"/>
  <c r="K10" i="56"/>
  <c r="L10" i="56"/>
  <c r="M10" i="56"/>
  <c r="N10" i="56"/>
  <c r="O10" i="56"/>
  <c r="P10" i="56"/>
  <c r="Q10" i="56"/>
  <c r="R10" i="56"/>
  <c r="S10" i="56"/>
  <c r="T10" i="56"/>
  <c r="U10" i="56"/>
  <c r="V10" i="56"/>
  <c r="W10" i="56"/>
  <c r="X10" i="56"/>
  <c r="Y10" i="56"/>
  <c r="Z10" i="56"/>
  <c r="AA10" i="56"/>
  <c r="AB10" i="56"/>
  <c r="AC10" i="56"/>
  <c r="AD10" i="56"/>
  <c r="AE10" i="56"/>
  <c r="AF10" i="56"/>
  <c r="AG10" i="56"/>
  <c r="AH10" i="56"/>
  <c r="AI10" i="56"/>
  <c r="AJ10" i="56"/>
  <c r="AK10" i="56"/>
  <c r="AL10" i="56"/>
  <c r="AM10" i="56"/>
  <c r="AN10" i="56"/>
  <c r="AO10" i="56"/>
  <c r="AP10" i="56"/>
  <c r="AQ10" i="56"/>
  <c r="AR10" i="56"/>
  <c r="AS10" i="56"/>
  <c r="AT10" i="56"/>
  <c r="AU10" i="56"/>
  <c r="AV10" i="56"/>
  <c r="AW10" i="56"/>
  <c r="E11" i="56"/>
  <c r="F11" i="56"/>
  <c r="G11" i="56"/>
  <c r="H11" i="56"/>
  <c r="I11" i="56"/>
  <c r="J11" i="56"/>
  <c r="K11" i="56"/>
  <c r="L11" i="56"/>
  <c r="M11" i="56"/>
  <c r="N11" i="56"/>
  <c r="O11" i="56"/>
  <c r="P11" i="56"/>
  <c r="Q11" i="56"/>
  <c r="R11" i="56"/>
  <c r="S11" i="56"/>
  <c r="T11" i="56"/>
  <c r="U11" i="56"/>
  <c r="V11" i="56"/>
  <c r="W11" i="56"/>
  <c r="X11" i="56"/>
  <c r="Y11" i="56"/>
  <c r="Z11" i="56"/>
  <c r="AA11" i="56"/>
  <c r="AB11" i="56"/>
  <c r="AC11" i="56"/>
  <c r="AD11" i="56"/>
  <c r="AE11" i="56"/>
  <c r="AF11" i="56"/>
  <c r="AG11" i="56"/>
  <c r="AH11" i="56"/>
  <c r="AI11" i="56"/>
  <c r="AJ11" i="56"/>
  <c r="AK11" i="56"/>
  <c r="AL11" i="56"/>
  <c r="AM11" i="56"/>
  <c r="AN11" i="56"/>
  <c r="AO11" i="56"/>
  <c r="AP11" i="56"/>
  <c r="AQ11" i="56"/>
  <c r="AR11" i="56"/>
  <c r="AS11" i="56"/>
  <c r="AT11" i="56"/>
  <c r="AU11" i="56"/>
  <c r="AV11" i="56"/>
  <c r="AW11" i="56"/>
  <c r="E12" i="56"/>
  <c r="F12" i="56"/>
  <c r="G12" i="56"/>
  <c r="H12" i="56"/>
  <c r="I12" i="56"/>
  <c r="J12" i="56"/>
  <c r="K12" i="56"/>
  <c r="L12" i="56"/>
  <c r="M12" i="56"/>
  <c r="N12" i="56"/>
  <c r="O12" i="56"/>
  <c r="P12" i="56"/>
  <c r="Q12" i="56"/>
  <c r="R12" i="56"/>
  <c r="S12" i="56"/>
  <c r="T12" i="56"/>
  <c r="U12" i="56"/>
  <c r="V12" i="56"/>
  <c r="W12" i="56"/>
  <c r="X12" i="56"/>
  <c r="Y12" i="56"/>
  <c r="Z12" i="56"/>
  <c r="AA12" i="56"/>
  <c r="AB12" i="56"/>
  <c r="AC12" i="56"/>
  <c r="AD12" i="56"/>
  <c r="AE12" i="56"/>
  <c r="AF12" i="56"/>
  <c r="AG12" i="56"/>
  <c r="AH12" i="56"/>
  <c r="AI12" i="56"/>
  <c r="AJ12" i="56"/>
  <c r="AK12" i="56"/>
  <c r="AL12" i="56"/>
  <c r="AM12" i="56"/>
  <c r="AN12" i="56"/>
  <c r="AO12" i="56"/>
  <c r="AP12" i="56"/>
  <c r="AQ12" i="56"/>
  <c r="AR12" i="56"/>
  <c r="AS12" i="56"/>
  <c r="AT12" i="56"/>
  <c r="AU12" i="56"/>
  <c r="AV12" i="56"/>
  <c r="AW12" i="56"/>
  <c r="E13" i="56"/>
  <c r="F13" i="56"/>
  <c r="G13" i="56"/>
  <c r="H13" i="56"/>
  <c r="I13" i="56"/>
  <c r="J13" i="56"/>
  <c r="K13" i="56"/>
  <c r="L13" i="56"/>
  <c r="M13" i="56"/>
  <c r="N13" i="56"/>
  <c r="O13" i="56"/>
  <c r="P13" i="56"/>
  <c r="Q13" i="56"/>
  <c r="R13" i="56"/>
  <c r="S13" i="56"/>
  <c r="T13" i="56"/>
  <c r="U13" i="56"/>
  <c r="V13" i="56"/>
  <c r="W13" i="56"/>
  <c r="X13" i="56"/>
  <c r="Y13" i="56"/>
  <c r="Z13" i="56"/>
  <c r="AA13" i="56"/>
  <c r="AB13" i="56"/>
  <c r="AC13" i="56"/>
  <c r="AD13" i="56"/>
  <c r="AE13" i="56"/>
  <c r="AF13" i="56"/>
  <c r="AG13" i="56"/>
  <c r="AH13" i="56"/>
  <c r="AI13" i="56"/>
  <c r="AJ13" i="56"/>
  <c r="AK13" i="56"/>
  <c r="AL13" i="56"/>
  <c r="AM13" i="56"/>
  <c r="AN13" i="56"/>
  <c r="AO13" i="56"/>
  <c r="AP13" i="56"/>
  <c r="AQ13" i="56"/>
  <c r="AR13" i="56"/>
  <c r="AS13" i="56"/>
  <c r="AT13" i="56"/>
  <c r="AU13" i="56"/>
  <c r="AV13" i="56"/>
  <c r="AW13" i="56"/>
  <c r="AW4" i="56"/>
  <c r="AV4" i="56"/>
  <c r="AU4" i="56"/>
  <c r="AT4" i="56"/>
  <c r="AS4" i="56"/>
  <c r="AR4" i="56"/>
  <c r="AQ4" i="56"/>
  <c r="AP4" i="56"/>
  <c r="AO4" i="56"/>
  <c r="AN4" i="56"/>
  <c r="AM4" i="56"/>
  <c r="AL4" i="56"/>
  <c r="AK4" i="56"/>
  <c r="AJ4" i="56"/>
  <c r="AI4" i="56"/>
  <c r="AH4" i="56"/>
  <c r="AG4" i="56"/>
  <c r="AF4" i="56"/>
  <c r="AE4" i="56"/>
  <c r="AD4" i="56"/>
  <c r="AC4" i="56"/>
  <c r="AB4" i="56"/>
  <c r="AA4" i="56"/>
  <c r="Z4" i="56"/>
  <c r="Y4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5"/>
  <c r="E4" i="55"/>
  <c r="F4" i="55"/>
  <c r="G4" i="55"/>
  <c r="H4" i="55"/>
  <c r="B5" i="55"/>
  <c r="D5" i="55"/>
  <c r="E5" i="55"/>
  <c r="F5" i="55"/>
  <c r="G5" i="55"/>
  <c r="H5" i="55"/>
  <c r="B6" i="55"/>
  <c r="D6" i="55"/>
  <c r="E6" i="55"/>
  <c r="F6" i="55"/>
  <c r="G6" i="55"/>
  <c r="H6" i="55"/>
  <c r="B7" i="55"/>
  <c r="B8" i="55"/>
  <c r="D8" i="55"/>
  <c r="E8" i="55"/>
  <c r="F8" i="55"/>
  <c r="G8" i="55"/>
  <c r="H8" i="55"/>
  <c r="D9" i="55"/>
  <c r="E9" i="55"/>
  <c r="F9" i="55"/>
  <c r="G9" i="55"/>
  <c r="H9" i="55"/>
  <c r="D10" i="55"/>
  <c r="E10" i="55"/>
  <c r="F10" i="55"/>
  <c r="G10" i="55"/>
  <c r="H10" i="55"/>
  <c r="B11" i="55"/>
  <c r="D11" i="55"/>
  <c r="E11" i="55"/>
  <c r="F11" i="55"/>
  <c r="G11" i="55"/>
  <c r="H11" i="55"/>
  <c r="B12" i="55"/>
  <c r="B13" i="55"/>
  <c r="C13" i="55"/>
  <c r="D13" i="55"/>
  <c r="E13" i="55"/>
  <c r="F13" i="55"/>
  <c r="G13" i="55"/>
  <c r="H13" i="55"/>
  <c r="D14" i="55"/>
  <c r="E14" i="55"/>
  <c r="F14" i="55"/>
  <c r="G14" i="55"/>
  <c r="H14" i="55"/>
  <c r="D15" i="55"/>
  <c r="E15" i="55"/>
  <c r="F15" i="55"/>
  <c r="G15" i="55"/>
  <c r="H15" i="55"/>
  <c r="C16" i="55"/>
  <c r="D16" i="55"/>
  <c r="E16" i="55"/>
  <c r="F16" i="55"/>
  <c r="G16" i="55"/>
  <c r="H16" i="55"/>
  <c r="D17" i="55"/>
  <c r="E17" i="55"/>
  <c r="F17" i="55"/>
  <c r="G17" i="55"/>
  <c r="H17" i="55"/>
  <c r="D18" i="55"/>
  <c r="E18" i="55"/>
  <c r="F18" i="55"/>
  <c r="G18" i="55"/>
  <c r="H18" i="55"/>
  <c r="C19" i="55"/>
  <c r="D19" i="55"/>
  <c r="E19" i="55"/>
  <c r="F19" i="55"/>
  <c r="G19" i="55"/>
  <c r="H19" i="55"/>
  <c r="D20" i="55"/>
  <c r="E20" i="55"/>
  <c r="F20" i="55"/>
  <c r="G20" i="55"/>
  <c r="H20" i="55"/>
  <c r="D21" i="55"/>
  <c r="E21" i="55"/>
  <c r="F21" i="55"/>
  <c r="G21" i="55"/>
  <c r="H21" i="55"/>
  <c r="C22" i="55"/>
  <c r="D22" i="55"/>
  <c r="E22" i="55"/>
  <c r="F22" i="55"/>
  <c r="G22" i="55"/>
  <c r="H22" i="55"/>
  <c r="D23" i="55"/>
  <c r="E23" i="55"/>
  <c r="F23" i="55"/>
  <c r="G23" i="55"/>
  <c r="H23" i="55"/>
  <c r="D24" i="55"/>
  <c r="E24" i="55"/>
  <c r="F24" i="55"/>
  <c r="G24" i="55"/>
  <c r="H24" i="55"/>
  <c r="C25" i="55"/>
  <c r="D25" i="55"/>
  <c r="E25" i="55"/>
  <c r="F25" i="55"/>
  <c r="G25" i="55"/>
  <c r="H25" i="55"/>
  <c r="D26" i="55"/>
  <c r="E26" i="55"/>
  <c r="F26" i="55"/>
  <c r="G26" i="55"/>
  <c r="H26" i="55"/>
  <c r="D27" i="55"/>
  <c r="E27" i="55"/>
  <c r="F27" i="55"/>
  <c r="G27" i="55"/>
  <c r="H27" i="55"/>
  <c r="B28" i="55"/>
  <c r="B29" i="55"/>
  <c r="C29" i="55"/>
  <c r="D29" i="55"/>
  <c r="E29" i="55"/>
  <c r="F29" i="55"/>
  <c r="G29" i="55"/>
  <c r="H29" i="55"/>
  <c r="D30" i="55"/>
  <c r="E30" i="55"/>
  <c r="F30" i="55"/>
  <c r="G30" i="55"/>
  <c r="H30" i="55"/>
  <c r="D31" i="55"/>
  <c r="E31" i="55"/>
  <c r="F31" i="55"/>
  <c r="G31" i="55"/>
  <c r="H31" i="55"/>
  <c r="C32" i="55"/>
  <c r="D32" i="55"/>
  <c r="E32" i="55"/>
  <c r="F32" i="55"/>
  <c r="G32" i="55"/>
  <c r="H32" i="55"/>
  <c r="D33" i="55"/>
  <c r="E33" i="55"/>
  <c r="F33" i="55"/>
  <c r="G33" i="55"/>
  <c r="H33" i="55"/>
  <c r="D34" i="55"/>
  <c r="E34" i="55"/>
  <c r="F34" i="55"/>
  <c r="G34" i="55"/>
  <c r="H34" i="55"/>
  <c r="C35" i="55"/>
  <c r="D35" i="55"/>
  <c r="E35" i="55"/>
  <c r="F35" i="55"/>
  <c r="G35" i="55"/>
  <c r="H35" i="55"/>
  <c r="D36" i="55"/>
  <c r="E36" i="55"/>
  <c r="F36" i="55"/>
  <c r="G36" i="55"/>
  <c r="H36" i="55"/>
  <c r="D37" i="55"/>
  <c r="E37" i="55"/>
  <c r="F37" i="55"/>
  <c r="G37" i="55"/>
  <c r="H37" i="55"/>
  <c r="C38" i="55"/>
  <c r="D38" i="55"/>
  <c r="E38" i="55"/>
  <c r="F38" i="55"/>
  <c r="G38" i="55"/>
  <c r="H38" i="55"/>
  <c r="D39" i="55"/>
  <c r="E39" i="55"/>
  <c r="F39" i="55"/>
  <c r="G39" i="55"/>
  <c r="H39" i="55"/>
  <c r="D40" i="55"/>
  <c r="E40" i="55"/>
  <c r="F40" i="55"/>
  <c r="G40" i="55"/>
  <c r="H40" i="55"/>
  <c r="C41" i="55"/>
  <c r="D41" i="55"/>
  <c r="E41" i="55"/>
  <c r="F41" i="55"/>
  <c r="G41" i="55"/>
  <c r="H41" i="55"/>
  <c r="D42" i="55"/>
  <c r="E42" i="55"/>
  <c r="F42" i="55"/>
  <c r="G42" i="55"/>
  <c r="H42" i="55"/>
  <c r="D43" i="55"/>
  <c r="E43" i="55"/>
  <c r="F43" i="55"/>
  <c r="G43" i="55"/>
  <c r="H43" i="55"/>
  <c r="A38" i="1" l="1"/>
  <c r="A37" i="1"/>
  <c r="D4" i="54"/>
  <c r="E4" i="54"/>
  <c r="F4" i="54"/>
  <c r="G4" i="54"/>
  <c r="H4" i="54"/>
  <c r="B5" i="54"/>
  <c r="D5" i="54"/>
  <c r="E5" i="54"/>
  <c r="F5" i="54"/>
  <c r="G5" i="54"/>
  <c r="H5" i="54"/>
  <c r="B6" i="54"/>
  <c r="D6" i="54"/>
  <c r="E6" i="54"/>
  <c r="F6" i="54"/>
  <c r="G6" i="54"/>
  <c r="H6" i="54"/>
  <c r="B7" i="54"/>
  <c r="B8" i="54"/>
  <c r="D8" i="54"/>
  <c r="E8" i="54"/>
  <c r="F8" i="54"/>
  <c r="G8" i="54"/>
  <c r="H8" i="54"/>
  <c r="D9" i="54"/>
  <c r="E9" i="54"/>
  <c r="F9" i="54"/>
  <c r="G9" i="54"/>
  <c r="H9" i="54"/>
  <c r="D10" i="54"/>
  <c r="E10" i="54"/>
  <c r="F10" i="54"/>
  <c r="G10" i="54"/>
  <c r="H10" i="54"/>
  <c r="B11" i="54"/>
  <c r="D11" i="54"/>
  <c r="E11" i="54"/>
  <c r="F11" i="54"/>
  <c r="G11" i="54"/>
  <c r="H11" i="54"/>
  <c r="B12" i="54"/>
  <c r="B13" i="54"/>
  <c r="C13" i="54"/>
  <c r="D13" i="54"/>
  <c r="E13" i="54"/>
  <c r="F13" i="54"/>
  <c r="G13" i="54"/>
  <c r="H13" i="54"/>
  <c r="D14" i="54"/>
  <c r="E14" i="54"/>
  <c r="F14" i="54"/>
  <c r="G14" i="54"/>
  <c r="H14" i="54"/>
  <c r="D15" i="54"/>
  <c r="E15" i="54"/>
  <c r="F15" i="54"/>
  <c r="G15" i="54"/>
  <c r="H15" i="54"/>
  <c r="C16" i="54"/>
  <c r="D16" i="54"/>
  <c r="E16" i="54"/>
  <c r="F16" i="54"/>
  <c r="G16" i="54"/>
  <c r="H16" i="54"/>
  <c r="D17" i="54"/>
  <c r="E17" i="54"/>
  <c r="F17" i="54"/>
  <c r="G17" i="54"/>
  <c r="H17" i="54"/>
  <c r="D18" i="54"/>
  <c r="E18" i="54"/>
  <c r="F18" i="54"/>
  <c r="G18" i="54"/>
  <c r="H18" i="54"/>
  <c r="C19" i="54"/>
  <c r="D19" i="54"/>
  <c r="E19" i="54"/>
  <c r="F19" i="54"/>
  <c r="G19" i="54"/>
  <c r="H19" i="54"/>
  <c r="D20" i="54"/>
  <c r="E20" i="54"/>
  <c r="F20" i="54"/>
  <c r="G20" i="54"/>
  <c r="H20" i="54"/>
  <c r="D21" i="54"/>
  <c r="E21" i="54"/>
  <c r="F21" i="54"/>
  <c r="G21" i="54"/>
  <c r="H21" i="54"/>
  <c r="C22" i="54"/>
  <c r="D22" i="54"/>
  <c r="E22" i="54"/>
  <c r="F22" i="54"/>
  <c r="G22" i="54"/>
  <c r="H22" i="54"/>
  <c r="D23" i="54"/>
  <c r="E23" i="54"/>
  <c r="F23" i="54"/>
  <c r="G23" i="54"/>
  <c r="H23" i="54"/>
  <c r="D24" i="54"/>
  <c r="E24" i="54"/>
  <c r="F24" i="54"/>
  <c r="G24" i="54"/>
  <c r="H24" i="54"/>
  <c r="C25" i="54"/>
  <c r="D25" i="54"/>
  <c r="E25" i="54"/>
  <c r="F25" i="54"/>
  <c r="G25" i="54"/>
  <c r="H25" i="54"/>
  <c r="D26" i="54"/>
  <c r="E26" i="54"/>
  <c r="F26" i="54"/>
  <c r="G26" i="54"/>
  <c r="H26" i="54"/>
  <c r="D27" i="54"/>
  <c r="E27" i="54"/>
  <c r="F27" i="54"/>
  <c r="G27" i="54"/>
  <c r="H27" i="54"/>
  <c r="B28" i="54"/>
  <c r="B29" i="54"/>
  <c r="C29" i="54"/>
  <c r="D29" i="54"/>
  <c r="E29" i="54"/>
  <c r="F29" i="54"/>
  <c r="G29" i="54"/>
  <c r="H29" i="54"/>
  <c r="D30" i="54"/>
  <c r="E30" i="54"/>
  <c r="F30" i="54"/>
  <c r="G30" i="54"/>
  <c r="H30" i="54"/>
  <c r="D31" i="54"/>
  <c r="E31" i="54"/>
  <c r="F31" i="54"/>
  <c r="G31" i="54"/>
  <c r="H31" i="54"/>
  <c r="C32" i="54"/>
  <c r="D32" i="54"/>
  <c r="E32" i="54"/>
  <c r="F32" i="54"/>
  <c r="G32" i="54"/>
  <c r="H32" i="54"/>
  <c r="D33" i="54"/>
  <c r="E33" i="54"/>
  <c r="F33" i="54"/>
  <c r="G33" i="54"/>
  <c r="H33" i="54"/>
  <c r="D34" i="54"/>
  <c r="E34" i="54"/>
  <c r="F34" i="54"/>
  <c r="G34" i="54"/>
  <c r="H34" i="54"/>
  <c r="C35" i="54"/>
  <c r="D35" i="54"/>
  <c r="E35" i="54"/>
  <c r="F35" i="54"/>
  <c r="G35" i="54"/>
  <c r="H35" i="54"/>
  <c r="D36" i="54"/>
  <c r="E36" i="54"/>
  <c r="F36" i="54"/>
  <c r="G36" i="54"/>
  <c r="H36" i="54"/>
  <c r="D37" i="54"/>
  <c r="E37" i="54"/>
  <c r="F37" i="54"/>
  <c r="G37" i="54"/>
  <c r="H37" i="54"/>
  <c r="C38" i="54"/>
  <c r="D38" i="54"/>
  <c r="E38" i="54"/>
  <c r="F38" i="54"/>
  <c r="G38" i="54"/>
  <c r="H38" i="54"/>
  <c r="D39" i="54"/>
  <c r="E39" i="54"/>
  <c r="F39" i="54"/>
  <c r="G39" i="54"/>
  <c r="H39" i="54"/>
  <c r="D40" i="54"/>
  <c r="E40" i="54"/>
  <c r="F40" i="54"/>
  <c r="G40" i="54"/>
  <c r="H40" i="54"/>
  <c r="C41" i="54"/>
  <c r="D41" i="54"/>
  <c r="E41" i="54"/>
  <c r="F41" i="54"/>
  <c r="G41" i="54"/>
  <c r="H41" i="54"/>
  <c r="D42" i="54"/>
  <c r="E42" i="54"/>
  <c r="F42" i="54"/>
  <c r="G42" i="54"/>
  <c r="H42" i="54"/>
  <c r="D43" i="54"/>
  <c r="E43" i="54"/>
  <c r="F43" i="54"/>
  <c r="G43" i="54"/>
  <c r="H43" i="54"/>
  <c r="A35" i="1" l="1"/>
  <c r="D4" i="53"/>
  <c r="E4" i="53"/>
  <c r="F4" i="53"/>
  <c r="G4" i="53"/>
  <c r="H4" i="53"/>
  <c r="B5" i="53"/>
  <c r="D5" i="53"/>
  <c r="E5" i="53"/>
  <c r="F5" i="53"/>
  <c r="G5" i="53"/>
  <c r="H5" i="53"/>
  <c r="B6" i="53"/>
  <c r="D6" i="53"/>
  <c r="E6" i="53"/>
  <c r="F6" i="53"/>
  <c r="G6" i="53"/>
  <c r="H6" i="53"/>
  <c r="B7" i="53"/>
  <c r="B8" i="53"/>
  <c r="D8" i="53"/>
  <c r="E8" i="53"/>
  <c r="F8" i="53"/>
  <c r="G8" i="53"/>
  <c r="H8" i="53"/>
  <c r="D9" i="53"/>
  <c r="E9" i="53"/>
  <c r="F9" i="53"/>
  <c r="G9" i="53"/>
  <c r="H9" i="53"/>
  <c r="D10" i="53"/>
  <c r="E10" i="53"/>
  <c r="F10" i="53"/>
  <c r="G10" i="53"/>
  <c r="H10" i="53"/>
  <c r="B11" i="53"/>
  <c r="D11" i="53"/>
  <c r="E11" i="53"/>
  <c r="F11" i="53"/>
  <c r="G11" i="53"/>
  <c r="H11" i="53"/>
  <c r="B12" i="53"/>
  <c r="B13" i="53"/>
  <c r="C13" i="53"/>
  <c r="D13" i="53"/>
  <c r="E13" i="53"/>
  <c r="F13" i="53"/>
  <c r="G13" i="53"/>
  <c r="H13" i="53"/>
  <c r="D14" i="53"/>
  <c r="E14" i="53"/>
  <c r="F14" i="53"/>
  <c r="G14" i="53"/>
  <c r="H14" i="53"/>
  <c r="D15" i="53"/>
  <c r="E15" i="53"/>
  <c r="F15" i="53"/>
  <c r="G15" i="53"/>
  <c r="H15" i="53"/>
  <c r="C16" i="53"/>
  <c r="D16" i="53"/>
  <c r="E16" i="53"/>
  <c r="F16" i="53"/>
  <c r="G16" i="53"/>
  <c r="H16" i="53"/>
  <c r="D17" i="53"/>
  <c r="E17" i="53"/>
  <c r="F17" i="53"/>
  <c r="G17" i="53"/>
  <c r="H17" i="53"/>
  <c r="D18" i="53"/>
  <c r="E18" i="53"/>
  <c r="F18" i="53"/>
  <c r="G18" i="53"/>
  <c r="H18" i="53"/>
  <c r="C19" i="53"/>
  <c r="D19" i="53"/>
  <c r="E19" i="53"/>
  <c r="F19" i="53"/>
  <c r="G19" i="53"/>
  <c r="H19" i="53"/>
  <c r="D20" i="53"/>
  <c r="E20" i="53"/>
  <c r="F20" i="53"/>
  <c r="G20" i="53"/>
  <c r="H20" i="53"/>
  <c r="D21" i="53"/>
  <c r="E21" i="53"/>
  <c r="F21" i="53"/>
  <c r="G21" i="53"/>
  <c r="H21" i="53"/>
  <c r="C22" i="53"/>
  <c r="D22" i="53"/>
  <c r="E22" i="53"/>
  <c r="F22" i="53"/>
  <c r="G22" i="53"/>
  <c r="H22" i="53"/>
  <c r="D23" i="53"/>
  <c r="E23" i="53"/>
  <c r="F23" i="53"/>
  <c r="G23" i="53"/>
  <c r="H23" i="53"/>
  <c r="D24" i="53"/>
  <c r="E24" i="53"/>
  <c r="F24" i="53"/>
  <c r="G24" i="53"/>
  <c r="H24" i="53"/>
  <c r="C25" i="53"/>
  <c r="D25" i="53"/>
  <c r="E25" i="53"/>
  <c r="F25" i="53"/>
  <c r="G25" i="53"/>
  <c r="H25" i="53"/>
  <c r="D26" i="53"/>
  <c r="E26" i="53"/>
  <c r="F26" i="53"/>
  <c r="G26" i="53"/>
  <c r="H26" i="53"/>
  <c r="D27" i="53"/>
  <c r="E27" i="53"/>
  <c r="F27" i="53"/>
  <c r="G27" i="53"/>
  <c r="H27" i="53"/>
  <c r="B28" i="53"/>
  <c r="B29" i="53"/>
  <c r="C29" i="53"/>
  <c r="D29" i="53"/>
  <c r="E29" i="53"/>
  <c r="F29" i="53"/>
  <c r="G29" i="53"/>
  <c r="H29" i="53"/>
  <c r="D30" i="53"/>
  <c r="E30" i="53"/>
  <c r="F30" i="53"/>
  <c r="G30" i="53"/>
  <c r="H30" i="53"/>
  <c r="D31" i="53"/>
  <c r="E31" i="53"/>
  <c r="F31" i="53"/>
  <c r="G31" i="53"/>
  <c r="H31" i="53"/>
  <c r="C32" i="53"/>
  <c r="D32" i="53"/>
  <c r="E32" i="53"/>
  <c r="F32" i="53"/>
  <c r="G32" i="53"/>
  <c r="H32" i="53"/>
  <c r="D33" i="53"/>
  <c r="E33" i="53"/>
  <c r="F33" i="53"/>
  <c r="G33" i="53"/>
  <c r="H33" i="53"/>
  <c r="D34" i="53"/>
  <c r="E34" i="53"/>
  <c r="F34" i="53"/>
  <c r="G34" i="53"/>
  <c r="H34" i="53"/>
  <c r="C35" i="53"/>
  <c r="D35" i="53"/>
  <c r="E35" i="53"/>
  <c r="F35" i="53"/>
  <c r="G35" i="53"/>
  <c r="H35" i="53"/>
  <c r="D36" i="53"/>
  <c r="E36" i="53"/>
  <c r="F36" i="53"/>
  <c r="G36" i="53"/>
  <c r="H36" i="53"/>
  <c r="D37" i="53"/>
  <c r="E37" i="53"/>
  <c r="F37" i="53"/>
  <c r="G37" i="53"/>
  <c r="H37" i="53"/>
  <c r="C38" i="53"/>
  <c r="D38" i="53"/>
  <c r="E38" i="53"/>
  <c r="F38" i="53"/>
  <c r="G38" i="53"/>
  <c r="H38" i="53"/>
  <c r="D39" i="53"/>
  <c r="E39" i="53"/>
  <c r="F39" i="53"/>
  <c r="G39" i="53"/>
  <c r="H39" i="53"/>
  <c r="D40" i="53"/>
  <c r="E40" i="53"/>
  <c r="F40" i="53"/>
  <c r="G40" i="53"/>
  <c r="H40" i="53"/>
  <c r="C41" i="53"/>
  <c r="D41" i="53"/>
  <c r="E41" i="53"/>
  <c r="F41" i="53"/>
  <c r="G41" i="53"/>
  <c r="H41" i="53"/>
  <c r="D42" i="53"/>
  <c r="E42" i="53"/>
  <c r="F42" i="53"/>
  <c r="G42" i="53"/>
  <c r="H42" i="53"/>
  <c r="D43" i="53"/>
  <c r="E43" i="53"/>
  <c r="F43" i="53"/>
  <c r="G43" i="53"/>
  <c r="H43" i="53"/>
  <c r="D14" i="52" l="1"/>
  <c r="E14" i="52"/>
  <c r="F14" i="52"/>
  <c r="G14" i="52"/>
  <c r="H14" i="52"/>
  <c r="I14" i="52"/>
  <c r="J14" i="52"/>
  <c r="K14" i="52"/>
  <c r="L14" i="52"/>
  <c r="M14" i="52"/>
  <c r="N14" i="52"/>
  <c r="O14" i="52"/>
  <c r="P14" i="52"/>
  <c r="Q14" i="52"/>
  <c r="R14" i="52"/>
  <c r="S14" i="52"/>
  <c r="T14" i="52"/>
  <c r="U14" i="52"/>
  <c r="V14" i="52"/>
  <c r="W14" i="52"/>
  <c r="X14" i="52"/>
  <c r="Y14" i="52"/>
  <c r="Z14" i="52"/>
  <c r="AA14" i="52"/>
  <c r="AB14" i="52"/>
  <c r="AC14" i="52"/>
  <c r="AD14" i="52"/>
  <c r="AE14" i="52"/>
  <c r="AF14" i="52"/>
  <c r="AG14" i="52"/>
  <c r="AH14" i="52"/>
  <c r="AI14" i="52"/>
  <c r="AJ14" i="52"/>
  <c r="AK14" i="52"/>
  <c r="AL14" i="52"/>
  <c r="AM14" i="52"/>
  <c r="AN14" i="52"/>
  <c r="AO14" i="52"/>
  <c r="AP14" i="52"/>
  <c r="AQ14" i="52"/>
  <c r="AR14" i="52"/>
  <c r="AS14" i="52"/>
  <c r="AT14" i="52"/>
  <c r="AU14" i="52"/>
  <c r="AV14" i="52"/>
  <c r="D15" i="52"/>
  <c r="E15" i="52"/>
  <c r="F15" i="52"/>
  <c r="G15" i="52"/>
  <c r="H15" i="52"/>
  <c r="I15" i="52"/>
  <c r="J15" i="52"/>
  <c r="K15" i="52"/>
  <c r="L15" i="52"/>
  <c r="M15" i="52"/>
  <c r="N15" i="52"/>
  <c r="O15" i="52"/>
  <c r="P15" i="52"/>
  <c r="Q15" i="52"/>
  <c r="R15" i="52"/>
  <c r="S15" i="52"/>
  <c r="T15" i="52"/>
  <c r="U15" i="52"/>
  <c r="V15" i="52"/>
  <c r="W15" i="52"/>
  <c r="X15" i="52"/>
  <c r="Y15" i="52"/>
  <c r="Z15" i="52"/>
  <c r="AA15" i="52"/>
  <c r="AB15" i="52"/>
  <c r="AC15" i="52"/>
  <c r="AD15" i="52"/>
  <c r="AE15" i="52"/>
  <c r="AF15" i="52"/>
  <c r="AG15" i="52"/>
  <c r="AH15" i="52"/>
  <c r="AI15" i="52"/>
  <c r="AJ15" i="52"/>
  <c r="AK15" i="52"/>
  <c r="AL15" i="52"/>
  <c r="AM15" i="52"/>
  <c r="AN15" i="52"/>
  <c r="AO15" i="52"/>
  <c r="AP15" i="52"/>
  <c r="AQ15" i="52"/>
  <c r="AR15" i="52"/>
  <c r="AS15" i="52"/>
  <c r="AT15" i="52"/>
  <c r="AU15" i="52"/>
  <c r="AV15" i="52"/>
  <c r="D16" i="52"/>
  <c r="E16" i="52"/>
  <c r="F16" i="52"/>
  <c r="G16" i="52"/>
  <c r="H16" i="52"/>
  <c r="I16" i="52"/>
  <c r="J16" i="52"/>
  <c r="K16" i="52"/>
  <c r="L16" i="52"/>
  <c r="M16" i="52"/>
  <c r="N16" i="52"/>
  <c r="O16" i="52"/>
  <c r="P16" i="52"/>
  <c r="Q16" i="52"/>
  <c r="R16" i="52"/>
  <c r="S16" i="52"/>
  <c r="T16" i="52"/>
  <c r="U16" i="52"/>
  <c r="V16" i="52"/>
  <c r="W16" i="52"/>
  <c r="X16" i="52"/>
  <c r="Y16" i="52"/>
  <c r="Z16" i="52"/>
  <c r="AA16" i="52"/>
  <c r="AB16" i="52"/>
  <c r="AC16" i="52"/>
  <c r="AD16" i="52"/>
  <c r="AE16" i="52"/>
  <c r="AF16" i="52"/>
  <c r="AG16" i="52"/>
  <c r="AH16" i="52"/>
  <c r="AI16" i="52"/>
  <c r="AJ16" i="52"/>
  <c r="AK16" i="52"/>
  <c r="AL16" i="52"/>
  <c r="AM16" i="52"/>
  <c r="AN16" i="52"/>
  <c r="AO16" i="52"/>
  <c r="AP16" i="52"/>
  <c r="AQ16" i="52"/>
  <c r="AR16" i="52"/>
  <c r="AS16" i="52"/>
  <c r="AT16" i="52"/>
  <c r="AU16" i="52"/>
  <c r="AV16" i="52"/>
  <c r="D17" i="52"/>
  <c r="E17" i="52"/>
  <c r="F17" i="52"/>
  <c r="G17" i="52"/>
  <c r="H17" i="52"/>
  <c r="I17" i="52"/>
  <c r="J17" i="52"/>
  <c r="K17" i="52"/>
  <c r="L17" i="52"/>
  <c r="M17" i="52"/>
  <c r="N17" i="52"/>
  <c r="O17" i="52"/>
  <c r="P17" i="52"/>
  <c r="Q17" i="52"/>
  <c r="R17" i="52"/>
  <c r="S17" i="52"/>
  <c r="T17" i="52"/>
  <c r="U17" i="52"/>
  <c r="V17" i="52"/>
  <c r="W17" i="52"/>
  <c r="X17" i="52"/>
  <c r="Y17" i="52"/>
  <c r="Z17" i="52"/>
  <c r="AA17" i="52"/>
  <c r="AB17" i="52"/>
  <c r="AC17" i="52"/>
  <c r="AD17" i="52"/>
  <c r="AE17" i="52"/>
  <c r="AF17" i="52"/>
  <c r="AG17" i="52"/>
  <c r="AH17" i="52"/>
  <c r="AI17" i="52"/>
  <c r="AJ17" i="52"/>
  <c r="AK17" i="52"/>
  <c r="AL17" i="52"/>
  <c r="AM17" i="52"/>
  <c r="AN17" i="52"/>
  <c r="AO17" i="52"/>
  <c r="AP17" i="52"/>
  <c r="AQ17" i="52"/>
  <c r="AR17" i="52"/>
  <c r="AS17" i="52"/>
  <c r="AT17" i="52"/>
  <c r="AU17" i="52"/>
  <c r="AV17" i="52"/>
  <c r="D18" i="52"/>
  <c r="E18" i="52"/>
  <c r="F18" i="52"/>
  <c r="G18" i="52"/>
  <c r="H18" i="52"/>
  <c r="I18" i="52"/>
  <c r="J18" i="52"/>
  <c r="K18" i="52"/>
  <c r="L18" i="52"/>
  <c r="M18" i="52"/>
  <c r="N18" i="52"/>
  <c r="O18" i="52"/>
  <c r="P18" i="52"/>
  <c r="Q18" i="52"/>
  <c r="R18" i="52"/>
  <c r="S18" i="52"/>
  <c r="T18" i="52"/>
  <c r="U18" i="52"/>
  <c r="V18" i="52"/>
  <c r="W18" i="52"/>
  <c r="X18" i="52"/>
  <c r="Y18" i="52"/>
  <c r="Z18" i="52"/>
  <c r="AA18" i="52"/>
  <c r="AB18" i="52"/>
  <c r="AC18" i="52"/>
  <c r="AD18" i="52"/>
  <c r="AE18" i="52"/>
  <c r="AF18" i="52"/>
  <c r="AG18" i="52"/>
  <c r="AH18" i="52"/>
  <c r="AI18" i="52"/>
  <c r="AJ18" i="52"/>
  <c r="AK18" i="52"/>
  <c r="AL18" i="52"/>
  <c r="AM18" i="52"/>
  <c r="AN18" i="52"/>
  <c r="AO18" i="52"/>
  <c r="AP18" i="52"/>
  <c r="AQ18" i="52"/>
  <c r="AR18" i="52"/>
  <c r="AS18" i="52"/>
  <c r="AT18" i="52"/>
  <c r="AU18" i="52"/>
  <c r="AV18" i="52"/>
  <c r="D19" i="52"/>
  <c r="E19" i="52"/>
  <c r="F19" i="52"/>
  <c r="G19" i="52"/>
  <c r="H19" i="52"/>
  <c r="I19" i="52"/>
  <c r="J19" i="52"/>
  <c r="K19" i="52"/>
  <c r="L19" i="52"/>
  <c r="M19" i="52"/>
  <c r="N19" i="52"/>
  <c r="O19" i="52"/>
  <c r="P19" i="52"/>
  <c r="Q19" i="52"/>
  <c r="R19" i="52"/>
  <c r="S19" i="52"/>
  <c r="T19" i="52"/>
  <c r="U19" i="52"/>
  <c r="V19" i="52"/>
  <c r="W19" i="52"/>
  <c r="X19" i="52"/>
  <c r="Y19" i="52"/>
  <c r="Z19" i="52"/>
  <c r="AA19" i="52"/>
  <c r="AB19" i="52"/>
  <c r="AC19" i="52"/>
  <c r="AD19" i="52"/>
  <c r="AE19" i="52"/>
  <c r="AF19" i="52"/>
  <c r="AG19" i="52"/>
  <c r="AH19" i="52"/>
  <c r="AI19" i="52"/>
  <c r="AJ19" i="52"/>
  <c r="AK19" i="52"/>
  <c r="AL19" i="52"/>
  <c r="AM19" i="52"/>
  <c r="AN19" i="52"/>
  <c r="AO19" i="52"/>
  <c r="AP19" i="52"/>
  <c r="AQ19" i="52"/>
  <c r="AR19" i="52"/>
  <c r="AS19" i="52"/>
  <c r="AT19" i="52"/>
  <c r="AU19" i="52"/>
  <c r="AV19" i="52"/>
  <c r="D20" i="52"/>
  <c r="E20" i="52"/>
  <c r="F20" i="52"/>
  <c r="G20" i="52"/>
  <c r="H20" i="52"/>
  <c r="I20" i="52"/>
  <c r="J20" i="52"/>
  <c r="K20" i="52"/>
  <c r="L20" i="52"/>
  <c r="M20" i="52"/>
  <c r="N20" i="52"/>
  <c r="O20" i="52"/>
  <c r="P20" i="52"/>
  <c r="Q20" i="52"/>
  <c r="R20" i="52"/>
  <c r="S20" i="52"/>
  <c r="T20" i="52"/>
  <c r="U20" i="52"/>
  <c r="V20" i="52"/>
  <c r="W20" i="52"/>
  <c r="X20" i="52"/>
  <c r="Y20" i="52"/>
  <c r="Z20" i="52"/>
  <c r="AA20" i="52"/>
  <c r="AB20" i="52"/>
  <c r="AC20" i="52"/>
  <c r="AD20" i="52"/>
  <c r="AE20" i="52"/>
  <c r="AF20" i="52"/>
  <c r="AG20" i="52"/>
  <c r="AH20" i="52"/>
  <c r="AI20" i="52"/>
  <c r="AJ20" i="52"/>
  <c r="AK20" i="52"/>
  <c r="AL20" i="52"/>
  <c r="AM20" i="52"/>
  <c r="AN20" i="52"/>
  <c r="AO20" i="52"/>
  <c r="AP20" i="52"/>
  <c r="AQ20" i="52"/>
  <c r="AR20" i="52"/>
  <c r="AS20" i="52"/>
  <c r="AT20" i="52"/>
  <c r="AU20" i="52"/>
  <c r="AV20" i="52"/>
  <c r="D21" i="52"/>
  <c r="E21" i="52"/>
  <c r="F21" i="52"/>
  <c r="G21" i="52"/>
  <c r="H21" i="52"/>
  <c r="I21" i="52"/>
  <c r="J21" i="52"/>
  <c r="K21" i="52"/>
  <c r="L21" i="52"/>
  <c r="M21" i="52"/>
  <c r="N21" i="52"/>
  <c r="O21" i="52"/>
  <c r="P21" i="52"/>
  <c r="Q21" i="52"/>
  <c r="R21" i="52"/>
  <c r="S21" i="52"/>
  <c r="T21" i="52"/>
  <c r="U21" i="52"/>
  <c r="V21" i="52"/>
  <c r="W21" i="52"/>
  <c r="X21" i="52"/>
  <c r="Y21" i="52"/>
  <c r="Z21" i="52"/>
  <c r="AA21" i="52"/>
  <c r="AB21" i="52"/>
  <c r="AC21" i="52"/>
  <c r="AD21" i="52"/>
  <c r="AE21" i="52"/>
  <c r="AF21" i="52"/>
  <c r="AG21" i="52"/>
  <c r="AH21" i="52"/>
  <c r="AI21" i="52"/>
  <c r="AJ21" i="52"/>
  <c r="AK21" i="52"/>
  <c r="AL21" i="52"/>
  <c r="AM21" i="52"/>
  <c r="AN21" i="52"/>
  <c r="AO21" i="52"/>
  <c r="AP21" i="52"/>
  <c r="AQ21" i="52"/>
  <c r="AR21" i="52"/>
  <c r="AS21" i="52"/>
  <c r="AT21" i="52"/>
  <c r="AU21" i="52"/>
  <c r="AV21" i="52"/>
  <c r="D22" i="52"/>
  <c r="E22" i="52"/>
  <c r="F22" i="52"/>
  <c r="G22" i="52"/>
  <c r="H22" i="52"/>
  <c r="I22" i="52"/>
  <c r="J22" i="52"/>
  <c r="K22" i="52"/>
  <c r="L22" i="52"/>
  <c r="M22" i="52"/>
  <c r="N22" i="52"/>
  <c r="O22" i="52"/>
  <c r="P22" i="52"/>
  <c r="Q22" i="52"/>
  <c r="R22" i="52"/>
  <c r="S22" i="52"/>
  <c r="T22" i="52"/>
  <c r="U22" i="52"/>
  <c r="V22" i="52"/>
  <c r="W22" i="52"/>
  <c r="X22" i="52"/>
  <c r="Y22" i="52"/>
  <c r="Z22" i="52"/>
  <c r="AA22" i="52"/>
  <c r="AB22" i="52"/>
  <c r="AC22" i="52"/>
  <c r="AD22" i="52"/>
  <c r="AE22" i="52"/>
  <c r="AF22" i="52"/>
  <c r="AG22" i="52"/>
  <c r="AH22" i="52"/>
  <c r="AI22" i="52"/>
  <c r="AJ22" i="52"/>
  <c r="AK22" i="52"/>
  <c r="AL22" i="52"/>
  <c r="AM22" i="52"/>
  <c r="AN22" i="52"/>
  <c r="AO22" i="52"/>
  <c r="AP22" i="52"/>
  <c r="AQ22" i="52"/>
  <c r="AR22" i="52"/>
  <c r="AS22" i="52"/>
  <c r="AT22" i="52"/>
  <c r="AU22" i="52"/>
  <c r="AV22" i="52"/>
  <c r="D5" i="52"/>
  <c r="E5" i="52"/>
  <c r="F5" i="52"/>
  <c r="G5" i="52"/>
  <c r="H5" i="52"/>
  <c r="I5" i="52"/>
  <c r="J5" i="52"/>
  <c r="K5" i="52"/>
  <c r="L5" i="52"/>
  <c r="M5" i="52"/>
  <c r="N5" i="52"/>
  <c r="O5" i="52"/>
  <c r="P5" i="52"/>
  <c r="Q5" i="52"/>
  <c r="R5" i="52"/>
  <c r="S5" i="52"/>
  <c r="T5" i="52"/>
  <c r="U5" i="52"/>
  <c r="V5" i="52"/>
  <c r="W5" i="52"/>
  <c r="X5" i="52"/>
  <c r="Y5" i="52"/>
  <c r="Z5" i="52"/>
  <c r="AA5" i="52"/>
  <c r="AB5" i="52"/>
  <c r="AC5" i="52"/>
  <c r="AD5" i="52"/>
  <c r="AE5" i="52"/>
  <c r="AF5" i="52"/>
  <c r="AG5" i="52"/>
  <c r="AH5" i="52"/>
  <c r="AI5" i="52"/>
  <c r="AJ5" i="52"/>
  <c r="AK5" i="52"/>
  <c r="AL5" i="52"/>
  <c r="AM5" i="52"/>
  <c r="AN5" i="52"/>
  <c r="AO5" i="52"/>
  <c r="AP5" i="52"/>
  <c r="AQ5" i="52"/>
  <c r="AR5" i="52"/>
  <c r="AS5" i="52"/>
  <c r="AT5" i="52"/>
  <c r="AU5" i="52"/>
  <c r="AV5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W6" i="52"/>
  <c r="X6" i="52"/>
  <c r="Y6" i="52"/>
  <c r="Z6" i="52"/>
  <c r="AA6" i="52"/>
  <c r="AB6" i="52"/>
  <c r="AC6" i="52"/>
  <c r="AD6" i="52"/>
  <c r="AE6" i="52"/>
  <c r="AF6" i="52"/>
  <c r="AG6" i="52"/>
  <c r="AH6" i="52"/>
  <c r="AI6" i="52"/>
  <c r="AJ6" i="52"/>
  <c r="AK6" i="52"/>
  <c r="AL6" i="52"/>
  <c r="AM6" i="52"/>
  <c r="AN6" i="52"/>
  <c r="AO6" i="52"/>
  <c r="AP6" i="52"/>
  <c r="AQ6" i="52"/>
  <c r="AR6" i="52"/>
  <c r="AS6" i="52"/>
  <c r="AT6" i="52"/>
  <c r="AU6" i="52"/>
  <c r="AV6" i="52"/>
  <c r="D7" i="52"/>
  <c r="E7" i="52"/>
  <c r="F7" i="52"/>
  <c r="G7" i="52"/>
  <c r="H7" i="52"/>
  <c r="I7" i="52"/>
  <c r="J7" i="52"/>
  <c r="K7" i="52"/>
  <c r="L7" i="52"/>
  <c r="M7" i="52"/>
  <c r="N7" i="52"/>
  <c r="O7" i="52"/>
  <c r="P7" i="52"/>
  <c r="Q7" i="52"/>
  <c r="R7" i="52"/>
  <c r="S7" i="52"/>
  <c r="T7" i="52"/>
  <c r="U7" i="52"/>
  <c r="V7" i="52"/>
  <c r="W7" i="52"/>
  <c r="X7" i="52"/>
  <c r="Y7" i="52"/>
  <c r="Z7" i="52"/>
  <c r="AA7" i="52"/>
  <c r="AB7" i="52"/>
  <c r="AC7" i="52"/>
  <c r="AD7" i="52"/>
  <c r="AE7" i="52"/>
  <c r="AF7" i="52"/>
  <c r="AG7" i="52"/>
  <c r="AH7" i="52"/>
  <c r="AI7" i="52"/>
  <c r="AJ7" i="52"/>
  <c r="AK7" i="52"/>
  <c r="AL7" i="52"/>
  <c r="AM7" i="52"/>
  <c r="AN7" i="52"/>
  <c r="AO7" i="52"/>
  <c r="AP7" i="52"/>
  <c r="AQ7" i="52"/>
  <c r="AR7" i="52"/>
  <c r="AS7" i="52"/>
  <c r="AT7" i="52"/>
  <c r="AU7" i="52"/>
  <c r="AV7" i="52"/>
  <c r="D8" i="52"/>
  <c r="E8" i="52"/>
  <c r="F8" i="52"/>
  <c r="G8" i="52"/>
  <c r="H8" i="52"/>
  <c r="I8" i="52"/>
  <c r="J8" i="52"/>
  <c r="K8" i="52"/>
  <c r="L8" i="52"/>
  <c r="M8" i="52"/>
  <c r="N8" i="52"/>
  <c r="O8" i="52"/>
  <c r="P8" i="52"/>
  <c r="Q8" i="52"/>
  <c r="R8" i="52"/>
  <c r="S8" i="52"/>
  <c r="T8" i="52"/>
  <c r="U8" i="52"/>
  <c r="V8" i="52"/>
  <c r="W8" i="52"/>
  <c r="X8" i="52"/>
  <c r="Y8" i="52"/>
  <c r="Z8" i="52"/>
  <c r="AA8" i="52"/>
  <c r="AB8" i="52"/>
  <c r="AC8" i="52"/>
  <c r="AD8" i="52"/>
  <c r="AE8" i="52"/>
  <c r="AF8" i="52"/>
  <c r="AG8" i="52"/>
  <c r="AH8" i="52"/>
  <c r="AI8" i="52"/>
  <c r="AJ8" i="52"/>
  <c r="AK8" i="52"/>
  <c r="AL8" i="52"/>
  <c r="AM8" i="52"/>
  <c r="AN8" i="52"/>
  <c r="AO8" i="52"/>
  <c r="AP8" i="52"/>
  <c r="AQ8" i="52"/>
  <c r="AR8" i="52"/>
  <c r="AS8" i="52"/>
  <c r="AT8" i="52"/>
  <c r="AU8" i="52"/>
  <c r="AV8" i="52"/>
  <c r="D9" i="52"/>
  <c r="E9" i="52"/>
  <c r="F9" i="52"/>
  <c r="G9" i="52"/>
  <c r="H9" i="52"/>
  <c r="I9" i="52"/>
  <c r="J9" i="52"/>
  <c r="K9" i="52"/>
  <c r="L9" i="52"/>
  <c r="M9" i="52"/>
  <c r="N9" i="52"/>
  <c r="O9" i="52"/>
  <c r="P9" i="52"/>
  <c r="Q9" i="52"/>
  <c r="R9" i="52"/>
  <c r="S9" i="52"/>
  <c r="T9" i="52"/>
  <c r="U9" i="52"/>
  <c r="V9" i="52"/>
  <c r="W9" i="52"/>
  <c r="X9" i="52"/>
  <c r="Y9" i="52"/>
  <c r="Z9" i="52"/>
  <c r="AA9" i="52"/>
  <c r="AB9" i="52"/>
  <c r="AC9" i="52"/>
  <c r="AD9" i="52"/>
  <c r="AE9" i="52"/>
  <c r="AF9" i="52"/>
  <c r="AG9" i="52"/>
  <c r="AH9" i="52"/>
  <c r="AI9" i="52"/>
  <c r="AJ9" i="52"/>
  <c r="AK9" i="52"/>
  <c r="AL9" i="52"/>
  <c r="AM9" i="52"/>
  <c r="AN9" i="52"/>
  <c r="AO9" i="52"/>
  <c r="AP9" i="52"/>
  <c r="AQ9" i="52"/>
  <c r="AR9" i="52"/>
  <c r="AS9" i="52"/>
  <c r="AT9" i="52"/>
  <c r="AU9" i="52"/>
  <c r="AV9" i="52"/>
  <c r="D10" i="52"/>
  <c r="E10" i="52"/>
  <c r="F10" i="52"/>
  <c r="G10" i="52"/>
  <c r="H10" i="52"/>
  <c r="I10" i="52"/>
  <c r="J10" i="52"/>
  <c r="K10" i="52"/>
  <c r="L10" i="52"/>
  <c r="M10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A10" i="52"/>
  <c r="AB10" i="52"/>
  <c r="AC10" i="52"/>
  <c r="AD10" i="52"/>
  <c r="AE10" i="52"/>
  <c r="AF10" i="52"/>
  <c r="AG10" i="52"/>
  <c r="AH10" i="52"/>
  <c r="AI10" i="52"/>
  <c r="AJ10" i="52"/>
  <c r="AK10" i="52"/>
  <c r="AL10" i="52"/>
  <c r="AM10" i="52"/>
  <c r="AN10" i="52"/>
  <c r="AO10" i="52"/>
  <c r="AP10" i="52"/>
  <c r="AQ10" i="52"/>
  <c r="AR10" i="52"/>
  <c r="AS10" i="52"/>
  <c r="AT10" i="52"/>
  <c r="AU10" i="52"/>
  <c r="AV10" i="52"/>
  <c r="D11" i="52"/>
  <c r="E11" i="52"/>
  <c r="F11" i="52"/>
  <c r="G11" i="52"/>
  <c r="H11" i="52"/>
  <c r="I11" i="52"/>
  <c r="J11" i="52"/>
  <c r="K11" i="52"/>
  <c r="L11" i="52"/>
  <c r="M11" i="52"/>
  <c r="N11" i="52"/>
  <c r="O11" i="52"/>
  <c r="P11" i="52"/>
  <c r="Q11" i="52"/>
  <c r="R11" i="52"/>
  <c r="S11" i="52"/>
  <c r="T11" i="52"/>
  <c r="U11" i="52"/>
  <c r="V11" i="52"/>
  <c r="W11" i="52"/>
  <c r="X11" i="52"/>
  <c r="Y11" i="52"/>
  <c r="Z11" i="52"/>
  <c r="AA11" i="52"/>
  <c r="AB11" i="52"/>
  <c r="AC11" i="52"/>
  <c r="AD11" i="52"/>
  <c r="AE11" i="52"/>
  <c r="AF11" i="52"/>
  <c r="AG11" i="52"/>
  <c r="AH11" i="52"/>
  <c r="AI11" i="52"/>
  <c r="AJ11" i="52"/>
  <c r="AK11" i="52"/>
  <c r="AL11" i="52"/>
  <c r="AM11" i="52"/>
  <c r="AN11" i="52"/>
  <c r="AO11" i="52"/>
  <c r="AP11" i="52"/>
  <c r="AQ11" i="52"/>
  <c r="AR11" i="52"/>
  <c r="AS11" i="52"/>
  <c r="AT11" i="52"/>
  <c r="AU11" i="52"/>
  <c r="AV11" i="52"/>
  <c r="D12" i="52"/>
  <c r="E12" i="52"/>
  <c r="F12" i="52"/>
  <c r="G12" i="52"/>
  <c r="H12" i="52"/>
  <c r="I12" i="52"/>
  <c r="J12" i="52"/>
  <c r="K12" i="52"/>
  <c r="L12" i="52"/>
  <c r="M12" i="52"/>
  <c r="N12" i="52"/>
  <c r="O12" i="52"/>
  <c r="P12" i="52"/>
  <c r="Q12" i="52"/>
  <c r="R12" i="52"/>
  <c r="S12" i="52"/>
  <c r="T12" i="52"/>
  <c r="U12" i="52"/>
  <c r="V12" i="52"/>
  <c r="W12" i="52"/>
  <c r="X12" i="52"/>
  <c r="Y12" i="52"/>
  <c r="Z12" i="52"/>
  <c r="AA12" i="52"/>
  <c r="AB12" i="52"/>
  <c r="AC12" i="52"/>
  <c r="AD12" i="52"/>
  <c r="AE12" i="52"/>
  <c r="AF12" i="52"/>
  <c r="AG12" i="52"/>
  <c r="AH12" i="52"/>
  <c r="AI12" i="52"/>
  <c r="AJ12" i="52"/>
  <c r="AK12" i="52"/>
  <c r="AL12" i="52"/>
  <c r="AM12" i="52"/>
  <c r="AN12" i="52"/>
  <c r="AO12" i="52"/>
  <c r="AP12" i="52"/>
  <c r="AQ12" i="52"/>
  <c r="AR12" i="52"/>
  <c r="AS12" i="52"/>
  <c r="AT12" i="52"/>
  <c r="AU12" i="52"/>
  <c r="AV12" i="52"/>
  <c r="D13" i="52"/>
  <c r="E13" i="52"/>
  <c r="F13" i="52"/>
  <c r="G13" i="52"/>
  <c r="H13" i="52"/>
  <c r="I13" i="52"/>
  <c r="J13" i="52"/>
  <c r="K13" i="52"/>
  <c r="L13" i="52"/>
  <c r="M13" i="52"/>
  <c r="N13" i="52"/>
  <c r="O13" i="52"/>
  <c r="P13" i="52"/>
  <c r="Q13" i="52"/>
  <c r="R13" i="52"/>
  <c r="S13" i="52"/>
  <c r="T13" i="52"/>
  <c r="U13" i="52"/>
  <c r="V13" i="52"/>
  <c r="W13" i="52"/>
  <c r="X13" i="52"/>
  <c r="Y13" i="52"/>
  <c r="Z13" i="52"/>
  <c r="AA13" i="52"/>
  <c r="AB13" i="52"/>
  <c r="AC13" i="52"/>
  <c r="AD13" i="52"/>
  <c r="AE13" i="52"/>
  <c r="AF13" i="52"/>
  <c r="AG13" i="52"/>
  <c r="AH13" i="52"/>
  <c r="AI13" i="52"/>
  <c r="AJ13" i="52"/>
  <c r="AK13" i="52"/>
  <c r="AL13" i="52"/>
  <c r="AM13" i="52"/>
  <c r="AN13" i="52"/>
  <c r="AO13" i="52"/>
  <c r="AP13" i="52"/>
  <c r="AQ13" i="52"/>
  <c r="AR13" i="52"/>
  <c r="AS13" i="52"/>
  <c r="AT13" i="52"/>
  <c r="AU13" i="52"/>
  <c r="AV13" i="52"/>
  <c r="AV4" i="52" l="1"/>
  <c r="AU4" i="52"/>
  <c r="AT4" i="52"/>
  <c r="AS4" i="52"/>
  <c r="AR4" i="52"/>
  <c r="AQ4" i="52"/>
  <c r="AP4" i="52"/>
  <c r="AO4" i="52"/>
  <c r="AN4" i="52"/>
  <c r="AM4" i="52"/>
  <c r="AL4" i="52"/>
  <c r="AK4" i="52"/>
  <c r="AJ4" i="52"/>
  <c r="AI4" i="52"/>
  <c r="AH4" i="52"/>
  <c r="AG4" i="52"/>
  <c r="AF4" i="52"/>
  <c r="AE4" i="52"/>
  <c r="AD4" i="52"/>
  <c r="AC4" i="52"/>
  <c r="AB4" i="52"/>
  <c r="AA4" i="52"/>
  <c r="Z4" i="52"/>
  <c r="Y4" i="52"/>
  <c r="X4" i="52"/>
  <c r="W4" i="52"/>
  <c r="V4" i="52"/>
  <c r="U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G4" i="52"/>
  <c r="F4" i="52"/>
  <c r="E4" i="52"/>
  <c r="D4" i="52"/>
  <c r="A26" i="1"/>
  <c r="D41" i="51"/>
  <c r="E41" i="51"/>
  <c r="F41" i="51"/>
  <c r="G41" i="51"/>
  <c r="H41" i="51"/>
  <c r="I41" i="51"/>
  <c r="J41" i="51"/>
  <c r="K41" i="51"/>
  <c r="L41" i="51"/>
  <c r="M41" i="51"/>
  <c r="N41" i="51"/>
  <c r="O41" i="51"/>
  <c r="P41" i="51"/>
  <c r="Q41" i="51"/>
  <c r="R41" i="51"/>
  <c r="S41" i="51"/>
  <c r="T41" i="51"/>
  <c r="U41" i="51"/>
  <c r="V41" i="51"/>
  <c r="W41" i="51"/>
  <c r="X41" i="51"/>
  <c r="Y41" i="51"/>
  <c r="Z41" i="51"/>
  <c r="AA41" i="51"/>
  <c r="AB41" i="51"/>
  <c r="AC41" i="51"/>
  <c r="AD41" i="51"/>
  <c r="AE41" i="51"/>
  <c r="AF41" i="51"/>
  <c r="AG41" i="51"/>
  <c r="AH41" i="51"/>
  <c r="AI41" i="51"/>
  <c r="AJ41" i="51"/>
  <c r="AK41" i="51"/>
  <c r="AL41" i="51"/>
  <c r="AM41" i="51"/>
  <c r="AN41" i="51"/>
  <c r="AO41" i="51"/>
  <c r="AP41" i="51"/>
  <c r="AQ41" i="51"/>
  <c r="AR41" i="51"/>
  <c r="AS41" i="51"/>
  <c r="AT41" i="51"/>
  <c r="AU41" i="51"/>
  <c r="AV41" i="51"/>
  <c r="D42" i="51"/>
  <c r="E42" i="51"/>
  <c r="F42" i="51"/>
  <c r="G42" i="51"/>
  <c r="H42" i="51"/>
  <c r="I42" i="51"/>
  <c r="J42" i="51"/>
  <c r="K42" i="51"/>
  <c r="L42" i="51"/>
  <c r="M42" i="51"/>
  <c r="N42" i="51"/>
  <c r="O42" i="51"/>
  <c r="P42" i="51"/>
  <c r="Q42" i="51"/>
  <c r="R42" i="51"/>
  <c r="S42" i="51"/>
  <c r="T42" i="51"/>
  <c r="U42" i="51"/>
  <c r="V42" i="51"/>
  <c r="W42" i="51"/>
  <c r="X42" i="51"/>
  <c r="Y42" i="51"/>
  <c r="Z42" i="51"/>
  <c r="AA42" i="51"/>
  <c r="AB42" i="51"/>
  <c r="AC42" i="51"/>
  <c r="AD42" i="51"/>
  <c r="AE42" i="51"/>
  <c r="AF42" i="51"/>
  <c r="AG42" i="51"/>
  <c r="AH42" i="51"/>
  <c r="AI42" i="51"/>
  <c r="AJ42" i="51"/>
  <c r="AK42" i="51"/>
  <c r="AL42" i="51"/>
  <c r="AM42" i="51"/>
  <c r="AN42" i="51"/>
  <c r="AO42" i="51"/>
  <c r="AP42" i="51"/>
  <c r="AQ42" i="51"/>
  <c r="AR42" i="51"/>
  <c r="AS42" i="51"/>
  <c r="AT42" i="51"/>
  <c r="AU42" i="51"/>
  <c r="AV42" i="51"/>
  <c r="D43" i="51"/>
  <c r="E43" i="51"/>
  <c r="F43" i="51"/>
  <c r="G43" i="51"/>
  <c r="H43" i="51"/>
  <c r="I43" i="51"/>
  <c r="J43" i="51"/>
  <c r="K43" i="51"/>
  <c r="L43" i="51"/>
  <c r="M43" i="51"/>
  <c r="N43" i="51"/>
  <c r="O43" i="51"/>
  <c r="P43" i="51"/>
  <c r="Q43" i="51"/>
  <c r="R43" i="51"/>
  <c r="S43" i="51"/>
  <c r="T43" i="51"/>
  <c r="U43" i="51"/>
  <c r="V43" i="51"/>
  <c r="W43" i="51"/>
  <c r="X43" i="51"/>
  <c r="Y43" i="51"/>
  <c r="Z43" i="51"/>
  <c r="AA43" i="51"/>
  <c r="AB43" i="51"/>
  <c r="AC43" i="51"/>
  <c r="AD43" i="51"/>
  <c r="AE43" i="51"/>
  <c r="AF43" i="51"/>
  <c r="AG43" i="51"/>
  <c r="AH43" i="51"/>
  <c r="AI43" i="51"/>
  <c r="AJ43" i="51"/>
  <c r="AK43" i="51"/>
  <c r="AL43" i="51"/>
  <c r="AM43" i="51"/>
  <c r="AN43" i="51"/>
  <c r="AO43" i="51"/>
  <c r="AP43" i="51"/>
  <c r="AQ43" i="51"/>
  <c r="AR43" i="51"/>
  <c r="AS43" i="51"/>
  <c r="AT43" i="51"/>
  <c r="AU43" i="51"/>
  <c r="AV43" i="51"/>
  <c r="D44" i="51"/>
  <c r="E44" i="51"/>
  <c r="F44" i="51"/>
  <c r="G44" i="51"/>
  <c r="H44" i="51"/>
  <c r="I44" i="51"/>
  <c r="J44" i="51"/>
  <c r="K44" i="51"/>
  <c r="L44" i="51"/>
  <c r="M44" i="51"/>
  <c r="N44" i="51"/>
  <c r="O44" i="51"/>
  <c r="P44" i="51"/>
  <c r="Q44" i="51"/>
  <c r="R44" i="51"/>
  <c r="S44" i="51"/>
  <c r="T44" i="51"/>
  <c r="U44" i="51"/>
  <c r="V44" i="51"/>
  <c r="W44" i="51"/>
  <c r="X44" i="51"/>
  <c r="Y44" i="51"/>
  <c r="Z44" i="51"/>
  <c r="AA44" i="51"/>
  <c r="AB44" i="51"/>
  <c r="AC44" i="51"/>
  <c r="AD44" i="51"/>
  <c r="AE44" i="51"/>
  <c r="AF44" i="51"/>
  <c r="AG44" i="51"/>
  <c r="AH44" i="51"/>
  <c r="AI44" i="51"/>
  <c r="AJ44" i="51"/>
  <c r="AK44" i="51"/>
  <c r="AL44" i="51"/>
  <c r="AM44" i="51"/>
  <c r="AN44" i="51"/>
  <c r="AO44" i="51"/>
  <c r="AP44" i="51"/>
  <c r="AQ44" i="51"/>
  <c r="AR44" i="51"/>
  <c r="AS44" i="51"/>
  <c r="AT44" i="51"/>
  <c r="AU44" i="51"/>
  <c r="AV44" i="51"/>
  <c r="D45" i="51"/>
  <c r="E45" i="51"/>
  <c r="F45" i="51"/>
  <c r="G45" i="51"/>
  <c r="H45" i="51"/>
  <c r="I45" i="51"/>
  <c r="J45" i="51"/>
  <c r="K45" i="51"/>
  <c r="L45" i="51"/>
  <c r="M45" i="51"/>
  <c r="N45" i="51"/>
  <c r="O45" i="51"/>
  <c r="P45" i="51"/>
  <c r="Q45" i="51"/>
  <c r="R45" i="51"/>
  <c r="S45" i="51"/>
  <c r="T45" i="51"/>
  <c r="U45" i="51"/>
  <c r="V45" i="51"/>
  <c r="W45" i="51"/>
  <c r="X45" i="51"/>
  <c r="Y45" i="51"/>
  <c r="Z45" i="51"/>
  <c r="AA45" i="51"/>
  <c r="AB45" i="51"/>
  <c r="AC45" i="51"/>
  <c r="AD45" i="51"/>
  <c r="AE45" i="51"/>
  <c r="AF45" i="51"/>
  <c r="AG45" i="51"/>
  <c r="AH45" i="51"/>
  <c r="AI45" i="51"/>
  <c r="AJ45" i="51"/>
  <c r="AK45" i="51"/>
  <c r="AL45" i="51"/>
  <c r="AM45" i="51"/>
  <c r="AN45" i="51"/>
  <c r="AO45" i="51"/>
  <c r="AP45" i="51"/>
  <c r="AQ45" i="51"/>
  <c r="AR45" i="51"/>
  <c r="AS45" i="51"/>
  <c r="AT45" i="51"/>
  <c r="AU45" i="51"/>
  <c r="AV45" i="51"/>
  <c r="D46" i="51"/>
  <c r="E46" i="51"/>
  <c r="F46" i="51"/>
  <c r="G46" i="51"/>
  <c r="H46" i="51"/>
  <c r="I46" i="51"/>
  <c r="J46" i="51"/>
  <c r="K46" i="51"/>
  <c r="L46" i="51"/>
  <c r="M46" i="51"/>
  <c r="N46" i="51"/>
  <c r="O46" i="51"/>
  <c r="P46" i="51"/>
  <c r="Q46" i="51"/>
  <c r="R46" i="51"/>
  <c r="S46" i="51"/>
  <c r="T46" i="51"/>
  <c r="U46" i="51"/>
  <c r="V46" i="51"/>
  <c r="W46" i="51"/>
  <c r="X46" i="51"/>
  <c r="Y46" i="51"/>
  <c r="Z46" i="51"/>
  <c r="AA46" i="51"/>
  <c r="AB46" i="51"/>
  <c r="AC46" i="51"/>
  <c r="AD46" i="51"/>
  <c r="AE46" i="51"/>
  <c r="AF46" i="51"/>
  <c r="AG46" i="51"/>
  <c r="AH46" i="51"/>
  <c r="AI46" i="51"/>
  <c r="AJ46" i="51"/>
  <c r="AK46" i="51"/>
  <c r="AL46" i="51"/>
  <c r="AM46" i="51"/>
  <c r="AN46" i="51"/>
  <c r="AO46" i="51"/>
  <c r="AP46" i="51"/>
  <c r="AQ46" i="51"/>
  <c r="AR46" i="51"/>
  <c r="AS46" i="51"/>
  <c r="AT46" i="51"/>
  <c r="AU46" i="51"/>
  <c r="AV46" i="51"/>
  <c r="D47" i="51"/>
  <c r="E47" i="51"/>
  <c r="F47" i="51"/>
  <c r="G47" i="51"/>
  <c r="H47" i="51"/>
  <c r="I47" i="51"/>
  <c r="J47" i="51"/>
  <c r="K47" i="51"/>
  <c r="L47" i="51"/>
  <c r="M47" i="51"/>
  <c r="N47" i="51"/>
  <c r="O47" i="51"/>
  <c r="P47" i="51"/>
  <c r="Q47" i="51"/>
  <c r="R47" i="51"/>
  <c r="S47" i="51"/>
  <c r="T47" i="51"/>
  <c r="U47" i="51"/>
  <c r="V47" i="51"/>
  <c r="W47" i="51"/>
  <c r="X47" i="51"/>
  <c r="Y47" i="51"/>
  <c r="Z47" i="51"/>
  <c r="AA47" i="51"/>
  <c r="AB47" i="51"/>
  <c r="AC47" i="51"/>
  <c r="AD47" i="51"/>
  <c r="AE47" i="51"/>
  <c r="AF47" i="51"/>
  <c r="AG47" i="51"/>
  <c r="AH47" i="51"/>
  <c r="AI47" i="51"/>
  <c r="AJ47" i="51"/>
  <c r="AK47" i="51"/>
  <c r="AL47" i="51"/>
  <c r="AM47" i="51"/>
  <c r="AN47" i="51"/>
  <c r="AO47" i="51"/>
  <c r="AP47" i="51"/>
  <c r="AQ47" i="51"/>
  <c r="AR47" i="51"/>
  <c r="AS47" i="51"/>
  <c r="AT47" i="51"/>
  <c r="AU47" i="51"/>
  <c r="AV47" i="51"/>
  <c r="D48" i="51"/>
  <c r="E48" i="51"/>
  <c r="F48" i="51"/>
  <c r="G48" i="51"/>
  <c r="H48" i="51"/>
  <c r="I48" i="51"/>
  <c r="J48" i="51"/>
  <c r="K48" i="51"/>
  <c r="L48" i="51"/>
  <c r="M48" i="51"/>
  <c r="N48" i="51"/>
  <c r="O48" i="51"/>
  <c r="P48" i="51"/>
  <c r="Q48" i="51"/>
  <c r="R48" i="51"/>
  <c r="S48" i="51"/>
  <c r="T48" i="51"/>
  <c r="U48" i="51"/>
  <c r="V48" i="51"/>
  <c r="W48" i="51"/>
  <c r="X48" i="51"/>
  <c r="Y48" i="51"/>
  <c r="Z48" i="51"/>
  <c r="AA48" i="51"/>
  <c r="AB48" i="51"/>
  <c r="AC48" i="51"/>
  <c r="AD48" i="51"/>
  <c r="AE48" i="51"/>
  <c r="AF48" i="51"/>
  <c r="AG48" i="51"/>
  <c r="AH48" i="51"/>
  <c r="AI48" i="51"/>
  <c r="AJ48" i="51"/>
  <c r="AK48" i="51"/>
  <c r="AL48" i="51"/>
  <c r="AM48" i="51"/>
  <c r="AN48" i="51"/>
  <c r="AO48" i="51"/>
  <c r="AP48" i="51"/>
  <c r="AQ48" i="51"/>
  <c r="AR48" i="51"/>
  <c r="AS48" i="51"/>
  <c r="AT48" i="51"/>
  <c r="AU48" i="51"/>
  <c r="AV48" i="51"/>
  <c r="D49" i="51"/>
  <c r="E49" i="51"/>
  <c r="F49" i="51"/>
  <c r="G49" i="51"/>
  <c r="H49" i="51"/>
  <c r="I49" i="51"/>
  <c r="J49" i="51"/>
  <c r="K49" i="51"/>
  <c r="L49" i="51"/>
  <c r="M49" i="51"/>
  <c r="N49" i="51"/>
  <c r="O49" i="51"/>
  <c r="P49" i="51"/>
  <c r="Q49" i="51"/>
  <c r="R49" i="51"/>
  <c r="S49" i="51"/>
  <c r="T49" i="51"/>
  <c r="U49" i="51"/>
  <c r="V49" i="51"/>
  <c r="W49" i="51"/>
  <c r="X49" i="51"/>
  <c r="Y49" i="51"/>
  <c r="Z49" i="51"/>
  <c r="AA49" i="51"/>
  <c r="AB49" i="51"/>
  <c r="AC49" i="51"/>
  <c r="AD49" i="51"/>
  <c r="AE49" i="51"/>
  <c r="AF49" i="51"/>
  <c r="AG49" i="51"/>
  <c r="AH49" i="51"/>
  <c r="AI49" i="51"/>
  <c r="AJ49" i="51"/>
  <c r="AK49" i="51"/>
  <c r="AL49" i="51"/>
  <c r="AM49" i="51"/>
  <c r="AN49" i="51"/>
  <c r="AO49" i="51"/>
  <c r="AP49" i="51"/>
  <c r="AQ49" i="51"/>
  <c r="AR49" i="51"/>
  <c r="AS49" i="51"/>
  <c r="AT49" i="51"/>
  <c r="AU49" i="51"/>
  <c r="AV49" i="51"/>
  <c r="D50" i="51"/>
  <c r="E50" i="51"/>
  <c r="F50" i="51"/>
  <c r="G50" i="51"/>
  <c r="H50" i="51"/>
  <c r="I50" i="51"/>
  <c r="J50" i="51"/>
  <c r="K50" i="51"/>
  <c r="L50" i="51"/>
  <c r="M50" i="51"/>
  <c r="N50" i="51"/>
  <c r="O50" i="51"/>
  <c r="P50" i="51"/>
  <c r="Q50" i="51"/>
  <c r="R50" i="51"/>
  <c r="S50" i="51"/>
  <c r="T50" i="51"/>
  <c r="U50" i="51"/>
  <c r="V50" i="51"/>
  <c r="W50" i="51"/>
  <c r="X50" i="51"/>
  <c r="Y50" i="51"/>
  <c r="Z50" i="51"/>
  <c r="AA50" i="51"/>
  <c r="AB50" i="51"/>
  <c r="AC50" i="51"/>
  <c r="AD50" i="51"/>
  <c r="AE50" i="51"/>
  <c r="AF50" i="51"/>
  <c r="AG50" i="51"/>
  <c r="AH50" i="51"/>
  <c r="AI50" i="51"/>
  <c r="AJ50" i="51"/>
  <c r="AK50" i="51"/>
  <c r="AL50" i="51"/>
  <c r="AM50" i="51"/>
  <c r="AN50" i="51"/>
  <c r="AO50" i="51"/>
  <c r="AP50" i="51"/>
  <c r="AQ50" i="51"/>
  <c r="AR50" i="51"/>
  <c r="AS50" i="51"/>
  <c r="AT50" i="51"/>
  <c r="AU50" i="51"/>
  <c r="AV50" i="51"/>
  <c r="D51" i="51"/>
  <c r="E51" i="51"/>
  <c r="F51" i="51"/>
  <c r="G51" i="51"/>
  <c r="H51" i="51"/>
  <c r="I51" i="51"/>
  <c r="J51" i="51"/>
  <c r="K51" i="51"/>
  <c r="L51" i="51"/>
  <c r="M51" i="51"/>
  <c r="N51" i="51"/>
  <c r="O51" i="51"/>
  <c r="P51" i="51"/>
  <c r="Q51" i="51"/>
  <c r="R51" i="51"/>
  <c r="S51" i="51"/>
  <c r="T51" i="51"/>
  <c r="U51" i="51"/>
  <c r="V51" i="51"/>
  <c r="W51" i="51"/>
  <c r="X51" i="51"/>
  <c r="Y51" i="51"/>
  <c r="Z51" i="51"/>
  <c r="AA51" i="51"/>
  <c r="AB51" i="51"/>
  <c r="AC51" i="51"/>
  <c r="AD51" i="51"/>
  <c r="AE51" i="51"/>
  <c r="AF51" i="51"/>
  <c r="AG51" i="51"/>
  <c r="AH51" i="51"/>
  <c r="AI51" i="51"/>
  <c r="AJ51" i="51"/>
  <c r="AK51" i="51"/>
  <c r="AL51" i="51"/>
  <c r="AM51" i="51"/>
  <c r="AN51" i="51"/>
  <c r="AO51" i="51"/>
  <c r="AP51" i="51"/>
  <c r="AQ51" i="51"/>
  <c r="AR51" i="51"/>
  <c r="AS51" i="51"/>
  <c r="AT51" i="51"/>
  <c r="AU51" i="51"/>
  <c r="AV51" i="51"/>
  <c r="D52" i="51"/>
  <c r="E52" i="51"/>
  <c r="F52" i="51"/>
  <c r="G52" i="51"/>
  <c r="H52" i="51"/>
  <c r="I52" i="51"/>
  <c r="J52" i="51"/>
  <c r="K52" i="51"/>
  <c r="L52" i="51"/>
  <c r="M52" i="51"/>
  <c r="N52" i="51"/>
  <c r="O52" i="51"/>
  <c r="P52" i="51"/>
  <c r="Q52" i="51"/>
  <c r="R52" i="51"/>
  <c r="S52" i="51"/>
  <c r="T52" i="51"/>
  <c r="U52" i="51"/>
  <c r="V52" i="51"/>
  <c r="W52" i="51"/>
  <c r="X52" i="51"/>
  <c r="Y52" i="51"/>
  <c r="Z52" i="51"/>
  <c r="AA52" i="51"/>
  <c r="AB52" i="51"/>
  <c r="AC52" i="51"/>
  <c r="AD52" i="51"/>
  <c r="AE52" i="51"/>
  <c r="AF52" i="51"/>
  <c r="AG52" i="51"/>
  <c r="AH52" i="51"/>
  <c r="AI52" i="51"/>
  <c r="AJ52" i="51"/>
  <c r="AK52" i="51"/>
  <c r="AL52" i="51"/>
  <c r="AM52" i="51"/>
  <c r="AN52" i="51"/>
  <c r="AO52" i="51"/>
  <c r="AP52" i="51"/>
  <c r="AQ52" i="51"/>
  <c r="AR52" i="51"/>
  <c r="AS52" i="51"/>
  <c r="AT52" i="51"/>
  <c r="AU52" i="51"/>
  <c r="AV52" i="51"/>
  <c r="D29" i="51"/>
  <c r="E29" i="51"/>
  <c r="F29" i="51"/>
  <c r="G29" i="51"/>
  <c r="H29" i="51"/>
  <c r="I29" i="51"/>
  <c r="J29" i="51"/>
  <c r="K29" i="51"/>
  <c r="L29" i="51"/>
  <c r="M29" i="51"/>
  <c r="N29" i="51"/>
  <c r="O29" i="51"/>
  <c r="P29" i="51"/>
  <c r="Q29" i="51"/>
  <c r="R29" i="51"/>
  <c r="S29" i="51"/>
  <c r="T29" i="51"/>
  <c r="U29" i="51"/>
  <c r="V29" i="51"/>
  <c r="W29" i="51"/>
  <c r="X29" i="51"/>
  <c r="Y29" i="51"/>
  <c r="Z29" i="51"/>
  <c r="AA29" i="51"/>
  <c r="AB29" i="51"/>
  <c r="AC29" i="51"/>
  <c r="AD29" i="51"/>
  <c r="AE29" i="51"/>
  <c r="AF29" i="51"/>
  <c r="AG29" i="51"/>
  <c r="AH29" i="51"/>
  <c r="AI29" i="51"/>
  <c r="AJ29" i="51"/>
  <c r="AK29" i="51"/>
  <c r="AL29" i="51"/>
  <c r="AM29" i="51"/>
  <c r="AN29" i="51"/>
  <c r="AO29" i="51"/>
  <c r="AP29" i="51"/>
  <c r="AQ29" i="51"/>
  <c r="AR29" i="51"/>
  <c r="AS29" i="51"/>
  <c r="AT29" i="51"/>
  <c r="AU29" i="51"/>
  <c r="AV29" i="51"/>
  <c r="D30" i="51"/>
  <c r="E30" i="51"/>
  <c r="F30" i="51"/>
  <c r="G30" i="51"/>
  <c r="H30" i="51"/>
  <c r="I30" i="51"/>
  <c r="J30" i="51"/>
  <c r="K30" i="51"/>
  <c r="L30" i="51"/>
  <c r="M30" i="51"/>
  <c r="N30" i="51"/>
  <c r="O30" i="51"/>
  <c r="P30" i="51"/>
  <c r="Q30" i="51"/>
  <c r="R30" i="51"/>
  <c r="S30" i="51"/>
  <c r="T30" i="51"/>
  <c r="U30" i="51"/>
  <c r="V30" i="51"/>
  <c r="W30" i="51"/>
  <c r="X30" i="51"/>
  <c r="Y30" i="51"/>
  <c r="Z30" i="51"/>
  <c r="AA30" i="51"/>
  <c r="AB30" i="51"/>
  <c r="AC30" i="51"/>
  <c r="AD30" i="51"/>
  <c r="AE30" i="51"/>
  <c r="AF30" i="51"/>
  <c r="AG30" i="51"/>
  <c r="AH30" i="51"/>
  <c r="AI30" i="51"/>
  <c r="AJ30" i="51"/>
  <c r="AK30" i="51"/>
  <c r="AL30" i="51"/>
  <c r="AM30" i="51"/>
  <c r="AN30" i="51"/>
  <c r="AO30" i="51"/>
  <c r="AP30" i="51"/>
  <c r="AQ30" i="51"/>
  <c r="AR30" i="51"/>
  <c r="AS30" i="51"/>
  <c r="AT30" i="51"/>
  <c r="AU30" i="51"/>
  <c r="AV30" i="51"/>
  <c r="D31" i="51"/>
  <c r="E31" i="51"/>
  <c r="F31" i="51"/>
  <c r="G31" i="51"/>
  <c r="H31" i="51"/>
  <c r="I31" i="51"/>
  <c r="J31" i="51"/>
  <c r="K31" i="51"/>
  <c r="L31" i="51"/>
  <c r="M31" i="51"/>
  <c r="N31" i="51"/>
  <c r="O31" i="51"/>
  <c r="P31" i="51"/>
  <c r="Q31" i="51"/>
  <c r="R31" i="51"/>
  <c r="S31" i="51"/>
  <c r="T31" i="51"/>
  <c r="U31" i="51"/>
  <c r="V31" i="51"/>
  <c r="W31" i="51"/>
  <c r="X31" i="51"/>
  <c r="Y31" i="51"/>
  <c r="Z31" i="51"/>
  <c r="AA31" i="51"/>
  <c r="AB31" i="51"/>
  <c r="AC31" i="51"/>
  <c r="AD31" i="51"/>
  <c r="AE31" i="51"/>
  <c r="AF31" i="51"/>
  <c r="AG31" i="51"/>
  <c r="AH31" i="51"/>
  <c r="AI31" i="51"/>
  <c r="AJ31" i="51"/>
  <c r="AK31" i="51"/>
  <c r="AL31" i="51"/>
  <c r="AM31" i="51"/>
  <c r="AN31" i="51"/>
  <c r="AO31" i="51"/>
  <c r="AP31" i="51"/>
  <c r="AQ31" i="51"/>
  <c r="AR31" i="51"/>
  <c r="AS31" i="51"/>
  <c r="AT31" i="51"/>
  <c r="AU31" i="51"/>
  <c r="AV31" i="51"/>
  <c r="D32" i="51"/>
  <c r="E32" i="51"/>
  <c r="F32" i="51"/>
  <c r="G32" i="51"/>
  <c r="H32" i="51"/>
  <c r="I32" i="51"/>
  <c r="J32" i="51"/>
  <c r="K32" i="51"/>
  <c r="L32" i="51"/>
  <c r="M32" i="51"/>
  <c r="N32" i="51"/>
  <c r="O32" i="51"/>
  <c r="P32" i="51"/>
  <c r="Q32" i="51"/>
  <c r="R32" i="51"/>
  <c r="S32" i="51"/>
  <c r="T32" i="51"/>
  <c r="U32" i="51"/>
  <c r="V32" i="51"/>
  <c r="W32" i="51"/>
  <c r="X32" i="51"/>
  <c r="Y32" i="51"/>
  <c r="Z32" i="51"/>
  <c r="AA32" i="51"/>
  <c r="AB32" i="51"/>
  <c r="AC32" i="51"/>
  <c r="AD32" i="51"/>
  <c r="AE32" i="51"/>
  <c r="AF32" i="51"/>
  <c r="AG32" i="51"/>
  <c r="AH32" i="51"/>
  <c r="AI32" i="51"/>
  <c r="AJ32" i="51"/>
  <c r="AK32" i="51"/>
  <c r="AL32" i="51"/>
  <c r="AM32" i="51"/>
  <c r="AN32" i="51"/>
  <c r="AO32" i="51"/>
  <c r="AP32" i="51"/>
  <c r="AQ32" i="51"/>
  <c r="AR32" i="51"/>
  <c r="AS32" i="51"/>
  <c r="AT32" i="51"/>
  <c r="AU32" i="51"/>
  <c r="AV32" i="51"/>
  <c r="D33" i="51"/>
  <c r="E33" i="51"/>
  <c r="F33" i="51"/>
  <c r="G33" i="51"/>
  <c r="H33" i="51"/>
  <c r="I33" i="51"/>
  <c r="J33" i="51"/>
  <c r="K33" i="51"/>
  <c r="L33" i="51"/>
  <c r="M33" i="51"/>
  <c r="N33" i="51"/>
  <c r="O33" i="51"/>
  <c r="P33" i="51"/>
  <c r="Q33" i="51"/>
  <c r="R33" i="51"/>
  <c r="S33" i="51"/>
  <c r="T33" i="51"/>
  <c r="U33" i="51"/>
  <c r="V33" i="51"/>
  <c r="W33" i="51"/>
  <c r="X33" i="51"/>
  <c r="Y33" i="51"/>
  <c r="Z33" i="51"/>
  <c r="AA33" i="51"/>
  <c r="AB33" i="51"/>
  <c r="AC33" i="51"/>
  <c r="AD33" i="51"/>
  <c r="AE33" i="51"/>
  <c r="AF33" i="51"/>
  <c r="AG33" i="51"/>
  <c r="AH33" i="51"/>
  <c r="AI33" i="51"/>
  <c r="AJ33" i="51"/>
  <c r="AK33" i="51"/>
  <c r="AL33" i="51"/>
  <c r="AM33" i="51"/>
  <c r="AN33" i="51"/>
  <c r="AO33" i="51"/>
  <c r="AP33" i="51"/>
  <c r="AQ33" i="51"/>
  <c r="AR33" i="51"/>
  <c r="AS33" i="51"/>
  <c r="AT33" i="51"/>
  <c r="AU33" i="51"/>
  <c r="AV33" i="51"/>
  <c r="D34" i="51"/>
  <c r="E34" i="51"/>
  <c r="F34" i="51"/>
  <c r="G34" i="51"/>
  <c r="H34" i="51"/>
  <c r="I34" i="51"/>
  <c r="J34" i="51"/>
  <c r="K34" i="51"/>
  <c r="L34" i="51"/>
  <c r="M34" i="51"/>
  <c r="N34" i="51"/>
  <c r="O34" i="51"/>
  <c r="P34" i="51"/>
  <c r="Q34" i="51"/>
  <c r="R34" i="51"/>
  <c r="S34" i="51"/>
  <c r="T34" i="51"/>
  <c r="U34" i="51"/>
  <c r="V34" i="51"/>
  <c r="W34" i="51"/>
  <c r="X34" i="51"/>
  <c r="Y34" i="51"/>
  <c r="Z34" i="51"/>
  <c r="AA34" i="51"/>
  <c r="AB34" i="51"/>
  <c r="AC34" i="51"/>
  <c r="AD34" i="51"/>
  <c r="AE34" i="51"/>
  <c r="AF34" i="51"/>
  <c r="AG34" i="51"/>
  <c r="AH34" i="51"/>
  <c r="AI34" i="51"/>
  <c r="AJ34" i="51"/>
  <c r="AK34" i="51"/>
  <c r="AL34" i="51"/>
  <c r="AM34" i="51"/>
  <c r="AN34" i="51"/>
  <c r="AO34" i="51"/>
  <c r="AP34" i="51"/>
  <c r="AQ34" i="51"/>
  <c r="AR34" i="51"/>
  <c r="AS34" i="51"/>
  <c r="AT34" i="51"/>
  <c r="AU34" i="51"/>
  <c r="AV34" i="51"/>
  <c r="D35" i="51"/>
  <c r="E35" i="51"/>
  <c r="F35" i="51"/>
  <c r="G35" i="51"/>
  <c r="H35" i="51"/>
  <c r="I35" i="51"/>
  <c r="J35" i="51"/>
  <c r="K35" i="51"/>
  <c r="L35" i="51"/>
  <c r="M35" i="51"/>
  <c r="N35" i="51"/>
  <c r="O35" i="51"/>
  <c r="P35" i="51"/>
  <c r="Q35" i="51"/>
  <c r="R35" i="51"/>
  <c r="S35" i="51"/>
  <c r="T35" i="51"/>
  <c r="U35" i="51"/>
  <c r="V35" i="51"/>
  <c r="W35" i="51"/>
  <c r="X35" i="51"/>
  <c r="Y35" i="51"/>
  <c r="Z35" i="51"/>
  <c r="AA35" i="51"/>
  <c r="AB35" i="51"/>
  <c r="AC35" i="51"/>
  <c r="AD35" i="51"/>
  <c r="AE35" i="51"/>
  <c r="AF35" i="51"/>
  <c r="AG35" i="51"/>
  <c r="AH35" i="51"/>
  <c r="AI35" i="51"/>
  <c r="AJ35" i="51"/>
  <c r="AK35" i="51"/>
  <c r="AL35" i="51"/>
  <c r="AM35" i="51"/>
  <c r="AN35" i="51"/>
  <c r="AO35" i="51"/>
  <c r="AP35" i="51"/>
  <c r="AQ35" i="51"/>
  <c r="AR35" i="51"/>
  <c r="AS35" i="51"/>
  <c r="AT35" i="51"/>
  <c r="AU35" i="51"/>
  <c r="AV35" i="51"/>
  <c r="D36" i="51"/>
  <c r="E36" i="51"/>
  <c r="F36" i="51"/>
  <c r="G36" i="51"/>
  <c r="H36" i="51"/>
  <c r="I36" i="51"/>
  <c r="J36" i="51"/>
  <c r="K36" i="51"/>
  <c r="L36" i="51"/>
  <c r="M36" i="51"/>
  <c r="N36" i="51"/>
  <c r="O36" i="51"/>
  <c r="P36" i="51"/>
  <c r="Q36" i="51"/>
  <c r="R36" i="51"/>
  <c r="S36" i="51"/>
  <c r="T36" i="51"/>
  <c r="U36" i="51"/>
  <c r="V36" i="51"/>
  <c r="W36" i="51"/>
  <c r="X36" i="51"/>
  <c r="Y36" i="51"/>
  <c r="Z36" i="51"/>
  <c r="AA36" i="51"/>
  <c r="AB36" i="51"/>
  <c r="AC36" i="51"/>
  <c r="AD36" i="51"/>
  <c r="AE36" i="51"/>
  <c r="AF36" i="51"/>
  <c r="AG36" i="51"/>
  <c r="AH36" i="51"/>
  <c r="AI36" i="51"/>
  <c r="AJ36" i="51"/>
  <c r="AK36" i="51"/>
  <c r="AL36" i="51"/>
  <c r="AM36" i="51"/>
  <c r="AN36" i="51"/>
  <c r="AO36" i="51"/>
  <c r="AP36" i="51"/>
  <c r="AQ36" i="51"/>
  <c r="AR36" i="51"/>
  <c r="AS36" i="51"/>
  <c r="AT36" i="51"/>
  <c r="AU36" i="51"/>
  <c r="AV36" i="51"/>
  <c r="D37" i="51"/>
  <c r="E37" i="51"/>
  <c r="F37" i="51"/>
  <c r="G37" i="51"/>
  <c r="H37" i="51"/>
  <c r="I37" i="51"/>
  <c r="J37" i="51"/>
  <c r="K37" i="51"/>
  <c r="L37" i="51"/>
  <c r="M37" i="51"/>
  <c r="N37" i="51"/>
  <c r="O37" i="51"/>
  <c r="P37" i="51"/>
  <c r="Q37" i="51"/>
  <c r="R37" i="51"/>
  <c r="S37" i="51"/>
  <c r="T37" i="51"/>
  <c r="U37" i="51"/>
  <c r="V37" i="51"/>
  <c r="W37" i="51"/>
  <c r="X37" i="51"/>
  <c r="Y37" i="51"/>
  <c r="Z37" i="51"/>
  <c r="AA37" i="51"/>
  <c r="AB37" i="51"/>
  <c r="AC37" i="51"/>
  <c r="AD37" i="51"/>
  <c r="AE37" i="51"/>
  <c r="AF37" i="51"/>
  <c r="AG37" i="51"/>
  <c r="AH37" i="51"/>
  <c r="AI37" i="51"/>
  <c r="AJ37" i="51"/>
  <c r="AK37" i="51"/>
  <c r="AL37" i="51"/>
  <c r="AM37" i="51"/>
  <c r="AN37" i="51"/>
  <c r="AO37" i="51"/>
  <c r="AP37" i="51"/>
  <c r="AQ37" i="51"/>
  <c r="AR37" i="51"/>
  <c r="AS37" i="51"/>
  <c r="AT37" i="51"/>
  <c r="AU37" i="51"/>
  <c r="AV37" i="51"/>
  <c r="D38" i="51"/>
  <c r="E38" i="51"/>
  <c r="F38" i="51"/>
  <c r="G38" i="51"/>
  <c r="H38" i="51"/>
  <c r="I38" i="51"/>
  <c r="J38" i="51"/>
  <c r="K38" i="51"/>
  <c r="L38" i="51"/>
  <c r="M38" i="51"/>
  <c r="N38" i="51"/>
  <c r="O38" i="51"/>
  <c r="P38" i="51"/>
  <c r="Q38" i="51"/>
  <c r="R38" i="51"/>
  <c r="S38" i="51"/>
  <c r="T38" i="51"/>
  <c r="U38" i="51"/>
  <c r="V38" i="51"/>
  <c r="W38" i="51"/>
  <c r="X38" i="51"/>
  <c r="Y38" i="51"/>
  <c r="Z38" i="51"/>
  <c r="AA38" i="51"/>
  <c r="AB38" i="51"/>
  <c r="AC38" i="51"/>
  <c r="AD38" i="51"/>
  <c r="AE38" i="51"/>
  <c r="AF38" i="51"/>
  <c r="AG38" i="51"/>
  <c r="AH38" i="51"/>
  <c r="AI38" i="51"/>
  <c r="AJ38" i="51"/>
  <c r="AK38" i="51"/>
  <c r="AL38" i="51"/>
  <c r="AM38" i="51"/>
  <c r="AN38" i="51"/>
  <c r="AO38" i="51"/>
  <c r="AP38" i="51"/>
  <c r="AQ38" i="51"/>
  <c r="AR38" i="51"/>
  <c r="AS38" i="51"/>
  <c r="AT38" i="51"/>
  <c r="AU38" i="51"/>
  <c r="AV38" i="51"/>
  <c r="D39" i="51"/>
  <c r="E39" i="51"/>
  <c r="F39" i="51"/>
  <c r="G39" i="51"/>
  <c r="H39" i="51"/>
  <c r="I39" i="51"/>
  <c r="J39" i="51"/>
  <c r="K39" i="51"/>
  <c r="L39" i="51"/>
  <c r="M39" i="51"/>
  <c r="N39" i="51"/>
  <c r="O39" i="51"/>
  <c r="P39" i="51"/>
  <c r="Q39" i="51"/>
  <c r="R39" i="51"/>
  <c r="S39" i="51"/>
  <c r="T39" i="51"/>
  <c r="U39" i="51"/>
  <c r="V39" i="51"/>
  <c r="W39" i="51"/>
  <c r="X39" i="51"/>
  <c r="Y39" i="51"/>
  <c r="Z39" i="51"/>
  <c r="AA39" i="51"/>
  <c r="AB39" i="51"/>
  <c r="AC39" i="51"/>
  <c r="AD39" i="51"/>
  <c r="AE39" i="51"/>
  <c r="AF39" i="51"/>
  <c r="AG39" i="51"/>
  <c r="AH39" i="51"/>
  <c r="AI39" i="51"/>
  <c r="AJ39" i="51"/>
  <c r="AK39" i="51"/>
  <c r="AL39" i="51"/>
  <c r="AM39" i="51"/>
  <c r="AN39" i="51"/>
  <c r="AO39" i="51"/>
  <c r="AP39" i="51"/>
  <c r="AQ39" i="51"/>
  <c r="AR39" i="51"/>
  <c r="AS39" i="51"/>
  <c r="AT39" i="51"/>
  <c r="AU39" i="51"/>
  <c r="AV39" i="51"/>
  <c r="D40" i="51"/>
  <c r="E40" i="51"/>
  <c r="F40" i="51"/>
  <c r="G40" i="51"/>
  <c r="H40" i="51"/>
  <c r="I40" i="51"/>
  <c r="J40" i="51"/>
  <c r="K40" i="51"/>
  <c r="L40" i="51"/>
  <c r="M40" i="51"/>
  <c r="N40" i="51"/>
  <c r="O40" i="51"/>
  <c r="P40" i="51"/>
  <c r="Q40" i="51"/>
  <c r="R40" i="51"/>
  <c r="S40" i="51"/>
  <c r="T40" i="51"/>
  <c r="U40" i="51"/>
  <c r="V40" i="51"/>
  <c r="W40" i="51"/>
  <c r="X40" i="51"/>
  <c r="Y40" i="51"/>
  <c r="Z40" i="51"/>
  <c r="AA40" i="51"/>
  <c r="AB40" i="51"/>
  <c r="AC40" i="51"/>
  <c r="AD40" i="51"/>
  <c r="AE40" i="51"/>
  <c r="AF40" i="51"/>
  <c r="AG40" i="51"/>
  <c r="AH40" i="51"/>
  <c r="AI40" i="51"/>
  <c r="AJ40" i="51"/>
  <c r="AK40" i="51"/>
  <c r="AL40" i="51"/>
  <c r="AM40" i="51"/>
  <c r="AN40" i="51"/>
  <c r="AO40" i="51"/>
  <c r="AP40" i="51"/>
  <c r="AQ40" i="51"/>
  <c r="AR40" i="51"/>
  <c r="AS40" i="51"/>
  <c r="AT40" i="51"/>
  <c r="AU40" i="51"/>
  <c r="AV40" i="51"/>
  <c r="D17" i="51"/>
  <c r="E17" i="51"/>
  <c r="F17" i="51"/>
  <c r="G17" i="51"/>
  <c r="H17" i="51"/>
  <c r="I17" i="51"/>
  <c r="J17" i="51"/>
  <c r="K17" i="51"/>
  <c r="L17" i="51"/>
  <c r="M17" i="51"/>
  <c r="N17" i="51"/>
  <c r="O17" i="51"/>
  <c r="P17" i="51"/>
  <c r="Q17" i="51"/>
  <c r="R17" i="51"/>
  <c r="S17" i="51"/>
  <c r="T17" i="51"/>
  <c r="U17" i="51"/>
  <c r="V17" i="51"/>
  <c r="W17" i="51"/>
  <c r="X17" i="51"/>
  <c r="Y17" i="51"/>
  <c r="Z17" i="51"/>
  <c r="AA17" i="51"/>
  <c r="AB17" i="51"/>
  <c r="AC17" i="51"/>
  <c r="AD17" i="51"/>
  <c r="AE17" i="51"/>
  <c r="AF17" i="51"/>
  <c r="AG17" i="51"/>
  <c r="AH17" i="51"/>
  <c r="AI17" i="51"/>
  <c r="AJ17" i="51"/>
  <c r="AK17" i="51"/>
  <c r="AL17" i="51"/>
  <c r="AM17" i="51"/>
  <c r="AN17" i="51"/>
  <c r="AO17" i="51"/>
  <c r="AP17" i="51"/>
  <c r="AQ17" i="51"/>
  <c r="AR17" i="51"/>
  <c r="AS17" i="51"/>
  <c r="AT17" i="51"/>
  <c r="AU17" i="51"/>
  <c r="AV17" i="51"/>
  <c r="D18" i="51"/>
  <c r="E18" i="51"/>
  <c r="F18" i="51"/>
  <c r="G18" i="51"/>
  <c r="H18" i="51"/>
  <c r="I18" i="51"/>
  <c r="J18" i="51"/>
  <c r="K18" i="51"/>
  <c r="L18" i="51"/>
  <c r="M18" i="51"/>
  <c r="N18" i="51"/>
  <c r="O18" i="51"/>
  <c r="P18" i="51"/>
  <c r="Q18" i="51"/>
  <c r="R18" i="51"/>
  <c r="S18" i="51"/>
  <c r="T18" i="51"/>
  <c r="U18" i="51"/>
  <c r="V18" i="51"/>
  <c r="W18" i="51"/>
  <c r="X18" i="51"/>
  <c r="Y18" i="51"/>
  <c r="Z18" i="51"/>
  <c r="AA18" i="51"/>
  <c r="AB18" i="51"/>
  <c r="AC18" i="51"/>
  <c r="AD18" i="51"/>
  <c r="AE18" i="51"/>
  <c r="AF18" i="51"/>
  <c r="AG18" i="51"/>
  <c r="AH18" i="51"/>
  <c r="AI18" i="51"/>
  <c r="AJ18" i="51"/>
  <c r="AK18" i="51"/>
  <c r="AL18" i="51"/>
  <c r="AM18" i="51"/>
  <c r="AN18" i="51"/>
  <c r="AO18" i="51"/>
  <c r="AP18" i="51"/>
  <c r="AQ18" i="51"/>
  <c r="AR18" i="51"/>
  <c r="AS18" i="51"/>
  <c r="AT18" i="51"/>
  <c r="AU18" i="51"/>
  <c r="AV18" i="51"/>
  <c r="D19" i="51"/>
  <c r="E19" i="51"/>
  <c r="F19" i="51"/>
  <c r="G19" i="51"/>
  <c r="H19" i="51"/>
  <c r="I19" i="51"/>
  <c r="J19" i="51"/>
  <c r="K19" i="51"/>
  <c r="L19" i="51"/>
  <c r="M19" i="51"/>
  <c r="N19" i="51"/>
  <c r="O19" i="51"/>
  <c r="P19" i="51"/>
  <c r="Q19" i="51"/>
  <c r="R19" i="51"/>
  <c r="S19" i="51"/>
  <c r="T19" i="51"/>
  <c r="U19" i="51"/>
  <c r="V19" i="51"/>
  <c r="W19" i="51"/>
  <c r="X19" i="51"/>
  <c r="Y19" i="51"/>
  <c r="Z19" i="51"/>
  <c r="AA19" i="51"/>
  <c r="AB19" i="51"/>
  <c r="AC19" i="51"/>
  <c r="AD19" i="51"/>
  <c r="AE19" i="51"/>
  <c r="AF19" i="51"/>
  <c r="AG19" i="51"/>
  <c r="AH19" i="51"/>
  <c r="AI19" i="51"/>
  <c r="AJ19" i="51"/>
  <c r="AK19" i="51"/>
  <c r="AL19" i="51"/>
  <c r="AM19" i="51"/>
  <c r="AN19" i="51"/>
  <c r="AO19" i="51"/>
  <c r="AP19" i="51"/>
  <c r="AQ19" i="51"/>
  <c r="AR19" i="51"/>
  <c r="AS19" i="51"/>
  <c r="AT19" i="51"/>
  <c r="AU19" i="51"/>
  <c r="AV19" i="51"/>
  <c r="D20" i="51"/>
  <c r="E20" i="51"/>
  <c r="F20" i="51"/>
  <c r="G20" i="51"/>
  <c r="H20" i="51"/>
  <c r="I20" i="51"/>
  <c r="J20" i="51"/>
  <c r="K20" i="51"/>
  <c r="L20" i="51"/>
  <c r="M20" i="51"/>
  <c r="N20" i="51"/>
  <c r="O20" i="51"/>
  <c r="P20" i="51"/>
  <c r="Q20" i="51"/>
  <c r="R20" i="51"/>
  <c r="S20" i="51"/>
  <c r="T20" i="51"/>
  <c r="U20" i="51"/>
  <c r="V20" i="51"/>
  <c r="W20" i="51"/>
  <c r="X20" i="51"/>
  <c r="Y20" i="51"/>
  <c r="Z20" i="51"/>
  <c r="AA20" i="51"/>
  <c r="AB20" i="51"/>
  <c r="AC20" i="51"/>
  <c r="AD20" i="51"/>
  <c r="AE20" i="51"/>
  <c r="AF20" i="51"/>
  <c r="AG20" i="51"/>
  <c r="AH20" i="51"/>
  <c r="AI20" i="51"/>
  <c r="AJ20" i="51"/>
  <c r="AK20" i="51"/>
  <c r="AL20" i="51"/>
  <c r="AM20" i="51"/>
  <c r="AN20" i="51"/>
  <c r="AO20" i="51"/>
  <c r="AP20" i="51"/>
  <c r="AQ20" i="51"/>
  <c r="AR20" i="51"/>
  <c r="AS20" i="51"/>
  <c r="AT20" i="51"/>
  <c r="AU20" i="51"/>
  <c r="AV20" i="51"/>
  <c r="D21" i="51"/>
  <c r="E21" i="51"/>
  <c r="F21" i="51"/>
  <c r="G21" i="51"/>
  <c r="H21" i="51"/>
  <c r="I21" i="51"/>
  <c r="J21" i="51"/>
  <c r="K21" i="51"/>
  <c r="L21" i="51"/>
  <c r="M21" i="51"/>
  <c r="N21" i="51"/>
  <c r="O21" i="51"/>
  <c r="P21" i="51"/>
  <c r="Q21" i="51"/>
  <c r="R21" i="51"/>
  <c r="S21" i="51"/>
  <c r="T21" i="51"/>
  <c r="U21" i="51"/>
  <c r="V21" i="51"/>
  <c r="W21" i="51"/>
  <c r="X21" i="51"/>
  <c r="Y21" i="51"/>
  <c r="Z21" i="51"/>
  <c r="AA21" i="51"/>
  <c r="AB21" i="51"/>
  <c r="AC21" i="51"/>
  <c r="AD21" i="51"/>
  <c r="AE21" i="51"/>
  <c r="AF21" i="51"/>
  <c r="AG21" i="51"/>
  <c r="AH21" i="51"/>
  <c r="AI21" i="51"/>
  <c r="AJ21" i="51"/>
  <c r="AK21" i="51"/>
  <c r="AL21" i="51"/>
  <c r="AM21" i="51"/>
  <c r="AN21" i="51"/>
  <c r="AO21" i="51"/>
  <c r="AP21" i="51"/>
  <c r="AQ21" i="51"/>
  <c r="AR21" i="51"/>
  <c r="AS21" i="51"/>
  <c r="AT21" i="51"/>
  <c r="AU21" i="51"/>
  <c r="AV21" i="51"/>
  <c r="D22" i="51"/>
  <c r="E22" i="51"/>
  <c r="F22" i="51"/>
  <c r="G22" i="51"/>
  <c r="H22" i="51"/>
  <c r="I22" i="51"/>
  <c r="J22" i="51"/>
  <c r="K22" i="51"/>
  <c r="L22" i="51"/>
  <c r="M22" i="51"/>
  <c r="N22" i="51"/>
  <c r="O22" i="51"/>
  <c r="P22" i="51"/>
  <c r="Q22" i="51"/>
  <c r="R22" i="51"/>
  <c r="S22" i="51"/>
  <c r="T22" i="51"/>
  <c r="U22" i="51"/>
  <c r="V22" i="51"/>
  <c r="W22" i="51"/>
  <c r="X22" i="51"/>
  <c r="Y22" i="51"/>
  <c r="Z22" i="51"/>
  <c r="AA22" i="51"/>
  <c r="AB22" i="51"/>
  <c r="AC22" i="51"/>
  <c r="AD22" i="51"/>
  <c r="AE22" i="51"/>
  <c r="AF22" i="51"/>
  <c r="AG22" i="51"/>
  <c r="AH22" i="51"/>
  <c r="AI22" i="51"/>
  <c r="AJ22" i="51"/>
  <c r="AK22" i="51"/>
  <c r="AL22" i="51"/>
  <c r="AM22" i="51"/>
  <c r="AN22" i="51"/>
  <c r="AO22" i="51"/>
  <c r="AP22" i="51"/>
  <c r="AQ22" i="51"/>
  <c r="AR22" i="51"/>
  <c r="AS22" i="51"/>
  <c r="AT22" i="51"/>
  <c r="AU22" i="51"/>
  <c r="AV22" i="51"/>
  <c r="D23" i="51"/>
  <c r="E23" i="51"/>
  <c r="F23" i="51"/>
  <c r="G23" i="51"/>
  <c r="H23" i="51"/>
  <c r="I23" i="51"/>
  <c r="J23" i="51"/>
  <c r="K23" i="51"/>
  <c r="L23" i="51"/>
  <c r="M23" i="51"/>
  <c r="N23" i="51"/>
  <c r="O23" i="51"/>
  <c r="P23" i="51"/>
  <c r="Q23" i="51"/>
  <c r="R23" i="51"/>
  <c r="S23" i="51"/>
  <c r="T23" i="51"/>
  <c r="U23" i="51"/>
  <c r="V23" i="51"/>
  <c r="W23" i="51"/>
  <c r="X23" i="51"/>
  <c r="Y23" i="51"/>
  <c r="Z23" i="51"/>
  <c r="AA23" i="51"/>
  <c r="AB23" i="51"/>
  <c r="AC23" i="51"/>
  <c r="AD23" i="51"/>
  <c r="AE23" i="51"/>
  <c r="AF23" i="51"/>
  <c r="AG23" i="51"/>
  <c r="AH23" i="51"/>
  <c r="AI23" i="51"/>
  <c r="AJ23" i="51"/>
  <c r="AK23" i="51"/>
  <c r="AL23" i="51"/>
  <c r="AM23" i="51"/>
  <c r="AN23" i="51"/>
  <c r="AO23" i="51"/>
  <c r="AP23" i="51"/>
  <c r="AQ23" i="51"/>
  <c r="AR23" i="51"/>
  <c r="AS23" i="51"/>
  <c r="AT23" i="51"/>
  <c r="AU23" i="51"/>
  <c r="AV23" i="51"/>
  <c r="D24" i="51"/>
  <c r="E24" i="51"/>
  <c r="F24" i="51"/>
  <c r="G24" i="51"/>
  <c r="H24" i="51"/>
  <c r="I24" i="51"/>
  <c r="J24" i="51"/>
  <c r="K24" i="51"/>
  <c r="L24" i="51"/>
  <c r="M24" i="51"/>
  <c r="N24" i="51"/>
  <c r="O24" i="51"/>
  <c r="P24" i="51"/>
  <c r="Q24" i="51"/>
  <c r="R24" i="51"/>
  <c r="S24" i="51"/>
  <c r="T24" i="51"/>
  <c r="U24" i="51"/>
  <c r="V24" i="51"/>
  <c r="W24" i="51"/>
  <c r="X24" i="51"/>
  <c r="Y24" i="51"/>
  <c r="Z24" i="51"/>
  <c r="AA24" i="51"/>
  <c r="AB24" i="51"/>
  <c r="AC24" i="51"/>
  <c r="AD24" i="51"/>
  <c r="AE24" i="51"/>
  <c r="AF24" i="51"/>
  <c r="AG24" i="51"/>
  <c r="AH24" i="51"/>
  <c r="AI24" i="51"/>
  <c r="AJ24" i="51"/>
  <c r="AK24" i="51"/>
  <c r="AL24" i="51"/>
  <c r="AM24" i="51"/>
  <c r="AN24" i="51"/>
  <c r="AO24" i="51"/>
  <c r="AP24" i="51"/>
  <c r="AQ24" i="51"/>
  <c r="AR24" i="51"/>
  <c r="AS24" i="51"/>
  <c r="AT24" i="51"/>
  <c r="AU24" i="51"/>
  <c r="AV24" i="51"/>
  <c r="D25" i="51"/>
  <c r="E25" i="51"/>
  <c r="F25" i="51"/>
  <c r="G25" i="51"/>
  <c r="H25" i="51"/>
  <c r="I25" i="51"/>
  <c r="J25" i="51"/>
  <c r="K25" i="51"/>
  <c r="L25" i="51"/>
  <c r="M25" i="51"/>
  <c r="N25" i="51"/>
  <c r="O25" i="51"/>
  <c r="P25" i="51"/>
  <c r="Q25" i="51"/>
  <c r="R25" i="51"/>
  <c r="S25" i="51"/>
  <c r="T25" i="51"/>
  <c r="U25" i="51"/>
  <c r="V25" i="51"/>
  <c r="W25" i="51"/>
  <c r="X25" i="51"/>
  <c r="Y25" i="51"/>
  <c r="Z25" i="51"/>
  <c r="AA25" i="51"/>
  <c r="AB25" i="51"/>
  <c r="AC25" i="51"/>
  <c r="AD25" i="51"/>
  <c r="AE25" i="51"/>
  <c r="AF25" i="51"/>
  <c r="AG25" i="51"/>
  <c r="AH25" i="51"/>
  <c r="AI25" i="51"/>
  <c r="AJ25" i="51"/>
  <c r="AK25" i="51"/>
  <c r="AL25" i="51"/>
  <c r="AM25" i="51"/>
  <c r="AN25" i="51"/>
  <c r="AO25" i="51"/>
  <c r="AP25" i="51"/>
  <c r="AQ25" i="51"/>
  <c r="AR25" i="51"/>
  <c r="AS25" i="51"/>
  <c r="AT25" i="51"/>
  <c r="AU25" i="51"/>
  <c r="AV25" i="51"/>
  <c r="D26" i="51"/>
  <c r="E26" i="51"/>
  <c r="F26" i="51"/>
  <c r="G26" i="51"/>
  <c r="H26" i="51"/>
  <c r="I26" i="51"/>
  <c r="J26" i="51"/>
  <c r="K26" i="51"/>
  <c r="L26" i="51"/>
  <c r="M26" i="51"/>
  <c r="N26" i="51"/>
  <c r="O26" i="51"/>
  <c r="P26" i="51"/>
  <c r="Q26" i="51"/>
  <c r="R26" i="51"/>
  <c r="S26" i="51"/>
  <c r="T26" i="51"/>
  <c r="U26" i="51"/>
  <c r="V26" i="51"/>
  <c r="W26" i="51"/>
  <c r="X26" i="51"/>
  <c r="Y26" i="51"/>
  <c r="Z26" i="51"/>
  <c r="AA26" i="51"/>
  <c r="AB26" i="51"/>
  <c r="AC26" i="51"/>
  <c r="AD26" i="51"/>
  <c r="AE26" i="51"/>
  <c r="AF26" i="51"/>
  <c r="AG26" i="51"/>
  <c r="AH26" i="51"/>
  <c r="AI26" i="51"/>
  <c r="AJ26" i="51"/>
  <c r="AK26" i="51"/>
  <c r="AL26" i="51"/>
  <c r="AM26" i="51"/>
  <c r="AN26" i="51"/>
  <c r="AO26" i="51"/>
  <c r="AP26" i="51"/>
  <c r="AQ26" i="51"/>
  <c r="AR26" i="51"/>
  <c r="AS26" i="51"/>
  <c r="AT26" i="51"/>
  <c r="AU26" i="51"/>
  <c r="AV26" i="51"/>
  <c r="D27" i="51"/>
  <c r="E27" i="51"/>
  <c r="F27" i="51"/>
  <c r="G27" i="51"/>
  <c r="H27" i="51"/>
  <c r="I27" i="51"/>
  <c r="J27" i="51"/>
  <c r="K27" i="51"/>
  <c r="L27" i="51"/>
  <c r="M27" i="51"/>
  <c r="N27" i="51"/>
  <c r="O27" i="51"/>
  <c r="P27" i="51"/>
  <c r="Q27" i="51"/>
  <c r="R27" i="51"/>
  <c r="S27" i="51"/>
  <c r="T27" i="51"/>
  <c r="U27" i="51"/>
  <c r="V27" i="51"/>
  <c r="W27" i="51"/>
  <c r="X27" i="51"/>
  <c r="Y27" i="51"/>
  <c r="Z27" i="51"/>
  <c r="AA27" i="51"/>
  <c r="AB27" i="51"/>
  <c r="AC27" i="51"/>
  <c r="AD27" i="51"/>
  <c r="AE27" i="51"/>
  <c r="AF27" i="51"/>
  <c r="AG27" i="51"/>
  <c r="AH27" i="51"/>
  <c r="AI27" i="51"/>
  <c r="AJ27" i="51"/>
  <c r="AK27" i="51"/>
  <c r="AL27" i="51"/>
  <c r="AM27" i="51"/>
  <c r="AN27" i="51"/>
  <c r="AO27" i="51"/>
  <c r="AP27" i="51"/>
  <c r="AQ27" i="51"/>
  <c r="AR27" i="51"/>
  <c r="AS27" i="51"/>
  <c r="AT27" i="51"/>
  <c r="AU27" i="51"/>
  <c r="AV27" i="51"/>
  <c r="D28" i="51"/>
  <c r="E28" i="51"/>
  <c r="F28" i="51"/>
  <c r="G28" i="51"/>
  <c r="H28" i="51"/>
  <c r="I28" i="51"/>
  <c r="J28" i="51"/>
  <c r="K28" i="51"/>
  <c r="L28" i="51"/>
  <c r="M28" i="51"/>
  <c r="N28" i="51"/>
  <c r="O28" i="51"/>
  <c r="P28" i="51"/>
  <c r="Q28" i="51"/>
  <c r="R28" i="51"/>
  <c r="S28" i="51"/>
  <c r="T28" i="51"/>
  <c r="U28" i="51"/>
  <c r="V28" i="51"/>
  <c r="W28" i="51"/>
  <c r="X28" i="51"/>
  <c r="Y28" i="51"/>
  <c r="Z28" i="51"/>
  <c r="AA28" i="51"/>
  <c r="AB28" i="51"/>
  <c r="AC28" i="51"/>
  <c r="AD28" i="51"/>
  <c r="AE28" i="51"/>
  <c r="AF28" i="51"/>
  <c r="AG28" i="51"/>
  <c r="AH28" i="51"/>
  <c r="AI28" i="51"/>
  <c r="AJ28" i="51"/>
  <c r="AK28" i="51"/>
  <c r="AL28" i="51"/>
  <c r="AM28" i="51"/>
  <c r="AN28" i="51"/>
  <c r="AO28" i="51"/>
  <c r="AP28" i="51"/>
  <c r="AQ28" i="51"/>
  <c r="AR28" i="51"/>
  <c r="AS28" i="51"/>
  <c r="AT28" i="51"/>
  <c r="AU28" i="51"/>
  <c r="AV28" i="51"/>
  <c r="D4" i="51" l="1"/>
  <c r="E4" i="51"/>
  <c r="F4" i="51"/>
  <c r="G4" i="51"/>
  <c r="H4" i="51"/>
  <c r="I4" i="51"/>
  <c r="J4" i="51"/>
  <c r="K4" i="51"/>
  <c r="L4" i="51"/>
  <c r="M4" i="51"/>
  <c r="N4" i="51"/>
  <c r="O4" i="51"/>
  <c r="P4" i="51"/>
  <c r="Q4" i="51"/>
  <c r="R4" i="51"/>
  <c r="S4" i="51"/>
  <c r="T4" i="51"/>
  <c r="U4" i="51"/>
  <c r="V4" i="51"/>
  <c r="W4" i="51"/>
  <c r="X4" i="51"/>
  <c r="Y4" i="51"/>
  <c r="Z4" i="51"/>
  <c r="AA4" i="51"/>
  <c r="AB4" i="51"/>
  <c r="AC4" i="51"/>
  <c r="AD4" i="51"/>
  <c r="AE4" i="51"/>
  <c r="AF4" i="51"/>
  <c r="AG4" i="51"/>
  <c r="AH4" i="51"/>
  <c r="AI4" i="51"/>
  <c r="AJ4" i="51"/>
  <c r="AK4" i="51"/>
  <c r="AL4" i="51"/>
  <c r="AM4" i="51"/>
  <c r="AN4" i="51"/>
  <c r="AO4" i="51"/>
  <c r="AP4" i="51"/>
  <c r="AQ4" i="51"/>
  <c r="AR4" i="51"/>
  <c r="AS4" i="51"/>
  <c r="AT4" i="51"/>
  <c r="AU4" i="51"/>
  <c r="AV4" i="51"/>
  <c r="D5" i="51"/>
  <c r="E5" i="51"/>
  <c r="F5" i="51"/>
  <c r="G5" i="51"/>
  <c r="H5" i="51"/>
  <c r="I5" i="51"/>
  <c r="J5" i="51"/>
  <c r="K5" i="51"/>
  <c r="L5" i="51"/>
  <c r="M5" i="51"/>
  <c r="N5" i="51"/>
  <c r="O5" i="51"/>
  <c r="P5" i="51"/>
  <c r="Q5" i="51"/>
  <c r="R5" i="51"/>
  <c r="S5" i="51"/>
  <c r="T5" i="51"/>
  <c r="U5" i="51"/>
  <c r="V5" i="51"/>
  <c r="W5" i="51"/>
  <c r="X5" i="51"/>
  <c r="Y5" i="51"/>
  <c r="Z5" i="51"/>
  <c r="AA5" i="51"/>
  <c r="AB5" i="51"/>
  <c r="AC5" i="51"/>
  <c r="AD5" i="51"/>
  <c r="AE5" i="51"/>
  <c r="AF5" i="51"/>
  <c r="AG5" i="51"/>
  <c r="AH5" i="51"/>
  <c r="AI5" i="51"/>
  <c r="AJ5" i="51"/>
  <c r="AK5" i="51"/>
  <c r="AL5" i="51"/>
  <c r="AM5" i="51"/>
  <c r="AN5" i="51"/>
  <c r="AO5" i="51"/>
  <c r="AP5" i="51"/>
  <c r="AQ5" i="51"/>
  <c r="AR5" i="51"/>
  <c r="AS5" i="51"/>
  <c r="AT5" i="51"/>
  <c r="AU5" i="51"/>
  <c r="AV5" i="51"/>
  <c r="D6" i="51"/>
  <c r="E6" i="51"/>
  <c r="F6" i="51"/>
  <c r="G6" i="51"/>
  <c r="H6" i="51"/>
  <c r="I6" i="51"/>
  <c r="J6" i="51"/>
  <c r="K6" i="51"/>
  <c r="L6" i="51"/>
  <c r="M6" i="51"/>
  <c r="N6" i="51"/>
  <c r="O6" i="51"/>
  <c r="P6" i="51"/>
  <c r="Q6" i="51"/>
  <c r="R6" i="51"/>
  <c r="S6" i="51"/>
  <c r="T6" i="51"/>
  <c r="U6" i="51"/>
  <c r="V6" i="51"/>
  <c r="W6" i="51"/>
  <c r="X6" i="51"/>
  <c r="Y6" i="51"/>
  <c r="Z6" i="51"/>
  <c r="AA6" i="51"/>
  <c r="AB6" i="51"/>
  <c r="AC6" i="51"/>
  <c r="AD6" i="51"/>
  <c r="AE6" i="51"/>
  <c r="AF6" i="51"/>
  <c r="AG6" i="51"/>
  <c r="AH6" i="51"/>
  <c r="AI6" i="51"/>
  <c r="AJ6" i="51"/>
  <c r="AK6" i="51"/>
  <c r="AL6" i="51"/>
  <c r="AM6" i="51"/>
  <c r="AN6" i="51"/>
  <c r="AO6" i="51"/>
  <c r="AP6" i="51"/>
  <c r="AQ6" i="51"/>
  <c r="AR6" i="51"/>
  <c r="AS6" i="51"/>
  <c r="AT6" i="51"/>
  <c r="AU6" i="51"/>
  <c r="AV6" i="51"/>
  <c r="D7" i="51"/>
  <c r="E7" i="51"/>
  <c r="F7" i="51"/>
  <c r="G7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AD7" i="51"/>
  <c r="AE7" i="51"/>
  <c r="AF7" i="51"/>
  <c r="AG7" i="51"/>
  <c r="AH7" i="51"/>
  <c r="AI7" i="51"/>
  <c r="AJ7" i="51"/>
  <c r="AK7" i="51"/>
  <c r="AL7" i="51"/>
  <c r="AM7" i="51"/>
  <c r="AN7" i="51"/>
  <c r="AO7" i="51"/>
  <c r="AP7" i="51"/>
  <c r="AQ7" i="51"/>
  <c r="AR7" i="51"/>
  <c r="AS7" i="51"/>
  <c r="AT7" i="51"/>
  <c r="AU7" i="51"/>
  <c r="AV7" i="51"/>
  <c r="D8" i="51"/>
  <c r="E8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A8" i="51"/>
  <c r="AB8" i="51"/>
  <c r="AC8" i="51"/>
  <c r="AD8" i="51"/>
  <c r="AE8" i="51"/>
  <c r="AF8" i="51"/>
  <c r="AG8" i="51"/>
  <c r="AH8" i="51"/>
  <c r="AI8" i="51"/>
  <c r="AJ8" i="51"/>
  <c r="AK8" i="51"/>
  <c r="AL8" i="51"/>
  <c r="AM8" i="51"/>
  <c r="AN8" i="51"/>
  <c r="AO8" i="51"/>
  <c r="AP8" i="51"/>
  <c r="AQ8" i="51"/>
  <c r="AR8" i="51"/>
  <c r="AS8" i="51"/>
  <c r="AT8" i="51"/>
  <c r="AU8" i="51"/>
  <c r="AV8" i="5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AI9" i="51"/>
  <c r="AJ9" i="51"/>
  <c r="AK9" i="51"/>
  <c r="AL9" i="51"/>
  <c r="AM9" i="51"/>
  <c r="AN9" i="51"/>
  <c r="AO9" i="51"/>
  <c r="AP9" i="51"/>
  <c r="AQ9" i="51"/>
  <c r="AR9" i="51"/>
  <c r="AS9" i="51"/>
  <c r="AT9" i="51"/>
  <c r="AU9" i="51"/>
  <c r="AV9" i="51"/>
  <c r="D10" i="51"/>
  <c r="E10" i="51"/>
  <c r="F10" i="51"/>
  <c r="G10" i="51"/>
  <c r="H10" i="51"/>
  <c r="I10" i="51"/>
  <c r="J10" i="51"/>
  <c r="K10" i="51"/>
  <c r="L10" i="51"/>
  <c r="M10" i="51"/>
  <c r="N10" i="51"/>
  <c r="O10" i="51"/>
  <c r="P10" i="51"/>
  <c r="Q10" i="51"/>
  <c r="R10" i="51"/>
  <c r="S10" i="51"/>
  <c r="T10" i="51"/>
  <c r="U10" i="51"/>
  <c r="V10" i="51"/>
  <c r="W10" i="51"/>
  <c r="X10" i="51"/>
  <c r="Y10" i="51"/>
  <c r="Z10" i="51"/>
  <c r="AA10" i="51"/>
  <c r="AB10" i="51"/>
  <c r="AC10" i="51"/>
  <c r="AD10" i="51"/>
  <c r="AE10" i="51"/>
  <c r="AF10" i="51"/>
  <c r="AG10" i="51"/>
  <c r="AH10" i="51"/>
  <c r="AI10" i="51"/>
  <c r="AJ10" i="51"/>
  <c r="AK10" i="51"/>
  <c r="AL10" i="51"/>
  <c r="AM10" i="51"/>
  <c r="AN10" i="51"/>
  <c r="AO10" i="51"/>
  <c r="AP10" i="51"/>
  <c r="AQ10" i="51"/>
  <c r="AR10" i="51"/>
  <c r="AS10" i="51"/>
  <c r="AT10" i="51"/>
  <c r="AU10" i="51"/>
  <c r="AV10" i="5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AI11" i="51"/>
  <c r="AJ11" i="51"/>
  <c r="AK11" i="51"/>
  <c r="AL11" i="51"/>
  <c r="AM11" i="51"/>
  <c r="AN11" i="51"/>
  <c r="AO11" i="51"/>
  <c r="AP11" i="51"/>
  <c r="AQ11" i="51"/>
  <c r="AR11" i="51"/>
  <c r="AS11" i="51"/>
  <c r="AT11" i="51"/>
  <c r="AU11" i="51"/>
  <c r="AV11" i="51"/>
  <c r="D12" i="51"/>
  <c r="E12" i="51"/>
  <c r="F12" i="51"/>
  <c r="G12" i="51"/>
  <c r="H12" i="51"/>
  <c r="I12" i="51"/>
  <c r="J12" i="51"/>
  <c r="K12" i="51"/>
  <c r="L12" i="51"/>
  <c r="M12" i="51"/>
  <c r="N12" i="51"/>
  <c r="O12" i="51"/>
  <c r="P12" i="51"/>
  <c r="Q12" i="51"/>
  <c r="R12" i="51"/>
  <c r="S12" i="51"/>
  <c r="T12" i="51"/>
  <c r="U12" i="51"/>
  <c r="V12" i="51"/>
  <c r="W12" i="51"/>
  <c r="X12" i="51"/>
  <c r="Y12" i="51"/>
  <c r="Z12" i="51"/>
  <c r="AA12" i="51"/>
  <c r="AB12" i="51"/>
  <c r="AC12" i="51"/>
  <c r="AD12" i="51"/>
  <c r="AE12" i="51"/>
  <c r="AF12" i="51"/>
  <c r="AG12" i="51"/>
  <c r="AH12" i="51"/>
  <c r="AI12" i="51"/>
  <c r="AJ12" i="51"/>
  <c r="AK12" i="51"/>
  <c r="AL12" i="51"/>
  <c r="AM12" i="51"/>
  <c r="AN12" i="51"/>
  <c r="AO12" i="51"/>
  <c r="AP12" i="51"/>
  <c r="AQ12" i="51"/>
  <c r="AR12" i="51"/>
  <c r="AS12" i="51"/>
  <c r="AT12" i="51"/>
  <c r="AU12" i="51"/>
  <c r="AV12" i="51"/>
  <c r="D13" i="51"/>
  <c r="E13" i="51"/>
  <c r="F13" i="51"/>
  <c r="G13" i="51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A13" i="51"/>
  <c r="AB13" i="51"/>
  <c r="AC13" i="51"/>
  <c r="AD13" i="51"/>
  <c r="AE13" i="51"/>
  <c r="AF13" i="51"/>
  <c r="AG13" i="51"/>
  <c r="AH13" i="51"/>
  <c r="AI13" i="51"/>
  <c r="AJ13" i="51"/>
  <c r="AK13" i="51"/>
  <c r="AL13" i="51"/>
  <c r="AM13" i="51"/>
  <c r="AN13" i="51"/>
  <c r="AO13" i="51"/>
  <c r="AP13" i="51"/>
  <c r="AQ13" i="51"/>
  <c r="AR13" i="51"/>
  <c r="AS13" i="51"/>
  <c r="AT13" i="51"/>
  <c r="AU13" i="51"/>
  <c r="AV13" i="51"/>
  <c r="D14" i="51"/>
  <c r="E14" i="51"/>
  <c r="F14" i="51"/>
  <c r="G14" i="51"/>
  <c r="H14" i="51"/>
  <c r="I14" i="51"/>
  <c r="J14" i="51"/>
  <c r="K14" i="51"/>
  <c r="L14" i="51"/>
  <c r="M14" i="51"/>
  <c r="N14" i="51"/>
  <c r="O14" i="51"/>
  <c r="P14" i="51"/>
  <c r="Q14" i="51"/>
  <c r="R14" i="51"/>
  <c r="S14" i="51"/>
  <c r="T14" i="51"/>
  <c r="U14" i="51"/>
  <c r="V14" i="51"/>
  <c r="W14" i="51"/>
  <c r="X14" i="51"/>
  <c r="Y14" i="51"/>
  <c r="Z14" i="51"/>
  <c r="AA14" i="51"/>
  <c r="AB14" i="51"/>
  <c r="AC14" i="51"/>
  <c r="AD14" i="51"/>
  <c r="AE14" i="51"/>
  <c r="AF14" i="51"/>
  <c r="AG14" i="51"/>
  <c r="AH14" i="51"/>
  <c r="AI14" i="51"/>
  <c r="AJ14" i="51"/>
  <c r="AK14" i="51"/>
  <c r="AL14" i="51"/>
  <c r="AM14" i="51"/>
  <c r="AN14" i="51"/>
  <c r="AO14" i="51"/>
  <c r="AP14" i="51"/>
  <c r="AQ14" i="51"/>
  <c r="AR14" i="51"/>
  <c r="AS14" i="51"/>
  <c r="AT14" i="51"/>
  <c r="AU14" i="51"/>
  <c r="AV14" i="51"/>
  <c r="D15" i="51"/>
  <c r="E15" i="51"/>
  <c r="F15" i="51"/>
  <c r="G15" i="51"/>
  <c r="H15" i="51"/>
  <c r="I15" i="51"/>
  <c r="J15" i="51"/>
  <c r="K15" i="51"/>
  <c r="L15" i="51"/>
  <c r="M15" i="51"/>
  <c r="N15" i="51"/>
  <c r="O15" i="51"/>
  <c r="P15" i="51"/>
  <c r="Q15" i="51"/>
  <c r="R15" i="51"/>
  <c r="S15" i="51"/>
  <c r="T15" i="51"/>
  <c r="U15" i="51"/>
  <c r="V15" i="51"/>
  <c r="W15" i="51"/>
  <c r="X15" i="51"/>
  <c r="Y15" i="51"/>
  <c r="Z15" i="51"/>
  <c r="AA15" i="51"/>
  <c r="AB15" i="51"/>
  <c r="AC15" i="51"/>
  <c r="AD15" i="51"/>
  <c r="AE15" i="51"/>
  <c r="AF15" i="51"/>
  <c r="AG15" i="51"/>
  <c r="AH15" i="51"/>
  <c r="AI15" i="51"/>
  <c r="AJ15" i="51"/>
  <c r="AK15" i="51"/>
  <c r="AL15" i="51"/>
  <c r="AM15" i="51"/>
  <c r="AN15" i="51"/>
  <c r="AO15" i="51"/>
  <c r="AP15" i="51"/>
  <c r="AQ15" i="51"/>
  <c r="AR15" i="51"/>
  <c r="AS15" i="51"/>
  <c r="AT15" i="51"/>
  <c r="AU15" i="51"/>
  <c r="AV15" i="51"/>
  <c r="D16" i="51"/>
  <c r="E16" i="51"/>
  <c r="F16" i="51"/>
  <c r="G16" i="51"/>
  <c r="H16" i="51"/>
  <c r="I16" i="51"/>
  <c r="J16" i="51"/>
  <c r="K16" i="51"/>
  <c r="L16" i="51"/>
  <c r="M16" i="51"/>
  <c r="N16" i="51"/>
  <c r="O16" i="51"/>
  <c r="P16" i="51"/>
  <c r="Q16" i="51"/>
  <c r="R16" i="51"/>
  <c r="S16" i="51"/>
  <c r="T16" i="51"/>
  <c r="U16" i="51"/>
  <c r="V16" i="51"/>
  <c r="W16" i="51"/>
  <c r="X16" i="51"/>
  <c r="Y16" i="51"/>
  <c r="Z16" i="51"/>
  <c r="AA16" i="51"/>
  <c r="AB16" i="51"/>
  <c r="AC16" i="51"/>
  <c r="AD16" i="51"/>
  <c r="AE16" i="51"/>
  <c r="AF16" i="51"/>
  <c r="AG16" i="51"/>
  <c r="AH16" i="51"/>
  <c r="AI16" i="51"/>
  <c r="AJ16" i="51"/>
  <c r="AK16" i="51"/>
  <c r="AL16" i="51"/>
  <c r="AM16" i="51"/>
  <c r="AN16" i="51"/>
  <c r="AO16" i="51"/>
  <c r="AP16" i="51"/>
  <c r="AQ16" i="51"/>
  <c r="AR16" i="51"/>
  <c r="AS16" i="51"/>
  <c r="AT16" i="51"/>
  <c r="AU16" i="51"/>
  <c r="AV16" i="51"/>
  <c r="A36" i="1" l="1"/>
  <c r="D4" i="50"/>
  <c r="E4" i="50"/>
  <c r="F4" i="50"/>
  <c r="G4" i="50"/>
  <c r="H4" i="50"/>
  <c r="B5" i="50"/>
  <c r="D5" i="50"/>
  <c r="E5" i="50"/>
  <c r="F5" i="50"/>
  <c r="G5" i="50"/>
  <c r="H5" i="50"/>
  <c r="B6" i="50"/>
  <c r="D6" i="50"/>
  <c r="E6" i="50"/>
  <c r="F6" i="50"/>
  <c r="G6" i="50"/>
  <c r="H6" i="50"/>
  <c r="B7" i="50"/>
  <c r="B8" i="50"/>
  <c r="D8" i="50"/>
  <c r="E8" i="50"/>
  <c r="F8" i="50"/>
  <c r="G8" i="50"/>
  <c r="H8" i="50"/>
  <c r="D9" i="50"/>
  <c r="E9" i="50"/>
  <c r="F9" i="50"/>
  <c r="G9" i="50"/>
  <c r="H9" i="50"/>
  <c r="D10" i="50"/>
  <c r="E10" i="50"/>
  <c r="F10" i="50"/>
  <c r="G10" i="50"/>
  <c r="H10" i="50"/>
  <c r="B11" i="50"/>
  <c r="D11" i="50"/>
  <c r="E11" i="50"/>
  <c r="F11" i="50"/>
  <c r="G11" i="50"/>
  <c r="H11" i="50"/>
  <c r="B12" i="50"/>
  <c r="B13" i="50"/>
  <c r="C13" i="50"/>
  <c r="D13" i="50"/>
  <c r="E13" i="50"/>
  <c r="F13" i="50"/>
  <c r="G13" i="50"/>
  <c r="H13" i="50"/>
  <c r="D14" i="50"/>
  <c r="E14" i="50"/>
  <c r="F14" i="50"/>
  <c r="G14" i="50"/>
  <c r="H14" i="50"/>
  <c r="D15" i="50"/>
  <c r="E15" i="50"/>
  <c r="F15" i="50"/>
  <c r="G15" i="50"/>
  <c r="H15" i="50"/>
  <c r="C16" i="50"/>
  <c r="D16" i="50"/>
  <c r="E16" i="50"/>
  <c r="F16" i="50"/>
  <c r="G16" i="50"/>
  <c r="H16" i="50"/>
  <c r="D17" i="50"/>
  <c r="E17" i="50"/>
  <c r="F17" i="50"/>
  <c r="G17" i="50"/>
  <c r="H17" i="50"/>
  <c r="D18" i="50"/>
  <c r="E18" i="50"/>
  <c r="F18" i="50"/>
  <c r="G18" i="50"/>
  <c r="H18" i="50"/>
  <c r="C19" i="50"/>
  <c r="D19" i="50"/>
  <c r="E19" i="50"/>
  <c r="F19" i="50"/>
  <c r="G19" i="50"/>
  <c r="H19" i="50"/>
  <c r="D20" i="50"/>
  <c r="E20" i="50"/>
  <c r="F20" i="50"/>
  <c r="G20" i="50"/>
  <c r="H20" i="50"/>
  <c r="D21" i="50"/>
  <c r="E21" i="50"/>
  <c r="F21" i="50"/>
  <c r="G21" i="50"/>
  <c r="H21" i="50"/>
  <c r="C22" i="50"/>
  <c r="D22" i="50"/>
  <c r="E22" i="50"/>
  <c r="F22" i="50"/>
  <c r="G22" i="50"/>
  <c r="H22" i="50"/>
  <c r="D23" i="50"/>
  <c r="E23" i="50"/>
  <c r="F23" i="50"/>
  <c r="G23" i="50"/>
  <c r="H23" i="50"/>
  <c r="D24" i="50"/>
  <c r="E24" i="50"/>
  <c r="F24" i="50"/>
  <c r="G24" i="50"/>
  <c r="H24" i="50"/>
  <c r="C25" i="50"/>
  <c r="D25" i="50"/>
  <c r="E25" i="50"/>
  <c r="F25" i="50"/>
  <c r="G25" i="50"/>
  <c r="H25" i="50"/>
  <c r="D26" i="50"/>
  <c r="E26" i="50"/>
  <c r="F26" i="50"/>
  <c r="G26" i="50"/>
  <c r="H26" i="50"/>
  <c r="D27" i="50"/>
  <c r="E27" i="50"/>
  <c r="F27" i="50"/>
  <c r="G27" i="50"/>
  <c r="H27" i="50"/>
  <c r="B28" i="50"/>
  <c r="B29" i="50"/>
  <c r="C29" i="50"/>
  <c r="D29" i="50"/>
  <c r="E29" i="50"/>
  <c r="F29" i="50"/>
  <c r="G29" i="50"/>
  <c r="H29" i="50"/>
  <c r="D30" i="50"/>
  <c r="E30" i="50"/>
  <c r="F30" i="50"/>
  <c r="G30" i="50"/>
  <c r="H30" i="50"/>
  <c r="D31" i="50"/>
  <c r="E31" i="50"/>
  <c r="F31" i="50"/>
  <c r="G31" i="50"/>
  <c r="H31" i="50"/>
  <c r="C32" i="50"/>
  <c r="D32" i="50"/>
  <c r="E32" i="50"/>
  <c r="F32" i="50"/>
  <c r="G32" i="50"/>
  <c r="H32" i="50"/>
  <c r="D33" i="50"/>
  <c r="E33" i="50"/>
  <c r="F33" i="50"/>
  <c r="G33" i="50"/>
  <c r="H33" i="50"/>
  <c r="D34" i="50"/>
  <c r="E34" i="50"/>
  <c r="F34" i="50"/>
  <c r="G34" i="50"/>
  <c r="H34" i="50"/>
  <c r="C35" i="50"/>
  <c r="D35" i="50"/>
  <c r="E35" i="50"/>
  <c r="F35" i="50"/>
  <c r="G35" i="50"/>
  <c r="H35" i="50"/>
  <c r="D36" i="50"/>
  <c r="E36" i="50"/>
  <c r="F36" i="50"/>
  <c r="G36" i="50"/>
  <c r="H36" i="50"/>
  <c r="D37" i="50"/>
  <c r="E37" i="50"/>
  <c r="F37" i="50"/>
  <c r="G37" i="50"/>
  <c r="H37" i="50"/>
  <c r="C38" i="50"/>
  <c r="D38" i="50"/>
  <c r="E38" i="50"/>
  <c r="F38" i="50"/>
  <c r="G38" i="50"/>
  <c r="H38" i="50"/>
  <c r="D39" i="50"/>
  <c r="E39" i="50"/>
  <c r="F39" i="50"/>
  <c r="G39" i="50"/>
  <c r="H39" i="50"/>
  <c r="D40" i="50"/>
  <c r="E40" i="50"/>
  <c r="F40" i="50"/>
  <c r="G40" i="50"/>
  <c r="H40" i="50"/>
  <c r="C41" i="50"/>
  <c r="D41" i="50"/>
  <c r="E41" i="50"/>
  <c r="F41" i="50"/>
  <c r="G41" i="50"/>
  <c r="H41" i="50"/>
  <c r="D42" i="50"/>
  <c r="E42" i="50"/>
  <c r="F42" i="50"/>
  <c r="G42" i="50"/>
  <c r="H42" i="50"/>
  <c r="D43" i="50"/>
  <c r="E43" i="50"/>
  <c r="F43" i="50"/>
  <c r="G43" i="50"/>
  <c r="H43" i="50"/>
  <c r="A25" i="1" l="1"/>
  <c r="D4" i="49"/>
  <c r="E4" i="49"/>
  <c r="F4" i="49"/>
  <c r="G4" i="49"/>
  <c r="H4" i="49"/>
  <c r="B5" i="49"/>
  <c r="C5" i="49"/>
  <c r="D5" i="49"/>
  <c r="E5" i="49"/>
  <c r="F5" i="49"/>
  <c r="G5" i="49"/>
  <c r="H5" i="49"/>
  <c r="B6" i="49"/>
  <c r="C6" i="49"/>
  <c r="D6" i="49"/>
  <c r="E6" i="49"/>
  <c r="F6" i="49"/>
  <c r="G6" i="49"/>
  <c r="H6" i="49"/>
  <c r="B7" i="49"/>
  <c r="C7" i="49"/>
  <c r="D7" i="49"/>
  <c r="E7" i="49"/>
  <c r="F7" i="49"/>
  <c r="G7" i="49"/>
  <c r="H7" i="49"/>
  <c r="B8" i="49"/>
  <c r="C8" i="49"/>
  <c r="D8" i="49"/>
  <c r="E8" i="49"/>
  <c r="F8" i="49"/>
  <c r="G8" i="49"/>
  <c r="H8" i="49"/>
  <c r="B9" i="49"/>
  <c r="C9" i="49"/>
  <c r="D9" i="49"/>
  <c r="E9" i="49"/>
  <c r="F9" i="49"/>
  <c r="G9" i="49"/>
  <c r="H9" i="49"/>
  <c r="B10" i="49"/>
  <c r="C10" i="49"/>
  <c r="D10" i="49"/>
  <c r="E10" i="49"/>
  <c r="F10" i="49"/>
  <c r="G10" i="49"/>
  <c r="H10" i="49"/>
  <c r="B11" i="49"/>
  <c r="C11" i="49"/>
  <c r="D11" i="49"/>
  <c r="E11" i="49"/>
  <c r="F11" i="49"/>
  <c r="G11" i="49"/>
  <c r="H11" i="49"/>
  <c r="B12" i="49"/>
  <c r="C12" i="49"/>
  <c r="D12" i="49"/>
  <c r="E12" i="49"/>
  <c r="F12" i="49"/>
  <c r="G12" i="49"/>
  <c r="H12" i="49"/>
  <c r="B13" i="49"/>
  <c r="C13" i="49"/>
  <c r="D13" i="49"/>
  <c r="E13" i="49"/>
  <c r="F13" i="49"/>
  <c r="G13" i="49"/>
  <c r="H13" i="49"/>
  <c r="B14" i="49"/>
  <c r="C14" i="49"/>
  <c r="D14" i="49"/>
  <c r="E14" i="49"/>
  <c r="F14" i="49"/>
  <c r="G14" i="49"/>
  <c r="H14" i="49"/>
  <c r="B15" i="49"/>
  <c r="C15" i="49"/>
  <c r="D15" i="49"/>
  <c r="E15" i="49"/>
  <c r="F15" i="49"/>
  <c r="G15" i="49"/>
  <c r="H15" i="49"/>
  <c r="B16" i="49"/>
  <c r="C16" i="49"/>
  <c r="D16" i="49"/>
  <c r="E16" i="49"/>
  <c r="F16" i="49"/>
  <c r="G16" i="49"/>
  <c r="H16" i="49"/>
  <c r="B17" i="49"/>
  <c r="C17" i="49"/>
  <c r="D17" i="49"/>
  <c r="E17" i="49"/>
  <c r="F17" i="49"/>
  <c r="G17" i="49"/>
  <c r="H17" i="49"/>
  <c r="B18" i="49"/>
  <c r="C18" i="49"/>
  <c r="D18" i="49"/>
  <c r="E18" i="49"/>
  <c r="F18" i="49"/>
  <c r="G18" i="49"/>
  <c r="H18" i="49"/>
  <c r="B19" i="49"/>
  <c r="C19" i="49"/>
  <c r="D19" i="49"/>
  <c r="E19" i="49"/>
  <c r="F19" i="49"/>
  <c r="G19" i="49"/>
  <c r="H19" i="49"/>
  <c r="B20" i="49"/>
  <c r="C20" i="49"/>
  <c r="D20" i="49"/>
  <c r="E20" i="49"/>
  <c r="F20" i="49"/>
  <c r="G20" i="49"/>
  <c r="H20" i="49"/>
  <c r="B21" i="49"/>
  <c r="C21" i="49"/>
  <c r="D21" i="49"/>
  <c r="E21" i="49"/>
  <c r="F21" i="49"/>
  <c r="G21" i="49"/>
  <c r="H21" i="49"/>
  <c r="B22" i="49"/>
  <c r="C22" i="49"/>
  <c r="D22" i="49"/>
  <c r="E22" i="49"/>
  <c r="F22" i="49"/>
  <c r="G22" i="49"/>
  <c r="H22" i="49"/>
  <c r="B23" i="49"/>
  <c r="C23" i="49"/>
  <c r="D23" i="49"/>
  <c r="E23" i="49"/>
  <c r="F23" i="49"/>
  <c r="G23" i="49"/>
  <c r="H23" i="49"/>
  <c r="B24" i="49"/>
  <c r="C24" i="49"/>
  <c r="D24" i="49"/>
  <c r="E24" i="49"/>
  <c r="F24" i="49"/>
  <c r="G24" i="49"/>
  <c r="H24" i="49"/>
  <c r="B25" i="49"/>
  <c r="C25" i="49"/>
  <c r="D25" i="49"/>
  <c r="E25" i="49"/>
  <c r="F25" i="49"/>
  <c r="G25" i="49"/>
  <c r="H25" i="49"/>
  <c r="B26" i="49"/>
  <c r="C26" i="49"/>
  <c r="D26" i="49"/>
  <c r="E26" i="49"/>
  <c r="F26" i="49"/>
  <c r="G26" i="49"/>
  <c r="H26" i="49"/>
  <c r="B27" i="49"/>
  <c r="C27" i="49"/>
  <c r="D27" i="49"/>
  <c r="E27" i="49"/>
  <c r="F27" i="49"/>
  <c r="G27" i="49"/>
  <c r="H27" i="49"/>
  <c r="B28" i="49"/>
  <c r="C28" i="49"/>
  <c r="D28" i="49"/>
  <c r="E28" i="49"/>
  <c r="F28" i="49"/>
  <c r="G28" i="49"/>
  <c r="H28" i="49"/>
  <c r="B29" i="49"/>
  <c r="C29" i="49"/>
  <c r="D29" i="49"/>
  <c r="E29" i="49"/>
  <c r="F29" i="49"/>
  <c r="G29" i="49"/>
  <c r="H29" i="49"/>
  <c r="B30" i="49"/>
  <c r="C30" i="49"/>
  <c r="D30" i="49"/>
  <c r="E30" i="49"/>
  <c r="F30" i="49"/>
  <c r="G30" i="49"/>
  <c r="H30" i="49"/>
  <c r="B31" i="49"/>
  <c r="C31" i="49"/>
  <c r="D31" i="49"/>
  <c r="E31" i="49"/>
  <c r="F31" i="49"/>
  <c r="G31" i="49"/>
  <c r="H31" i="49"/>
  <c r="B32" i="49"/>
  <c r="C32" i="49"/>
  <c r="D32" i="49"/>
  <c r="E32" i="49"/>
  <c r="F32" i="49"/>
  <c r="G32" i="49"/>
  <c r="H32" i="49"/>
  <c r="B33" i="49"/>
  <c r="C33" i="49"/>
  <c r="D33" i="49"/>
  <c r="E33" i="49"/>
  <c r="F33" i="49"/>
  <c r="G33" i="49"/>
  <c r="H33" i="49"/>
  <c r="B34" i="49"/>
  <c r="C34" i="49"/>
  <c r="D34" i="49"/>
  <c r="E34" i="49"/>
  <c r="F34" i="49"/>
  <c r="G34" i="49"/>
  <c r="H34" i="49"/>
  <c r="B35" i="49"/>
  <c r="C35" i="49"/>
  <c r="D35" i="49"/>
  <c r="E35" i="49"/>
  <c r="F35" i="49"/>
  <c r="G35" i="49"/>
  <c r="H35" i="49"/>
  <c r="B36" i="49"/>
  <c r="C36" i="49"/>
  <c r="D36" i="49"/>
  <c r="E36" i="49"/>
  <c r="F36" i="49"/>
  <c r="G36" i="49"/>
  <c r="H36" i="49"/>
  <c r="B37" i="49"/>
  <c r="C37" i="49"/>
  <c r="D37" i="49"/>
  <c r="E37" i="49"/>
  <c r="F37" i="49"/>
  <c r="G37" i="49"/>
  <c r="H37" i="49"/>
  <c r="B38" i="49"/>
  <c r="C38" i="49"/>
  <c r="D38" i="49"/>
  <c r="E38" i="49"/>
  <c r="F38" i="49"/>
  <c r="G38" i="49"/>
  <c r="H38" i="49"/>
  <c r="B39" i="49"/>
  <c r="C39" i="49"/>
  <c r="D39" i="49"/>
  <c r="E39" i="49"/>
  <c r="F39" i="49"/>
  <c r="G39" i="49"/>
  <c r="H39" i="49"/>
  <c r="B40" i="49"/>
  <c r="C40" i="49"/>
  <c r="D40" i="49"/>
  <c r="E40" i="49"/>
  <c r="F40" i="49"/>
  <c r="G40" i="49"/>
  <c r="H40" i="49"/>
  <c r="B41" i="49"/>
  <c r="C41" i="49"/>
  <c r="D41" i="49"/>
  <c r="E41" i="49"/>
  <c r="F41" i="49"/>
  <c r="G41" i="49"/>
  <c r="H41" i="49"/>
  <c r="B42" i="49"/>
  <c r="C42" i="49"/>
  <c r="D42" i="49"/>
  <c r="E42" i="49"/>
  <c r="F42" i="49"/>
  <c r="G42" i="49"/>
  <c r="H42" i="49"/>
  <c r="B43" i="49"/>
  <c r="C43" i="49"/>
  <c r="D43" i="49"/>
  <c r="E43" i="49"/>
  <c r="F43" i="49"/>
  <c r="G43" i="49"/>
  <c r="H43" i="49"/>
  <c r="D4" i="48" l="1"/>
  <c r="E4" i="48"/>
  <c r="F4" i="48"/>
  <c r="G4" i="48"/>
  <c r="H4" i="48"/>
  <c r="B5" i="48"/>
  <c r="C5" i="48"/>
  <c r="D5" i="48"/>
  <c r="E5" i="48"/>
  <c r="F5" i="48"/>
  <c r="G5" i="48"/>
  <c r="H5" i="48"/>
  <c r="B6" i="48"/>
  <c r="C6" i="48"/>
  <c r="D6" i="48"/>
  <c r="E6" i="48"/>
  <c r="F6" i="48"/>
  <c r="G6" i="48"/>
  <c r="H6" i="48"/>
  <c r="B7" i="48"/>
  <c r="C7" i="48"/>
  <c r="D7" i="48"/>
  <c r="E7" i="48"/>
  <c r="F7" i="48"/>
  <c r="G7" i="48"/>
  <c r="H7" i="48"/>
  <c r="B8" i="48"/>
  <c r="C8" i="48"/>
  <c r="D8" i="48"/>
  <c r="E8" i="48"/>
  <c r="F8" i="48"/>
  <c r="G8" i="48"/>
  <c r="H8" i="48"/>
  <c r="B9" i="48"/>
  <c r="C9" i="48"/>
  <c r="D9" i="48"/>
  <c r="E9" i="48"/>
  <c r="F9" i="48"/>
  <c r="G9" i="48"/>
  <c r="H9" i="48"/>
  <c r="B10" i="48"/>
  <c r="C10" i="48"/>
  <c r="D10" i="48"/>
  <c r="E10" i="48"/>
  <c r="F10" i="48"/>
  <c r="G10" i="48"/>
  <c r="H10" i="48"/>
  <c r="B11" i="48"/>
  <c r="C11" i="48"/>
  <c r="D11" i="48"/>
  <c r="E11" i="48"/>
  <c r="F11" i="48"/>
  <c r="G11" i="48"/>
  <c r="H11" i="48"/>
  <c r="B12" i="48"/>
  <c r="C12" i="48"/>
  <c r="D12" i="48"/>
  <c r="E12" i="48"/>
  <c r="F12" i="48"/>
  <c r="G12" i="48"/>
  <c r="H12" i="48"/>
  <c r="B13" i="48"/>
  <c r="C13" i="48"/>
  <c r="D13" i="48"/>
  <c r="E13" i="48"/>
  <c r="F13" i="48"/>
  <c r="G13" i="48"/>
  <c r="H13" i="48"/>
  <c r="B14" i="48"/>
  <c r="C14" i="48"/>
  <c r="D14" i="48"/>
  <c r="E14" i="48"/>
  <c r="F14" i="48"/>
  <c r="G14" i="48"/>
  <c r="H14" i="48"/>
  <c r="B15" i="48"/>
  <c r="C15" i="48"/>
  <c r="D15" i="48"/>
  <c r="E15" i="48"/>
  <c r="F15" i="48"/>
  <c r="G15" i="48"/>
  <c r="H15" i="48"/>
  <c r="B16" i="48"/>
  <c r="C16" i="48"/>
  <c r="D16" i="48"/>
  <c r="E16" i="48"/>
  <c r="F16" i="48"/>
  <c r="G16" i="48"/>
  <c r="H16" i="48"/>
  <c r="B17" i="48"/>
  <c r="C17" i="48"/>
  <c r="D17" i="48"/>
  <c r="E17" i="48"/>
  <c r="F17" i="48"/>
  <c r="G17" i="48"/>
  <c r="H17" i="48"/>
  <c r="B18" i="48"/>
  <c r="C18" i="48"/>
  <c r="D18" i="48"/>
  <c r="E18" i="48"/>
  <c r="F18" i="48"/>
  <c r="G18" i="48"/>
  <c r="H18" i="48"/>
  <c r="B19" i="48"/>
  <c r="C19" i="48"/>
  <c r="D19" i="48"/>
  <c r="E19" i="48"/>
  <c r="F19" i="48"/>
  <c r="G19" i="48"/>
  <c r="H19" i="48"/>
  <c r="B20" i="48"/>
  <c r="C20" i="48"/>
  <c r="D20" i="48"/>
  <c r="E20" i="48"/>
  <c r="F20" i="48"/>
  <c r="G20" i="48"/>
  <c r="H20" i="48"/>
  <c r="B21" i="48"/>
  <c r="C21" i="48"/>
  <c r="D21" i="48"/>
  <c r="E21" i="48"/>
  <c r="F21" i="48"/>
  <c r="G21" i="48"/>
  <c r="H21" i="48"/>
  <c r="B22" i="48"/>
  <c r="C22" i="48"/>
  <c r="D22" i="48"/>
  <c r="E22" i="48"/>
  <c r="F22" i="48"/>
  <c r="G22" i="48"/>
  <c r="H22" i="48"/>
  <c r="B23" i="48"/>
  <c r="C23" i="48"/>
  <c r="D23" i="48"/>
  <c r="E23" i="48"/>
  <c r="F23" i="48"/>
  <c r="G23" i="48"/>
  <c r="H23" i="48"/>
  <c r="B24" i="48"/>
  <c r="C24" i="48"/>
  <c r="D24" i="48"/>
  <c r="E24" i="48"/>
  <c r="F24" i="48"/>
  <c r="G24" i="48"/>
  <c r="H24" i="48"/>
  <c r="B25" i="48"/>
  <c r="C25" i="48"/>
  <c r="D25" i="48"/>
  <c r="E25" i="48"/>
  <c r="F25" i="48"/>
  <c r="G25" i="48"/>
  <c r="H25" i="48"/>
  <c r="B26" i="48"/>
  <c r="C26" i="48"/>
  <c r="D26" i="48"/>
  <c r="E26" i="48"/>
  <c r="F26" i="48"/>
  <c r="G26" i="48"/>
  <c r="H26" i="48"/>
  <c r="B27" i="48"/>
  <c r="C27" i="48"/>
  <c r="D27" i="48"/>
  <c r="E27" i="48"/>
  <c r="F27" i="48"/>
  <c r="G27" i="48"/>
  <c r="H27" i="48"/>
  <c r="B28" i="48"/>
  <c r="C28" i="48"/>
  <c r="D28" i="48"/>
  <c r="E28" i="48"/>
  <c r="F28" i="48"/>
  <c r="G28" i="48"/>
  <c r="H28" i="48"/>
  <c r="B29" i="48"/>
  <c r="C29" i="48"/>
  <c r="D29" i="48"/>
  <c r="E29" i="48"/>
  <c r="F29" i="48"/>
  <c r="G29" i="48"/>
  <c r="H29" i="48"/>
  <c r="B30" i="48"/>
  <c r="C30" i="48"/>
  <c r="D30" i="48"/>
  <c r="E30" i="48"/>
  <c r="F30" i="48"/>
  <c r="G30" i="48"/>
  <c r="H30" i="48"/>
  <c r="B31" i="48"/>
  <c r="C31" i="48"/>
  <c r="D31" i="48"/>
  <c r="E31" i="48"/>
  <c r="F31" i="48"/>
  <c r="G31" i="48"/>
  <c r="H31" i="48"/>
  <c r="A24" i="1"/>
  <c r="A23" i="1"/>
  <c r="A22" i="1"/>
  <c r="D4" i="46" l="1"/>
  <c r="E4" i="46"/>
  <c r="F4" i="46"/>
  <c r="G4" i="46"/>
  <c r="H4" i="46"/>
  <c r="B5" i="46"/>
  <c r="D5" i="46"/>
  <c r="E5" i="46"/>
  <c r="F5" i="46"/>
  <c r="G5" i="46"/>
  <c r="H5" i="46"/>
  <c r="B6" i="46"/>
  <c r="D6" i="46"/>
  <c r="E6" i="46"/>
  <c r="F6" i="46"/>
  <c r="G6" i="46"/>
  <c r="H6" i="46"/>
  <c r="B7" i="46"/>
  <c r="B8" i="46"/>
  <c r="D8" i="46"/>
  <c r="E8" i="46"/>
  <c r="F8" i="46"/>
  <c r="G8" i="46"/>
  <c r="H8" i="46"/>
  <c r="D9" i="46"/>
  <c r="E9" i="46"/>
  <c r="F9" i="46"/>
  <c r="G9" i="46"/>
  <c r="H9" i="46"/>
  <c r="D10" i="46"/>
  <c r="E10" i="46"/>
  <c r="F10" i="46"/>
  <c r="G10" i="46"/>
  <c r="H10" i="46"/>
  <c r="B11" i="46"/>
  <c r="B12" i="46"/>
  <c r="C12" i="46"/>
  <c r="D12" i="46"/>
  <c r="E12" i="46"/>
  <c r="F12" i="46"/>
  <c r="G12" i="46"/>
  <c r="H12" i="46"/>
  <c r="D13" i="46"/>
  <c r="E13" i="46"/>
  <c r="F13" i="46"/>
  <c r="G13" i="46"/>
  <c r="H13" i="46"/>
  <c r="D14" i="46"/>
  <c r="E14" i="46"/>
  <c r="F14" i="46"/>
  <c r="G14" i="46"/>
  <c r="H14" i="46"/>
  <c r="C15" i="46"/>
  <c r="D15" i="46"/>
  <c r="E15" i="46"/>
  <c r="F15" i="46"/>
  <c r="G15" i="46"/>
  <c r="H15" i="46"/>
  <c r="D16" i="46"/>
  <c r="E16" i="46"/>
  <c r="F16" i="46"/>
  <c r="G16" i="46"/>
  <c r="H16" i="46"/>
  <c r="D17" i="46"/>
  <c r="E17" i="46"/>
  <c r="F17" i="46"/>
  <c r="G17" i="46"/>
  <c r="H17" i="46"/>
  <c r="C18" i="46"/>
  <c r="D18" i="46"/>
  <c r="E18" i="46"/>
  <c r="F18" i="46"/>
  <c r="G18" i="46"/>
  <c r="H18" i="46"/>
  <c r="D19" i="46"/>
  <c r="E19" i="46"/>
  <c r="F19" i="46"/>
  <c r="G19" i="46"/>
  <c r="H19" i="46"/>
  <c r="D20" i="46"/>
  <c r="E20" i="46"/>
  <c r="F20" i="46"/>
  <c r="G20" i="46"/>
  <c r="H20" i="46"/>
  <c r="C21" i="46"/>
  <c r="D21" i="46"/>
  <c r="E21" i="46"/>
  <c r="F21" i="46"/>
  <c r="G21" i="46"/>
  <c r="H21" i="46"/>
  <c r="D22" i="46"/>
  <c r="E22" i="46"/>
  <c r="F22" i="46"/>
  <c r="G22" i="46"/>
  <c r="H22" i="46"/>
  <c r="D23" i="46"/>
  <c r="E23" i="46"/>
  <c r="F23" i="46"/>
  <c r="G23" i="46"/>
  <c r="H23" i="46"/>
  <c r="C24" i="46"/>
  <c r="D24" i="46"/>
  <c r="E24" i="46"/>
  <c r="F24" i="46"/>
  <c r="G24" i="46"/>
  <c r="H24" i="46"/>
  <c r="D25" i="46"/>
  <c r="E25" i="46"/>
  <c r="F25" i="46"/>
  <c r="G25" i="46"/>
  <c r="H25" i="46"/>
  <c r="D26" i="46"/>
  <c r="E26" i="46"/>
  <c r="F26" i="46"/>
  <c r="G26" i="46"/>
  <c r="H26" i="46"/>
  <c r="B27" i="46"/>
  <c r="B28" i="46"/>
  <c r="C28" i="46"/>
  <c r="D28" i="46"/>
  <c r="E28" i="46"/>
  <c r="F28" i="46"/>
  <c r="G28" i="46"/>
  <c r="H28" i="46"/>
  <c r="D29" i="46"/>
  <c r="E29" i="46"/>
  <c r="F29" i="46"/>
  <c r="G29" i="46"/>
  <c r="H29" i="46"/>
  <c r="D30" i="46"/>
  <c r="E30" i="46"/>
  <c r="F30" i="46"/>
  <c r="G30" i="46"/>
  <c r="H30" i="46"/>
  <c r="C31" i="46"/>
  <c r="D31" i="46"/>
  <c r="E31" i="46"/>
  <c r="F31" i="46"/>
  <c r="G31" i="46"/>
  <c r="H31" i="46"/>
  <c r="D32" i="46"/>
  <c r="E32" i="46"/>
  <c r="F32" i="46"/>
  <c r="G32" i="46"/>
  <c r="H32" i="46"/>
  <c r="D33" i="46"/>
  <c r="E33" i="46"/>
  <c r="F33" i="46"/>
  <c r="G33" i="46"/>
  <c r="H33" i="46"/>
  <c r="C34" i="46"/>
  <c r="D34" i="46"/>
  <c r="E34" i="46"/>
  <c r="F34" i="46"/>
  <c r="G34" i="46"/>
  <c r="H34" i="46"/>
  <c r="D35" i="46"/>
  <c r="E35" i="46"/>
  <c r="F35" i="46"/>
  <c r="G35" i="46"/>
  <c r="H35" i="46"/>
  <c r="D36" i="46"/>
  <c r="E36" i="46"/>
  <c r="F36" i="46"/>
  <c r="G36" i="46"/>
  <c r="H36" i="46"/>
  <c r="C37" i="46"/>
  <c r="D37" i="46"/>
  <c r="E37" i="46"/>
  <c r="F37" i="46"/>
  <c r="G37" i="46"/>
  <c r="H37" i="46"/>
  <c r="D38" i="46"/>
  <c r="E38" i="46"/>
  <c r="F38" i="46"/>
  <c r="G38" i="46"/>
  <c r="H38" i="46"/>
  <c r="D39" i="46"/>
  <c r="E39" i="46"/>
  <c r="F39" i="46"/>
  <c r="G39" i="46"/>
  <c r="H39" i="46"/>
  <c r="C40" i="46"/>
  <c r="D40" i="46"/>
  <c r="E40" i="46"/>
  <c r="F40" i="46"/>
  <c r="G40" i="46"/>
  <c r="H40" i="46"/>
  <c r="D41" i="46"/>
  <c r="E41" i="46"/>
  <c r="F41" i="46"/>
  <c r="G41" i="46"/>
  <c r="H41" i="46"/>
  <c r="D42" i="46"/>
  <c r="E42" i="46"/>
  <c r="F42" i="46"/>
  <c r="G42" i="46"/>
  <c r="H42" i="46"/>
  <c r="D4" i="45" l="1"/>
  <c r="E4" i="45"/>
  <c r="F4" i="45"/>
  <c r="G4" i="45"/>
  <c r="H4" i="45"/>
  <c r="B5" i="45"/>
  <c r="D5" i="45"/>
  <c r="E5" i="45"/>
  <c r="F5" i="45"/>
  <c r="G5" i="45"/>
  <c r="H5" i="45"/>
  <c r="B6" i="45"/>
  <c r="D6" i="45"/>
  <c r="E6" i="45"/>
  <c r="F6" i="45"/>
  <c r="G6" i="45"/>
  <c r="H6" i="45"/>
  <c r="B7" i="45"/>
  <c r="B8" i="45"/>
  <c r="D8" i="45"/>
  <c r="E8" i="45"/>
  <c r="F8" i="45"/>
  <c r="G8" i="45"/>
  <c r="H8" i="45"/>
  <c r="D9" i="45"/>
  <c r="E9" i="45"/>
  <c r="F9" i="45"/>
  <c r="G9" i="45"/>
  <c r="H9" i="45"/>
  <c r="D10" i="45"/>
  <c r="E10" i="45"/>
  <c r="F10" i="45"/>
  <c r="G10" i="45"/>
  <c r="H10" i="45"/>
  <c r="B11" i="45"/>
  <c r="B12" i="45"/>
  <c r="C12" i="45"/>
  <c r="D12" i="45"/>
  <c r="E12" i="45"/>
  <c r="F12" i="45"/>
  <c r="G12" i="45"/>
  <c r="H12" i="45"/>
  <c r="D13" i="45"/>
  <c r="E13" i="45"/>
  <c r="F13" i="45"/>
  <c r="G13" i="45"/>
  <c r="H13" i="45"/>
  <c r="D14" i="45"/>
  <c r="E14" i="45"/>
  <c r="F14" i="45"/>
  <c r="G14" i="45"/>
  <c r="H14" i="45"/>
  <c r="C15" i="45"/>
  <c r="D15" i="45"/>
  <c r="E15" i="45"/>
  <c r="F15" i="45"/>
  <c r="G15" i="45"/>
  <c r="H15" i="45"/>
  <c r="D16" i="45"/>
  <c r="E16" i="45"/>
  <c r="F16" i="45"/>
  <c r="G16" i="45"/>
  <c r="H16" i="45"/>
  <c r="D17" i="45"/>
  <c r="E17" i="45"/>
  <c r="F17" i="45"/>
  <c r="G17" i="45"/>
  <c r="H17" i="45"/>
  <c r="C18" i="45"/>
  <c r="D18" i="45"/>
  <c r="E18" i="45"/>
  <c r="F18" i="45"/>
  <c r="G18" i="45"/>
  <c r="H18" i="45"/>
  <c r="D19" i="45"/>
  <c r="E19" i="45"/>
  <c r="F19" i="45"/>
  <c r="G19" i="45"/>
  <c r="H19" i="45"/>
  <c r="D20" i="45"/>
  <c r="E20" i="45"/>
  <c r="F20" i="45"/>
  <c r="G20" i="45"/>
  <c r="H20" i="45"/>
  <c r="C21" i="45"/>
  <c r="D21" i="45"/>
  <c r="E21" i="45"/>
  <c r="F21" i="45"/>
  <c r="G21" i="45"/>
  <c r="H21" i="45"/>
  <c r="D22" i="45"/>
  <c r="E22" i="45"/>
  <c r="F22" i="45"/>
  <c r="G22" i="45"/>
  <c r="H22" i="45"/>
  <c r="D23" i="45"/>
  <c r="E23" i="45"/>
  <c r="F23" i="45"/>
  <c r="G23" i="45"/>
  <c r="H23" i="45"/>
  <c r="C24" i="45"/>
  <c r="D24" i="45"/>
  <c r="E24" i="45"/>
  <c r="F24" i="45"/>
  <c r="G24" i="45"/>
  <c r="H24" i="45"/>
  <c r="D25" i="45"/>
  <c r="E25" i="45"/>
  <c r="F25" i="45"/>
  <c r="G25" i="45"/>
  <c r="H25" i="45"/>
  <c r="D26" i="45"/>
  <c r="E26" i="45"/>
  <c r="F26" i="45"/>
  <c r="G26" i="45"/>
  <c r="H26" i="45"/>
  <c r="B27" i="45"/>
  <c r="B28" i="45"/>
  <c r="C28" i="45"/>
  <c r="D28" i="45"/>
  <c r="E28" i="45"/>
  <c r="F28" i="45"/>
  <c r="G28" i="45"/>
  <c r="H28" i="45"/>
  <c r="D29" i="45"/>
  <c r="E29" i="45"/>
  <c r="F29" i="45"/>
  <c r="G29" i="45"/>
  <c r="H29" i="45"/>
  <c r="D30" i="45"/>
  <c r="E30" i="45"/>
  <c r="F30" i="45"/>
  <c r="G30" i="45"/>
  <c r="H30" i="45"/>
  <c r="C31" i="45"/>
  <c r="D31" i="45"/>
  <c r="E31" i="45"/>
  <c r="F31" i="45"/>
  <c r="G31" i="45"/>
  <c r="H31" i="45"/>
  <c r="D32" i="45"/>
  <c r="E32" i="45"/>
  <c r="F32" i="45"/>
  <c r="G32" i="45"/>
  <c r="H32" i="45"/>
  <c r="D33" i="45"/>
  <c r="E33" i="45"/>
  <c r="F33" i="45"/>
  <c r="G33" i="45"/>
  <c r="H33" i="45"/>
  <c r="C34" i="45"/>
  <c r="D34" i="45"/>
  <c r="E34" i="45"/>
  <c r="F34" i="45"/>
  <c r="G34" i="45"/>
  <c r="H34" i="45"/>
  <c r="D35" i="45"/>
  <c r="E35" i="45"/>
  <c r="F35" i="45"/>
  <c r="G35" i="45"/>
  <c r="H35" i="45"/>
  <c r="D36" i="45"/>
  <c r="E36" i="45"/>
  <c r="F36" i="45"/>
  <c r="G36" i="45"/>
  <c r="H36" i="45"/>
  <c r="C37" i="45"/>
  <c r="D37" i="45"/>
  <c r="E37" i="45"/>
  <c r="F37" i="45"/>
  <c r="G37" i="45"/>
  <c r="H37" i="45"/>
  <c r="D38" i="45"/>
  <c r="E38" i="45"/>
  <c r="F38" i="45"/>
  <c r="G38" i="45"/>
  <c r="H38" i="45"/>
  <c r="D39" i="45"/>
  <c r="E39" i="45"/>
  <c r="F39" i="45"/>
  <c r="G39" i="45"/>
  <c r="H39" i="45"/>
  <c r="C40" i="45"/>
  <c r="D40" i="45"/>
  <c r="E40" i="45"/>
  <c r="F40" i="45"/>
  <c r="G40" i="45"/>
  <c r="H40" i="45"/>
  <c r="D41" i="45"/>
  <c r="E41" i="45"/>
  <c r="F41" i="45"/>
  <c r="G41" i="45"/>
  <c r="H41" i="45"/>
  <c r="D42" i="45"/>
  <c r="E42" i="45"/>
  <c r="F42" i="45"/>
  <c r="G42" i="45"/>
  <c r="H42" i="45"/>
  <c r="D4" i="44" l="1"/>
  <c r="E4" i="44"/>
  <c r="F4" i="44"/>
  <c r="G4" i="44"/>
  <c r="H4" i="44"/>
  <c r="B5" i="44"/>
  <c r="C5" i="44"/>
  <c r="D5" i="44"/>
  <c r="E5" i="44"/>
  <c r="F5" i="44"/>
  <c r="G5" i="44"/>
  <c r="H5" i="44"/>
  <c r="B6" i="44"/>
  <c r="C6" i="44"/>
  <c r="D6" i="44"/>
  <c r="E6" i="44"/>
  <c r="F6" i="44"/>
  <c r="G6" i="44"/>
  <c r="H6" i="44"/>
  <c r="B7" i="44"/>
  <c r="C7" i="44"/>
  <c r="D7" i="44"/>
  <c r="E7" i="44"/>
  <c r="F7" i="44"/>
  <c r="G7" i="44"/>
  <c r="H7" i="44"/>
  <c r="B8" i="44"/>
  <c r="C8" i="44"/>
  <c r="D8" i="44"/>
  <c r="E8" i="44"/>
  <c r="F8" i="44"/>
  <c r="G8" i="44"/>
  <c r="H8" i="44"/>
  <c r="B9" i="44"/>
  <c r="C9" i="44"/>
  <c r="D9" i="44"/>
  <c r="E9" i="44"/>
  <c r="F9" i="44"/>
  <c r="G9" i="44"/>
  <c r="H9" i="44"/>
  <c r="B10" i="44"/>
  <c r="C10" i="44"/>
  <c r="D10" i="44"/>
  <c r="E10" i="44"/>
  <c r="F10" i="44"/>
  <c r="G10" i="44"/>
  <c r="H10" i="44"/>
  <c r="B11" i="44"/>
  <c r="C11" i="44"/>
  <c r="D11" i="44"/>
  <c r="E11" i="44"/>
  <c r="F11" i="44"/>
  <c r="G11" i="44"/>
  <c r="H11" i="44"/>
  <c r="B12" i="44"/>
  <c r="C12" i="44"/>
  <c r="D12" i="44"/>
  <c r="E12" i="44"/>
  <c r="F12" i="44"/>
  <c r="G12" i="44"/>
  <c r="H12" i="44"/>
  <c r="B13" i="44"/>
  <c r="C13" i="44"/>
  <c r="D13" i="44"/>
  <c r="E13" i="44"/>
  <c r="F13" i="44"/>
  <c r="G13" i="44"/>
  <c r="H13" i="44"/>
  <c r="B14" i="44"/>
  <c r="C14" i="44"/>
  <c r="D14" i="44"/>
  <c r="E14" i="44"/>
  <c r="F14" i="44"/>
  <c r="G14" i="44"/>
  <c r="H14" i="44"/>
  <c r="B15" i="44"/>
  <c r="C15" i="44"/>
  <c r="D15" i="44"/>
  <c r="E15" i="44"/>
  <c r="F15" i="44"/>
  <c r="G15" i="44"/>
  <c r="H15" i="44"/>
  <c r="B16" i="44"/>
  <c r="C16" i="44"/>
  <c r="D16" i="44"/>
  <c r="E16" i="44"/>
  <c r="F16" i="44"/>
  <c r="G16" i="44"/>
  <c r="H16" i="44"/>
  <c r="B17" i="44"/>
  <c r="C17" i="44"/>
  <c r="D17" i="44"/>
  <c r="E17" i="44"/>
  <c r="F17" i="44"/>
  <c r="G17" i="44"/>
  <c r="H17" i="44"/>
  <c r="B18" i="44"/>
  <c r="C18" i="44"/>
  <c r="D18" i="44"/>
  <c r="E18" i="44"/>
  <c r="F18" i="44"/>
  <c r="G18" i="44"/>
  <c r="H18" i="44"/>
  <c r="B19" i="44"/>
  <c r="C19" i="44"/>
  <c r="D19" i="44"/>
  <c r="E19" i="44"/>
  <c r="F19" i="44"/>
  <c r="G19" i="44"/>
  <c r="H19" i="44"/>
  <c r="B20" i="44"/>
  <c r="C20" i="44"/>
  <c r="D20" i="44"/>
  <c r="E20" i="44"/>
  <c r="F20" i="44"/>
  <c r="G20" i="44"/>
  <c r="H20" i="44"/>
  <c r="B21" i="44"/>
  <c r="C21" i="44"/>
  <c r="D21" i="44"/>
  <c r="E21" i="44"/>
  <c r="F21" i="44"/>
  <c r="G21" i="44"/>
  <c r="H21" i="44"/>
  <c r="B22" i="44"/>
  <c r="C22" i="44"/>
  <c r="D22" i="44"/>
  <c r="E22" i="44"/>
  <c r="F22" i="44"/>
  <c r="G22" i="44"/>
  <c r="H22" i="44"/>
  <c r="B23" i="44"/>
  <c r="C23" i="44"/>
  <c r="D23" i="44"/>
  <c r="E23" i="44"/>
  <c r="F23" i="44"/>
  <c r="G23" i="44"/>
  <c r="H23" i="44"/>
  <c r="B24" i="44"/>
  <c r="C24" i="44"/>
  <c r="D24" i="44"/>
  <c r="E24" i="44"/>
  <c r="F24" i="44"/>
  <c r="G24" i="44"/>
  <c r="H24" i="44"/>
  <c r="B25" i="44"/>
  <c r="C25" i="44"/>
  <c r="D25" i="44"/>
  <c r="E25" i="44"/>
  <c r="F25" i="44"/>
  <c r="G25" i="44"/>
  <c r="H25" i="44"/>
  <c r="B26" i="44"/>
  <c r="C26" i="44"/>
  <c r="D26" i="44"/>
  <c r="E26" i="44"/>
  <c r="F26" i="44"/>
  <c r="G26" i="44"/>
  <c r="H26" i="44"/>
  <c r="B27" i="44"/>
  <c r="C27" i="44"/>
  <c r="D27" i="44"/>
  <c r="E27" i="44"/>
  <c r="F27" i="44"/>
  <c r="G27" i="44"/>
  <c r="H27" i="44"/>
  <c r="B28" i="44"/>
  <c r="C28" i="44"/>
  <c r="D28" i="44"/>
  <c r="E28" i="44"/>
  <c r="F28" i="44"/>
  <c r="G28" i="44"/>
  <c r="H28" i="44"/>
  <c r="B29" i="44"/>
  <c r="C29" i="44"/>
  <c r="D29" i="44"/>
  <c r="E29" i="44"/>
  <c r="F29" i="44"/>
  <c r="G29" i="44"/>
  <c r="H29" i="44"/>
  <c r="B30" i="44"/>
  <c r="C30" i="44"/>
  <c r="D30" i="44"/>
  <c r="E30" i="44"/>
  <c r="F30" i="44"/>
  <c r="G30" i="44"/>
  <c r="H30" i="44"/>
  <c r="B31" i="44"/>
  <c r="C31" i="44"/>
  <c r="D31" i="44"/>
  <c r="E31" i="44"/>
  <c r="F31" i="44"/>
  <c r="G31" i="44"/>
  <c r="H31" i="44"/>
  <c r="B32" i="44"/>
  <c r="C32" i="44"/>
  <c r="D32" i="44"/>
  <c r="E32" i="44"/>
  <c r="F32" i="44"/>
  <c r="G32" i="44"/>
  <c r="H32" i="44"/>
  <c r="B33" i="44"/>
  <c r="C33" i="44"/>
  <c r="D33" i="44"/>
  <c r="E33" i="44"/>
  <c r="F33" i="44"/>
  <c r="G33" i="44"/>
  <c r="H33" i="44"/>
  <c r="B34" i="44"/>
  <c r="C34" i="44"/>
  <c r="D34" i="44"/>
  <c r="E34" i="44"/>
  <c r="F34" i="44"/>
  <c r="G34" i="44"/>
  <c r="H34" i="44"/>
  <c r="B35" i="44"/>
  <c r="C35" i="44"/>
  <c r="D35" i="44"/>
  <c r="E35" i="44"/>
  <c r="F35" i="44"/>
  <c r="G35" i="44"/>
  <c r="H35" i="44"/>
  <c r="B36" i="44"/>
  <c r="C36" i="44"/>
  <c r="D36" i="44"/>
  <c r="E36" i="44"/>
  <c r="F36" i="44"/>
  <c r="G36" i="44"/>
  <c r="H36" i="44"/>
  <c r="B37" i="44"/>
  <c r="C37" i="44"/>
  <c r="D37" i="44"/>
  <c r="E37" i="44"/>
  <c r="F37" i="44"/>
  <c r="G37" i="44"/>
  <c r="H37" i="44"/>
  <c r="B38" i="44"/>
  <c r="C38" i="44"/>
  <c r="D38" i="44"/>
  <c r="E38" i="44"/>
  <c r="F38" i="44"/>
  <c r="G38" i="44"/>
  <c r="H38" i="44"/>
  <c r="B39" i="44"/>
  <c r="C39" i="44"/>
  <c r="D39" i="44"/>
  <c r="E39" i="44"/>
  <c r="F39" i="44"/>
  <c r="G39" i="44"/>
  <c r="H39" i="44"/>
  <c r="B40" i="44"/>
  <c r="C40" i="44"/>
  <c r="D40" i="44"/>
  <c r="E40" i="44"/>
  <c r="F40" i="44"/>
  <c r="G40" i="44"/>
  <c r="H40" i="44"/>
  <c r="B41" i="44"/>
  <c r="C41" i="44"/>
  <c r="D41" i="44"/>
  <c r="E41" i="44"/>
  <c r="F41" i="44"/>
  <c r="G41" i="44"/>
  <c r="H41" i="44"/>
  <c r="B42" i="44"/>
  <c r="C42" i="44"/>
  <c r="D42" i="44"/>
  <c r="E42" i="44"/>
  <c r="F42" i="44"/>
  <c r="G42" i="44"/>
  <c r="H42" i="44"/>
  <c r="A17" i="1" l="1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Q9" i="43"/>
  <c r="AR9" i="43"/>
  <c r="AS9" i="43"/>
  <c r="AT9" i="43"/>
  <c r="AU9" i="43"/>
  <c r="AV9" i="43"/>
  <c r="AW9" i="43"/>
  <c r="AX9" i="43"/>
  <c r="AY9" i="43"/>
  <c r="AZ9" i="43"/>
  <c r="BA9" i="43"/>
  <c r="BB9" i="43"/>
  <c r="BC9" i="43"/>
  <c r="BD9" i="43"/>
  <c r="BE9" i="43"/>
  <c r="BF9" i="43"/>
  <c r="BG9" i="43"/>
  <c r="BH9" i="43"/>
  <c r="BI9" i="43"/>
  <c r="BJ9" i="43"/>
  <c r="BK9" i="43"/>
  <c r="BL9" i="43"/>
  <c r="BM9" i="43"/>
  <c r="BN9" i="43"/>
  <c r="BO9" i="43"/>
  <c r="BP9" i="43"/>
  <c r="BQ9" i="43"/>
  <c r="BR9" i="43"/>
  <c r="BS9" i="43"/>
  <c r="BT9" i="43"/>
  <c r="BU9" i="43"/>
  <c r="BV9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Q8" i="43"/>
  <c r="AR8" i="43"/>
  <c r="AS8" i="43"/>
  <c r="AT8" i="43"/>
  <c r="AU8" i="43"/>
  <c r="AV8" i="43"/>
  <c r="AW8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Q6" i="43"/>
  <c r="AR6" i="43"/>
  <c r="AS6" i="43"/>
  <c r="AT6" i="43"/>
  <c r="AU6" i="43"/>
  <c r="AV6" i="43"/>
  <c r="AW6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Q7" i="43"/>
  <c r="AR7" i="43"/>
  <c r="AS7" i="43"/>
  <c r="AT7" i="43"/>
  <c r="AU7" i="43"/>
  <c r="AV7" i="43"/>
  <c r="AW7" i="43"/>
  <c r="A16" i="1"/>
  <c r="A15" i="1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AH9" i="42"/>
  <c r="AI9" i="42"/>
  <c r="AJ9" i="42"/>
  <c r="AK9" i="42"/>
  <c r="AL9" i="42"/>
  <c r="AM9" i="42"/>
  <c r="AN9" i="42"/>
  <c r="AO9" i="42"/>
  <c r="AP9" i="42"/>
  <c r="AQ9" i="42"/>
  <c r="AR9" i="42"/>
  <c r="AS9" i="42"/>
  <c r="AT9" i="42"/>
  <c r="AU9" i="42"/>
  <c r="AV9" i="42"/>
  <c r="AW9" i="42"/>
  <c r="C6" i="42"/>
  <c r="D6" i="42"/>
  <c r="E6" i="42"/>
  <c r="F6" i="42"/>
  <c r="G6" i="42"/>
  <c r="H6" i="42"/>
  <c r="I6" i="42"/>
  <c r="J6" i="42"/>
  <c r="K6" i="42"/>
  <c r="L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AH6" i="42"/>
  <c r="AI6" i="42"/>
  <c r="AJ6" i="42"/>
  <c r="AK6" i="42"/>
  <c r="AL6" i="42"/>
  <c r="AM6" i="42"/>
  <c r="AN6" i="42"/>
  <c r="AO6" i="42"/>
  <c r="AP6" i="42"/>
  <c r="AQ6" i="42"/>
  <c r="AR6" i="42"/>
  <c r="AS6" i="42"/>
  <c r="AT6" i="42"/>
  <c r="AU6" i="42"/>
  <c r="AV6" i="42"/>
  <c r="AW6" i="42"/>
  <c r="C7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C8" i="42"/>
  <c r="D8" i="42"/>
  <c r="E8" i="42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AH8" i="42"/>
  <c r="AI8" i="42"/>
  <c r="AJ8" i="42"/>
  <c r="AK8" i="42"/>
  <c r="AL8" i="42"/>
  <c r="AM8" i="42"/>
  <c r="AN8" i="42"/>
  <c r="AO8" i="42"/>
  <c r="AP8" i="42"/>
  <c r="AQ8" i="42"/>
  <c r="AR8" i="42"/>
  <c r="AS8" i="42"/>
  <c r="AT8" i="42"/>
  <c r="AU8" i="42"/>
  <c r="AV8" i="42"/>
  <c r="AW8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AH13" i="42"/>
  <c r="AI13" i="42"/>
  <c r="AJ13" i="42"/>
  <c r="AK13" i="42"/>
  <c r="AL13" i="42"/>
  <c r="AM13" i="42"/>
  <c r="AN13" i="42"/>
  <c r="AO13" i="42"/>
  <c r="AP13" i="42"/>
  <c r="AQ13" i="42"/>
  <c r="AR13" i="42"/>
  <c r="AS13" i="42"/>
  <c r="AT13" i="42"/>
  <c r="AU13" i="42"/>
  <c r="AV13" i="42"/>
  <c r="AW13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AH10" i="42"/>
  <c r="AI10" i="42"/>
  <c r="AJ10" i="42"/>
  <c r="AK10" i="42"/>
  <c r="AL10" i="42"/>
  <c r="AM10" i="42"/>
  <c r="AN10" i="42"/>
  <c r="AO10" i="42"/>
  <c r="AP10" i="42"/>
  <c r="AQ10" i="42"/>
  <c r="AR10" i="42"/>
  <c r="AS10" i="42"/>
  <c r="AT10" i="42"/>
  <c r="AU10" i="42"/>
  <c r="AV10" i="42"/>
  <c r="AW10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AH11" i="42"/>
  <c r="AI11" i="42"/>
  <c r="AJ11" i="42"/>
  <c r="AK11" i="42"/>
  <c r="AL11" i="42"/>
  <c r="AM11" i="42"/>
  <c r="AN11" i="42"/>
  <c r="AO11" i="42"/>
  <c r="AP11" i="42"/>
  <c r="AQ11" i="42"/>
  <c r="AR11" i="42"/>
  <c r="AS11" i="42"/>
  <c r="AT11" i="42"/>
  <c r="AU11" i="42"/>
  <c r="AV11" i="42"/>
  <c r="AW11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AH12" i="42"/>
  <c r="AI12" i="42"/>
  <c r="AJ12" i="42"/>
  <c r="AK12" i="42"/>
  <c r="AL12" i="42"/>
  <c r="AM12" i="42"/>
  <c r="AN12" i="42"/>
  <c r="AO12" i="42"/>
  <c r="AP12" i="42"/>
  <c r="AQ12" i="42"/>
  <c r="AR12" i="42"/>
  <c r="AS12" i="42"/>
  <c r="AT12" i="42"/>
  <c r="AU12" i="42"/>
  <c r="AV12" i="42"/>
  <c r="AW12" i="42"/>
  <c r="BB9" i="38"/>
  <c r="W9" i="38"/>
  <c r="Z6" i="40"/>
  <c r="BK6" i="40"/>
  <c r="D9" i="41"/>
  <c r="E9" i="41"/>
  <c r="F9" i="41"/>
  <c r="G9" i="41"/>
  <c r="H9" i="41"/>
  <c r="I9" i="41"/>
  <c r="J9" i="41"/>
  <c r="K9" i="41"/>
  <c r="L9" i="41"/>
  <c r="M9" i="41"/>
  <c r="N9" i="41"/>
  <c r="O9" i="41"/>
  <c r="P9" i="41"/>
  <c r="Q9" i="41"/>
  <c r="R9" i="41"/>
  <c r="S9" i="41"/>
  <c r="T9" i="41"/>
  <c r="U9" i="41"/>
  <c r="V9" i="41"/>
  <c r="W9" i="41"/>
  <c r="X9" i="41"/>
  <c r="Y9" i="41"/>
  <c r="Z9" i="41"/>
  <c r="AA9" i="41"/>
  <c r="D6" i="41"/>
  <c r="E6" i="41"/>
  <c r="F6" i="41"/>
  <c r="G6" i="41"/>
  <c r="H6" i="41"/>
  <c r="I6" i="41"/>
  <c r="J6" i="41"/>
  <c r="K6" i="41"/>
  <c r="L6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D8" i="41"/>
  <c r="E8" i="41"/>
  <c r="F8" i="41"/>
  <c r="G8" i="41"/>
  <c r="H8" i="41"/>
  <c r="I8" i="41"/>
  <c r="J8" i="41"/>
  <c r="K8" i="41"/>
  <c r="L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14" i="1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AP8" i="40"/>
  <c r="AQ8" i="40"/>
  <c r="AR8" i="40"/>
  <c r="AS8" i="40"/>
  <c r="AT8" i="40"/>
  <c r="AU8" i="40"/>
  <c r="AV8" i="40"/>
  <c r="AW8" i="40"/>
  <c r="AX8" i="40"/>
  <c r="AY8" i="40"/>
  <c r="AZ8" i="40"/>
  <c r="BA8" i="40"/>
  <c r="BB8" i="40"/>
  <c r="BC8" i="40"/>
  <c r="BD8" i="40"/>
  <c r="BE8" i="40"/>
  <c r="BF8" i="40"/>
  <c r="BG8" i="40"/>
  <c r="BH8" i="40"/>
  <c r="BI8" i="40"/>
  <c r="BJ8" i="40"/>
  <c r="BK8" i="40"/>
  <c r="BL8" i="40"/>
  <c r="BM8" i="40"/>
  <c r="BN8" i="40"/>
  <c r="BO8" i="40"/>
  <c r="BP8" i="40"/>
  <c r="BQ8" i="40"/>
  <c r="BR8" i="40"/>
  <c r="BS8" i="40"/>
  <c r="BT8" i="40"/>
  <c r="BU8" i="40"/>
  <c r="R6" i="40"/>
  <c r="S6" i="40"/>
  <c r="T6" i="40"/>
  <c r="U6" i="40"/>
  <c r="V6" i="40"/>
  <c r="W6" i="40"/>
  <c r="X6" i="40"/>
  <c r="Y6" i="40"/>
  <c r="AA6" i="40"/>
  <c r="AG6" i="40"/>
  <c r="AH6" i="40"/>
  <c r="AI6" i="40"/>
  <c r="AJ6" i="40"/>
  <c r="AK6" i="40"/>
  <c r="AL6" i="40"/>
  <c r="AM6" i="40"/>
  <c r="AN6" i="40"/>
  <c r="AO6" i="40"/>
  <c r="AP6" i="40"/>
  <c r="AQ6" i="40"/>
  <c r="AR6" i="40"/>
  <c r="AS6" i="40"/>
  <c r="AT6" i="40"/>
  <c r="AU6" i="40"/>
  <c r="BA6" i="40"/>
  <c r="BB6" i="40"/>
  <c r="BC6" i="40"/>
  <c r="BD6" i="40"/>
  <c r="BE6" i="40"/>
  <c r="BF6" i="40"/>
  <c r="BG6" i="40"/>
  <c r="BH6" i="40"/>
  <c r="BI6" i="40"/>
  <c r="BJ6" i="40"/>
  <c r="BL6" i="40"/>
  <c r="BM6" i="40"/>
  <c r="BN6" i="40"/>
  <c r="BO6" i="40"/>
  <c r="BT6" i="40"/>
  <c r="BU6" i="40"/>
  <c r="C7" i="40"/>
  <c r="D7" i="40"/>
  <c r="E7" i="40"/>
  <c r="F7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T7" i="40"/>
  <c r="AU7" i="40"/>
  <c r="AV7" i="40"/>
  <c r="AW7" i="40"/>
  <c r="AX7" i="40"/>
  <c r="AY7" i="40"/>
  <c r="AZ7" i="40"/>
  <c r="BA7" i="40"/>
  <c r="BB7" i="40"/>
  <c r="BC7" i="40"/>
  <c r="BD7" i="40"/>
  <c r="BE7" i="40"/>
  <c r="BF7" i="40"/>
  <c r="BG7" i="40"/>
  <c r="BH7" i="40"/>
  <c r="BI7" i="40"/>
  <c r="BJ7" i="40"/>
  <c r="BK7" i="40"/>
  <c r="BL7" i="40"/>
  <c r="BM7" i="40"/>
  <c r="BN7" i="40"/>
  <c r="BO7" i="40"/>
  <c r="BP7" i="40"/>
  <c r="BQ7" i="40"/>
  <c r="BR7" i="40"/>
  <c r="BS7" i="40"/>
  <c r="BT7" i="40"/>
  <c r="BU7" i="40"/>
  <c r="F5" i="40"/>
  <c r="I5" i="40"/>
  <c r="J5" i="40"/>
  <c r="K5" i="40"/>
  <c r="L5" i="40"/>
  <c r="M5" i="40"/>
  <c r="N5" i="40"/>
  <c r="O5" i="40"/>
  <c r="P5" i="40"/>
  <c r="Q5" i="40"/>
  <c r="R5" i="40"/>
  <c r="S5" i="40"/>
  <c r="T5" i="40"/>
  <c r="U5" i="40"/>
  <c r="V5" i="40"/>
  <c r="W5" i="40"/>
  <c r="X5" i="40"/>
  <c r="Y5" i="40"/>
  <c r="Z5" i="40"/>
  <c r="AA5" i="40"/>
  <c r="AB5" i="40"/>
  <c r="AC5" i="40"/>
  <c r="AD5" i="40"/>
  <c r="AE5" i="40"/>
  <c r="AF5" i="40"/>
  <c r="AG5" i="40"/>
  <c r="AH5" i="40"/>
  <c r="AI5" i="40"/>
  <c r="AJ5" i="40"/>
  <c r="AK5" i="40"/>
  <c r="AL5" i="40"/>
  <c r="AM5" i="40"/>
  <c r="AN5" i="40"/>
  <c r="AO5" i="40"/>
  <c r="AP5" i="40"/>
  <c r="AQ5" i="40"/>
  <c r="AR5" i="40"/>
  <c r="AS5" i="40"/>
  <c r="AT5" i="40"/>
  <c r="AU5" i="40"/>
  <c r="AV5" i="40"/>
  <c r="AW5" i="40"/>
  <c r="AX5" i="40"/>
  <c r="AY5" i="40"/>
  <c r="AZ5" i="40"/>
  <c r="BA5" i="40"/>
  <c r="BB5" i="40"/>
  <c r="BC5" i="40"/>
  <c r="BD5" i="40"/>
  <c r="BE5" i="40"/>
  <c r="BF5" i="40"/>
  <c r="BG5" i="40"/>
  <c r="BH5" i="40"/>
  <c r="BI5" i="40"/>
  <c r="BJ5" i="40"/>
  <c r="BK5" i="40"/>
  <c r="BL5" i="40"/>
  <c r="BM5" i="40"/>
  <c r="BN5" i="40"/>
  <c r="BO5" i="40"/>
  <c r="BP5" i="40"/>
  <c r="BQ5" i="40"/>
  <c r="BR5" i="40"/>
  <c r="BS5" i="40"/>
  <c r="BT5" i="40"/>
  <c r="BU5" i="40"/>
  <c r="A13" i="1"/>
  <c r="F6" i="39"/>
  <c r="G6" i="39"/>
  <c r="H6" i="39"/>
  <c r="I6" i="39"/>
  <c r="J6" i="39"/>
  <c r="K6" i="39"/>
  <c r="L6" i="39"/>
  <c r="M6" i="39"/>
  <c r="N6" i="39"/>
  <c r="O6" i="39"/>
  <c r="P6" i="39"/>
  <c r="Q6" i="39"/>
  <c r="R6" i="39"/>
  <c r="S6" i="39"/>
  <c r="T6" i="39"/>
  <c r="U6" i="39"/>
  <c r="V6" i="39"/>
  <c r="W6" i="39"/>
  <c r="X6" i="39"/>
  <c r="Y6" i="39"/>
  <c r="Z6" i="39"/>
  <c r="AA6" i="39"/>
  <c r="AB6" i="39"/>
  <c r="AC6" i="39"/>
  <c r="AD6" i="39"/>
  <c r="AE6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AU6" i="39"/>
  <c r="AV6" i="39"/>
  <c r="AW6" i="39"/>
  <c r="AX6" i="39"/>
  <c r="AY6" i="39"/>
  <c r="AZ6" i="39"/>
  <c r="BA6" i="39"/>
  <c r="BB6" i="39"/>
  <c r="BC6" i="39"/>
  <c r="BD6" i="39"/>
  <c r="BE6" i="39"/>
  <c r="BF6" i="39"/>
  <c r="BG6" i="39"/>
  <c r="BH6" i="39"/>
  <c r="BI6" i="39"/>
  <c r="BJ6" i="39"/>
  <c r="BK6" i="39"/>
  <c r="BL6" i="39"/>
  <c r="BM6" i="39"/>
  <c r="BN6" i="39"/>
  <c r="BO6" i="39"/>
  <c r="BP6" i="39"/>
  <c r="BQ6" i="39"/>
  <c r="BR6" i="39"/>
  <c r="BS6" i="39"/>
  <c r="BT6" i="39"/>
  <c r="BU6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AK5" i="39"/>
  <c r="AL5" i="39"/>
  <c r="AM5" i="39"/>
  <c r="AN5" i="39"/>
  <c r="AO5" i="39"/>
  <c r="AP5" i="39"/>
  <c r="AQ5" i="39"/>
  <c r="AR5" i="39"/>
  <c r="AS5" i="39"/>
  <c r="AT5" i="39"/>
  <c r="AU5" i="39"/>
  <c r="AV5" i="39"/>
  <c r="AW5" i="39"/>
  <c r="AX5" i="39"/>
  <c r="AY5" i="39"/>
  <c r="AZ5" i="39"/>
  <c r="BA5" i="39"/>
  <c r="BB5" i="39"/>
  <c r="BC5" i="39"/>
  <c r="BD5" i="39"/>
  <c r="BE5" i="39"/>
  <c r="BF5" i="39"/>
  <c r="BG5" i="39"/>
  <c r="BH5" i="39"/>
  <c r="BI5" i="39"/>
  <c r="BJ5" i="39"/>
  <c r="BK5" i="39"/>
  <c r="BL5" i="39"/>
  <c r="BM5" i="39"/>
  <c r="BN5" i="39"/>
  <c r="BO5" i="39"/>
  <c r="BP5" i="39"/>
  <c r="BQ5" i="39"/>
  <c r="BR5" i="39"/>
  <c r="BS5" i="39"/>
  <c r="BT5" i="39"/>
  <c r="BU5" i="39"/>
  <c r="A12" i="1"/>
  <c r="BE8" i="38"/>
  <c r="BF8" i="38"/>
  <c r="F9" i="38"/>
  <c r="V9" i="38"/>
  <c r="AL9" i="38"/>
  <c r="C5" i="38"/>
  <c r="J5" i="38"/>
  <c r="K5" i="38"/>
  <c r="N5" i="38"/>
  <c r="R5" i="38"/>
  <c r="U5" i="38"/>
  <c r="W5" i="38"/>
  <c r="Y5" i="38"/>
  <c r="AD5" i="38"/>
  <c r="AE5" i="38"/>
  <c r="AG5" i="38"/>
  <c r="AH5" i="38"/>
  <c r="AI5" i="38"/>
  <c r="AL5" i="38"/>
  <c r="AO5" i="38"/>
  <c r="AQ5" i="38"/>
  <c r="AS5" i="38"/>
  <c r="AX5" i="38"/>
  <c r="AY5" i="38"/>
  <c r="BA5" i="38"/>
  <c r="BB5" i="38"/>
  <c r="BC5" i="38"/>
  <c r="BE5" i="38"/>
  <c r="BF5" i="38"/>
  <c r="C6" i="38"/>
  <c r="H6" i="38"/>
  <c r="K6" i="38"/>
  <c r="M6" i="38"/>
  <c r="P6" i="38"/>
  <c r="S6" i="38"/>
  <c r="U6" i="38"/>
  <c r="AB6" i="38"/>
  <c r="AE6" i="38"/>
  <c r="AK6" i="38"/>
  <c r="AM6" i="38"/>
  <c r="AO6" i="38"/>
  <c r="AU6" i="38"/>
  <c r="AX6" i="38"/>
  <c r="BA6" i="38"/>
  <c r="BE6" i="38"/>
  <c r="BF6" i="38"/>
  <c r="C7" i="38"/>
  <c r="I7" i="38"/>
  <c r="J7" i="38"/>
  <c r="N7" i="38"/>
  <c r="O7" i="38"/>
  <c r="R7" i="38"/>
  <c r="T7" i="38"/>
  <c r="W7" i="38"/>
  <c r="AC7" i="38"/>
  <c r="AD7" i="38"/>
  <c r="AH7" i="38"/>
  <c r="AI7" i="38"/>
  <c r="AL7" i="38"/>
  <c r="AN7" i="38"/>
  <c r="AQ7" i="38"/>
  <c r="AX7" i="38"/>
  <c r="BB7" i="38"/>
  <c r="BC7" i="38"/>
  <c r="BE7" i="38"/>
  <c r="A11" i="1"/>
  <c r="W5" i="37"/>
  <c r="X5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AO5" i="37"/>
  <c r="AP5" i="37"/>
  <c r="AQ5" i="37"/>
  <c r="AR5" i="37"/>
  <c r="AS5" i="37"/>
  <c r="AT5" i="37"/>
  <c r="AU5" i="37"/>
  <c r="AV5" i="37"/>
  <c r="AW5" i="37"/>
  <c r="AX5" i="37"/>
  <c r="AY5" i="37"/>
  <c r="AZ5" i="37"/>
  <c r="BA5" i="37"/>
  <c r="BB5" i="37"/>
  <c r="BC5" i="37"/>
  <c r="BD5" i="37"/>
  <c r="BE5" i="37"/>
  <c r="BF5" i="37"/>
  <c r="BG5" i="37"/>
  <c r="BH5" i="37"/>
  <c r="BI5" i="37"/>
  <c r="BJ5" i="37"/>
  <c r="BK5" i="37"/>
  <c r="BL5" i="37"/>
  <c r="BM5" i="37"/>
  <c r="BN5" i="37"/>
  <c r="BO5" i="37"/>
  <c r="BP5" i="37"/>
  <c r="BQ5" i="37"/>
  <c r="BR5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AT6" i="37"/>
  <c r="AU6" i="37"/>
  <c r="AV6" i="37"/>
  <c r="AW6" i="37"/>
  <c r="AX6" i="37"/>
  <c r="AY6" i="37"/>
  <c r="AZ6" i="37"/>
  <c r="BA6" i="37"/>
  <c r="BB6" i="37"/>
  <c r="BC6" i="37"/>
  <c r="BD6" i="37"/>
  <c r="BE6" i="37"/>
  <c r="BF6" i="37"/>
  <c r="BG6" i="37"/>
  <c r="BH6" i="37"/>
  <c r="BI6" i="37"/>
  <c r="BJ6" i="37"/>
  <c r="BK6" i="37"/>
  <c r="BL6" i="37"/>
  <c r="BM6" i="37"/>
  <c r="BN6" i="37"/>
  <c r="BO6" i="37"/>
  <c r="BP6" i="37"/>
  <c r="BQ6" i="37"/>
  <c r="BR6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AS7" i="37"/>
  <c r="AT7" i="37"/>
  <c r="AU7" i="37"/>
  <c r="AV7" i="37"/>
  <c r="AW7" i="37"/>
  <c r="AX7" i="37"/>
  <c r="AY7" i="37"/>
  <c r="AZ7" i="37"/>
  <c r="BA7" i="37"/>
  <c r="BB7" i="37"/>
  <c r="BC7" i="37"/>
  <c r="BD7" i="37"/>
  <c r="BE7" i="37"/>
  <c r="BF7" i="37"/>
  <c r="BG7" i="37"/>
  <c r="BH7" i="37"/>
  <c r="BI7" i="37"/>
  <c r="BJ7" i="37"/>
  <c r="BK7" i="37"/>
  <c r="BL7" i="37"/>
  <c r="BM7" i="37"/>
  <c r="BN7" i="37"/>
  <c r="BO7" i="37"/>
  <c r="BP7" i="37"/>
  <c r="BQ7" i="37"/>
  <c r="BR7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AT8" i="37"/>
  <c r="AU8" i="37"/>
  <c r="AV8" i="37"/>
  <c r="AW8" i="37"/>
  <c r="AX8" i="37"/>
  <c r="AY8" i="37"/>
  <c r="AZ8" i="37"/>
  <c r="BA8" i="37"/>
  <c r="BB8" i="37"/>
  <c r="BC8" i="37"/>
  <c r="BD8" i="37"/>
  <c r="BE8" i="37"/>
  <c r="BF8" i="37"/>
  <c r="BG8" i="37"/>
  <c r="BH8" i="37"/>
  <c r="BI8" i="37"/>
  <c r="BJ8" i="37"/>
  <c r="BK8" i="37"/>
  <c r="BL8" i="37"/>
  <c r="BM8" i="37"/>
  <c r="BN8" i="37"/>
  <c r="BO8" i="37"/>
  <c r="BP8" i="37"/>
  <c r="BQ8" i="37"/>
  <c r="BR8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AS9" i="37"/>
  <c r="AT9" i="37"/>
  <c r="AU9" i="37"/>
  <c r="AV9" i="37"/>
  <c r="AW9" i="37"/>
  <c r="AX9" i="37"/>
  <c r="AY9" i="37"/>
  <c r="AZ9" i="37"/>
  <c r="BA9" i="37"/>
  <c r="BB9" i="37"/>
  <c r="BC9" i="37"/>
  <c r="BD9" i="37"/>
  <c r="BE9" i="37"/>
  <c r="BF9" i="37"/>
  <c r="BG9" i="37"/>
  <c r="BH9" i="37"/>
  <c r="BI9" i="37"/>
  <c r="BJ9" i="37"/>
  <c r="BK9" i="37"/>
  <c r="BL9" i="37"/>
  <c r="BM9" i="37"/>
  <c r="BN9" i="37"/>
  <c r="BO9" i="37"/>
  <c r="BP9" i="37"/>
  <c r="BQ9" i="37"/>
  <c r="BR9" i="37"/>
  <c r="C8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C9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C5" i="37"/>
  <c r="D5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C6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C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A10" i="1"/>
  <c r="C8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C9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/>
  <c r="Q9" i="36"/>
  <c r="R9" i="36"/>
  <c r="S9" i="36"/>
  <c r="T9" i="36"/>
  <c r="U9" i="36"/>
  <c r="V9" i="36"/>
  <c r="W9" i="36"/>
  <c r="X9" i="36"/>
  <c r="Y9" i="36"/>
  <c r="Z9" i="36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C7" i="36"/>
  <c r="D7" i="36"/>
  <c r="E7" i="36"/>
  <c r="F7" i="36"/>
  <c r="G7" i="36"/>
  <c r="H7" i="36"/>
  <c r="I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BQ6" i="40" l="1"/>
  <c r="BS6" i="40"/>
  <c r="BR6" i="40"/>
  <c r="BP6" i="40"/>
  <c r="AF6" i="40"/>
  <c r="AB6" i="40"/>
  <c r="AD6" i="40"/>
  <c r="AC6" i="40"/>
  <c r="AE6" i="40"/>
  <c r="AX6" i="40"/>
  <c r="AY6" i="40"/>
  <c r="AZ6" i="40"/>
  <c r="AW6" i="40"/>
  <c r="AV6" i="40"/>
  <c r="AX8" i="38"/>
  <c r="AK8" i="38"/>
  <c r="AA6" i="38"/>
  <c r="AA8" i="38"/>
  <c r="G6" i="38"/>
  <c r="F6" i="38"/>
  <c r="AO9" i="38"/>
  <c r="AT6" i="38"/>
  <c r="AN9" i="38"/>
  <c r="BC9" i="38"/>
  <c r="BF7" i="38"/>
  <c r="BF9" i="38"/>
  <c r="I8" i="38"/>
  <c r="AZ6" i="38"/>
  <c r="AM9" i="38"/>
  <c r="S9" i="38"/>
  <c r="Y8" i="38"/>
  <c r="AG6" i="38"/>
  <c r="AE8" i="38"/>
  <c r="AQ9" i="38"/>
  <c r="R9" i="38"/>
  <c r="AD8" i="38"/>
  <c r="AW7" i="38"/>
  <c r="AW9" i="38"/>
  <c r="AA7" i="38"/>
  <c r="AK9" i="38"/>
  <c r="AR9" i="38"/>
  <c r="Z8" i="38"/>
  <c r="H9" i="38"/>
  <c r="R8" i="38"/>
  <c r="BE9" i="38"/>
  <c r="AC8" i="38"/>
  <c r="AT7" i="38"/>
  <c r="Z7" i="38"/>
  <c r="F7" i="38"/>
  <c r="AJ6" i="38"/>
  <c r="AJ8" i="38"/>
  <c r="AU5" i="38"/>
  <c r="AT5" i="38"/>
  <c r="AA5" i="38"/>
  <c r="G5" i="38"/>
  <c r="AQ8" i="38"/>
  <c r="AQ6" i="38"/>
  <c r="W6" i="38"/>
  <c r="AP6" i="38"/>
  <c r="V6" i="38"/>
  <c r="AV7" i="38"/>
  <c r="AU7" i="38"/>
  <c r="AB7" i="38"/>
  <c r="AB9" i="38"/>
  <c r="H7" i="38"/>
  <c r="G7" i="38"/>
  <c r="AL8" i="38"/>
  <c r="AR6" i="38"/>
  <c r="X6" i="38"/>
  <c r="M5" i="38"/>
  <c r="O5" i="38"/>
  <c r="BC6" i="38"/>
  <c r="BD7" i="38"/>
  <c r="AJ7" i="38"/>
  <c r="AJ9" i="38"/>
  <c r="P7" i="38"/>
  <c r="P9" i="38"/>
  <c r="AV6" i="38"/>
  <c r="AC6" i="38"/>
  <c r="I6" i="38"/>
  <c r="AN5" i="38"/>
  <c r="T5" i="38"/>
  <c r="AM5" i="38"/>
  <c r="S5" i="38"/>
  <c r="AM8" i="38"/>
  <c r="AP9" i="38"/>
  <c r="AH8" i="38"/>
  <c r="BA7" i="38"/>
  <c r="BA9" i="38"/>
  <c r="AG7" i="38"/>
  <c r="AC9" i="38"/>
  <c r="M7" i="38"/>
  <c r="M9" i="38"/>
  <c r="Z6" i="38"/>
  <c r="F8" i="38"/>
  <c r="AK5" i="38"/>
  <c r="Q5" i="38"/>
  <c r="AZ7" i="38"/>
  <c r="AY7" i="38"/>
  <c r="AF7" i="38"/>
  <c r="AE7" i="38"/>
  <c r="L7" i="38"/>
  <c r="K7" i="38"/>
  <c r="AS6" i="38"/>
  <c r="Y6" i="38"/>
  <c r="E6" i="38"/>
  <c r="AS7" i="38"/>
  <c r="Y7" i="38"/>
  <c r="AL6" i="38"/>
  <c r="R6" i="38"/>
  <c r="S8" i="38"/>
  <c r="N9" i="38"/>
  <c r="G9" i="38"/>
  <c r="AR8" i="38"/>
  <c r="AV5" i="38"/>
  <c r="AB5" i="38"/>
  <c r="H5" i="38"/>
  <c r="D9" i="38"/>
  <c r="AP7" i="38"/>
  <c r="V7" i="38"/>
  <c r="BB6" i="38"/>
  <c r="AI6" i="38"/>
  <c r="O6" i="38"/>
  <c r="Z5" i="38"/>
  <c r="F5" i="38"/>
  <c r="BD5" i="38"/>
  <c r="AJ5" i="38"/>
  <c r="P5" i="38"/>
  <c r="AB8" i="38"/>
  <c r="AN6" i="38"/>
  <c r="T6" i="38"/>
  <c r="AZ5" i="38"/>
  <c r="AF5" i="38"/>
  <c r="L5" i="38"/>
  <c r="AA9" i="38"/>
  <c r="E9" i="38"/>
  <c r="C9" i="38"/>
  <c r="AR7" i="38"/>
  <c r="X7" i="38"/>
  <c r="BD6" i="38"/>
  <c r="BD8" i="38"/>
  <c r="Q8" i="38"/>
  <c r="Q6" i="38"/>
  <c r="AW5" i="38"/>
  <c r="AC5" i="38"/>
  <c r="I5" i="38"/>
  <c r="C8" i="38"/>
  <c r="E8" i="38"/>
  <c r="AO7" i="38"/>
  <c r="U9" i="38"/>
  <c r="U7" i="38"/>
  <c r="AH6" i="38"/>
  <c r="N6" i="38"/>
  <c r="N8" i="38"/>
  <c r="E5" i="38"/>
  <c r="AM7" i="38"/>
  <c r="S7" i="38"/>
  <c r="AY6" i="38"/>
  <c r="AF6" i="38"/>
  <c r="L6" i="38"/>
  <c r="AR5" i="38"/>
  <c r="X5" i="38"/>
  <c r="AK7" i="38"/>
  <c r="Q7" i="38"/>
  <c r="AW6" i="38"/>
  <c r="AW8" i="38"/>
  <c r="AD6" i="38"/>
  <c r="J6" i="38"/>
  <c r="H8" i="38"/>
  <c r="AP5" i="38"/>
  <c r="V5" i="38"/>
  <c r="X8" i="38"/>
  <c r="D5" i="38"/>
  <c r="D7" i="38"/>
  <c r="D6" i="38"/>
  <c r="E7" i="38"/>
  <c r="A9" i="1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BB9" i="35"/>
  <c r="BC9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P9" i="35"/>
  <c r="BQ9" i="35"/>
  <c r="BR9" i="35"/>
  <c r="BS9" i="35"/>
  <c r="BT9" i="35"/>
  <c r="BU9" i="35"/>
  <c r="BV9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BB8" i="35"/>
  <c r="BC8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P8" i="35"/>
  <c r="BQ8" i="35"/>
  <c r="BR8" i="35"/>
  <c r="BS8" i="35"/>
  <c r="BT8" i="35"/>
  <c r="BU8" i="35"/>
  <c r="BV8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AH7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AH6" i="35"/>
  <c r="AI6" i="35"/>
  <c r="AJ6" i="35"/>
  <c r="AK6" i="35"/>
  <c r="AL6" i="35"/>
  <c r="AM6" i="35"/>
  <c r="AN6" i="35"/>
  <c r="AO6" i="35"/>
  <c r="AP6" i="35"/>
  <c r="AQ6" i="35"/>
  <c r="AR6" i="35"/>
  <c r="AS6" i="35"/>
  <c r="AT6" i="35"/>
  <c r="AU6" i="35"/>
  <c r="AV6" i="35"/>
  <c r="AW6" i="35"/>
  <c r="AX6" i="35"/>
  <c r="AY6" i="35"/>
  <c r="AZ6" i="35"/>
  <c r="BA6" i="35"/>
  <c r="BB6" i="35"/>
  <c r="BC6" i="35"/>
  <c r="BD6" i="35"/>
  <c r="BE6" i="35"/>
  <c r="BF6" i="35"/>
  <c r="BG6" i="35"/>
  <c r="BH6" i="35"/>
  <c r="BI6" i="35"/>
  <c r="BJ6" i="35"/>
  <c r="BK6" i="35"/>
  <c r="BL6" i="35"/>
  <c r="BM6" i="35"/>
  <c r="BN6" i="35"/>
  <c r="BO6" i="35"/>
  <c r="BP6" i="35"/>
  <c r="BQ6" i="35"/>
  <c r="BR6" i="35"/>
  <c r="BS6" i="35"/>
  <c r="BT6" i="35"/>
  <c r="BU6" i="35"/>
  <c r="BV6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5" i="35"/>
  <c r="AI5" i="35"/>
  <c r="AJ5" i="35"/>
  <c r="AK5" i="35"/>
  <c r="AL5" i="35"/>
  <c r="AM5" i="35"/>
  <c r="AN5" i="35"/>
  <c r="AO5" i="35"/>
  <c r="AP5" i="35"/>
  <c r="AQ5" i="35"/>
  <c r="AR5" i="35"/>
  <c r="AS5" i="35"/>
  <c r="AT5" i="35"/>
  <c r="AU5" i="35"/>
  <c r="AV5" i="35"/>
  <c r="AW5" i="35"/>
  <c r="AX5" i="35"/>
  <c r="AY5" i="35"/>
  <c r="AZ5" i="35"/>
  <c r="BA5" i="35"/>
  <c r="BB5" i="35"/>
  <c r="BC5" i="35"/>
  <c r="BD5" i="35"/>
  <c r="BE5" i="35"/>
  <c r="BF5" i="35"/>
  <c r="BG5" i="35"/>
  <c r="BH5" i="35"/>
  <c r="BI5" i="35"/>
  <c r="BJ5" i="35"/>
  <c r="BK5" i="35"/>
  <c r="BL5" i="35"/>
  <c r="BM5" i="35"/>
  <c r="BN5" i="35"/>
  <c r="BO5" i="35"/>
  <c r="BP5" i="35"/>
  <c r="BQ5" i="35"/>
  <c r="BR5" i="35"/>
  <c r="BS5" i="35"/>
  <c r="BT5" i="35"/>
  <c r="BU5" i="35"/>
  <c r="BV5" i="35"/>
  <c r="G5" i="40"/>
  <c r="H5" i="40"/>
  <c r="AU8" i="38" l="1"/>
  <c r="BC8" i="38"/>
  <c r="Y9" i="38"/>
  <c r="M8" i="38"/>
  <c r="BD9" i="38"/>
  <c r="AO8" i="38"/>
  <c r="AY8" i="38"/>
  <c r="Z9" i="38"/>
  <c r="BA8" i="38"/>
  <c r="AI9" i="38"/>
  <c r="D8" i="38"/>
  <c r="AX9" i="38"/>
  <c r="I9" i="38"/>
  <c r="J9" i="38"/>
  <c r="AU9" i="38"/>
  <c r="AT9" i="38"/>
  <c r="AE9" i="38"/>
  <c r="V8" i="38"/>
  <c r="AN8" i="38"/>
  <c r="AZ8" i="38"/>
  <c r="AT8" i="38"/>
  <c r="U8" i="38"/>
  <c r="L9" i="38"/>
  <c r="O8" i="38"/>
  <c r="AV8" i="38"/>
  <c r="T9" i="38"/>
  <c r="P8" i="38"/>
  <c r="AZ9" i="38"/>
  <c r="K8" i="38"/>
  <c r="T8" i="38"/>
  <c r="AV9" i="38"/>
  <c r="AS8" i="38"/>
  <c r="X9" i="38"/>
  <c r="AY9" i="38"/>
  <c r="K9" i="38"/>
  <c r="AG9" i="38"/>
  <c r="Q9" i="38"/>
  <c r="O9" i="38"/>
  <c r="BB8" i="38"/>
  <c r="AD9" i="38"/>
  <c r="AF9" i="38"/>
  <c r="AP8" i="38"/>
  <c r="AS9" i="38"/>
  <c r="W8" i="38"/>
  <c r="AH9" i="38"/>
  <c r="AG8" i="38"/>
  <c r="AF8" i="38"/>
  <c r="J8" i="38"/>
  <c r="L8" i="38"/>
  <c r="AI8" i="38"/>
  <c r="G8" i="38"/>
  <c r="W9" i="68" l="1"/>
  <c r="AT9" i="68"/>
  <c r="AQ8" i="68"/>
  <c r="P8" i="68"/>
  <c r="S7" i="68"/>
  <c r="O9" i="68"/>
  <c r="AL9" i="68"/>
  <c r="H8" i="68"/>
  <c r="M8" i="68"/>
  <c r="T8" i="68"/>
  <c r="S8" i="68"/>
  <c r="G7" i="68"/>
  <c r="G9" i="68"/>
  <c r="AD9" i="68"/>
  <c r="AS6" i="68"/>
  <c r="AS7" i="68"/>
  <c r="AS9" i="68"/>
  <c r="AR7" i="68"/>
  <c r="AR9" i="68"/>
  <c r="E5" i="68"/>
  <c r="G6" i="68"/>
  <c r="V7" i="68"/>
  <c r="Y5" i="68"/>
  <c r="AN6" i="68"/>
  <c r="AN7" i="68"/>
  <c r="AN9" i="68"/>
  <c r="V9" i="68"/>
  <c r="AK6" i="68"/>
  <c r="AK7" i="68"/>
  <c r="AK9" i="68"/>
  <c r="AJ7" i="68"/>
  <c r="AJ9" i="68"/>
  <c r="AQ9" i="68"/>
  <c r="AP7" i="68"/>
  <c r="AP9" i="68"/>
  <c r="AI6" i="68"/>
  <c r="AF6" i="68"/>
  <c r="AF7" i="68"/>
  <c r="AF9" i="68"/>
  <c r="N7" i="68"/>
  <c r="N5" i="68"/>
  <c r="AC6" i="68"/>
  <c r="AC7" i="68"/>
  <c r="AC9" i="68"/>
  <c r="AB7" i="68"/>
  <c r="AB9" i="68"/>
  <c r="AI9" i="68"/>
  <c r="AH7" i="68"/>
  <c r="AH9" i="68"/>
  <c r="X6" i="68"/>
  <c r="X7" i="68"/>
  <c r="X9" i="68"/>
  <c r="AU9" i="68"/>
  <c r="F7" i="68"/>
  <c r="F9" i="68"/>
  <c r="U6" i="68"/>
  <c r="U7" i="68"/>
  <c r="U9" i="68"/>
  <c r="T7" i="68"/>
  <c r="T9" i="68"/>
  <c r="AA9" i="68"/>
  <c r="Z7" i="68"/>
  <c r="Z9" i="68"/>
  <c r="D5" i="68"/>
  <c r="AN8" i="68"/>
  <c r="P7" i="68"/>
  <c r="P9" i="68"/>
  <c r="AM9" i="68"/>
  <c r="M6" i="68"/>
  <c r="M7" i="68"/>
  <c r="L7" i="68"/>
  <c r="S9" i="68"/>
  <c r="R7" i="68"/>
  <c r="R9" i="68"/>
  <c r="AF8" i="68"/>
  <c r="C8" i="68"/>
  <c r="AR8" i="68"/>
  <c r="Q8" i="68"/>
  <c r="Z6" i="68"/>
  <c r="J6" i="68"/>
  <c r="H6" i="68"/>
  <c r="H7" i="68"/>
  <c r="AE9" i="68"/>
  <c r="E7" i="68"/>
  <c r="D7" i="68"/>
  <c r="D9" i="68"/>
  <c r="K9" i="68"/>
  <c r="J9" i="68"/>
  <c r="X8" i="68"/>
  <c r="AP8" i="68"/>
  <c r="C7" i="68" l="1"/>
  <c r="AQ6" i="68"/>
  <c r="AA5" i="68"/>
  <c r="AU6" i="68"/>
  <c r="AR5" i="68"/>
  <c r="AO7" i="68"/>
  <c r="AT5" i="68"/>
  <c r="AM7" i="68"/>
  <c r="AK5" i="68"/>
  <c r="AR6" i="68"/>
  <c r="M5" i="68"/>
  <c r="AG8" i="68"/>
  <c r="K8" i="68"/>
  <c r="Z8" i="68"/>
  <c r="AM8" i="68"/>
  <c r="AM5" i="68"/>
  <c r="C9" i="68"/>
  <c r="AO9" i="68"/>
  <c r="AL5" i="68"/>
  <c r="AT6" i="68"/>
  <c r="AN5" i="68"/>
  <c r="P6" i="68"/>
  <c r="AJ5" i="68"/>
  <c r="O6" i="68"/>
  <c r="E9" i="68"/>
  <c r="AI8" i="68"/>
  <c r="L8" i="68"/>
  <c r="AE5" i="68"/>
  <c r="W7" i="68"/>
  <c r="AD5" i="68"/>
  <c r="R6" i="68"/>
  <c r="L6" i="68"/>
  <c r="D6" i="68"/>
  <c r="AD7" i="68"/>
  <c r="AF5" i="68"/>
  <c r="T6" i="68"/>
  <c r="M9" i="68"/>
  <c r="AJ8" i="68"/>
  <c r="AK8" i="68"/>
  <c r="Y8" i="68"/>
  <c r="AO8" i="68"/>
  <c r="E8" i="68"/>
  <c r="AH8" i="68"/>
  <c r="Q7" i="68"/>
  <c r="N6" i="68"/>
  <c r="U5" i="68"/>
  <c r="AH5" i="68"/>
  <c r="G5" i="68"/>
  <c r="Q6" i="68"/>
  <c r="AE7" i="68"/>
  <c r="AI7" i="68"/>
  <c r="O7" i="68"/>
  <c r="AA7" i="68"/>
  <c r="AB5" i="68"/>
  <c r="AG5" i="68"/>
  <c r="AB6" i="68"/>
  <c r="E6" i="68"/>
  <c r="AC8" i="68"/>
  <c r="J8" i="68"/>
  <c r="AD8" i="68"/>
  <c r="AA8" i="68"/>
  <c r="R5" i="68"/>
  <c r="I6" i="68"/>
  <c r="I9" i="68"/>
  <c r="F5" i="68"/>
  <c r="AI5" i="68"/>
  <c r="AO6" i="68"/>
  <c r="K6" i="68"/>
  <c r="V6" i="68"/>
  <c r="C5" i="68"/>
  <c r="AC5" i="68"/>
  <c r="AM6" i="68"/>
  <c r="AP5" i="68"/>
  <c r="J5" i="68"/>
  <c r="AU7" i="68"/>
  <c r="I5" i="68"/>
  <c r="AG6" i="68"/>
  <c r="AP6" i="68"/>
  <c r="W5" i="68"/>
  <c r="P5" i="68"/>
  <c r="V5" i="68"/>
  <c r="J7" i="68"/>
  <c r="N8" i="68"/>
  <c r="D8" i="68"/>
  <c r="AE8" i="68"/>
  <c r="AB8" i="68"/>
  <c r="S5" i="68"/>
  <c r="AG7" i="68"/>
  <c r="S6" i="68"/>
  <c r="C6" i="68"/>
  <c r="AG9" i="68"/>
  <c r="Y6" i="68"/>
  <c r="I7" i="68"/>
  <c r="K7" i="68"/>
  <c r="AQ5" i="68"/>
  <c r="K5" i="68"/>
  <c r="Q5" i="68"/>
  <c r="L9" i="68"/>
  <c r="AS8" i="68"/>
  <c r="O8" i="68"/>
  <c r="U8" i="68"/>
  <c r="AO5" i="68"/>
  <c r="AT7" i="68"/>
  <c r="F6" i="68"/>
  <c r="AQ7" i="68"/>
  <c r="Y7" i="68"/>
  <c r="AU5" i="68"/>
  <c r="H5" i="68"/>
  <c r="AS5" i="68"/>
  <c r="Y9" i="68"/>
  <c r="X5" i="68"/>
  <c r="L5" i="68"/>
  <c r="O5" i="68"/>
  <c r="H9" i="68"/>
  <c r="I8" i="68"/>
  <c r="F8" i="68"/>
  <c r="V8" i="68"/>
  <c r="AT8" i="68"/>
  <c r="Z5" i="68"/>
  <c r="AD6" i="68"/>
  <c r="W6" i="68"/>
  <c r="AA6" i="68"/>
  <c r="AL6" i="68"/>
  <c r="AE6" i="68"/>
  <c r="AL7" i="68"/>
  <c r="T5" i="68"/>
  <c r="Q9" i="68"/>
  <c r="AJ6" i="68"/>
  <c r="AH6" i="68"/>
  <c r="N9" i="68"/>
  <c r="G8" i="68"/>
  <c r="W8" i="68"/>
  <c r="R8" i="68"/>
  <c r="AL8" i="68"/>
  <c r="AU8" i="68"/>
</calcChain>
</file>

<file path=xl/sharedStrings.xml><?xml version="1.0" encoding="utf-8"?>
<sst xmlns="http://schemas.openxmlformats.org/spreadsheetml/2006/main" count="340" uniqueCount="133">
  <si>
    <t>Rapport droits familiaux et conjugaux</t>
  </si>
  <si>
    <t>Fichiers sources des tableaux et figures</t>
  </si>
  <si>
    <t>Retour au sommaire</t>
  </si>
  <si>
    <t>Agirc-Arrco</t>
  </si>
  <si>
    <t>Cnav</t>
  </si>
  <si>
    <t>CNRACL</t>
  </si>
  <si>
    <t>Ensemble</t>
  </si>
  <si>
    <t>Femme</t>
  </si>
  <si>
    <t>Homme</t>
  </si>
  <si>
    <t>Champ : ensemble des retraités de droit direct résidant en France et à l’étranger, pondérés pour être représentatifs des assurés ayant perçu une pension.</t>
  </si>
  <si>
    <t>Source : DREES, EIR 2020.</t>
  </si>
  <si>
    <t xml:space="preserve">Note : ensemble des trimestres validés au titre de la MDA, que ces derniers soient utiles ou non au moment du départ à la retraite. </t>
  </si>
  <si>
    <t>Champ : ensemble des femmes retraitées de droit direct.</t>
  </si>
  <si>
    <t>Source : Cnav modèle Prisme, SRE modèle Pablo, CNRACL modèle Canopée.</t>
  </si>
  <si>
    <t>SRE - civils</t>
  </si>
  <si>
    <t>Part des bénéficiaires</t>
  </si>
  <si>
    <t>Nombre moyen de trimestres validés</t>
  </si>
  <si>
    <t>Note : ensemble des trimestres validés au titre de la MDA, que ces derniers soient utiles ou non au moment du départ à la retraite. Les données CNRACL sont en cours de consolidation.</t>
  </si>
  <si>
    <t>1 ou 2 enfants y compris MDA</t>
  </si>
  <si>
    <t>Non bénéficiaires de la MDA</t>
  </si>
  <si>
    <t>1 ou 2 enfants hors MDA</t>
  </si>
  <si>
    <t>3 enfants et plus hors MDA</t>
  </si>
  <si>
    <t>3 enfants et plus y compris MDA</t>
  </si>
  <si>
    <t>Source : Cnav modèle Prisme.</t>
  </si>
  <si>
    <t>Note : les données CNRACL sont en cours de consolidation.</t>
  </si>
  <si>
    <t>Champ : ensemble des retraités de droit direct.</t>
  </si>
  <si>
    <t>Source : Cnav modèle Prisme, SRE modèle Pablo, CNRACL modèle Canopée, Agirc-Arrco modèle Misraa</t>
  </si>
  <si>
    <t>Âge moyen</t>
  </si>
  <si>
    <t>Femmes</t>
  </si>
  <si>
    <t>Hommes</t>
  </si>
  <si>
    <t>Femmes ayant 3 enfants et plus</t>
  </si>
  <si>
    <t>SRE</t>
  </si>
  <si>
    <t>Note : les départs anticipés pour 3 enfants et plus n’étant pas projetés, le dispositif étant en extinction depuis 2012, les âges moyens de départ chutent donc fortement au fil des générations.</t>
  </si>
  <si>
    <t>Source : CNRACL Canopée, SRE Pablo.</t>
  </si>
  <si>
    <t>Femmes bénéficiaires</t>
  </si>
  <si>
    <t>Source : Drees – modèle Trajectoire</t>
  </si>
  <si>
    <t>Source : Cnav-DSPR – modèle Prisme échantillon 1/20ème</t>
  </si>
  <si>
    <t>Harmonisation 8 trimestres de MDA</t>
  </si>
  <si>
    <t>Ircantec</t>
  </si>
  <si>
    <t>Rafp</t>
  </si>
  <si>
    <t>Tous régimes</t>
  </si>
  <si>
    <t>Tous régimes hors régimes équilibrés</t>
  </si>
  <si>
    <t>Régime général</t>
  </si>
  <si>
    <t>MSA salarié</t>
  </si>
  <si>
    <t>Indépendants</t>
  </si>
  <si>
    <t>Régimes spéciaux</t>
  </si>
  <si>
    <t>Professions libérales</t>
  </si>
  <si>
    <t>Harmonisation 4 trimestres de MDA</t>
  </si>
  <si>
    <t>Harmonisation 2 trimestres de MDA</t>
  </si>
  <si>
    <t>Harmonisation 10 % majoration de pension</t>
  </si>
  <si>
    <t>Sans plafonnement des majorations de pension</t>
  </si>
  <si>
    <t>Avec plafonnement des majorations de pension</t>
  </si>
  <si>
    <t>RCI</t>
  </si>
  <si>
    <t>RG et régimes alignés</t>
  </si>
  <si>
    <t>Fonction publique</t>
  </si>
  <si>
    <t>MSA exploitants</t>
  </si>
  <si>
    <t>Annexe 4. Résultats détaillés de la variante de bascule des droits conjugaux vers les droits familiaux</t>
  </si>
  <si>
    <t>Droits directs</t>
  </si>
  <si>
    <t>Réversion</t>
  </si>
  <si>
    <t>Droits directs et réversion</t>
  </si>
  <si>
    <t>Note : Quintiles de pension calculés sur les droits directs, par sexe, avant réforme</t>
  </si>
  <si>
    <t>Note : Quintiles calculés sur les pensions de réversion avant réforme, par sexe. À noter que le champ avant réforme et après réforme n'est pas le même : les assurés qui perdent la réversion avec les mesures ne sont plus dans le même champ après réforme.</t>
  </si>
  <si>
    <t>Note : Quintiles calculés sur les pensions totales (droits directs et réversion) avant réforme, par sexe.</t>
  </si>
  <si>
    <t xml:space="preserve">Source : Insee, Destinie. </t>
  </si>
  <si>
    <t>Masses de prestations</t>
  </si>
  <si>
    <t>Effectifs de bénéficiaires</t>
  </si>
  <si>
    <t>Ecarts de bénéficiaires de réversion après mesure</t>
  </si>
  <si>
    <t>Ecarts de masses de prestations de réversion après mesure</t>
  </si>
  <si>
    <t>-100 %</t>
  </si>
  <si>
    <t xml:space="preserve">Entre -100 % et -20 % </t>
  </si>
  <si>
    <t>Entre - 20 % et - 1 %</t>
  </si>
  <si>
    <t>Entre - 1 % et + 1%</t>
  </si>
  <si>
    <t>Entre + 1 % et + 20 %</t>
  </si>
  <si>
    <t>Plus de 20 %</t>
  </si>
  <si>
    <t xml:space="preserve">Hommes </t>
  </si>
  <si>
    <t xml:space="preserve">Ensemble </t>
  </si>
  <si>
    <t>Q2 Monopensionnés RG+régimes alignés</t>
  </si>
  <si>
    <t>Q1 Monopensionnés RG+régimes alignés</t>
  </si>
  <si>
    <t>Q3 Monopensionnés RG+régimes alignés</t>
  </si>
  <si>
    <t>Q4 Monopensionnés RG+régimes alignés</t>
  </si>
  <si>
    <t>Q5 Monopensionnés RG+régimes alignés</t>
  </si>
  <si>
    <t xml:space="preserve">Monopensionnés FP </t>
  </si>
  <si>
    <t>Monopensionnés RG+régimes alignés</t>
  </si>
  <si>
    <t>Polypensionnés RG+régimes lignés/FP</t>
  </si>
  <si>
    <t>Q1 Monopensionnés FP</t>
  </si>
  <si>
    <t>Q2 Monopensionnés FP</t>
  </si>
  <si>
    <t>Q3 Monopensionnés FP</t>
  </si>
  <si>
    <t>Q4 Monopensionnés FP</t>
  </si>
  <si>
    <t>Q5 Monopensionnés FP</t>
  </si>
  <si>
    <t>Q1 Polypensionnés RG+régimes alignés/FP</t>
  </si>
  <si>
    <t>Q2 Polypensionnés RG+régimes alignés/FP</t>
  </si>
  <si>
    <t>Q3 Polypensionnés RG+régimes alignés/FP</t>
  </si>
  <si>
    <t>Q4 Polypensionnés RG+régimes alignés/FP</t>
  </si>
  <si>
    <t>Q5 Polypensionnés RG+régimes alignés/FP</t>
  </si>
  <si>
    <t>Annexes données détaillées</t>
  </si>
  <si>
    <t>Figure A.1 - Part des retraitées de droit propre bénéficiaires de la MDA par génération et nombre moyen de trimestres validés au titre de la MDA selon le régime considéré - Femmes</t>
  </si>
  <si>
    <t>Figure A.2 - Durées d’assurance avec et sans MDA selon le nombre d’enfants pour les femmes retraitées, par génération</t>
  </si>
  <si>
    <t>Figure A.3 - Durées d’assurance avec et sans MDA selon le nombre d’enfants pour les femmes retraitées de la CNAV, par génération</t>
  </si>
  <si>
    <t>Figure A.4 - Durées d’assurance avec et sans MDA selon le nombre d’enfants pour les femmes retraitées du SRE, par génération</t>
  </si>
  <si>
    <t>Figure A.5 - Part des retraitées de droit propre bénéficiaires de l’AVPF par génération et nombre moyen de trimestres validés à ce titre – Cnav</t>
  </si>
  <si>
    <t>Figure A.6 - Part des retraités de droit propre bénéficiaires de la majoration de pension pour trois enfants et plus, par génération et régime</t>
  </si>
  <si>
    <t>Figure A.7 - Part des bénéficiaires des départs anticipés pour 3 enfants et âge moyen de départ, par génération</t>
  </si>
  <si>
    <t>Figure A.8 - Part des bénéficiaires des départs anticipés pour 3 enfants et âge moyen de départ, par génération et par régime</t>
  </si>
  <si>
    <t>Figure A.9 - Âge moyen de départ à la retraite des femmes bénéficiaires du dispositif et des femmes de 3 enfants et plus, par génération et par régime</t>
  </si>
  <si>
    <t>Tableau B.1 - Attribution de 8 trimestres de MDA quel que soit le régime d’affiliation - génération 2000</t>
  </si>
  <si>
    <t>Tableau B.2 - Attribution de 4 trimestres de MDA quel que soit le régime d’affiliation - génération 2000</t>
  </si>
  <si>
    <t>Tableau B.3 - Attribution de 2 trimestres de MDA quel que soit le régime d’affiliation - génération 2000</t>
  </si>
  <si>
    <t>Tableau B.4 - Harmonisation de la majoration de pension à 10 % quel que soit le régime et uniformisation au-delà du troisième enfant  - génération 2000</t>
  </si>
  <si>
    <t>Tableau B.5 - Écart de masses de prestations de droit direct par régimes après mesures (en %)</t>
  </si>
  <si>
    <t>Figure B.1 - Impact de la suppression de la condition de ressources sur la pension moyenne sur cycle de vie des assurés de la génération 2000 (en %)</t>
  </si>
  <si>
    <t>Figure B.2 - Impact de la génératlisation de la condition de ressources sur la pension moyenne sur cycle de vie des assurés de la génération 2000 (en %)</t>
  </si>
  <si>
    <t>Figure B.3 - Ecart après mesures d'harmonisation (croisement) des masses de prestations de droit dérivé (en %)</t>
  </si>
  <si>
    <t>Annexe A. Les bénéficiaires des droits familiaux par régime et en projection</t>
  </si>
  <si>
    <t>Annexe B. Résultats détaillés des simulations d'harmonisation des droits familiaux et conjugaux</t>
  </si>
  <si>
    <t>Annexe C. Résultats détaillés des simulations d'évolution des droits familiaux et conjugaux</t>
  </si>
  <si>
    <t>Tableau C.1 - Principaux résultats de la simulation d’évolution des droits familiaux : MDA, majorations proportionnelles avec taux progressifs selon le nombre d’enfants, bornage de l’AVPF - génération 2000 (avec plafonnement)</t>
  </si>
  <si>
    <t>Tableau C.2 - Principaux résultats de la simulation d’évolution des droits familiaux : MDA, majorations proportionnelles avec taux progressifs selon le nombre d’enfants, bornage de l’AVPF - génération 1966 (avec plafonnement)</t>
  </si>
  <si>
    <t>Tableau C.3 - Principaux résultats de la simulation d’évolution des droits familiaux : MDA, majorations proportionnelles avec taux progressifs selon le nombre d’enfants, bornage de l’AVPF - génération 2000 (hors plafonnement)</t>
  </si>
  <si>
    <t>Tableau C.4 - Principaux résultats de la simulation d’évolution des droits familiaux : MDA, majorations proportionnelles avec taux progressifs selon le nombre d’enfants, bornage de l’AVPF - génération 1966 (hors plafonnement)</t>
  </si>
  <si>
    <t>Tableau C.5 - Écart de masses de prestations de droit direct par régimes après mesures (en %)</t>
  </si>
  <si>
    <t>Figure C.1 - Écart après mesure de maintien de niveau de vie des masses de prestations de droit dérivé selon le régime (en %)</t>
  </si>
  <si>
    <t>Figure C.2 - Écarts de masses de prestations de réversion et de bénéficiaires de réversion après mesure de la double proratisation de pension de réversion (en %)</t>
  </si>
  <si>
    <t>Figure C.3 - Écart de masses de prestations de droit dérivé selon le régime après mesure de double proratisation de la pension de réversion (en %)</t>
  </si>
  <si>
    <t>Figure C.4 - Impact de la double proratisation de la réversion sur la pension sur cycle de vie des assurés de la génération 2000</t>
  </si>
  <si>
    <t>Tableau D.1 - Principaux résultats de la simulation de bascule des droits conjugaux vers les droits familiaux - droits directs génération 2000 (avec plafonnement)</t>
  </si>
  <si>
    <t>Tableau D.2 - Principaux résultats de la simulation de bascule des droits conjugaux vers les droits familiaux - droits directs génération 1966 (avec plafonnement)</t>
  </si>
  <si>
    <t>Tableau D.3 - Principaux résultats de la simulation de bascule des droits conjugaux vers les droits familiaux - droits directs génération 2000 (hors plafonnement)</t>
  </si>
  <si>
    <t>Tableau D.4 - Principaux résultats de la simulation de bascule des droits conjugaux vers les droits familiaux - réversion génération 2000</t>
  </si>
  <si>
    <t>Tableau D.5 - Principaux résultats de la simulation de bascule des droits conjugaux vers les droits familiaux - réversion génération 1966</t>
  </si>
  <si>
    <t>Tableau D.6 - Principaux résultats de la simulation de bascule des droits conjugaux vers les droits familiaux - droits directs et réversion génération 2000 (avec plafonnement)</t>
  </si>
  <si>
    <t>Tableau D.7 - Principaux résultats de la simulation de bascule des droits conjugaux vers les droits familiaux - droits directs et réversion génération 1966 (avec plafonnement)</t>
  </si>
  <si>
    <t>Tableau D.8 - Principaux résultats de la simulation de bascule des droits conjugaux vers les droits familiaux - droits directs et réversion génération 2000 (sans plafonnement)</t>
  </si>
  <si>
    <t>Tableau D.9 - Écart de masses de prestations de droit direct par régimes après mesures (en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</si>
</sst>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%"/>
    <numFmt numFmtId="165" formatCode="_-* #,##0.00\ _€_-;\-* #,##0.00\ _€_-;_-* &quot;-&quot;??\ _€_-;_-@_-"/>
    <numFmt numFmtId="166" formatCode="0.0"/>
    <numFmt numFmtId="167" formatCode="0.000%"/>
    <numFmt numFmtId="168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4"/>
      <color rgb="FF002060"/>
      <name val="Times New Roman"/>
      <family val="1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  <font>
      <b/>
      <sz val="10"/>
      <name val="MS Sans Serif"/>
    </font>
    <font>
      <b/>
      <sz val="11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DEBF7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auto="1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auto="1"/>
      </bottom>
      <diagonal/>
    </border>
    <border>
      <left/>
      <right style="dotted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4" fillId="0" borderId="0"/>
  </cellStyleXfs>
  <cellXfs count="4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8" fillId="0" borderId="0" xfId="2"/>
    <xf numFmtId="0" fontId="11" fillId="0" borderId="20" xfId="2" applyFont="1" applyBorder="1" applyAlignment="1">
      <alignment horizontal="center"/>
    </xf>
    <xf numFmtId="0" fontId="11" fillId="0" borderId="21" xfId="2" applyFont="1" applyBorder="1" applyAlignment="1">
      <alignment horizontal="center"/>
    </xf>
    <xf numFmtId="0" fontId="11" fillId="0" borderId="22" xfId="2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2" applyFont="1" applyAlignment="1"/>
    <xf numFmtId="1" fontId="8" fillId="0" borderId="0" xfId="2" applyNumberFormat="1"/>
    <xf numFmtId="164" fontId="0" fillId="0" borderId="0" xfId="3" applyNumberFormat="1" applyFont="1"/>
    <xf numFmtId="0" fontId="12" fillId="0" borderId="0" xfId="0" applyFont="1" applyAlignment="1">
      <alignment horizontal="left"/>
    </xf>
    <xf numFmtId="0" fontId="9" fillId="0" borderId="4" xfId="2" applyFont="1" applyBorder="1" applyAlignment="1">
      <alignment horizontal="center" vertical="center"/>
    </xf>
    <xf numFmtId="0" fontId="9" fillId="0" borderId="2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9" fontId="9" fillId="0" borderId="11" xfId="2" applyNumberFormat="1" applyFont="1" applyBorder="1" applyAlignment="1">
      <alignment horizontal="center"/>
    </xf>
    <xf numFmtId="9" fontId="9" fillId="0" borderId="12" xfId="2" applyNumberFormat="1" applyFont="1" applyBorder="1" applyAlignment="1">
      <alignment horizontal="center"/>
    </xf>
    <xf numFmtId="9" fontId="9" fillId="0" borderId="13" xfId="2" applyNumberFormat="1" applyFont="1" applyBorder="1" applyAlignment="1">
      <alignment horizontal="center"/>
    </xf>
    <xf numFmtId="9" fontId="9" fillId="0" borderId="14" xfId="2" applyNumberFormat="1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0" fontId="9" fillId="0" borderId="15" xfId="2" applyFont="1" applyBorder="1" applyAlignment="1">
      <alignment horizontal="center"/>
    </xf>
    <xf numFmtId="1" fontId="9" fillId="0" borderId="7" xfId="2" applyNumberFormat="1" applyFont="1" applyBorder="1" applyAlignment="1">
      <alignment horizontal="center"/>
    </xf>
    <xf numFmtId="1" fontId="9" fillId="0" borderId="8" xfId="2" applyNumberFormat="1" applyFont="1" applyBorder="1" applyAlignment="1">
      <alignment horizontal="center"/>
    </xf>
    <xf numFmtId="1" fontId="9" fillId="0" borderId="9" xfId="2" applyNumberFormat="1" applyFont="1" applyBorder="1" applyAlignment="1">
      <alignment horizontal="center"/>
    </xf>
    <xf numFmtId="1" fontId="9" fillId="0" borderId="10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1" fontId="9" fillId="0" borderId="12" xfId="2" applyNumberFormat="1" applyFont="1" applyBorder="1" applyAlignment="1">
      <alignment horizontal="center"/>
    </xf>
    <xf numFmtId="1" fontId="9" fillId="0" borderId="13" xfId="2" applyNumberFormat="1" applyFont="1" applyBorder="1" applyAlignment="1">
      <alignment horizontal="center"/>
    </xf>
    <xf numFmtId="1" fontId="9" fillId="0" borderId="14" xfId="2" applyNumberFormat="1" applyFont="1" applyBorder="1" applyAlignment="1">
      <alignment horizontal="center"/>
    </xf>
    <xf numFmtId="0" fontId="9" fillId="0" borderId="17" xfId="2" applyFont="1" applyBorder="1"/>
    <xf numFmtId="0" fontId="9" fillId="0" borderId="18" xfId="2" applyFont="1" applyBorder="1"/>
    <xf numFmtId="0" fontId="9" fillId="0" borderId="19" xfId="2" applyFont="1" applyBorder="1"/>
    <xf numFmtId="0" fontId="18" fillId="0" borderId="0" xfId="1" applyFont="1"/>
    <xf numFmtId="0" fontId="11" fillId="0" borderId="1" xfId="2" applyFont="1" applyBorder="1"/>
    <xf numFmtId="0" fontId="11" fillId="0" borderId="26" xfId="2" applyFont="1" applyBorder="1" applyAlignment="1">
      <alignment horizontal="center"/>
    </xf>
    <xf numFmtId="0" fontId="11" fillId="0" borderId="27" xfId="2" applyFont="1" applyBorder="1" applyAlignment="1">
      <alignment horizontal="center"/>
    </xf>
    <xf numFmtId="0" fontId="11" fillId="0" borderId="28" xfId="2" applyFont="1" applyBorder="1" applyAlignment="1">
      <alignment horizontal="center"/>
    </xf>
    <xf numFmtId="1" fontId="9" fillId="0" borderId="15" xfId="2" applyNumberFormat="1" applyFont="1" applyBorder="1" applyAlignment="1">
      <alignment horizontal="center"/>
    </xf>
    <xf numFmtId="1" fontId="9" fillId="0" borderId="24" xfId="2" applyNumberFormat="1" applyFont="1" applyBorder="1" applyAlignment="1">
      <alignment horizontal="center"/>
    </xf>
    <xf numFmtId="1" fontId="9" fillId="0" borderId="25" xfId="2" applyNumberFormat="1" applyFont="1" applyBorder="1" applyAlignment="1">
      <alignment horizontal="center"/>
    </xf>
    <xf numFmtId="1" fontId="9" fillId="0" borderId="29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/>
    </xf>
    <xf numFmtId="1" fontId="9" fillId="0" borderId="23" xfId="2" applyNumberFormat="1" applyFont="1" applyBorder="1" applyAlignment="1">
      <alignment horizontal="center"/>
    </xf>
    <xf numFmtId="0" fontId="14" fillId="0" borderId="0" xfId="2" applyFont="1" applyAlignment="1"/>
    <xf numFmtId="0" fontId="9" fillId="0" borderId="1" xfId="2" applyFont="1" applyBorder="1" applyAlignment="1">
      <alignment horizontal="center" vertical="center" wrapText="1"/>
    </xf>
    <xf numFmtId="1" fontId="9" fillId="0" borderId="20" xfId="2" applyNumberFormat="1" applyFont="1" applyBorder="1" applyAlignment="1">
      <alignment horizontal="center"/>
    </xf>
    <xf numFmtId="1" fontId="9" fillId="0" borderId="21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/>
    </xf>
    <xf numFmtId="9" fontId="10" fillId="0" borderId="7" xfId="3" applyFont="1" applyBorder="1" applyAlignment="1">
      <alignment horizontal="center"/>
    </xf>
    <xf numFmtId="9" fontId="10" fillId="0" borderId="8" xfId="3" applyFont="1" applyBorder="1" applyAlignment="1">
      <alignment horizontal="center"/>
    </xf>
    <xf numFmtId="9" fontId="10" fillId="0" borderId="9" xfId="3" applyFont="1" applyBorder="1" applyAlignment="1">
      <alignment horizontal="center"/>
    </xf>
    <xf numFmtId="9" fontId="9" fillId="0" borderId="15" xfId="2" applyNumberFormat="1" applyFont="1" applyBorder="1" applyAlignment="1">
      <alignment horizontal="center"/>
    </xf>
    <xf numFmtId="9" fontId="9" fillId="0" borderId="10" xfId="2" applyNumberFormat="1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1" fontId="0" fillId="0" borderId="0" xfId="3" applyNumberFormat="1" applyFont="1"/>
    <xf numFmtId="0" fontId="9" fillId="0" borderId="0" xfId="2" applyFont="1"/>
    <xf numFmtId="0" fontId="9" fillId="0" borderId="1" xfId="2" applyFont="1" applyBorder="1"/>
    <xf numFmtId="164" fontId="10" fillId="0" borderId="7" xfId="3" applyNumberFormat="1" applyFont="1" applyBorder="1" applyAlignment="1">
      <alignment horizontal="center"/>
    </xf>
    <xf numFmtId="164" fontId="10" fillId="0" borderId="8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164" fontId="10" fillId="0" borderId="10" xfId="3" applyNumberFormat="1" applyFont="1" applyBorder="1" applyAlignment="1">
      <alignment horizontal="center"/>
    </xf>
    <xf numFmtId="164" fontId="10" fillId="0" borderId="11" xfId="3" applyNumberFormat="1" applyFont="1" applyBorder="1" applyAlignment="1">
      <alignment horizontal="center"/>
    </xf>
    <xf numFmtId="164" fontId="10" fillId="0" borderId="12" xfId="3" applyNumberFormat="1" applyFont="1" applyBorder="1" applyAlignment="1">
      <alignment horizontal="center"/>
    </xf>
    <xf numFmtId="164" fontId="10" fillId="0" borderId="13" xfId="3" applyNumberFormat="1" applyFont="1" applyBorder="1" applyAlignment="1">
      <alignment horizontal="center"/>
    </xf>
    <xf numFmtId="164" fontId="10" fillId="0" borderId="14" xfId="3" applyNumberFormat="1" applyFont="1" applyBorder="1" applyAlignment="1">
      <alignment horizontal="center"/>
    </xf>
    <xf numFmtId="164" fontId="10" fillId="0" borderId="15" xfId="3" applyNumberFormat="1" applyFont="1" applyBorder="1" applyAlignment="1">
      <alignment horizontal="center"/>
    </xf>
    <xf numFmtId="1" fontId="10" fillId="0" borderId="20" xfId="3" applyNumberFormat="1" applyFont="1" applyBorder="1" applyAlignment="1">
      <alignment horizontal="center"/>
    </xf>
    <xf numFmtId="1" fontId="10" fillId="0" borderId="21" xfId="3" applyNumberFormat="1" applyFont="1" applyBorder="1" applyAlignment="1">
      <alignment horizontal="center"/>
    </xf>
    <xf numFmtId="1" fontId="10" fillId="0" borderId="22" xfId="3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64" fontId="10" fillId="0" borderId="0" xfId="3" applyNumberFormat="1" applyFont="1"/>
    <xf numFmtId="9" fontId="9" fillId="0" borderId="7" xfId="14" applyFont="1" applyBorder="1" applyAlignment="1">
      <alignment horizontal="center"/>
    </xf>
    <xf numFmtId="9" fontId="9" fillId="0" borderId="8" xfId="14" applyFont="1" applyBorder="1" applyAlignment="1">
      <alignment horizontal="center"/>
    </xf>
    <xf numFmtId="9" fontId="9" fillId="0" borderId="9" xfId="14" applyFont="1" applyBorder="1" applyAlignment="1">
      <alignment horizontal="center"/>
    </xf>
    <xf numFmtId="9" fontId="9" fillId="0" borderId="10" xfId="14" applyFont="1" applyBorder="1" applyAlignment="1">
      <alignment horizontal="center"/>
    </xf>
    <xf numFmtId="9" fontId="9" fillId="0" borderId="11" xfId="14" applyFont="1" applyBorder="1" applyAlignment="1">
      <alignment horizontal="center"/>
    </xf>
    <xf numFmtId="9" fontId="9" fillId="0" borderId="12" xfId="14" applyFont="1" applyBorder="1" applyAlignment="1">
      <alignment horizontal="center"/>
    </xf>
    <xf numFmtId="9" fontId="9" fillId="0" borderId="13" xfId="14" applyFont="1" applyBorder="1" applyAlignment="1">
      <alignment horizontal="center"/>
    </xf>
    <xf numFmtId="9" fontId="9" fillId="0" borderId="14" xfId="14" applyFont="1" applyBorder="1" applyAlignment="1">
      <alignment horizontal="center"/>
    </xf>
    <xf numFmtId="9" fontId="9" fillId="0" borderId="15" xfId="14" applyFont="1" applyBorder="1" applyAlignment="1">
      <alignment horizontal="center"/>
    </xf>
    <xf numFmtId="0" fontId="9" fillId="0" borderId="7" xfId="2" applyFont="1" applyBorder="1" applyAlignment="1">
      <alignment horizontal="center"/>
    </xf>
    <xf numFmtId="0" fontId="9" fillId="0" borderId="8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2" fontId="9" fillId="0" borderId="0" xfId="2" applyNumberFormat="1" applyFont="1"/>
    <xf numFmtId="166" fontId="10" fillId="0" borderId="11" xfId="3" applyNumberFormat="1" applyFont="1" applyBorder="1" applyAlignment="1">
      <alignment horizontal="center"/>
    </xf>
    <xf numFmtId="166" fontId="10" fillId="0" borderId="12" xfId="3" applyNumberFormat="1" applyFont="1" applyBorder="1" applyAlignment="1">
      <alignment horizontal="center"/>
    </xf>
    <xf numFmtId="166" fontId="10" fillId="0" borderId="14" xfId="3" applyNumberFormat="1" applyFont="1" applyBorder="1" applyAlignment="1">
      <alignment horizontal="center"/>
    </xf>
    <xf numFmtId="166" fontId="10" fillId="0" borderId="15" xfId="3" applyNumberFormat="1" applyFont="1" applyBorder="1" applyAlignment="1">
      <alignment horizontal="center"/>
    </xf>
    <xf numFmtId="166" fontId="9" fillId="0" borderId="10" xfId="14" applyNumberFormat="1" applyFont="1" applyBorder="1" applyAlignment="1">
      <alignment horizontal="center"/>
    </xf>
    <xf numFmtId="166" fontId="9" fillId="0" borderId="11" xfId="14" applyNumberFormat="1" applyFont="1" applyBorder="1" applyAlignment="1">
      <alignment horizontal="center"/>
    </xf>
    <xf numFmtId="166" fontId="9" fillId="0" borderId="12" xfId="14" applyNumberFormat="1" applyFont="1" applyBorder="1" applyAlignment="1">
      <alignment horizontal="center"/>
    </xf>
    <xf numFmtId="166" fontId="9" fillId="0" borderId="13" xfId="14" applyNumberFormat="1" applyFont="1" applyBorder="1" applyAlignment="1">
      <alignment horizontal="center"/>
    </xf>
    <xf numFmtId="166" fontId="9" fillId="0" borderId="14" xfId="14" applyNumberFormat="1" applyFont="1" applyBorder="1" applyAlignment="1">
      <alignment horizontal="center"/>
    </xf>
    <xf numFmtId="166" fontId="9" fillId="0" borderId="15" xfId="14" applyNumberFormat="1" applyFont="1" applyBorder="1" applyAlignment="1">
      <alignment horizont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166" fontId="19" fillId="0" borderId="31" xfId="0" applyNumberFormat="1" applyFont="1" applyBorder="1" applyAlignment="1">
      <alignment horizontal="center" vertical="center"/>
    </xf>
    <xf numFmtId="2" fontId="19" fillId="0" borderId="34" xfId="0" applyNumberFormat="1" applyFont="1" applyBorder="1" applyAlignment="1">
      <alignment horizontal="center" vertical="center"/>
    </xf>
    <xf numFmtId="164" fontId="19" fillId="0" borderId="34" xfId="14" applyNumberFormat="1" applyFont="1" applyBorder="1" applyAlignment="1">
      <alignment horizontal="center" vertical="center"/>
    </xf>
    <xf numFmtId="164" fontId="19" fillId="0" borderId="35" xfId="14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66" fontId="19" fillId="0" borderId="36" xfId="0" applyNumberFormat="1" applyFont="1" applyBorder="1" applyAlignment="1">
      <alignment horizontal="center" vertical="center"/>
    </xf>
    <xf numFmtId="2" fontId="19" fillId="0" borderId="39" xfId="0" applyNumberFormat="1" applyFont="1" applyBorder="1" applyAlignment="1">
      <alignment horizontal="center" vertical="center"/>
    </xf>
    <xf numFmtId="164" fontId="19" fillId="0" borderId="39" xfId="14" applyNumberFormat="1" applyFont="1" applyBorder="1" applyAlignment="1">
      <alignment horizontal="center" vertical="center"/>
    </xf>
    <xf numFmtId="164" fontId="19" fillId="0" borderId="40" xfId="14" applyNumberFormat="1" applyFont="1" applyBorder="1" applyAlignment="1">
      <alignment horizontal="center" vertical="center"/>
    </xf>
    <xf numFmtId="164" fontId="19" fillId="0" borderId="34" xfId="14" applyNumberFormat="1" applyFont="1" applyFill="1" applyBorder="1" applyAlignment="1">
      <alignment horizontal="center" vertical="center"/>
    </xf>
    <xf numFmtId="164" fontId="19" fillId="0" borderId="35" xfId="14" applyNumberFormat="1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166" fontId="19" fillId="0" borderId="44" xfId="0" applyNumberFormat="1" applyFont="1" applyBorder="1" applyAlignment="1">
      <alignment horizontal="center" vertical="center"/>
    </xf>
    <xf numFmtId="2" fontId="19" fillId="0" borderId="45" xfId="0" applyNumberFormat="1" applyFont="1" applyBorder="1" applyAlignment="1">
      <alignment horizontal="center" vertical="center"/>
    </xf>
    <xf numFmtId="164" fontId="19" fillId="0" borderId="45" xfId="14" applyNumberFormat="1" applyFont="1" applyFill="1" applyBorder="1" applyAlignment="1">
      <alignment horizontal="center" vertical="center"/>
    </xf>
    <xf numFmtId="164" fontId="19" fillId="0" borderId="46" xfId="14" applyNumberFormat="1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166" fontId="19" fillId="0" borderId="48" xfId="0" applyNumberFormat="1" applyFont="1" applyBorder="1" applyAlignment="1">
      <alignment horizontal="center" vertical="center"/>
    </xf>
    <xf numFmtId="2" fontId="19" fillId="0" borderId="49" xfId="0" applyNumberFormat="1" applyFont="1" applyBorder="1" applyAlignment="1">
      <alignment horizontal="center" vertical="center"/>
    </xf>
    <xf numFmtId="164" fontId="19" fillId="0" borderId="49" xfId="14" applyNumberFormat="1" applyFont="1" applyFill="1" applyBorder="1" applyAlignment="1">
      <alignment horizontal="center" vertical="center"/>
    </xf>
    <xf numFmtId="164" fontId="19" fillId="0" borderId="50" xfId="14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/>
    </xf>
    <xf numFmtId="166" fontId="6" fillId="4" borderId="44" xfId="0" applyNumberFormat="1" applyFont="1" applyFill="1" applyBorder="1" applyAlignment="1">
      <alignment horizontal="center" vertical="center"/>
    </xf>
    <xf numFmtId="2" fontId="6" fillId="4" borderId="45" xfId="0" applyNumberFormat="1" applyFont="1" applyFill="1" applyBorder="1" applyAlignment="1">
      <alignment horizontal="center" vertical="center"/>
    </xf>
    <xf numFmtId="164" fontId="6" fillId="4" borderId="45" xfId="14" applyNumberFormat="1" applyFont="1" applyFill="1" applyBorder="1" applyAlignment="1">
      <alignment horizontal="center" vertical="center"/>
    </xf>
    <xf numFmtId="164" fontId="6" fillId="4" borderId="46" xfId="14" applyNumberFormat="1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166" fontId="6" fillId="4" borderId="48" xfId="0" applyNumberFormat="1" applyFont="1" applyFill="1" applyBorder="1" applyAlignment="1">
      <alignment horizontal="center" vertical="center"/>
    </xf>
    <xf numFmtId="2" fontId="6" fillId="4" borderId="49" xfId="0" applyNumberFormat="1" applyFont="1" applyFill="1" applyBorder="1" applyAlignment="1">
      <alignment horizontal="center" vertical="center"/>
    </xf>
    <xf numFmtId="164" fontId="6" fillId="4" borderId="49" xfId="14" applyNumberFormat="1" applyFont="1" applyFill="1" applyBorder="1" applyAlignment="1">
      <alignment horizontal="center" vertical="center"/>
    </xf>
    <xf numFmtId="164" fontId="6" fillId="4" borderId="50" xfId="14" applyNumberFormat="1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 wrapText="1"/>
    </xf>
    <xf numFmtId="164" fontId="19" fillId="0" borderId="45" xfId="14" applyNumberFormat="1" applyFont="1" applyBorder="1" applyAlignment="1">
      <alignment horizontal="center" vertical="center"/>
    </xf>
    <xf numFmtId="164" fontId="19" fillId="0" borderId="46" xfId="14" applyNumberFormat="1" applyFont="1" applyBorder="1" applyAlignment="1">
      <alignment horizontal="center" vertical="center"/>
    </xf>
    <xf numFmtId="164" fontId="19" fillId="0" borderId="49" xfId="14" applyNumberFormat="1" applyFont="1" applyBorder="1" applyAlignment="1">
      <alignment horizontal="center" vertical="center"/>
    </xf>
    <xf numFmtId="164" fontId="19" fillId="0" borderId="50" xfId="14" applyNumberFormat="1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166" fontId="19" fillId="0" borderId="42" xfId="0" applyNumberFormat="1" applyFont="1" applyBorder="1" applyAlignment="1">
      <alignment horizontal="center" vertical="center"/>
    </xf>
    <xf numFmtId="2" fontId="19" fillId="0" borderId="51" xfId="0" applyNumberFormat="1" applyFont="1" applyBorder="1" applyAlignment="1">
      <alignment horizontal="center" vertical="center"/>
    </xf>
    <xf numFmtId="164" fontId="19" fillId="0" borderId="51" xfId="14" applyNumberFormat="1" applyFont="1" applyFill="1" applyBorder="1" applyAlignment="1">
      <alignment horizontal="center" vertical="center"/>
    </xf>
    <xf numFmtId="164" fontId="19" fillId="0" borderId="55" xfId="14" applyNumberFormat="1" applyFont="1" applyFill="1" applyBorder="1" applyAlignment="1">
      <alignment horizontal="center" vertical="center"/>
    </xf>
    <xf numFmtId="164" fontId="19" fillId="0" borderId="39" xfId="14" applyNumberFormat="1" applyFont="1" applyFill="1" applyBorder="1" applyAlignment="1">
      <alignment horizontal="center" vertical="center"/>
    </xf>
    <xf numFmtId="164" fontId="19" fillId="0" borderId="40" xfId="14" applyNumberFormat="1" applyFont="1" applyFill="1" applyBorder="1" applyAlignment="1">
      <alignment horizontal="center" vertical="center"/>
    </xf>
    <xf numFmtId="0" fontId="19" fillId="0" borderId="0" xfId="0" applyFont="1"/>
    <xf numFmtId="0" fontId="6" fillId="4" borderId="33" xfId="0" applyFont="1" applyFill="1" applyBorder="1" applyAlignment="1">
      <alignment horizontal="center" vertical="center"/>
    </xf>
    <xf numFmtId="166" fontId="6" fillId="4" borderId="31" xfId="0" applyNumberFormat="1" applyFont="1" applyFill="1" applyBorder="1" applyAlignment="1">
      <alignment horizontal="center" vertical="center"/>
    </xf>
    <xf numFmtId="2" fontId="6" fillId="4" borderId="34" xfId="0" applyNumberFormat="1" applyFont="1" applyFill="1" applyBorder="1" applyAlignment="1">
      <alignment horizontal="center" vertical="center"/>
    </xf>
    <xf numFmtId="164" fontId="6" fillId="4" borderId="34" xfId="14" applyNumberFormat="1" applyFont="1" applyFill="1" applyBorder="1" applyAlignment="1">
      <alignment horizontal="center" vertical="center"/>
    </xf>
    <xf numFmtId="164" fontId="6" fillId="4" borderId="35" xfId="14" applyNumberFormat="1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166" fontId="6" fillId="4" borderId="36" xfId="0" applyNumberFormat="1" applyFont="1" applyFill="1" applyBorder="1" applyAlignment="1">
      <alignment horizontal="center" vertical="center"/>
    </xf>
    <xf numFmtId="2" fontId="6" fillId="4" borderId="39" xfId="0" applyNumberFormat="1" applyFont="1" applyFill="1" applyBorder="1" applyAlignment="1">
      <alignment horizontal="center" vertical="center"/>
    </xf>
    <xf numFmtId="164" fontId="6" fillId="4" borderId="39" xfId="14" applyNumberFormat="1" applyFont="1" applyFill="1" applyBorder="1" applyAlignment="1">
      <alignment horizontal="center" vertical="center"/>
    </xf>
    <xf numFmtId="164" fontId="6" fillId="4" borderId="40" xfId="14" applyNumberFormat="1" applyFont="1" applyFill="1" applyBorder="1" applyAlignment="1">
      <alignment horizontal="center" vertical="center"/>
    </xf>
    <xf numFmtId="0" fontId="6" fillId="4" borderId="54" xfId="0" applyFont="1" applyFill="1" applyBorder="1" applyAlignment="1">
      <alignment horizontal="center" vertical="center"/>
    </xf>
    <xf numFmtId="166" fontId="6" fillId="4" borderId="42" xfId="0" applyNumberFormat="1" applyFont="1" applyFill="1" applyBorder="1" applyAlignment="1">
      <alignment horizontal="center" vertical="center"/>
    </xf>
    <xf numFmtId="2" fontId="6" fillId="4" borderId="51" xfId="0" applyNumberFormat="1" applyFont="1" applyFill="1" applyBorder="1" applyAlignment="1">
      <alignment horizontal="center" vertical="center"/>
    </xf>
    <xf numFmtId="164" fontId="6" fillId="4" borderId="51" xfId="14" applyNumberFormat="1" applyFont="1" applyFill="1" applyBorder="1" applyAlignment="1">
      <alignment horizontal="center" vertical="center"/>
    </xf>
    <xf numFmtId="164" fontId="6" fillId="4" borderId="55" xfId="14" applyNumberFormat="1" applyFont="1" applyFill="1" applyBorder="1" applyAlignment="1">
      <alignment horizontal="center" vertical="center"/>
    </xf>
    <xf numFmtId="10" fontId="19" fillId="0" borderId="34" xfId="14" applyNumberFormat="1" applyFont="1" applyBorder="1" applyAlignment="1">
      <alignment horizontal="center" vertical="center"/>
    </xf>
    <xf numFmtId="167" fontId="19" fillId="0" borderId="35" xfId="14" applyNumberFormat="1" applyFont="1" applyBorder="1" applyAlignment="1">
      <alignment horizontal="center" vertical="center"/>
    </xf>
    <xf numFmtId="10" fontId="19" fillId="0" borderId="39" xfId="14" applyNumberFormat="1" applyFont="1" applyBorder="1" applyAlignment="1">
      <alignment horizontal="center" vertical="center"/>
    </xf>
    <xf numFmtId="168" fontId="19" fillId="0" borderId="40" xfId="14" applyNumberFormat="1" applyFont="1" applyBorder="1" applyAlignment="1">
      <alignment horizontal="center" vertical="center"/>
    </xf>
    <xf numFmtId="10" fontId="19" fillId="0" borderId="49" xfId="14" applyNumberFormat="1" applyFont="1" applyFill="1" applyBorder="1" applyAlignment="1">
      <alignment horizontal="center" vertical="center"/>
    </xf>
    <xf numFmtId="167" fontId="19" fillId="0" borderId="50" xfId="14" applyNumberFormat="1" applyFont="1" applyFill="1" applyBorder="1" applyAlignment="1">
      <alignment horizontal="center" vertical="center"/>
    </xf>
    <xf numFmtId="167" fontId="19" fillId="0" borderId="40" xfId="14" applyNumberFormat="1" applyFont="1" applyBorder="1" applyAlignment="1">
      <alignment horizontal="center" vertical="center"/>
    </xf>
    <xf numFmtId="10" fontId="19" fillId="0" borderId="50" xfId="14" applyNumberFormat="1" applyFont="1" applyFill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10" fontId="19" fillId="0" borderId="39" xfId="14" applyNumberFormat="1" applyFont="1" applyFill="1" applyBorder="1" applyAlignment="1">
      <alignment horizontal="center" vertical="center"/>
    </xf>
    <xf numFmtId="10" fontId="19" fillId="0" borderId="40" xfId="14" applyNumberFormat="1" applyFont="1" applyFill="1" applyBorder="1" applyAlignment="1">
      <alignment horizontal="center" vertical="center"/>
    </xf>
    <xf numFmtId="0" fontId="12" fillId="0" borderId="0" xfId="0" applyFont="1"/>
    <xf numFmtId="164" fontId="19" fillId="0" borderId="51" xfId="14" applyNumberFormat="1" applyFont="1" applyBorder="1" applyAlignment="1">
      <alignment horizontal="center" vertical="center"/>
    </xf>
    <xf numFmtId="164" fontId="19" fillId="0" borderId="55" xfId="14" applyNumberFormat="1" applyFont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166" fontId="19" fillId="0" borderId="42" xfId="0" applyNumberFormat="1" applyFont="1" applyFill="1" applyBorder="1" applyAlignment="1">
      <alignment horizontal="center" vertical="center"/>
    </xf>
    <xf numFmtId="2" fontId="19" fillId="0" borderId="51" xfId="0" applyNumberFormat="1" applyFont="1" applyFill="1" applyBorder="1" applyAlignment="1">
      <alignment horizontal="center" vertical="center"/>
    </xf>
    <xf numFmtId="166" fontId="19" fillId="0" borderId="44" xfId="0" applyNumberFormat="1" applyFont="1" applyFill="1" applyBorder="1" applyAlignment="1">
      <alignment horizontal="center" vertical="center"/>
    </xf>
    <xf numFmtId="2" fontId="19" fillId="0" borderId="45" xfId="0" applyNumberFormat="1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166" fontId="19" fillId="0" borderId="48" xfId="0" applyNumberFormat="1" applyFont="1" applyFill="1" applyBorder="1" applyAlignment="1">
      <alignment horizontal="center" vertical="center"/>
    </xf>
    <xf numFmtId="2" fontId="19" fillId="0" borderId="49" xfId="0" applyNumberFormat="1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166" fontId="19" fillId="0" borderId="31" xfId="0" applyNumberFormat="1" applyFont="1" applyFill="1" applyBorder="1" applyAlignment="1">
      <alignment horizontal="center" vertical="center"/>
    </xf>
    <xf numFmtId="2" fontId="19" fillId="0" borderId="34" xfId="0" applyNumberFormat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166" fontId="19" fillId="0" borderId="36" xfId="0" applyNumberFormat="1" applyFont="1" applyFill="1" applyBorder="1" applyAlignment="1">
      <alignment horizontal="center" vertical="center"/>
    </xf>
    <xf numFmtId="2" fontId="19" fillId="0" borderId="39" xfId="0" applyNumberFormat="1" applyFont="1" applyFill="1" applyBorder="1" applyAlignment="1">
      <alignment horizontal="center" vertical="center"/>
    </xf>
    <xf numFmtId="164" fontId="10" fillId="0" borderId="24" xfId="14" applyNumberFormat="1" applyFont="1" applyBorder="1" applyAlignment="1">
      <alignment horizontal="center"/>
    </xf>
    <xf numFmtId="164" fontId="10" fillId="0" borderId="11" xfId="14" applyNumberFormat="1" applyFont="1" applyBorder="1" applyAlignment="1">
      <alignment horizontal="center"/>
    </xf>
    <xf numFmtId="164" fontId="10" fillId="0" borderId="59" xfId="14" applyNumberFormat="1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164" fontId="10" fillId="0" borderId="7" xfId="14" applyNumberFormat="1" applyFont="1" applyBorder="1" applyAlignment="1">
      <alignment horizontal="center"/>
    </xf>
    <xf numFmtId="164" fontId="10" fillId="0" borderId="8" xfId="14" applyNumberFormat="1" applyFont="1" applyBorder="1" applyAlignment="1">
      <alignment horizontal="center"/>
    </xf>
    <xf numFmtId="164" fontId="10" fillId="0" borderId="9" xfId="14" applyNumberFormat="1" applyFont="1" applyBorder="1" applyAlignment="1">
      <alignment horizontal="center"/>
    </xf>
    <xf numFmtId="164" fontId="10" fillId="0" borderId="10" xfId="14" applyNumberFormat="1" applyFont="1" applyBorder="1" applyAlignment="1">
      <alignment horizontal="center"/>
    </xf>
    <xf numFmtId="164" fontId="10" fillId="0" borderId="12" xfId="14" applyNumberFormat="1" applyFont="1" applyBorder="1" applyAlignment="1">
      <alignment horizontal="center"/>
    </xf>
    <xf numFmtId="164" fontId="10" fillId="0" borderId="13" xfId="14" applyNumberFormat="1" applyFont="1" applyBorder="1" applyAlignment="1">
      <alignment horizontal="center"/>
    </xf>
    <xf numFmtId="164" fontId="10" fillId="0" borderId="14" xfId="14" applyNumberFormat="1" applyFont="1" applyBorder="1" applyAlignment="1">
      <alignment horizontal="center"/>
    </xf>
    <xf numFmtId="164" fontId="10" fillId="0" borderId="15" xfId="14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64" fontId="10" fillId="0" borderId="23" xfId="14" applyNumberFormat="1" applyFont="1" applyBorder="1" applyAlignment="1">
      <alignment horizontal="center"/>
    </xf>
    <xf numFmtId="164" fontId="10" fillId="0" borderId="25" xfId="14" applyNumberFormat="1" applyFont="1" applyBorder="1" applyAlignment="1">
      <alignment horizontal="center"/>
    </xf>
    <xf numFmtId="166" fontId="19" fillId="0" borderId="34" xfId="0" applyNumberFormat="1" applyFont="1" applyBorder="1" applyAlignment="1">
      <alignment horizontal="center" vertical="center"/>
    </xf>
    <xf numFmtId="166" fontId="19" fillId="0" borderId="39" xfId="0" applyNumberFormat="1" applyFont="1" applyBorder="1" applyAlignment="1">
      <alignment horizontal="center" vertical="center"/>
    </xf>
    <xf numFmtId="164" fontId="19" fillId="0" borderId="33" xfId="14" applyNumberFormat="1" applyFont="1" applyBorder="1" applyAlignment="1">
      <alignment horizontal="center" vertical="center"/>
    </xf>
    <xf numFmtId="166" fontId="19" fillId="0" borderId="45" xfId="0" applyNumberFormat="1" applyFont="1" applyBorder="1" applyAlignment="1">
      <alignment horizontal="center" vertical="center"/>
    </xf>
    <xf numFmtId="164" fontId="19" fillId="0" borderId="43" xfId="14" applyNumberFormat="1" applyFont="1" applyBorder="1" applyAlignment="1">
      <alignment horizontal="center" vertical="center"/>
    </xf>
    <xf numFmtId="166" fontId="19" fillId="0" borderId="49" xfId="0" applyNumberFormat="1" applyFont="1" applyBorder="1" applyAlignment="1">
      <alignment horizontal="center" vertical="center"/>
    </xf>
    <xf numFmtId="166" fontId="19" fillId="0" borderId="51" xfId="0" applyNumberFormat="1" applyFont="1" applyBorder="1" applyAlignment="1">
      <alignment horizontal="center" vertical="center"/>
    </xf>
    <xf numFmtId="164" fontId="19" fillId="0" borderId="38" xfId="14" applyNumberFormat="1" applyFont="1" applyBorder="1" applyAlignment="1">
      <alignment horizontal="center" vertical="center"/>
    </xf>
    <xf numFmtId="166" fontId="19" fillId="0" borderId="62" xfId="0" applyNumberFormat="1" applyFont="1" applyBorder="1" applyAlignment="1">
      <alignment horizontal="center" vertical="center"/>
    </xf>
    <xf numFmtId="166" fontId="19" fillId="0" borderId="63" xfId="0" applyNumberFormat="1" applyFont="1" applyBorder="1" applyAlignment="1">
      <alignment horizontal="center" vertical="center"/>
    </xf>
    <xf numFmtId="166" fontId="19" fillId="0" borderId="64" xfId="0" applyNumberFormat="1" applyFont="1" applyBorder="1" applyAlignment="1">
      <alignment horizontal="center" vertical="center"/>
    </xf>
    <xf numFmtId="166" fontId="19" fillId="0" borderId="52" xfId="0" applyNumberFormat="1" applyFont="1" applyBorder="1" applyAlignment="1">
      <alignment horizontal="center" vertical="center"/>
    </xf>
    <xf numFmtId="166" fontId="19" fillId="0" borderId="66" xfId="0" applyNumberFormat="1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164" fontId="19" fillId="0" borderId="76" xfId="14" applyNumberFormat="1" applyFont="1" applyFill="1" applyBorder="1" applyAlignment="1">
      <alignment horizontal="center" vertical="center"/>
    </xf>
    <xf numFmtId="164" fontId="19" fillId="0" borderId="72" xfId="14" applyNumberFormat="1" applyFont="1" applyFill="1" applyBorder="1" applyAlignment="1">
      <alignment horizontal="center" vertical="center"/>
    </xf>
    <xf numFmtId="164" fontId="19" fillId="0" borderId="77" xfId="14" applyNumberFormat="1" applyFont="1" applyFill="1" applyBorder="1" applyAlignment="1">
      <alignment horizontal="center" vertical="center"/>
    </xf>
    <xf numFmtId="164" fontId="19" fillId="0" borderId="78" xfId="14" applyNumberFormat="1" applyFont="1" applyFill="1" applyBorder="1" applyAlignment="1">
      <alignment horizontal="center" vertical="center"/>
    </xf>
    <xf numFmtId="164" fontId="19" fillId="0" borderId="54" xfId="14" applyNumberFormat="1" applyFont="1" applyFill="1" applyBorder="1" applyAlignment="1">
      <alignment horizontal="center" vertical="center"/>
    </xf>
    <xf numFmtId="164" fontId="19" fillId="0" borderId="63" xfId="14" applyNumberFormat="1" applyFont="1" applyFill="1" applyBorder="1" applyAlignment="1">
      <alignment horizontal="center" vertical="center"/>
    </xf>
    <xf numFmtId="164" fontId="19" fillId="0" borderId="43" xfId="14" applyNumberFormat="1" applyFont="1" applyFill="1" applyBorder="1" applyAlignment="1">
      <alignment horizontal="center" vertical="center"/>
    </xf>
    <xf numFmtId="164" fontId="19" fillId="0" borderId="70" xfId="14" applyNumberFormat="1" applyFont="1" applyFill="1" applyBorder="1" applyAlignment="1">
      <alignment horizontal="center" vertical="center"/>
    </xf>
    <xf numFmtId="164" fontId="19" fillId="0" borderId="62" xfId="14" applyNumberFormat="1" applyFont="1" applyFill="1" applyBorder="1" applyAlignment="1">
      <alignment horizontal="center" vertical="center"/>
    </xf>
    <xf numFmtId="164" fontId="19" fillId="0" borderId="33" xfId="14" applyNumberFormat="1" applyFont="1" applyFill="1" applyBorder="1" applyAlignment="1">
      <alignment horizontal="center" vertical="center"/>
    </xf>
    <xf numFmtId="164" fontId="19" fillId="0" borderId="79" xfId="14" applyNumberFormat="1" applyFont="1" applyFill="1" applyBorder="1" applyAlignment="1">
      <alignment horizontal="center" vertical="center"/>
    </xf>
    <xf numFmtId="164" fontId="19" fillId="0" borderId="38" xfId="14" applyNumberFormat="1" applyFont="1" applyFill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19" fillId="0" borderId="56" xfId="14" applyNumberFormat="1" applyFont="1" applyFill="1" applyBorder="1" applyAlignment="1">
      <alignment horizontal="center" vertical="center"/>
    </xf>
    <xf numFmtId="164" fontId="19" fillId="0" borderId="0" xfId="14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164" fontId="10" fillId="0" borderId="81" xfId="14" applyNumberFormat="1" applyFont="1" applyBorder="1" applyAlignment="1">
      <alignment horizontal="center"/>
    </xf>
    <xf numFmtId="164" fontId="10" fillId="0" borderId="82" xfId="14" applyNumberFormat="1" applyFont="1" applyBorder="1" applyAlignment="1">
      <alignment horizontal="center"/>
    </xf>
    <xf numFmtId="164" fontId="10" fillId="0" borderId="83" xfId="14" applyNumberFormat="1" applyFont="1" applyBorder="1" applyAlignment="1">
      <alignment horizontal="center"/>
    </xf>
    <xf numFmtId="164" fontId="10" fillId="0" borderId="84" xfId="14" applyNumberFormat="1" applyFont="1" applyBorder="1" applyAlignment="1">
      <alignment horizontal="center"/>
    </xf>
    <xf numFmtId="164" fontId="10" fillId="0" borderId="85" xfId="14" applyNumberFormat="1" applyFont="1" applyBorder="1" applyAlignment="1">
      <alignment horizontal="center"/>
    </xf>
    <xf numFmtId="164" fontId="10" fillId="0" borderId="20" xfId="14" applyNumberFormat="1" applyFont="1" applyBorder="1" applyAlignment="1">
      <alignment horizontal="center" vertical="center"/>
    </xf>
    <xf numFmtId="164" fontId="10" fillId="0" borderId="21" xfId="14" applyNumberFormat="1" applyFont="1" applyBorder="1" applyAlignment="1">
      <alignment horizontal="center" vertical="center"/>
    </xf>
    <xf numFmtId="164" fontId="10" fillId="0" borderId="22" xfId="14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23" fillId="0" borderId="0" xfId="0" applyFont="1"/>
    <xf numFmtId="0" fontId="22" fillId="0" borderId="0" xfId="0" applyFont="1"/>
    <xf numFmtId="0" fontId="14" fillId="0" borderId="0" xfId="0" applyFont="1"/>
    <xf numFmtId="0" fontId="25" fillId="0" borderId="0" xfId="0" applyFont="1"/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14" fillId="0" borderId="0" xfId="2" applyFont="1" applyAlignment="1">
      <alignment horizontal="center"/>
    </xf>
    <xf numFmtId="0" fontId="11" fillId="0" borderId="4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8" fillId="0" borderId="2" xfId="2" applyBorder="1" applyAlignment="1">
      <alignment horizontal="center"/>
    </xf>
    <xf numFmtId="0" fontId="8" fillId="0" borderId="3" xfId="2" applyBorder="1" applyAlignment="1">
      <alignment horizontal="center"/>
    </xf>
    <xf numFmtId="0" fontId="11" fillId="0" borderId="0" xfId="2" applyFont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6" fillId="0" borderId="5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64" fontId="19" fillId="0" borderId="67" xfId="14" applyNumberFormat="1" applyFont="1" applyBorder="1" applyAlignment="1">
      <alignment horizontal="center" vertical="center"/>
    </xf>
    <xf numFmtId="164" fontId="19" fillId="0" borderId="68" xfId="14" applyNumberFormat="1" applyFont="1" applyBorder="1" applyAlignment="1">
      <alignment horizontal="center" vertical="center"/>
    </xf>
    <xf numFmtId="164" fontId="19" fillId="0" borderId="36" xfId="14" applyNumberFormat="1" applyFont="1" applyBorder="1" applyAlignment="1">
      <alignment horizontal="center" vertical="center"/>
    </xf>
    <xf numFmtId="164" fontId="19" fillId="0" borderId="57" xfId="14" applyNumberFormat="1" applyFont="1" applyBorder="1" applyAlignment="1">
      <alignment horizontal="center" vertical="center"/>
    </xf>
    <xf numFmtId="164" fontId="19" fillId="0" borderId="70" xfId="14" applyNumberFormat="1" applyFont="1" applyFill="1" applyBorder="1" applyAlignment="1">
      <alignment horizontal="center" vertical="center"/>
    </xf>
    <xf numFmtId="164" fontId="19" fillId="0" borderId="58" xfId="14" applyNumberFormat="1" applyFont="1" applyFill="1" applyBorder="1" applyAlignment="1">
      <alignment horizontal="center" vertical="center"/>
    </xf>
    <xf numFmtId="164" fontId="19" fillId="0" borderId="71" xfId="14" applyNumberFormat="1" applyFont="1" applyFill="1" applyBorder="1" applyAlignment="1">
      <alignment horizontal="center" vertical="center"/>
    </xf>
    <xf numFmtId="164" fontId="19" fillId="0" borderId="47" xfId="14" applyNumberFormat="1" applyFont="1" applyFill="1" applyBorder="1" applyAlignment="1">
      <alignment horizontal="center" vertical="center"/>
    </xf>
    <xf numFmtId="164" fontId="19" fillId="0" borderId="72" xfId="14" applyNumberFormat="1" applyFont="1" applyFill="1" applyBorder="1" applyAlignment="1">
      <alignment horizontal="center" vertical="center"/>
    </xf>
    <xf numFmtId="164" fontId="19" fillId="0" borderId="38" xfId="14" applyNumberFormat="1" applyFont="1" applyFill="1" applyBorder="1" applyAlignment="1">
      <alignment horizontal="center" vertical="center"/>
    </xf>
    <xf numFmtId="164" fontId="19" fillId="0" borderId="67" xfId="14" applyNumberFormat="1" applyFont="1" applyFill="1" applyBorder="1" applyAlignment="1">
      <alignment horizontal="center" vertical="center"/>
    </xf>
    <xf numFmtId="164" fontId="19" fillId="0" borderId="69" xfId="14" applyNumberFormat="1" applyFont="1" applyFill="1" applyBorder="1" applyAlignment="1">
      <alignment horizontal="center" vertical="center"/>
    </xf>
    <xf numFmtId="164" fontId="19" fillId="0" borderId="48" xfId="14" applyNumberFormat="1" applyFont="1" applyFill="1" applyBorder="1" applyAlignment="1">
      <alignment horizontal="center" vertical="center"/>
    </xf>
    <xf numFmtId="164" fontId="19" fillId="0" borderId="50" xfId="14" applyNumberFormat="1" applyFont="1" applyFill="1" applyBorder="1" applyAlignment="1">
      <alignment horizontal="center" vertical="center"/>
    </xf>
    <xf numFmtId="164" fontId="19" fillId="0" borderId="44" xfId="14" applyNumberFormat="1" applyFont="1" applyFill="1" applyBorder="1" applyAlignment="1">
      <alignment horizontal="center" vertical="center"/>
    </xf>
    <xf numFmtId="164" fontId="19" fillId="0" borderId="46" xfId="14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/>
    </xf>
    <xf numFmtId="0" fontId="22" fillId="0" borderId="4" xfId="0" applyFont="1" applyBorder="1" applyAlignment="1">
      <alignment horizontal="left" vertical="center"/>
    </xf>
    <xf numFmtId="0" fontId="23" fillId="0" borderId="74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9" fontId="22" fillId="0" borderId="11" xfId="14" applyNumberFormat="1" applyFont="1" applyBorder="1" applyAlignment="1">
      <alignment horizontal="center" vertical="center"/>
    </xf>
    <xf numFmtId="9" fontId="22" fillId="0" borderId="12" xfId="14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9" fontId="22" fillId="0" borderId="14" xfId="14" applyNumberFormat="1" applyFont="1" applyBorder="1" applyAlignment="1">
      <alignment horizontal="center" vertical="center"/>
    </xf>
    <xf numFmtId="9" fontId="22" fillId="0" borderId="15" xfId="14" applyNumberFormat="1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9" fontId="22" fillId="0" borderId="8" xfId="14" applyNumberFormat="1" applyFont="1" applyBorder="1" applyAlignment="1">
      <alignment horizontal="center" vertical="center"/>
    </xf>
    <xf numFmtId="9" fontId="22" fillId="0" borderId="9" xfId="14" applyNumberFormat="1" applyFont="1" applyBorder="1" applyAlignment="1">
      <alignment horizontal="center" vertical="center"/>
    </xf>
    <xf numFmtId="0" fontId="22" fillId="0" borderId="0" xfId="0" applyFont="1" applyBorder="1"/>
    <xf numFmtId="9" fontId="22" fillId="0" borderId="0" xfId="14" applyFont="1" applyBorder="1" applyAlignment="1">
      <alignment horizontal="center" vertical="center"/>
    </xf>
    <xf numFmtId="0" fontId="22" fillId="0" borderId="1" xfId="0" applyFont="1" applyBorder="1"/>
    <xf numFmtId="9" fontId="22" fillId="0" borderId="89" xfId="14" applyNumberFormat="1" applyFont="1" applyBorder="1" applyAlignment="1">
      <alignment horizontal="center" vertical="center"/>
    </xf>
    <xf numFmtId="9" fontId="22" fillId="0" borderId="90" xfId="14" applyNumberFormat="1" applyFont="1" applyBorder="1" applyAlignment="1">
      <alignment horizontal="center" vertical="center"/>
    </xf>
    <xf numFmtId="9" fontId="22" fillId="0" borderId="16" xfId="14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22" fillId="0" borderId="17" xfId="0" applyFont="1" applyBorder="1"/>
    <xf numFmtId="0" fontId="22" fillId="0" borderId="18" xfId="0" applyFont="1" applyBorder="1"/>
    <xf numFmtId="0" fontId="22" fillId="0" borderId="19" xfId="0" applyFont="1" applyBorder="1"/>
    <xf numFmtId="0" fontId="22" fillId="0" borderId="17" xfId="0" applyFont="1" applyBorder="1" applyAlignment="1"/>
    <xf numFmtId="0" fontId="22" fillId="0" borderId="18" xfId="0" applyFont="1" applyBorder="1" applyAlignment="1"/>
    <xf numFmtId="0" fontId="22" fillId="0" borderId="19" xfId="0" applyFont="1" applyBorder="1" applyAlignment="1"/>
    <xf numFmtId="9" fontId="22" fillId="0" borderId="7" xfId="14" applyFont="1" applyBorder="1" applyAlignment="1">
      <alignment horizontal="center" vertical="center"/>
    </xf>
    <xf numFmtId="9" fontId="22" fillId="0" borderId="8" xfId="14" applyFont="1" applyBorder="1" applyAlignment="1">
      <alignment horizontal="center" vertical="center"/>
    </xf>
    <xf numFmtId="9" fontId="22" fillId="0" borderId="9" xfId="14" applyFont="1" applyBorder="1" applyAlignment="1">
      <alignment horizontal="center" vertical="center"/>
    </xf>
    <xf numFmtId="9" fontId="22" fillId="0" borderId="10" xfId="14" applyFont="1" applyBorder="1" applyAlignment="1">
      <alignment horizontal="center" vertical="center"/>
    </xf>
    <xf numFmtId="9" fontId="22" fillId="0" borderId="11" xfId="14" applyFont="1" applyBorder="1" applyAlignment="1">
      <alignment horizontal="center" vertical="center"/>
    </xf>
    <xf numFmtId="9" fontId="22" fillId="0" borderId="12" xfId="14" applyFont="1" applyBorder="1" applyAlignment="1">
      <alignment horizontal="center" vertical="center"/>
    </xf>
    <xf numFmtId="9" fontId="22" fillId="0" borderId="13" xfId="14" applyFont="1" applyBorder="1" applyAlignment="1">
      <alignment horizontal="center" vertical="center"/>
    </xf>
    <xf numFmtId="9" fontId="22" fillId="0" borderId="14" xfId="14" applyFont="1" applyBorder="1" applyAlignment="1">
      <alignment horizontal="center" vertical="center"/>
    </xf>
    <xf numFmtId="9" fontId="22" fillId="0" borderId="15" xfId="14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64" fontId="22" fillId="0" borderId="7" xfId="14" applyNumberFormat="1" applyFont="1" applyBorder="1" applyAlignment="1">
      <alignment horizontal="center" vertical="center"/>
    </xf>
    <xf numFmtId="164" fontId="22" fillId="0" borderId="8" xfId="14" applyNumberFormat="1" applyFont="1" applyBorder="1" applyAlignment="1">
      <alignment horizontal="center" vertical="center"/>
    </xf>
    <xf numFmtId="164" fontId="22" fillId="0" borderId="9" xfId="14" applyNumberFormat="1" applyFont="1" applyBorder="1" applyAlignment="1">
      <alignment horizontal="center" vertical="center"/>
    </xf>
    <xf numFmtId="164" fontId="22" fillId="0" borderId="10" xfId="14" applyNumberFormat="1" applyFont="1" applyBorder="1" applyAlignment="1">
      <alignment horizontal="center" vertical="center"/>
    </xf>
    <xf numFmtId="164" fontId="22" fillId="0" borderId="11" xfId="14" applyNumberFormat="1" applyFont="1" applyBorder="1" applyAlignment="1">
      <alignment horizontal="center" vertical="center"/>
    </xf>
    <xf numFmtId="164" fontId="22" fillId="0" borderId="12" xfId="14" applyNumberFormat="1" applyFont="1" applyBorder="1" applyAlignment="1">
      <alignment horizontal="center" vertical="center"/>
    </xf>
    <xf numFmtId="164" fontId="22" fillId="0" borderId="13" xfId="14" applyNumberFormat="1" applyFont="1" applyBorder="1" applyAlignment="1">
      <alignment horizontal="center" vertical="center"/>
    </xf>
    <xf numFmtId="164" fontId="22" fillId="0" borderId="14" xfId="14" applyNumberFormat="1" applyFont="1" applyBorder="1" applyAlignment="1">
      <alignment horizontal="center" vertical="center"/>
    </xf>
    <xf numFmtId="164" fontId="22" fillId="0" borderId="15" xfId="14" applyNumberFormat="1" applyFont="1" applyBorder="1" applyAlignment="1">
      <alignment horizontal="center" vertical="center"/>
    </xf>
    <xf numFmtId="164" fontId="22" fillId="0" borderId="0" xfId="14" applyNumberFormat="1" applyFont="1" applyBorder="1" applyAlignment="1">
      <alignment horizontal="center" vertical="center"/>
    </xf>
    <xf numFmtId="164" fontId="22" fillId="0" borderId="87" xfId="14" applyNumberFormat="1" applyFont="1" applyBorder="1" applyAlignment="1">
      <alignment horizontal="center" vertical="center"/>
    </xf>
    <xf numFmtId="164" fontId="22" fillId="0" borderId="88" xfId="14" applyNumberFormat="1" applyFont="1" applyBorder="1" applyAlignment="1">
      <alignment horizontal="center" vertical="center"/>
    </xf>
    <xf numFmtId="164" fontId="22" fillId="0" borderId="92" xfId="14" applyNumberFormat="1" applyFont="1" applyBorder="1" applyAlignment="1">
      <alignment horizontal="center" vertical="center"/>
    </xf>
    <xf numFmtId="164" fontId="22" fillId="0" borderId="93" xfId="14" applyNumberFormat="1" applyFont="1" applyBorder="1" applyAlignment="1">
      <alignment horizontal="center" vertical="center"/>
    </xf>
    <xf numFmtId="164" fontId="22" fillId="0" borderId="95" xfId="14" applyNumberFormat="1" applyFont="1" applyBorder="1" applyAlignment="1">
      <alignment horizontal="center" vertical="center"/>
    </xf>
    <xf numFmtId="164" fontId="22" fillId="0" borderId="96" xfId="14" applyNumberFormat="1" applyFont="1" applyBorder="1" applyAlignment="1">
      <alignment horizontal="center" vertical="center"/>
    </xf>
    <xf numFmtId="164" fontId="22" fillId="0" borderId="97" xfId="14" applyNumberFormat="1" applyFont="1" applyBorder="1" applyAlignment="1">
      <alignment horizontal="center" vertical="center"/>
    </xf>
    <xf numFmtId="164" fontId="22" fillId="0" borderId="98" xfId="14" applyNumberFormat="1" applyFont="1" applyBorder="1" applyAlignment="1">
      <alignment horizontal="center" vertical="center"/>
    </xf>
    <xf numFmtId="164" fontId="22" fillId="0" borderId="99" xfId="14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0" borderId="0" xfId="0" applyFont="1" applyBorder="1"/>
    <xf numFmtId="164" fontId="22" fillId="0" borderId="0" xfId="0" applyNumberFormat="1" applyFont="1" applyBorder="1" applyAlignment="1">
      <alignment horizontal="center" vertical="center"/>
    </xf>
    <xf numFmtId="0" fontId="0" fillId="0" borderId="1" xfId="0" applyBorder="1"/>
    <xf numFmtId="164" fontId="22" fillId="0" borderId="7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>
      <alignment horizontal="center" vertical="center"/>
    </xf>
    <xf numFmtId="164" fontId="22" fillId="0" borderId="14" xfId="0" applyNumberFormat="1" applyFont="1" applyBorder="1" applyAlignment="1">
      <alignment horizontal="center" vertical="center"/>
    </xf>
    <xf numFmtId="164" fontId="22" fillId="0" borderId="15" xfId="0" applyNumberFormat="1" applyFont="1" applyBorder="1" applyAlignment="1">
      <alignment horizontal="center" vertical="center"/>
    </xf>
    <xf numFmtId="9" fontId="14" fillId="0" borderId="20" xfId="0" quotePrefix="1" applyNumberFormat="1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quotePrefix="1" applyFont="1" applyBorder="1" applyAlignment="1">
      <alignment horizontal="center" vertical="center"/>
    </xf>
    <xf numFmtId="9" fontId="22" fillId="0" borderId="91" xfId="14" applyFont="1" applyBorder="1" applyAlignment="1">
      <alignment horizontal="center" vertical="center"/>
    </xf>
    <xf numFmtId="9" fontId="22" fillId="0" borderId="92" xfId="14" applyFont="1" applyBorder="1" applyAlignment="1">
      <alignment horizontal="center" vertical="center"/>
    </xf>
    <xf numFmtId="9" fontId="22" fillId="0" borderId="93" xfId="14" applyFont="1" applyBorder="1" applyAlignment="1">
      <alignment horizontal="center" vertical="center"/>
    </xf>
    <xf numFmtId="9" fontId="22" fillId="0" borderId="94" xfId="14" applyFont="1" applyBorder="1" applyAlignment="1">
      <alignment horizontal="center" vertical="center"/>
    </xf>
    <xf numFmtId="9" fontId="22" fillId="0" borderId="95" xfId="14" applyFont="1" applyBorder="1" applyAlignment="1">
      <alignment horizontal="center" vertical="center"/>
    </xf>
    <xf numFmtId="9" fontId="22" fillId="0" borderId="96" xfId="14" applyFont="1" applyBorder="1" applyAlignment="1">
      <alignment horizontal="center" vertical="center"/>
    </xf>
    <xf numFmtId="9" fontId="22" fillId="0" borderId="86" xfId="14" applyFont="1" applyBorder="1" applyAlignment="1">
      <alignment horizontal="center" vertical="center"/>
    </xf>
    <xf numFmtId="9" fontId="22" fillId="0" borderId="87" xfId="14" applyFont="1" applyBorder="1" applyAlignment="1">
      <alignment horizontal="center" vertical="center"/>
    </xf>
    <xf numFmtId="9" fontId="22" fillId="0" borderId="88" xfId="14" applyFont="1" applyBorder="1" applyAlignment="1">
      <alignment horizontal="center" vertical="center"/>
    </xf>
  </cellXfs>
  <cellStyles count="17">
    <cellStyle name="Euro 2" xfId="11" xr:uid="{318B3134-241A-4C0F-BF48-C30A9BAB4B13}"/>
    <cellStyle name="Lien hypertexte" xfId="1" builtinId="8"/>
    <cellStyle name="Lien hypertexte 2" xfId="6" xr:uid="{B3856F44-8ED1-4DDF-8769-CB96281AC51F}"/>
    <cellStyle name="Lien hypertexte 2 2" xfId="13" xr:uid="{001A9F11-844D-4770-A19D-73D3753FAA7E}"/>
    <cellStyle name="Milliers 2" xfId="4" xr:uid="{435B3A41-66F5-451B-A593-EEBFAA598D50}"/>
    <cellStyle name="Milliers 6 2" xfId="9" xr:uid="{C5B49BE7-F51D-409F-89EF-9C76C1305B4B}"/>
    <cellStyle name="Milliers 7" xfId="7" xr:uid="{15956883-C8B1-4C98-B429-41554D580ED9}"/>
    <cellStyle name="Normal" xfId="0" builtinId="0"/>
    <cellStyle name="Normal 19" xfId="5" xr:uid="{ACA882F0-B63B-4761-BF1F-0E8DB782C92D}"/>
    <cellStyle name="Normal 2" xfId="2" xr:uid="{38A7D680-A158-4256-B237-35528A06E96F}"/>
    <cellStyle name="Normal 2 2" xfId="15" xr:uid="{6FCCB710-F164-4AFF-AB30-806FAF6B9182}"/>
    <cellStyle name="Normal 2 9 2" xfId="8" xr:uid="{8EEC1FF2-9103-438A-A407-75BA309B1D59}"/>
    <cellStyle name="Normal 2_Harmo_DC_2" xfId="16" xr:uid="{F7DD2E63-5325-4EAB-B611-B2563834041A}"/>
    <cellStyle name="Pourcentage" xfId="14" builtinId="5"/>
    <cellStyle name="Pourcentage 2" xfId="3" xr:uid="{0787E845-9FC9-4A51-B5DB-31F7EB58D8C6}"/>
    <cellStyle name="Pourcentage 2 2" xfId="10" xr:uid="{3D582AD5-D217-4357-B9B9-EAF0F6C98AE2}"/>
    <cellStyle name="Pourcentage 2 3" xfId="12" xr:uid="{88C871A8-265E-40DA-AC81-6C155E762F7F}"/>
  </cellStyles>
  <dxfs count="0"/>
  <tableStyles count="0" defaultTableStyle="TableStyleMedium2" defaultPivotStyle="PivotStyleLight16"/>
  <colors>
    <mruColors>
      <color rgb="FFACB9CA"/>
      <color rgb="FFDDEBF7"/>
      <color rgb="FF4472C6"/>
      <color rgb="FFE97132"/>
      <color rgb="FFC6D9F1"/>
      <color rgb="FF79297F"/>
      <color rgb="FFF5A74B"/>
      <color rgb="FF1F4E78"/>
      <color rgb="FF604A7B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externalLink" Target="externalLinks/externalLink32.xml"/><Relationship Id="rId84" Type="http://schemas.openxmlformats.org/officeDocument/2006/relationships/externalLink" Target="externalLinks/externalLink48.xml"/><Relationship Id="rId89" Type="http://schemas.openxmlformats.org/officeDocument/2006/relationships/externalLink" Target="externalLinks/externalLink5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74" Type="http://schemas.openxmlformats.org/officeDocument/2006/relationships/externalLink" Target="externalLinks/externalLink38.xml"/><Relationship Id="rId79" Type="http://schemas.openxmlformats.org/officeDocument/2006/relationships/externalLink" Target="externalLinks/externalLink4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54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28.xml"/><Relationship Id="rId69" Type="http://schemas.openxmlformats.org/officeDocument/2006/relationships/externalLink" Target="externalLinks/externalLink33.xml"/><Relationship Id="rId80" Type="http://schemas.openxmlformats.org/officeDocument/2006/relationships/externalLink" Target="externalLinks/externalLink44.xml"/><Relationship Id="rId85" Type="http://schemas.openxmlformats.org/officeDocument/2006/relationships/externalLink" Target="externalLinks/externalLink4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externalLink" Target="externalLinks/externalLink34.xml"/><Relationship Id="rId75" Type="http://schemas.openxmlformats.org/officeDocument/2006/relationships/externalLink" Target="externalLinks/externalLink39.xml"/><Relationship Id="rId83" Type="http://schemas.openxmlformats.org/officeDocument/2006/relationships/externalLink" Target="externalLinks/externalLink47.xml"/><Relationship Id="rId88" Type="http://schemas.openxmlformats.org/officeDocument/2006/relationships/externalLink" Target="externalLinks/externalLink52.xml"/><Relationship Id="rId91" Type="http://schemas.openxmlformats.org/officeDocument/2006/relationships/externalLink" Target="externalLinks/externalLink55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73" Type="http://schemas.openxmlformats.org/officeDocument/2006/relationships/externalLink" Target="externalLinks/externalLink37.xml"/><Relationship Id="rId78" Type="http://schemas.openxmlformats.org/officeDocument/2006/relationships/externalLink" Target="externalLinks/externalLink42.xml"/><Relationship Id="rId81" Type="http://schemas.openxmlformats.org/officeDocument/2006/relationships/externalLink" Target="externalLinks/externalLink45.xml"/><Relationship Id="rId86" Type="http://schemas.openxmlformats.org/officeDocument/2006/relationships/externalLink" Target="externalLinks/externalLink50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Relationship Id="rId76" Type="http://schemas.openxmlformats.org/officeDocument/2006/relationships/externalLink" Target="externalLinks/externalLink40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5.xml"/><Relationship Id="rId92" Type="http://schemas.openxmlformats.org/officeDocument/2006/relationships/externalLink" Target="externalLinks/externalLink5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66" Type="http://schemas.openxmlformats.org/officeDocument/2006/relationships/externalLink" Target="externalLinks/externalLink30.xml"/><Relationship Id="rId87" Type="http://schemas.openxmlformats.org/officeDocument/2006/relationships/externalLink" Target="externalLinks/externalLink51.xml"/><Relationship Id="rId61" Type="http://schemas.openxmlformats.org/officeDocument/2006/relationships/externalLink" Target="externalLinks/externalLink25.xml"/><Relationship Id="rId82" Type="http://schemas.openxmlformats.org/officeDocument/2006/relationships/externalLink" Target="externalLinks/externalLink4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20.xml"/><Relationship Id="rId77" Type="http://schemas.openxmlformats.org/officeDocument/2006/relationships/externalLink" Target="externalLinks/externalLink4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72" Type="http://schemas.openxmlformats.org/officeDocument/2006/relationships/externalLink" Target="externalLinks/externalLink36.xml"/><Relationship Id="rId93" Type="http://schemas.openxmlformats.org/officeDocument/2006/relationships/externalLink" Target="externalLinks/externalLink5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'Fig A.1'!$C$5</c:f>
              <c:strCache>
                <c:ptCount val="1"/>
                <c:pt idx="0">
                  <c:v>Cnav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 A.1'!$D$4:$BV$4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A.1'!$D$5:$BV$5</c:f>
              <c:numCache>
                <c:formatCode>0%</c:formatCode>
                <c:ptCount val="71"/>
                <c:pt idx="3">
                  <c:v>0.78536850308168227</c:v>
                </c:pt>
                <c:pt idx="4">
                  <c:v>0.79913732988134345</c:v>
                </c:pt>
                <c:pt idx="5">
                  <c:v>0.80384635437237117</c:v>
                </c:pt>
                <c:pt idx="6">
                  <c:v>0.81107167395683322</c:v>
                </c:pt>
                <c:pt idx="7">
                  <c:v>0.81574586974351104</c:v>
                </c:pt>
                <c:pt idx="8">
                  <c:v>0.82130398630611123</c:v>
                </c:pt>
                <c:pt idx="9">
                  <c:v>0.82682338649024378</c:v>
                </c:pt>
                <c:pt idx="10">
                  <c:v>0.83257255830768762</c:v>
                </c:pt>
                <c:pt idx="11">
                  <c:v>0.82977422441916704</c:v>
                </c:pt>
                <c:pt idx="12">
                  <c:v>0.83317516928425217</c:v>
                </c:pt>
                <c:pt idx="13">
                  <c:v>0.83607643109415419</c:v>
                </c:pt>
                <c:pt idx="14">
                  <c:v>0.84326253315247324</c:v>
                </c:pt>
                <c:pt idx="15">
                  <c:v>0.85106922672176299</c:v>
                </c:pt>
                <c:pt idx="16">
                  <c:v>0.86657149745892137</c:v>
                </c:pt>
                <c:pt idx="17">
                  <c:v>0.87504934661239397</c:v>
                </c:pt>
                <c:pt idx="18">
                  <c:v>0.88251675661875661</c:v>
                </c:pt>
                <c:pt idx="19">
                  <c:v>0.88658625466510121</c:v>
                </c:pt>
                <c:pt idx="20">
                  <c:v>0.88907348326080204</c:v>
                </c:pt>
                <c:pt idx="21">
                  <c:v>0.89045376189663994</c:v>
                </c:pt>
                <c:pt idx="22">
                  <c:v>0.8904528803375007</c:v>
                </c:pt>
                <c:pt idx="23">
                  <c:v>0.88921388209721941</c:v>
                </c:pt>
                <c:pt idx="24">
                  <c:v>0.88877576229337207</c:v>
                </c:pt>
                <c:pt idx="25">
                  <c:v>0.88922062819307546</c:v>
                </c:pt>
                <c:pt idx="26">
                  <c:v>0.89102916874722005</c:v>
                </c:pt>
                <c:pt idx="27">
                  <c:v>0.89379352485075358</c:v>
                </c:pt>
                <c:pt idx="28">
                  <c:v>0.89781624603729715</c:v>
                </c:pt>
                <c:pt idx="29">
                  <c:v>0.90522324718703684</c:v>
                </c:pt>
                <c:pt idx="30">
                  <c:v>0.91103882188551621</c:v>
                </c:pt>
                <c:pt idx="31">
                  <c:v>0.91520516993585077</c:v>
                </c:pt>
                <c:pt idx="32">
                  <c:v>0.91815764761193219</c:v>
                </c:pt>
                <c:pt idx="33">
                  <c:v>0.91979370993287579</c:v>
                </c:pt>
                <c:pt idx="34">
                  <c:v>0.91522137076612964</c:v>
                </c:pt>
                <c:pt idx="35">
                  <c:v>0.9109178680502481</c:v>
                </c:pt>
                <c:pt idx="36">
                  <c:v>0.90653560803251909</c:v>
                </c:pt>
                <c:pt idx="37">
                  <c:v>0.90347610595659589</c:v>
                </c:pt>
                <c:pt idx="38">
                  <c:v>0.90207583180034379</c:v>
                </c:pt>
                <c:pt idx="39">
                  <c:v>0.90250378419024124</c:v>
                </c:pt>
                <c:pt idx="40">
                  <c:v>0.90350169145530335</c:v>
                </c:pt>
                <c:pt idx="41">
                  <c:v>0.90522886565396499</c:v>
                </c:pt>
                <c:pt idx="42">
                  <c:v>0.90619366633022891</c:v>
                </c:pt>
                <c:pt idx="43">
                  <c:v>0.90853472181064432</c:v>
                </c:pt>
                <c:pt idx="44">
                  <c:v>0.9097831840259275</c:v>
                </c:pt>
                <c:pt idx="45">
                  <c:v>0.91000778838179186</c:v>
                </c:pt>
                <c:pt idx="46">
                  <c:v>0.91014804498253099</c:v>
                </c:pt>
                <c:pt idx="47">
                  <c:v>0.91085236838194061</c:v>
                </c:pt>
                <c:pt idx="48">
                  <c:v>0.91026791185705613</c:v>
                </c:pt>
                <c:pt idx="49">
                  <c:v>0.91033307771695249</c:v>
                </c:pt>
                <c:pt idx="50">
                  <c:v>0.91061640223102391</c:v>
                </c:pt>
                <c:pt idx="51">
                  <c:v>0.91045381062355624</c:v>
                </c:pt>
                <c:pt idx="52">
                  <c:v>0.90743638938914017</c:v>
                </c:pt>
                <c:pt idx="53">
                  <c:v>0.90803372884167111</c:v>
                </c:pt>
                <c:pt idx="54">
                  <c:v>0.90546877237005496</c:v>
                </c:pt>
                <c:pt idx="55">
                  <c:v>0.90206391677094722</c:v>
                </c:pt>
                <c:pt idx="56">
                  <c:v>0.89659405481855037</c:v>
                </c:pt>
                <c:pt idx="57">
                  <c:v>0.89334936904796525</c:v>
                </c:pt>
                <c:pt idx="58">
                  <c:v>0.88576886285739798</c:v>
                </c:pt>
                <c:pt idx="59">
                  <c:v>0.8806714727162912</c:v>
                </c:pt>
                <c:pt idx="60">
                  <c:v>0.87519708941800756</c:v>
                </c:pt>
                <c:pt idx="61">
                  <c:v>0.87251213251352644</c:v>
                </c:pt>
                <c:pt idx="62">
                  <c:v>0.8692909460493754</c:v>
                </c:pt>
                <c:pt idx="63">
                  <c:v>0.86533368520095288</c:v>
                </c:pt>
                <c:pt idx="64">
                  <c:v>0.86122749409435695</c:v>
                </c:pt>
                <c:pt idx="65">
                  <c:v>0.85908268938738974</c:v>
                </c:pt>
                <c:pt idx="66">
                  <c:v>0.85683268988385142</c:v>
                </c:pt>
                <c:pt idx="67">
                  <c:v>0.8564228112600093</c:v>
                </c:pt>
                <c:pt idx="68">
                  <c:v>0.85644821661165982</c:v>
                </c:pt>
                <c:pt idx="69">
                  <c:v>0.85742975093169893</c:v>
                </c:pt>
                <c:pt idx="70">
                  <c:v>0.85640699494368588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4-4934-BD4B-075C220E464B}"/>
            </c:ext>
          </c:extLst>
        </c:ser>
        <c:ser>
          <c:idx val="0"/>
          <c:order val="1"/>
          <c:tx>
            <c:strRef>
              <c:f>'Fig A.1'!$C$6</c:f>
              <c:strCache>
                <c:ptCount val="1"/>
                <c:pt idx="0">
                  <c:v>SRE - civils</c:v>
                </c:pt>
              </c:strCache>
            </c:strRef>
          </c:tx>
          <c:spPr>
            <a:ln w="19050">
              <a:solidFill>
                <a:srgbClr val="548235"/>
              </a:solidFill>
            </a:ln>
          </c:spPr>
          <c:marker>
            <c:symbol val="none"/>
          </c:marker>
          <c:val>
            <c:numRef>
              <c:f>'Fig A.1'!$D$6:$BV$6</c:f>
              <c:numCache>
                <c:formatCode>General</c:formatCode>
                <c:ptCount val="71"/>
                <c:pt idx="15" formatCode="0%">
                  <c:v>0.76390605686032143</c:v>
                </c:pt>
                <c:pt idx="16" formatCode="0%">
                  <c:v>0.76151564979750896</c:v>
                </c:pt>
                <c:pt idx="17" formatCode="0%">
                  <c:v>0.7565994869560192</c:v>
                </c:pt>
                <c:pt idx="18" formatCode="0%">
                  <c:v>0.75061672852765926</c:v>
                </c:pt>
                <c:pt idx="19" formatCode="0%">
                  <c:v>0.75375911671320961</c:v>
                </c:pt>
                <c:pt idx="20" formatCode="0%">
                  <c:v>0.75974023403836455</c:v>
                </c:pt>
                <c:pt idx="21" formatCode="0%">
                  <c:v>0.76790289965054259</c:v>
                </c:pt>
                <c:pt idx="22" formatCode="0%">
                  <c:v>0.78314777263548707</c:v>
                </c:pt>
                <c:pt idx="23" formatCode="0%">
                  <c:v>0.79762965009963005</c:v>
                </c:pt>
                <c:pt idx="24" formatCode="0%">
                  <c:v>0.80396624359809876</c:v>
                </c:pt>
                <c:pt idx="25" formatCode="0%">
                  <c:v>0.81043585640585591</c:v>
                </c:pt>
                <c:pt idx="26" formatCode="0%">
                  <c:v>0.8163555519591027</c:v>
                </c:pt>
                <c:pt idx="27" formatCode="0%">
                  <c:v>0.81795612201385559</c:v>
                </c:pt>
                <c:pt idx="28" formatCode="0%">
                  <c:v>0.82548822223863882</c:v>
                </c:pt>
                <c:pt idx="29" formatCode="0%">
                  <c:v>0.8301739628572955</c:v>
                </c:pt>
                <c:pt idx="30" formatCode="0%">
                  <c:v>0.8326987911851349</c:v>
                </c:pt>
                <c:pt idx="31" formatCode="0%">
                  <c:v>0.83461082580851276</c:v>
                </c:pt>
                <c:pt idx="32" formatCode="0%">
                  <c:v>0.83160322564125999</c:v>
                </c:pt>
                <c:pt idx="33" formatCode="0%">
                  <c:v>0.82219991511139112</c:v>
                </c:pt>
                <c:pt idx="34" formatCode="0%">
                  <c:v>0.81461550584064146</c:v>
                </c:pt>
                <c:pt idx="35" formatCode="0%">
                  <c:v>0.8095702240139232</c:v>
                </c:pt>
                <c:pt idx="36" formatCode="0%">
                  <c:v>0.80801546862074658</c:v>
                </c:pt>
                <c:pt idx="37" formatCode="0%">
                  <c:v>0.81123927153159525</c:v>
                </c:pt>
                <c:pt idx="38" formatCode="0%">
                  <c:v>0.81307136922742829</c:v>
                </c:pt>
                <c:pt idx="39" formatCode="0%">
                  <c:v>0.81688942367839412</c:v>
                </c:pt>
                <c:pt idx="40" formatCode="0%">
                  <c:v>0.81468235250911913</c:v>
                </c:pt>
                <c:pt idx="41" formatCode="0%">
                  <c:v>0.81091015453162107</c:v>
                </c:pt>
                <c:pt idx="42" formatCode="0%">
                  <c:v>0.80354517977864304</c:v>
                </c:pt>
                <c:pt idx="43" formatCode="0%">
                  <c:v>0.80437728688523147</c:v>
                </c:pt>
                <c:pt idx="44" formatCode="0%">
                  <c:v>0.79841264726185013</c:v>
                </c:pt>
                <c:pt idx="45" formatCode="0%">
                  <c:v>0.79942616761936791</c:v>
                </c:pt>
                <c:pt idx="46" formatCode="0%">
                  <c:v>0.79799555094957975</c:v>
                </c:pt>
                <c:pt idx="47" formatCode="0%">
                  <c:v>0.79912673898167164</c:v>
                </c:pt>
                <c:pt idx="48" formatCode="0%">
                  <c:v>0.79146147452988891</c:v>
                </c:pt>
                <c:pt idx="49" formatCode="0%">
                  <c:v>0.79124922089423888</c:v>
                </c:pt>
                <c:pt idx="50" formatCode="0%">
                  <c:v>0.78438301463477411</c:v>
                </c:pt>
                <c:pt idx="51" formatCode="0%">
                  <c:v>0.77572439156143058</c:v>
                </c:pt>
                <c:pt idx="52" formatCode="0%">
                  <c:v>0.76435062141280175</c:v>
                </c:pt>
                <c:pt idx="53" formatCode="0%">
                  <c:v>0.75884365986050017</c:v>
                </c:pt>
                <c:pt idx="54" formatCode="0%">
                  <c:v>0.74661073936838285</c:v>
                </c:pt>
                <c:pt idx="55" formatCode="0%">
                  <c:v>0.73897421856402534</c:v>
                </c:pt>
                <c:pt idx="56" formatCode="0%">
                  <c:v>0.7345443212950491</c:v>
                </c:pt>
                <c:pt idx="57" formatCode="0%">
                  <c:v>0.73392307301867465</c:v>
                </c:pt>
                <c:pt idx="58" formatCode="0%">
                  <c:v>0.73381949157296744</c:v>
                </c:pt>
                <c:pt idx="59" formatCode="0%">
                  <c:v>0.73504567455062819</c:v>
                </c:pt>
                <c:pt idx="60" formatCode="0%">
                  <c:v>0.73796720591093234</c:v>
                </c:pt>
                <c:pt idx="61" formatCode="0%">
                  <c:v>0.7374654124405513</c:v>
                </c:pt>
                <c:pt idx="62" formatCode="0%">
                  <c:v>0.73590462392739475</c:v>
                </c:pt>
                <c:pt idx="63" formatCode="0%">
                  <c:v>0.73386325859728274</c:v>
                </c:pt>
                <c:pt idx="64" formatCode="0%">
                  <c:v>0.73752948185499567</c:v>
                </c:pt>
                <c:pt idx="65" formatCode="0%">
                  <c:v>0.73983701031451332</c:v>
                </c:pt>
                <c:pt idx="66" formatCode="0%">
                  <c:v>0.73845784660460234</c:v>
                </c:pt>
                <c:pt idx="67" formatCode="0%">
                  <c:v>0.74090386989518209</c:v>
                </c:pt>
                <c:pt idx="68" formatCode="0%">
                  <c:v>0.74226857259672618</c:v>
                </c:pt>
                <c:pt idx="69" formatCode="0%">
                  <c:v>0.73632729257482066</c:v>
                </c:pt>
                <c:pt idx="70" formatCode="0%">
                  <c:v>0.74060427413411933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4-4934-BD4B-075C220E464B}"/>
            </c:ext>
          </c:extLst>
        </c:ser>
        <c:ser>
          <c:idx val="2"/>
          <c:order val="2"/>
          <c:tx>
            <c:strRef>
              <c:f>'Fig A.1'!$C$7</c:f>
              <c:strCache>
                <c:ptCount val="1"/>
                <c:pt idx="0">
                  <c:v>CNRACL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'Fig A.1'!$D$7:$BV$7</c:f>
              <c:numCache>
                <c:formatCode>0%</c:formatCode>
                <c:ptCount val="71"/>
                <c:pt idx="0">
                  <c:v>0.71353730092204526</c:v>
                </c:pt>
                <c:pt idx="1">
                  <c:v>0.75471331389698737</c:v>
                </c:pt>
                <c:pt idx="2">
                  <c:v>0.77788064977695481</c:v>
                </c:pt>
                <c:pt idx="3">
                  <c:v>0.79288952517298972</c:v>
                </c:pt>
                <c:pt idx="4">
                  <c:v>0.80302015919065683</c:v>
                </c:pt>
                <c:pt idx="5">
                  <c:v>0.81881508078994614</c:v>
                </c:pt>
                <c:pt idx="6">
                  <c:v>0.82047989185535652</c:v>
                </c:pt>
                <c:pt idx="7">
                  <c:v>0.83360965581271973</c:v>
                </c:pt>
                <c:pt idx="8">
                  <c:v>0.84436935473390085</c:v>
                </c:pt>
                <c:pt idx="9">
                  <c:v>0.82948348753140122</c:v>
                </c:pt>
                <c:pt idx="10">
                  <c:v>0.82563405797101452</c:v>
                </c:pt>
                <c:pt idx="11">
                  <c:v>0.80832902224521475</c:v>
                </c:pt>
                <c:pt idx="12">
                  <c:v>0.78345290969137915</c:v>
                </c:pt>
                <c:pt idx="13">
                  <c:v>0.75471602434077079</c:v>
                </c:pt>
                <c:pt idx="14">
                  <c:v>0.60850474872333316</c:v>
                </c:pt>
                <c:pt idx="15">
                  <c:v>0.58999911024112461</c:v>
                </c:pt>
                <c:pt idx="16">
                  <c:v>0.58130005005005003</c:v>
                </c:pt>
                <c:pt idx="17">
                  <c:v>0.58395449195763049</c:v>
                </c:pt>
                <c:pt idx="18">
                  <c:v>0.58999158957106812</c:v>
                </c:pt>
                <c:pt idx="19">
                  <c:v>0.58037713319070605</c:v>
                </c:pt>
                <c:pt idx="20">
                  <c:v>0.60595802301963442</c:v>
                </c:pt>
                <c:pt idx="21">
                  <c:v>0.66222547249582919</c:v>
                </c:pt>
                <c:pt idx="22">
                  <c:v>0.74765440503797631</c:v>
                </c:pt>
                <c:pt idx="23">
                  <c:v>0.77236925987620042</c:v>
                </c:pt>
                <c:pt idx="24">
                  <c:v>0.80319874047193907</c:v>
                </c:pt>
                <c:pt idx="25">
                  <c:v>0.81897941241116567</c:v>
                </c:pt>
                <c:pt idx="26">
                  <c:v>0.83676444444444442</c:v>
                </c:pt>
                <c:pt idx="27">
                  <c:v>0.85178957482584672</c:v>
                </c:pt>
                <c:pt idx="28">
                  <c:v>0.86740148127445504</c:v>
                </c:pt>
                <c:pt idx="29">
                  <c:v>0.87776655654644731</c:v>
                </c:pt>
                <c:pt idx="30">
                  <c:v>0.87599474084838425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4-4934-BD4B-075C220E4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929023"/>
        <c:axId val="1"/>
      </c:lineChart>
      <c:catAx>
        <c:axId val="17669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6692902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'Fig A.1'!$C$8</c:f>
              <c:strCache>
                <c:ptCount val="1"/>
                <c:pt idx="0">
                  <c:v>Cnav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'Fig A.1'!$D$4:$BV$4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A.1'!$D$8:$BV$8</c:f>
              <c:numCache>
                <c:formatCode>0</c:formatCode>
                <c:ptCount val="71"/>
                <c:pt idx="3">
                  <c:v>21.340300679535751</c:v>
                </c:pt>
                <c:pt idx="4">
                  <c:v>21.538146568984548</c:v>
                </c:pt>
                <c:pt idx="5">
                  <c:v>21.520584627264586</c:v>
                </c:pt>
                <c:pt idx="6">
                  <c:v>21.449749764869136</c:v>
                </c:pt>
                <c:pt idx="7">
                  <c:v>21.310888949721704</c:v>
                </c:pt>
                <c:pt idx="8">
                  <c:v>21.15469848042331</c:v>
                </c:pt>
                <c:pt idx="9">
                  <c:v>20.912521287983033</c:v>
                </c:pt>
                <c:pt idx="10">
                  <c:v>20.575601596837192</c:v>
                </c:pt>
                <c:pt idx="11">
                  <c:v>20.380836094611674</c:v>
                </c:pt>
                <c:pt idx="12">
                  <c:v>20.112058529292881</c:v>
                </c:pt>
                <c:pt idx="13">
                  <c:v>19.786541970670264</c:v>
                </c:pt>
                <c:pt idx="14">
                  <c:v>19.440716564939059</c:v>
                </c:pt>
                <c:pt idx="15">
                  <c:v>19.16052134405723</c:v>
                </c:pt>
                <c:pt idx="16">
                  <c:v>18.81223781243326</c:v>
                </c:pt>
                <c:pt idx="17">
                  <c:v>18.521645644232873</c:v>
                </c:pt>
                <c:pt idx="18">
                  <c:v>18.271557720292542</c:v>
                </c:pt>
                <c:pt idx="19">
                  <c:v>18.160196674509962</c:v>
                </c:pt>
                <c:pt idx="20">
                  <c:v>18.041732046205645</c:v>
                </c:pt>
                <c:pt idx="21">
                  <c:v>17.948428539677955</c:v>
                </c:pt>
                <c:pt idx="22">
                  <c:v>17.869558751837044</c:v>
                </c:pt>
                <c:pt idx="23">
                  <c:v>17.767753367610954</c:v>
                </c:pt>
                <c:pt idx="24">
                  <c:v>17.666470292213365</c:v>
                </c:pt>
                <c:pt idx="25">
                  <c:v>17.523682268273841</c:v>
                </c:pt>
                <c:pt idx="26">
                  <c:v>17.34587180758195</c:v>
                </c:pt>
                <c:pt idx="27">
                  <c:v>17.193874997404638</c:v>
                </c:pt>
                <c:pt idx="28">
                  <c:v>17.058010664859413</c:v>
                </c:pt>
                <c:pt idx="29">
                  <c:v>16.843043572253354</c:v>
                </c:pt>
                <c:pt idx="30">
                  <c:v>16.68123548764628</c:v>
                </c:pt>
                <c:pt idx="31">
                  <c:v>16.628647542632727</c:v>
                </c:pt>
                <c:pt idx="32">
                  <c:v>16.565255489940505</c:v>
                </c:pt>
                <c:pt idx="33">
                  <c:v>16.532779310521754</c:v>
                </c:pt>
                <c:pt idx="34">
                  <c:v>16.566934187082648</c:v>
                </c:pt>
                <c:pt idx="35">
                  <c:v>16.615948710148807</c:v>
                </c:pt>
                <c:pt idx="36">
                  <c:v>16.594807011342549</c:v>
                </c:pt>
                <c:pt idx="37">
                  <c:v>16.564724555765771</c:v>
                </c:pt>
                <c:pt idx="38">
                  <c:v>16.512998453506963</c:v>
                </c:pt>
                <c:pt idx="39">
                  <c:v>16.467665656624188</c:v>
                </c:pt>
                <c:pt idx="40">
                  <c:v>16.425244396295643</c:v>
                </c:pt>
                <c:pt idx="41">
                  <c:v>16.360766696695499</c:v>
                </c:pt>
                <c:pt idx="42">
                  <c:v>16.310064453464388</c:v>
                </c:pt>
                <c:pt idx="43">
                  <c:v>16.261477839825233</c:v>
                </c:pt>
                <c:pt idx="44">
                  <c:v>16.228188077867493</c:v>
                </c:pt>
                <c:pt idx="45">
                  <c:v>16.197765365727225</c:v>
                </c:pt>
                <c:pt idx="46">
                  <c:v>16.177665024272237</c:v>
                </c:pt>
                <c:pt idx="47">
                  <c:v>16.138681566895464</c:v>
                </c:pt>
                <c:pt idx="48">
                  <c:v>16.061232901915353</c:v>
                </c:pt>
                <c:pt idx="49">
                  <c:v>16.01187559602225</c:v>
                </c:pt>
                <c:pt idx="50">
                  <c:v>15.899274719709656</c:v>
                </c:pt>
                <c:pt idx="51">
                  <c:v>15.796480743179155</c:v>
                </c:pt>
                <c:pt idx="52">
                  <c:v>15.698481083302591</c:v>
                </c:pt>
                <c:pt idx="53">
                  <c:v>15.596264746697779</c:v>
                </c:pt>
                <c:pt idx="54">
                  <c:v>15.461594180817704</c:v>
                </c:pt>
                <c:pt idx="55">
                  <c:v>15.342244662344296</c:v>
                </c:pt>
                <c:pt idx="56">
                  <c:v>15.198534399005339</c:v>
                </c:pt>
                <c:pt idx="57">
                  <c:v>15.071440926136153</c:v>
                </c:pt>
                <c:pt idx="58">
                  <c:v>15.01859337960669</c:v>
                </c:pt>
                <c:pt idx="59">
                  <c:v>14.970168351932283</c:v>
                </c:pt>
                <c:pt idx="60">
                  <c:v>14.977566680761052</c:v>
                </c:pt>
                <c:pt idx="61">
                  <c:v>15.053615702866352</c:v>
                </c:pt>
                <c:pt idx="62">
                  <c:v>15.134914314679332</c:v>
                </c:pt>
                <c:pt idx="63">
                  <c:v>15.204230922055928</c:v>
                </c:pt>
                <c:pt idx="64">
                  <c:v>15.281003401866258</c:v>
                </c:pt>
                <c:pt idx="65">
                  <c:v>15.356198542884977</c:v>
                </c:pt>
                <c:pt idx="66">
                  <c:v>15.384644882909843</c:v>
                </c:pt>
                <c:pt idx="67">
                  <c:v>15.391951229667047</c:v>
                </c:pt>
                <c:pt idx="68">
                  <c:v>15.382154653319162</c:v>
                </c:pt>
                <c:pt idx="69">
                  <c:v>15.355969840899412</c:v>
                </c:pt>
                <c:pt idx="70">
                  <c:v>15.296465439147196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E-4C55-B314-FF41213A6903}"/>
            </c:ext>
          </c:extLst>
        </c:ser>
        <c:ser>
          <c:idx val="0"/>
          <c:order val="1"/>
          <c:tx>
            <c:strRef>
              <c:f>'Fig A.1'!$C$9</c:f>
              <c:strCache>
                <c:ptCount val="1"/>
                <c:pt idx="0">
                  <c:v>SRE - civils</c:v>
                </c:pt>
              </c:strCache>
            </c:strRef>
          </c:tx>
          <c:spPr>
            <a:ln w="19050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'Fig A.1'!$D$4:$BV$4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A.1'!$D$9:$BV$9</c:f>
              <c:numCache>
                <c:formatCode>0</c:formatCode>
                <c:ptCount val="71"/>
                <c:pt idx="15">
                  <c:v>8.0841423948220008</c:v>
                </c:pt>
                <c:pt idx="16">
                  <c:v>7.9826949692861406</c:v>
                </c:pt>
                <c:pt idx="17">
                  <c:v>7.9296688989313164</c:v>
                </c:pt>
                <c:pt idx="18">
                  <c:v>7.8650652443228894</c:v>
                </c:pt>
                <c:pt idx="19">
                  <c:v>7.8359320915577459</c:v>
                </c:pt>
                <c:pt idx="20">
                  <c:v>7.8453515135938101</c:v>
                </c:pt>
                <c:pt idx="21">
                  <c:v>7.8495559262233119</c:v>
                </c:pt>
                <c:pt idx="22">
                  <c:v>7.9179198574091938</c:v>
                </c:pt>
                <c:pt idx="23">
                  <c:v>8.0448243544360647</c:v>
                </c:pt>
                <c:pt idx="24">
                  <c:v>8.1547439206724448</c:v>
                </c:pt>
                <c:pt idx="25">
                  <c:v>8.2374260574059832</c:v>
                </c:pt>
                <c:pt idx="26">
                  <c:v>8.3521034766276081</c:v>
                </c:pt>
                <c:pt idx="27">
                  <c:v>8.4624525495030944</c:v>
                </c:pt>
                <c:pt idx="28">
                  <c:v>8.5257295397573323</c:v>
                </c:pt>
                <c:pt idx="29">
                  <c:v>8.5900311349921257</c:v>
                </c:pt>
                <c:pt idx="30">
                  <c:v>8.6517519350714611</c:v>
                </c:pt>
                <c:pt idx="31">
                  <c:v>8.6589842836991586</c:v>
                </c:pt>
                <c:pt idx="32">
                  <c:v>8.6595227890228106</c:v>
                </c:pt>
                <c:pt idx="33">
                  <c:v>8.6392760261367378</c:v>
                </c:pt>
                <c:pt idx="34">
                  <c:v>8.5833259643105873</c:v>
                </c:pt>
                <c:pt idx="35">
                  <c:v>8.4761862354519888</c:v>
                </c:pt>
                <c:pt idx="36">
                  <c:v>8.3840596281325013</c:v>
                </c:pt>
                <c:pt idx="37">
                  <c:v>8.2010240003003503</c:v>
                </c:pt>
                <c:pt idx="38">
                  <c:v>7.9188063542363434</c:v>
                </c:pt>
                <c:pt idx="39">
                  <c:v>7.6774024469214863</c:v>
                </c:pt>
                <c:pt idx="40">
                  <c:v>7.3681627119214266</c:v>
                </c:pt>
                <c:pt idx="41">
                  <c:v>6.9802704201149979</c:v>
                </c:pt>
                <c:pt idx="42">
                  <c:v>6.5683145058865815</c:v>
                </c:pt>
                <c:pt idx="43">
                  <c:v>6.206687735804886</c:v>
                </c:pt>
                <c:pt idx="44">
                  <c:v>5.8006622076358738</c:v>
                </c:pt>
                <c:pt idx="45">
                  <c:v>5.4209125929791107</c:v>
                </c:pt>
                <c:pt idx="46">
                  <c:v>5.0899834798726094</c:v>
                </c:pt>
                <c:pt idx="47">
                  <c:v>4.8279445114838948</c:v>
                </c:pt>
                <c:pt idx="48">
                  <c:v>4.6174923478834833</c:v>
                </c:pt>
                <c:pt idx="49">
                  <c:v>4.4497974697825429</c:v>
                </c:pt>
                <c:pt idx="50">
                  <c:v>4.3804127757217204</c:v>
                </c:pt>
                <c:pt idx="51">
                  <c:v>4.3171578894034113</c:v>
                </c:pt>
                <c:pt idx="52">
                  <c:v>4.2815469693823403</c:v>
                </c:pt>
                <c:pt idx="53">
                  <c:v>4.2505843693811354</c:v>
                </c:pt>
                <c:pt idx="54">
                  <c:v>4.2213331824373892</c:v>
                </c:pt>
                <c:pt idx="55">
                  <c:v>4.1852431157475314</c:v>
                </c:pt>
                <c:pt idx="56">
                  <c:v>4.1789284793986994</c:v>
                </c:pt>
                <c:pt idx="57">
                  <c:v>4.1516868938405436</c:v>
                </c:pt>
                <c:pt idx="58">
                  <c:v>4.1485717177461368</c:v>
                </c:pt>
                <c:pt idx="59">
                  <c:v>4.1445386161241569</c:v>
                </c:pt>
                <c:pt idx="60">
                  <c:v>4.1348292124672446</c:v>
                </c:pt>
                <c:pt idx="61">
                  <c:v>4.1503033897532067</c:v>
                </c:pt>
                <c:pt idx="62">
                  <c:v>4.1297825726629229</c:v>
                </c:pt>
                <c:pt idx="63">
                  <c:v>4.1090055098349412</c:v>
                </c:pt>
                <c:pt idx="64">
                  <c:v>4.1224021468280183</c:v>
                </c:pt>
                <c:pt idx="65">
                  <c:v>4.135453275330887</c:v>
                </c:pt>
                <c:pt idx="66">
                  <c:v>4.1418146111914433</c:v>
                </c:pt>
                <c:pt idx="67">
                  <c:v>4.1884426281315355</c:v>
                </c:pt>
                <c:pt idx="68">
                  <c:v>4.2168275328761062</c:v>
                </c:pt>
                <c:pt idx="69">
                  <c:v>4.2239213401960116</c:v>
                </c:pt>
                <c:pt idx="70">
                  <c:v>4.2069651741293548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E-4C55-B314-FF41213A6903}"/>
            </c:ext>
          </c:extLst>
        </c:ser>
        <c:ser>
          <c:idx val="2"/>
          <c:order val="2"/>
          <c:tx>
            <c:strRef>
              <c:f>'Fig A.1'!$C$10</c:f>
              <c:strCache>
                <c:ptCount val="1"/>
                <c:pt idx="0">
                  <c:v>CNRACL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'Fig A.1'!$D$4:$BV$4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A.1'!$D$10:$BV$10</c:f>
              <c:numCache>
                <c:formatCode>0</c:formatCode>
                <c:ptCount val="71"/>
                <c:pt idx="0">
                  <c:v>10.596182085168863</c:v>
                </c:pt>
                <c:pt idx="1">
                  <c:v>10.639711563224317</c:v>
                </c:pt>
                <c:pt idx="2">
                  <c:v>10.612854360528029</c:v>
                </c:pt>
                <c:pt idx="3">
                  <c:v>10.560337044839002</c:v>
                </c:pt>
                <c:pt idx="4">
                  <c:v>10.268087077350632</c:v>
                </c:pt>
                <c:pt idx="5">
                  <c:v>10.368707244343094</c:v>
                </c:pt>
                <c:pt idx="6">
                  <c:v>10.415025949419228</c:v>
                </c:pt>
                <c:pt idx="7">
                  <c:v>10.258392999204457</c:v>
                </c:pt>
                <c:pt idx="8">
                  <c:v>10.072956749268897</c:v>
                </c:pt>
                <c:pt idx="9">
                  <c:v>10.006204756980354</c:v>
                </c:pt>
                <c:pt idx="10">
                  <c:v>9.913016221299273</c:v>
                </c:pt>
                <c:pt idx="11">
                  <c:v>9.6985600000000005</c:v>
                </c:pt>
                <c:pt idx="12">
                  <c:v>9.5370303074351295</c:v>
                </c:pt>
                <c:pt idx="13">
                  <c:v>9.2790432036551707</c:v>
                </c:pt>
                <c:pt idx="14">
                  <c:v>9.1620392156862724</c:v>
                </c:pt>
                <c:pt idx="15">
                  <c:v>8.8740763082491281</c:v>
                </c:pt>
                <c:pt idx="16">
                  <c:v>8.5542700317494536</c:v>
                </c:pt>
                <c:pt idx="17">
                  <c:v>8.2604731513028451</c:v>
                </c:pt>
                <c:pt idx="18">
                  <c:v>8.1174269422665724</c:v>
                </c:pt>
                <c:pt idx="19">
                  <c:v>7.9519931418774172</c:v>
                </c:pt>
                <c:pt idx="20">
                  <c:v>7.8061259872856921</c:v>
                </c:pt>
                <c:pt idx="21">
                  <c:v>7.7687821375573742</c:v>
                </c:pt>
                <c:pt idx="22">
                  <c:v>7.7401400034147176</c:v>
                </c:pt>
                <c:pt idx="23">
                  <c:v>7.8205442249321004</c:v>
                </c:pt>
                <c:pt idx="24">
                  <c:v>8.0436975593431015</c:v>
                </c:pt>
                <c:pt idx="25">
                  <c:v>8.2403327891217337</c:v>
                </c:pt>
                <c:pt idx="26">
                  <c:v>8.3968726098410755</c:v>
                </c:pt>
                <c:pt idx="27">
                  <c:v>8.6860446378212863</c:v>
                </c:pt>
                <c:pt idx="28">
                  <c:v>9.1673681454779761</c:v>
                </c:pt>
                <c:pt idx="29">
                  <c:v>9.3974648985959419</c:v>
                </c:pt>
                <c:pt idx="30">
                  <c:v>9.5026858361639945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E-4C55-B314-FF41213A6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930463"/>
        <c:axId val="1"/>
      </c:lineChart>
      <c:catAx>
        <c:axId val="176693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66930463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9528709146098521E-2"/>
          <c:y val="5.0400916380297825E-2"/>
          <c:w val="0.58982843107052929"/>
          <c:h val="0.81006539131062227"/>
        </c:manualLayout>
      </c:layout>
      <c:lineChart>
        <c:grouping val="standard"/>
        <c:varyColors val="0"/>
        <c:ser>
          <c:idx val="1"/>
          <c:order val="0"/>
          <c:tx>
            <c:strRef>
              <c:f>'Fig A.2'!$B$5</c:f>
              <c:strCache>
                <c:ptCount val="1"/>
                <c:pt idx="0">
                  <c:v>Non bénéficiaires de la MDA</c:v>
                </c:pt>
              </c:strCache>
            </c:strRef>
          </c:tx>
          <c:spPr>
            <a:ln w="22225" cap="rnd">
              <a:solidFill>
                <a:srgbClr val="0079A4">
                  <a:alpha val="94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'Fig A.2'!$C$4:$Z$4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A.2'!$C$5:$Z$5</c:f>
              <c:numCache>
                <c:formatCode>0</c:formatCode>
                <c:ptCount val="24"/>
                <c:pt idx="0">
                  <c:v>128.14881827523601</c:v>
                </c:pt>
                <c:pt idx="1">
                  <c:v>132.74238104425368</c:v>
                </c:pt>
                <c:pt idx="2">
                  <c:v>134.14661723178665</c:v>
                </c:pt>
                <c:pt idx="3">
                  <c:v>133.30424632691134</c:v>
                </c:pt>
                <c:pt idx="4">
                  <c:v>134.05288524138464</c:v>
                </c:pt>
                <c:pt idx="5">
                  <c:v>133.67791683371834</c:v>
                </c:pt>
                <c:pt idx="6">
                  <c:v>134.15703518116598</c:v>
                </c:pt>
                <c:pt idx="7">
                  <c:v>135.05068080825265</c:v>
                </c:pt>
                <c:pt idx="8">
                  <c:v>137.32258475920199</c:v>
                </c:pt>
                <c:pt idx="9">
                  <c:v>138.21099498280134</c:v>
                </c:pt>
                <c:pt idx="10">
                  <c:v>139.47536715814832</c:v>
                </c:pt>
                <c:pt idx="11">
                  <c:v>139.56335988046933</c:v>
                </c:pt>
                <c:pt idx="12">
                  <c:v>139.44170185598168</c:v>
                </c:pt>
                <c:pt idx="13">
                  <c:v>140.01366710729633</c:v>
                </c:pt>
                <c:pt idx="14">
                  <c:v>141.15865163702665</c:v>
                </c:pt>
                <c:pt idx="15">
                  <c:v>142.86895024015598</c:v>
                </c:pt>
                <c:pt idx="16">
                  <c:v>143.98320357689099</c:v>
                </c:pt>
                <c:pt idx="17">
                  <c:v>144.75913788854368</c:v>
                </c:pt>
                <c:pt idx="18">
                  <c:v>145.20256957287268</c:v>
                </c:pt>
                <c:pt idx="19">
                  <c:v>145.97989277662998</c:v>
                </c:pt>
                <c:pt idx="20">
                  <c:v>147.02831744189731</c:v>
                </c:pt>
                <c:pt idx="21">
                  <c:v>147.82809717801433</c:v>
                </c:pt>
                <c:pt idx="22">
                  <c:v>147.814576638723</c:v>
                </c:pt>
                <c:pt idx="23">
                  <c:v>148.065479163981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C-4E81-B172-1E8737709232}"/>
            </c:ext>
          </c:extLst>
        </c:ser>
        <c:ser>
          <c:idx val="0"/>
          <c:order val="1"/>
          <c:tx>
            <c:strRef>
              <c:f>'Fig A.2'!$B$8</c:f>
              <c:strCache>
                <c:ptCount val="1"/>
                <c:pt idx="0">
                  <c:v>1 ou 2 enfants hors MDA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'Fig A.2'!$C$4:$Z$4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A.2'!$C$8:$Z$8</c:f>
              <c:numCache>
                <c:formatCode>0</c:formatCode>
                <c:ptCount val="24"/>
                <c:pt idx="0">
                  <c:v>110.11351835827729</c:v>
                </c:pt>
                <c:pt idx="1">
                  <c:v>110.9030751739662</c:v>
                </c:pt>
                <c:pt idx="2">
                  <c:v>110.695087007358</c:v>
                </c:pt>
                <c:pt idx="3">
                  <c:v>110.35257297886191</c:v>
                </c:pt>
                <c:pt idx="4">
                  <c:v>110.96644310268501</c:v>
                </c:pt>
                <c:pt idx="5">
                  <c:v>111.87478000618194</c:v>
                </c:pt>
                <c:pt idx="6">
                  <c:v>113.23500349349153</c:v>
                </c:pt>
                <c:pt idx="7">
                  <c:v>114.35131639580926</c:v>
                </c:pt>
                <c:pt idx="8">
                  <c:v>116.84576729844524</c:v>
                </c:pt>
                <c:pt idx="9">
                  <c:v>118.33451424752438</c:v>
                </c:pt>
                <c:pt idx="10">
                  <c:v>119.92176126056552</c:v>
                </c:pt>
                <c:pt idx="11">
                  <c:v>121.16759538662301</c:v>
                </c:pt>
                <c:pt idx="12">
                  <c:v>123.30234441316202</c:v>
                </c:pt>
                <c:pt idx="13">
                  <c:v>125.43991173515333</c:v>
                </c:pt>
                <c:pt idx="14">
                  <c:v>127.20746425603825</c:v>
                </c:pt>
                <c:pt idx="15">
                  <c:v>129.02276289827367</c:v>
                </c:pt>
                <c:pt idx="16">
                  <c:v>131.47926831114034</c:v>
                </c:pt>
                <c:pt idx="17">
                  <c:v>133.54962249858428</c:v>
                </c:pt>
                <c:pt idx="18">
                  <c:v>135.47660582645679</c:v>
                </c:pt>
                <c:pt idx="19">
                  <c:v>136.76201680714954</c:v>
                </c:pt>
                <c:pt idx="20">
                  <c:v>138.65744293643209</c:v>
                </c:pt>
                <c:pt idx="21">
                  <c:v>140.77428503042151</c:v>
                </c:pt>
                <c:pt idx="22">
                  <c:v>142.92481112130952</c:v>
                </c:pt>
                <c:pt idx="23">
                  <c:v>144.90379982598799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C-4E81-B172-1E8737709232}"/>
            </c:ext>
          </c:extLst>
        </c:ser>
        <c:ser>
          <c:idx val="2"/>
          <c:order val="2"/>
          <c:tx>
            <c:strRef>
              <c:f>'Fig A.2'!$B$6</c:f>
              <c:strCache>
                <c:ptCount val="1"/>
                <c:pt idx="0">
                  <c:v>1 ou 2 enfants y compris MDA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x"/>
            <c:size val="5"/>
            <c:spPr>
              <a:noFill/>
              <a:ln>
                <a:solidFill>
                  <a:schemeClr val="accent4"/>
                </a:solidFill>
              </a:ln>
            </c:spPr>
          </c:marker>
          <c:cat>
            <c:numRef>
              <c:f>'Fig A.2'!$C$4:$Z$4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A.2'!$C$6:$Z$6</c:f>
              <c:numCache>
                <c:formatCode>0</c:formatCode>
                <c:ptCount val="24"/>
                <c:pt idx="0">
                  <c:v>121.43086009211</c:v>
                </c:pt>
                <c:pt idx="1">
                  <c:v>122.27322464542567</c:v>
                </c:pt>
                <c:pt idx="2">
                  <c:v>122.123577238035</c:v>
                </c:pt>
                <c:pt idx="3">
                  <c:v>121.75790724532435</c:v>
                </c:pt>
                <c:pt idx="4">
                  <c:v>122.47060093809567</c:v>
                </c:pt>
                <c:pt idx="5">
                  <c:v>123.49155952002234</c:v>
                </c:pt>
                <c:pt idx="6">
                  <c:v>125.00780859771668</c:v>
                </c:pt>
                <c:pt idx="7">
                  <c:v>126.16560397740402</c:v>
                </c:pt>
                <c:pt idx="8">
                  <c:v>128.68795561595633</c:v>
                </c:pt>
                <c:pt idx="9">
                  <c:v>130.22118251106167</c:v>
                </c:pt>
                <c:pt idx="10">
                  <c:v>131.88685470235998</c:v>
                </c:pt>
                <c:pt idx="11">
                  <c:v>133.13325423394033</c:v>
                </c:pt>
                <c:pt idx="12">
                  <c:v>135.27076434477064</c:v>
                </c:pt>
                <c:pt idx="13">
                  <c:v>137.43625664157199</c:v>
                </c:pt>
                <c:pt idx="14">
                  <c:v>139.34353874985098</c:v>
                </c:pt>
                <c:pt idx="15">
                  <c:v>141.27135557883335</c:v>
                </c:pt>
                <c:pt idx="16">
                  <c:v>143.80322177140201</c:v>
                </c:pt>
                <c:pt idx="17">
                  <c:v>145.91713732078634</c:v>
                </c:pt>
                <c:pt idx="18">
                  <c:v>147.92869733114333</c:v>
                </c:pt>
                <c:pt idx="19">
                  <c:v>149.24729905574367</c:v>
                </c:pt>
                <c:pt idx="20">
                  <c:v>151.17840250717299</c:v>
                </c:pt>
                <c:pt idx="21">
                  <c:v>153.27475813863833</c:v>
                </c:pt>
                <c:pt idx="22">
                  <c:v>155.44627935229201</c:v>
                </c:pt>
                <c:pt idx="23">
                  <c:v>157.418243038139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BC-4E81-B172-1E8737709232}"/>
            </c:ext>
          </c:extLst>
        </c:ser>
        <c:ser>
          <c:idx val="3"/>
          <c:order val="3"/>
          <c:tx>
            <c:strRef>
              <c:f>'Fig A.2'!$B$9</c:f>
              <c:strCache>
                <c:ptCount val="1"/>
                <c:pt idx="0">
                  <c:v>3 enfants et plus hors MDA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'Fig A.2'!$C$4:$Z$4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A.2'!$C$9:$Z$9</c:f>
              <c:numCache>
                <c:formatCode>0</c:formatCode>
                <c:ptCount val="24"/>
                <c:pt idx="0">
                  <c:v>83.278294999026002</c:v>
                </c:pt>
                <c:pt idx="1">
                  <c:v>84.869327495353744</c:v>
                </c:pt>
                <c:pt idx="2">
                  <c:v>86.797885025714393</c:v>
                </c:pt>
                <c:pt idx="3">
                  <c:v>88.083940257298707</c:v>
                </c:pt>
                <c:pt idx="4">
                  <c:v>89.310100423140923</c:v>
                </c:pt>
                <c:pt idx="5">
                  <c:v>90.071076582345896</c:v>
                </c:pt>
                <c:pt idx="6">
                  <c:v>90.929043130780315</c:v>
                </c:pt>
                <c:pt idx="7">
                  <c:v>93.209430003544071</c:v>
                </c:pt>
                <c:pt idx="8">
                  <c:v>95.039694427988806</c:v>
                </c:pt>
                <c:pt idx="9">
                  <c:v>97.25093495354686</c:v>
                </c:pt>
                <c:pt idx="10">
                  <c:v>99.545792790753822</c:v>
                </c:pt>
                <c:pt idx="11">
                  <c:v>101.67598991386807</c:v>
                </c:pt>
                <c:pt idx="12">
                  <c:v>103.78724823679674</c:v>
                </c:pt>
                <c:pt idx="13">
                  <c:v>105.45899314257319</c:v>
                </c:pt>
                <c:pt idx="14">
                  <c:v>107.78444258455276</c:v>
                </c:pt>
                <c:pt idx="15">
                  <c:v>110.738928918932</c:v>
                </c:pt>
                <c:pt idx="16">
                  <c:v>114.22538698714386</c:v>
                </c:pt>
                <c:pt idx="17">
                  <c:v>117.42674548082967</c:v>
                </c:pt>
                <c:pt idx="18">
                  <c:v>120.2389777715962</c:v>
                </c:pt>
                <c:pt idx="19">
                  <c:v>121.76632000913793</c:v>
                </c:pt>
                <c:pt idx="20">
                  <c:v>124.2212451518747</c:v>
                </c:pt>
                <c:pt idx="21">
                  <c:v>126.23377652299656</c:v>
                </c:pt>
                <c:pt idx="22">
                  <c:v>129.16619218252302</c:v>
                </c:pt>
                <c:pt idx="23">
                  <c:v>131.38145507877189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BC-4E81-B172-1E8737709232}"/>
            </c:ext>
          </c:extLst>
        </c:ser>
        <c:ser>
          <c:idx val="4"/>
          <c:order val="4"/>
          <c:tx>
            <c:strRef>
              <c:f>'Fig A.2'!$B$7</c:f>
              <c:strCache>
                <c:ptCount val="1"/>
                <c:pt idx="0">
                  <c:v>3 enfants et plus y compris MDA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x"/>
            <c:size val="5"/>
            <c:spPr>
              <a:noFill/>
              <a:ln>
                <a:solidFill>
                  <a:schemeClr val="accent2"/>
                </a:solidFill>
              </a:ln>
            </c:spPr>
          </c:marker>
          <c:cat>
            <c:numRef>
              <c:f>'Fig A.2'!$C$4:$Z$4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A.2'!$C$7:$Z$7</c:f>
              <c:numCache>
                <c:formatCode>0</c:formatCode>
                <c:ptCount val="24"/>
                <c:pt idx="0">
                  <c:v>112.749816694016</c:v>
                </c:pt>
                <c:pt idx="1">
                  <c:v>113.62811560547432</c:v>
                </c:pt>
                <c:pt idx="2">
                  <c:v>115.45929353068168</c:v>
                </c:pt>
                <c:pt idx="3">
                  <c:v>116.95203188795132</c:v>
                </c:pt>
                <c:pt idx="4">
                  <c:v>118.217363536495</c:v>
                </c:pt>
                <c:pt idx="5">
                  <c:v>118.80681674214168</c:v>
                </c:pt>
                <c:pt idx="6">
                  <c:v>119.458819083135</c:v>
                </c:pt>
                <c:pt idx="7">
                  <c:v>121.503745992625</c:v>
                </c:pt>
                <c:pt idx="8">
                  <c:v>122.96781679301633</c:v>
                </c:pt>
                <c:pt idx="9">
                  <c:v>125.08615579436731</c:v>
                </c:pt>
                <c:pt idx="10">
                  <c:v>127.13377839178433</c:v>
                </c:pt>
                <c:pt idx="11">
                  <c:v>129.37083456533</c:v>
                </c:pt>
                <c:pt idx="12">
                  <c:v>131.45089818186401</c:v>
                </c:pt>
                <c:pt idx="13">
                  <c:v>133.147723927676</c:v>
                </c:pt>
                <c:pt idx="14">
                  <c:v>135.42535672815532</c:v>
                </c:pt>
                <c:pt idx="15">
                  <c:v>138.36908126187268</c:v>
                </c:pt>
                <c:pt idx="16">
                  <c:v>141.79616659966834</c:v>
                </c:pt>
                <c:pt idx="17">
                  <c:v>144.88120793842802</c:v>
                </c:pt>
                <c:pt idx="18">
                  <c:v>147.51945146201933</c:v>
                </c:pt>
                <c:pt idx="19">
                  <c:v>149.09280590686066</c:v>
                </c:pt>
                <c:pt idx="20">
                  <c:v>151.46428870845935</c:v>
                </c:pt>
                <c:pt idx="21">
                  <c:v>153.51939180661398</c:v>
                </c:pt>
                <c:pt idx="22">
                  <c:v>156.23041022917701</c:v>
                </c:pt>
                <c:pt idx="23">
                  <c:v>158.211756867209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BC-4E81-B172-1E8737709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084079"/>
        <c:axId val="1"/>
      </c:lineChart>
      <c:catAx>
        <c:axId val="6340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08407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252378608923892"/>
          <c:y val="0.17870033487193412"/>
          <c:w val="0.3088512139107612"/>
          <c:h val="0.6357607023260023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9528709146098521E-2"/>
          <c:y val="5.0400916380297825E-2"/>
          <c:w val="0.58982843107052929"/>
          <c:h val="0.81006539131062227"/>
        </c:manualLayout>
      </c:layout>
      <c:lineChart>
        <c:grouping val="standard"/>
        <c:varyColors val="0"/>
        <c:ser>
          <c:idx val="1"/>
          <c:order val="0"/>
          <c:tx>
            <c:strRef>
              <c:f>'Fig A.3'!$B$5</c:f>
              <c:strCache>
                <c:ptCount val="1"/>
                <c:pt idx="0">
                  <c:v>Non bénéficiaires de la MDA</c:v>
                </c:pt>
              </c:strCache>
            </c:strRef>
          </c:tx>
          <c:spPr>
            <a:ln w="38100" cap="rnd">
              <a:solidFill>
                <a:srgbClr val="0079A4">
                  <a:alpha val="94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'Fig A.3'!$C$4:$BR$4</c:f>
              <c:numCache>
                <c:formatCode>General</c:formatCode>
                <c:ptCount val="6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</c:numCache>
            </c:numRef>
          </c:cat>
          <c:val>
            <c:numRef>
              <c:f>'Fig A.3'!$C$5:$BR$5</c:f>
              <c:numCache>
                <c:formatCode>0</c:formatCode>
                <c:ptCount val="68"/>
                <c:pt idx="0">
                  <c:v>128.69</c:v>
                </c:pt>
                <c:pt idx="1">
                  <c:v>134.29333333333332</c:v>
                </c:pt>
                <c:pt idx="2">
                  <c:v>136.17599999999999</c:v>
                </c:pt>
                <c:pt idx="3">
                  <c:v>138.44199999999998</c:v>
                </c:pt>
                <c:pt idx="4">
                  <c:v>139.77799999999999</c:v>
                </c:pt>
                <c:pt idx="5">
                  <c:v>141.196</c:v>
                </c:pt>
                <c:pt idx="6">
                  <c:v>142.34200000000001</c:v>
                </c:pt>
                <c:pt idx="7">
                  <c:v>143.82000000000002</c:v>
                </c:pt>
                <c:pt idx="8">
                  <c:v>145.24200000000002</c:v>
                </c:pt>
                <c:pt idx="9">
                  <c:v>145.65600000000001</c:v>
                </c:pt>
                <c:pt idx="10">
                  <c:v>145.64000000000001</c:v>
                </c:pt>
                <c:pt idx="11">
                  <c:v>145.94400000000002</c:v>
                </c:pt>
                <c:pt idx="12">
                  <c:v>145.97200000000004</c:v>
                </c:pt>
                <c:pt idx="13">
                  <c:v>146.22399999999999</c:v>
                </c:pt>
                <c:pt idx="14">
                  <c:v>146.59800000000001</c:v>
                </c:pt>
                <c:pt idx="15">
                  <c:v>147.26600000000002</c:v>
                </c:pt>
                <c:pt idx="16">
                  <c:v>147.786</c:v>
                </c:pt>
                <c:pt idx="17">
                  <c:v>148.18400000000003</c:v>
                </c:pt>
                <c:pt idx="18">
                  <c:v>148.16399999999999</c:v>
                </c:pt>
                <c:pt idx="19">
                  <c:v>148.584</c:v>
                </c:pt>
                <c:pt idx="20">
                  <c:v>149.18</c:v>
                </c:pt>
                <c:pt idx="21">
                  <c:v>150.208</c:v>
                </c:pt>
                <c:pt idx="22">
                  <c:v>150.36799999999999</c:v>
                </c:pt>
                <c:pt idx="23">
                  <c:v>150.97199999999998</c:v>
                </c:pt>
                <c:pt idx="24">
                  <c:v>151.084</c:v>
                </c:pt>
                <c:pt idx="25">
                  <c:v>150.166</c:v>
                </c:pt>
                <c:pt idx="26">
                  <c:v>149.4</c:v>
                </c:pt>
                <c:pt idx="27">
                  <c:v>149.59800000000001</c:v>
                </c:pt>
                <c:pt idx="28">
                  <c:v>149.20800000000003</c:v>
                </c:pt>
                <c:pt idx="29">
                  <c:v>149.09800000000001</c:v>
                </c:pt>
                <c:pt idx="30">
                  <c:v>149.97800000000001</c:v>
                </c:pt>
                <c:pt idx="31">
                  <c:v>149.86199999999999</c:v>
                </c:pt>
                <c:pt idx="32">
                  <c:v>149.15799999999999</c:v>
                </c:pt>
                <c:pt idx="33">
                  <c:v>149.00800000000001</c:v>
                </c:pt>
                <c:pt idx="34">
                  <c:v>148.68600000000001</c:v>
                </c:pt>
                <c:pt idx="35">
                  <c:v>147.994</c:v>
                </c:pt>
                <c:pt idx="36">
                  <c:v>147.66000000000003</c:v>
                </c:pt>
                <c:pt idx="37">
                  <c:v>147.584</c:v>
                </c:pt>
                <c:pt idx="38">
                  <c:v>147.09599999999998</c:v>
                </c:pt>
                <c:pt idx="39">
                  <c:v>146.06199999999998</c:v>
                </c:pt>
                <c:pt idx="40">
                  <c:v>145.458</c:v>
                </c:pt>
                <c:pt idx="41">
                  <c:v>144.34399999999999</c:v>
                </c:pt>
                <c:pt idx="42">
                  <c:v>143.334</c:v>
                </c:pt>
                <c:pt idx="43">
                  <c:v>142.99600000000001</c:v>
                </c:pt>
                <c:pt idx="44">
                  <c:v>143.38000000000002</c:v>
                </c:pt>
                <c:pt idx="45">
                  <c:v>143.81800000000001</c:v>
                </c:pt>
                <c:pt idx="46">
                  <c:v>144.66999999999999</c:v>
                </c:pt>
                <c:pt idx="47">
                  <c:v>145.358</c:v>
                </c:pt>
                <c:pt idx="48">
                  <c:v>145.65</c:v>
                </c:pt>
                <c:pt idx="49">
                  <c:v>146.23200000000003</c:v>
                </c:pt>
                <c:pt idx="50">
                  <c:v>146.68799999999999</c:v>
                </c:pt>
                <c:pt idx="51">
                  <c:v>147.14600000000002</c:v>
                </c:pt>
                <c:pt idx="52">
                  <c:v>147.874</c:v>
                </c:pt>
                <c:pt idx="53">
                  <c:v>148.50600000000003</c:v>
                </c:pt>
                <c:pt idx="54">
                  <c:v>148.92400000000004</c:v>
                </c:pt>
                <c:pt idx="55">
                  <c:v>149.56</c:v>
                </c:pt>
                <c:pt idx="56">
                  <c:v>149.94200000000001</c:v>
                </c:pt>
                <c:pt idx="57">
                  <c:v>150.476</c:v>
                </c:pt>
                <c:pt idx="58">
                  <c:v>151.14400000000001</c:v>
                </c:pt>
                <c:pt idx="59">
                  <c:v>151.61200000000002</c:v>
                </c:pt>
                <c:pt idx="60">
                  <c:v>151.96199999999999</c:v>
                </c:pt>
                <c:pt idx="61">
                  <c:v>152.756</c:v>
                </c:pt>
                <c:pt idx="62">
                  <c:v>153.34</c:v>
                </c:pt>
                <c:pt idx="63">
                  <c:v>153.90600000000001</c:v>
                </c:pt>
                <c:pt idx="64">
                  <c:v>154.68199999999999</c:v>
                </c:pt>
                <c:pt idx="65">
                  <c:v>155.084</c:v>
                </c:pt>
                <c:pt idx="66">
                  <c:v>155.54</c:v>
                </c:pt>
                <c:pt idx="67">
                  <c:v>155.33000000000001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A-4FD3-80CA-AD00F21DCB61}"/>
            </c:ext>
          </c:extLst>
        </c:ser>
        <c:ser>
          <c:idx val="2"/>
          <c:order val="1"/>
          <c:tx>
            <c:strRef>
              <c:f>'Fig A.3'!$B$6</c:f>
              <c:strCache>
                <c:ptCount val="1"/>
                <c:pt idx="0">
                  <c:v>1 ou 2 enfants y compris MDA</c:v>
                </c:pt>
              </c:strCache>
            </c:strRef>
          </c:tx>
          <c:spPr>
            <a:ln w="3810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'Fig A.3'!$C$4:$BR$4</c:f>
              <c:numCache>
                <c:formatCode>General</c:formatCode>
                <c:ptCount val="6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</c:numCache>
            </c:numRef>
          </c:cat>
          <c:val>
            <c:numRef>
              <c:f>'Fig A.3'!$C$6:$BR$6</c:f>
              <c:numCache>
                <c:formatCode>0</c:formatCode>
                <c:ptCount val="68"/>
                <c:pt idx="0">
                  <c:v>116.39</c:v>
                </c:pt>
                <c:pt idx="1">
                  <c:v>115.53666666666668</c:v>
                </c:pt>
                <c:pt idx="2">
                  <c:v>116.994</c:v>
                </c:pt>
                <c:pt idx="3">
                  <c:v>118.16199999999999</c:v>
                </c:pt>
                <c:pt idx="4">
                  <c:v>120.18400000000001</c:v>
                </c:pt>
                <c:pt idx="5">
                  <c:v>122.276</c:v>
                </c:pt>
                <c:pt idx="6">
                  <c:v>124.622</c:v>
                </c:pt>
                <c:pt idx="7">
                  <c:v>127.03800000000001</c:v>
                </c:pt>
                <c:pt idx="8">
                  <c:v>129.27199999999999</c:v>
                </c:pt>
                <c:pt idx="9">
                  <c:v>131.94800000000001</c:v>
                </c:pt>
                <c:pt idx="10">
                  <c:v>134.78999999999996</c:v>
                </c:pt>
                <c:pt idx="11">
                  <c:v>137.28200000000001</c:v>
                </c:pt>
                <c:pt idx="12">
                  <c:v>140.006</c:v>
                </c:pt>
                <c:pt idx="13">
                  <c:v>142.602</c:v>
                </c:pt>
                <c:pt idx="14">
                  <c:v>144.54599999999999</c:v>
                </c:pt>
                <c:pt idx="15">
                  <c:v>146.71799999999999</c:v>
                </c:pt>
                <c:pt idx="16">
                  <c:v>148.56599999999997</c:v>
                </c:pt>
                <c:pt idx="17">
                  <c:v>150.28399999999999</c:v>
                </c:pt>
                <c:pt idx="18">
                  <c:v>152.28800000000001</c:v>
                </c:pt>
                <c:pt idx="19">
                  <c:v>154.24200000000002</c:v>
                </c:pt>
                <c:pt idx="20">
                  <c:v>155.934</c:v>
                </c:pt>
                <c:pt idx="21">
                  <c:v>157.43600000000001</c:v>
                </c:pt>
                <c:pt idx="22">
                  <c:v>158.60600000000002</c:v>
                </c:pt>
                <c:pt idx="23">
                  <c:v>159.434</c:v>
                </c:pt>
                <c:pt idx="24">
                  <c:v>159.898</c:v>
                </c:pt>
                <c:pt idx="25">
                  <c:v>159.85</c:v>
                </c:pt>
                <c:pt idx="26">
                  <c:v>159.80000000000001</c:v>
                </c:pt>
                <c:pt idx="27">
                  <c:v>159.70599999999999</c:v>
                </c:pt>
                <c:pt idx="28">
                  <c:v>159.55000000000001</c:v>
                </c:pt>
                <c:pt idx="29">
                  <c:v>159.548</c:v>
                </c:pt>
                <c:pt idx="30">
                  <c:v>159.89600000000002</c:v>
                </c:pt>
                <c:pt idx="31">
                  <c:v>160.03399999999999</c:v>
                </c:pt>
                <c:pt idx="32">
                  <c:v>160.32199999999997</c:v>
                </c:pt>
                <c:pt idx="33">
                  <c:v>160.67599999999999</c:v>
                </c:pt>
                <c:pt idx="34">
                  <c:v>160.9</c:v>
                </c:pt>
                <c:pt idx="35">
                  <c:v>160.80199999999999</c:v>
                </c:pt>
                <c:pt idx="36">
                  <c:v>161.03000000000003</c:v>
                </c:pt>
                <c:pt idx="37">
                  <c:v>161.02199999999999</c:v>
                </c:pt>
                <c:pt idx="38">
                  <c:v>160.66200000000001</c:v>
                </c:pt>
                <c:pt idx="39">
                  <c:v>160.464</c:v>
                </c:pt>
                <c:pt idx="40">
                  <c:v>160.25200000000001</c:v>
                </c:pt>
                <c:pt idx="41">
                  <c:v>160.03000000000003</c:v>
                </c:pt>
                <c:pt idx="42">
                  <c:v>160.03199999999998</c:v>
                </c:pt>
                <c:pt idx="43">
                  <c:v>160.26400000000001</c:v>
                </c:pt>
                <c:pt idx="44">
                  <c:v>160.488</c:v>
                </c:pt>
                <c:pt idx="45">
                  <c:v>161.042</c:v>
                </c:pt>
                <c:pt idx="46">
                  <c:v>161.56</c:v>
                </c:pt>
                <c:pt idx="47">
                  <c:v>161.81799999999998</c:v>
                </c:pt>
                <c:pt idx="48">
                  <c:v>161.78400000000002</c:v>
                </c:pt>
                <c:pt idx="49">
                  <c:v>161.58799999999999</c:v>
                </c:pt>
                <c:pt idx="50">
                  <c:v>161.04400000000001</c:v>
                </c:pt>
                <c:pt idx="51">
                  <c:v>160.33999999999997</c:v>
                </c:pt>
                <c:pt idx="52">
                  <c:v>159.55199999999999</c:v>
                </c:pt>
                <c:pt idx="53">
                  <c:v>159.03199999999998</c:v>
                </c:pt>
                <c:pt idx="54">
                  <c:v>158.50399999999999</c:v>
                </c:pt>
                <c:pt idx="55">
                  <c:v>158.07400000000001</c:v>
                </c:pt>
                <c:pt idx="56">
                  <c:v>157.62799999999999</c:v>
                </c:pt>
                <c:pt idx="57">
                  <c:v>157.38399999999999</c:v>
                </c:pt>
                <c:pt idx="58">
                  <c:v>157.02799999999999</c:v>
                </c:pt>
                <c:pt idx="59">
                  <c:v>156.744</c:v>
                </c:pt>
                <c:pt idx="60">
                  <c:v>156.762</c:v>
                </c:pt>
                <c:pt idx="61">
                  <c:v>156.92400000000001</c:v>
                </c:pt>
                <c:pt idx="62">
                  <c:v>157.19</c:v>
                </c:pt>
                <c:pt idx="63">
                  <c:v>157.68</c:v>
                </c:pt>
                <c:pt idx="64">
                  <c:v>158.38200000000001</c:v>
                </c:pt>
                <c:pt idx="65">
                  <c:v>158.79599999999999</c:v>
                </c:pt>
                <c:pt idx="66">
                  <c:v>159.34</c:v>
                </c:pt>
                <c:pt idx="67">
                  <c:v>159.4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CA-4FD3-80CA-AD00F21DCB61}"/>
            </c:ext>
          </c:extLst>
        </c:ser>
        <c:ser>
          <c:idx val="0"/>
          <c:order val="2"/>
          <c:tx>
            <c:strRef>
              <c:f>'Fig A.3'!$B$8</c:f>
              <c:strCache>
                <c:ptCount val="1"/>
                <c:pt idx="0">
                  <c:v>1 ou 2 enfants hors MDA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'Fig A.3'!$C$4:$BR$4</c:f>
              <c:numCache>
                <c:formatCode>General</c:formatCode>
                <c:ptCount val="6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</c:numCache>
            </c:numRef>
          </c:cat>
          <c:val>
            <c:numRef>
              <c:f>'Fig A.3'!$C$8:$BR$8</c:f>
              <c:numCache>
                <c:formatCode>0</c:formatCode>
                <c:ptCount val="68"/>
                <c:pt idx="0">
                  <c:v>105.28</c:v>
                </c:pt>
                <c:pt idx="1">
                  <c:v>104.34666666666668</c:v>
                </c:pt>
                <c:pt idx="2">
                  <c:v>105.61000000000001</c:v>
                </c:pt>
                <c:pt idx="3">
                  <c:v>106.64400000000001</c:v>
                </c:pt>
                <c:pt idx="4">
                  <c:v>108.526</c:v>
                </c:pt>
                <c:pt idx="5">
                  <c:v>110.49000000000001</c:v>
                </c:pt>
                <c:pt idx="6">
                  <c:v>112.748</c:v>
                </c:pt>
                <c:pt idx="7">
                  <c:v>115.08799999999999</c:v>
                </c:pt>
                <c:pt idx="8">
                  <c:v>117.276</c:v>
                </c:pt>
                <c:pt idx="9">
                  <c:v>119.91600000000001</c:v>
                </c:pt>
                <c:pt idx="10">
                  <c:v>122.756</c:v>
                </c:pt>
                <c:pt idx="11">
                  <c:v>125.22999999999999</c:v>
                </c:pt>
                <c:pt idx="12">
                  <c:v>127.95</c:v>
                </c:pt>
                <c:pt idx="13">
                  <c:v>130.50399999999999</c:v>
                </c:pt>
                <c:pt idx="14">
                  <c:v>132.39799999999997</c:v>
                </c:pt>
                <c:pt idx="15">
                  <c:v>134.53</c:v>
                </c:pt>
                <c:pt idx="16">
                  <c:v>136.35599999999999</c:v>
                </c:pt>
                <c:pt idx="17">
                  <c:v>138.09</c:v>
                </c:pt>
                <c:pt idx="18">
                  <c:v>140.13999999999999</c:v>
                </c:pt>
                <c:pt idx="19">
                  <c:v>142.18200000000002</c:v>
                </c:pt>
                <c:pt idx="20">
                  <c:v>143.98999999999998</c:v>
                </c:pt>
                <c:pt idx="21">
                  <c:v>145.61600000000001</c:v>
                </c:pt>
                <c:pt idx="22">
                  <c:v>146.88999999999999</c:v>
                </c:pt>
                <c:pt idx="23">
                  <c:v>147.804</c:v>
                </c:pt>
                <c:pt idx="24">
                  <c:v>148.298</c:v>
                </c:pt>
                <c:pt idx="25">
                  <c:v>148.21600000000001</c:v>
                </c:pt>
                <c:pt idx="26">
                  <c:v>148.09399999999999</c:v>
                </c:pt>
                <c:pt idx="27">
                  <c:v>147.90799999999999</c:v>
                </c:pt>
                <c:pt idx="28">
                  <c:v>147.65</c:v>
                </c:pt>
                <c:pt idx="29">
                  <c:v>147.56399999999999</c:v>
                </c:pt>
                <c:pt idx="30">
                  <c:v>147.83600000000001</c:v>
                </c:pt>
                <c:pt idx="31">
                  <c:v>147.94800000000001</c:v>
                </c:pt>
                <c:pt idx="32">
                  <c:v>148.20999999999998</c:v>
                </c:pt>
                <c:pt idx="33">
                  <c:v>148.554</c:v>
                </c:pt>
                <c:pt idx="34">
                  <c:v>148.77600000000001</c:v>
                </c:pt>
                <c:pt idx="35">
                  <c:v>148.70599999999999</c:v>
                </c:pt>
                <c:pt idx="36">
                  <c:v>148.976</c:v>
                </c:pt>
                <c:pt idx="37">
                  <c:v>149.01399999999998</c:v>
                </c:pt>
                <c:pt idx="38">
                  <c:v>148.708</c:v>
                </c:pt>
                <c:pt idx="39">
                  <c:v>148.55799999999999</c:v>
                </c:pt>
                <c:pt idx="40">
                  <c:v>148.398</c:v>
                </c:pt>
                <c:pt idx="41">
                  <c:v>148.22199999999998</c:v>
                </c:pt>
                <c:pt idx="42">
                  <c:v>148.25799999999998</c:v>
                </c:pt>
                <c:pt idx="43">
                  <c:v>148.51999999999998</c:v>
                </c:pt>
                <c:pt idx="44">
                  <c:v>148.80400000000003</c:v>
                </c:pt>
                <c:pt idx="45">
                  <c:v>149.41000000000003</c:v>
                </c:pt>
                <c:pt idx="46">
                  <c:v>149.94400000000002</c:v>
                </c:pt>
                <c:pt idx="47">
                  <c:v>150.26</c:v>
                </c:pt>
                <c:pt idx="48">
                  <c:v>150.27200000000002</c:v>
                </c:pt>
                <c:pt idx="49">
                  <c:v>150.1</c:v>
                </c:pt>
                <c:pt idx="50">
                  <c:v>149.60399999999998</c:v>
                </c:pt>
                <c:pt idx="51">
                  <c:v>148.96200000000002</c:v>
                </c:pt>
                <c:pt idx="52">
                  <c:v>148.20800000000003</c:v>
                </c:pt>
                <c:pt idx="53">
                  <c:v>147.74600000000001</c:v>
                </c:pt>
                <c:pt idx="54">
                  <c:v>147.25399999999999</c:v>
                </c:pt>
                <c:pt idx="55">
                  <c:v>146.822</c:v>
                </c:pt>
                <c:pt idx="56">
                  <c:v>146.35599999999999</c:v>
                </c:pt>
                <c:pt idx="57">
                  <c:v>146.08199999999999</c:v>
                </c:pt>
                <c:pt idx="58">
                  <c:v>145.642</c:v>
                </c:pt>
                <c:pt idx="59">
                  <c:v>145.27600000000001</c:v>
                </c:pt>
                <c:pt idx="60">
                  <c:v>145.208</c:v>
                </c:pt>
                <c:pt idx="61">
                  <c:v>145.322</c:v>
                </c:pt>
                <c:pt idx="62">
                  <c:v>145.536</c:v>
                </c:pt>
                <c:pt idx="63">
                  <c:v>146.00399999999999</c:v>
                </c:pt>
                <c:pt idx="64">
                  <c:v>146.70400000000001</c:v>
                </c:pt>
                <c:pt idx="65">
                  <c:v>147.13</c:v>
                </c:pt>
                <c:pt idx="66">
                  <c:v>147.66666666666666</c:v>
                </c:pt>
                <c:pt idx="67">
                  <c:v>147.75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A-4FD3-80CA-AD00F21DCB61}"/>
            </c:ext>
          </c:extLst>
        </c:ser>
        <c:ser>
          <c:idx val="4"/>
          <c:order val="3"/>
          <c:tx>
            <c:strRef>
              <c:f>'Fig A.3'!$B$7</c:f>
              <c:strCache>
                <c:ptCount val="1"/>
                <c:pt idx="0">
                  <c:v>3 enfants et plus y compris MDA</c:v>
                </c:pt>
              </c:strCache>
            </c:strRef>
          </c:tx>
          <c:spPr>
            <a:ln w="38100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'Fig A.3'!$C$4:$BR$4</c:f>
              <c:numCache>
                <c:formatCode>General</c:formatCode>
                <c:ptCount val="6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</c:numCache>
            </c:numRef>
          </c:cat>
          <c:val>
            <c:numRef>
              <c:f>'Fig A.3'!$C$7:$BR$7</c:f>
              <c:numCache>
                <c:formatCode>0</c:formatCode>
                <c:ptCount val="68"/>
                <c:pt idx="0">
                  <c:v>112.24</c:v>
                </c:pt>
                <c:pt idx="1">
                  <c:v>114.38666666666667</c:v>
                </c:pt>
                <c:pt idx="2">
                  <c:v>115.97</c:v>
                </c:pt>
                <c:pt idx="3">
                  <c:v>117.98800000000001</c:v>
                </c:pt>
                <c:pt idx="4">
                  <c:v>120.16399999999999</c:v>
                </c:pt>
                <c:pt idx="5">
                  <c:v>122.032</c:v>
                </c:pt>
                <c:pt idx="6">
                  <c:v>124.184</c:v>
                </c:pt>
                <c:pt idx="7">
                  <c:v>126.798</c:v>
                </c:pt>
                <c:pt idx="8">
                  <c:v>129.16</c:v>
                </c:pt>
                <c:pt idx="9">
                  <c:v>131.32599999999999</c:v>
                </c:pt>
                <c:pt idx="10">
                  <c:v>134.18199999999999</c:v>
                </c:pt>
                <c:pt idx="11">
                  <c:v>137.19400000000002</c:v>
                </c:pt>
                <c:pt idx="12">
                  <c:v>139.994</c:v>
                </c:pt>
                <c:pt idx="13">
                  <c:v>142.87200000000001</c:v>
                </c:pt>
                <c:pt idx="14">
                  <c:v>145.64400000000001</c:v>
                </c:pt>
                <c:pt idx="15">
                  <c:v>147.76400000000001</c:v>
                </c:pt>
                <c:pt idx="16">
                  <c:v>149.91400000000002</c:v>
                </c:pt>
                <c:pt idx="17">
                  <c:v>152.304</c:v>
                </c:pt>
                <c:pt idx="18">
                  <c:v>154.27199999999999</c:v>
                </c:pt>
                <c:pt idx="19">
                  <c:v>156.44</c:v>
                </c:pt>
                <c:pt idx="20">
                  <c:v>158.69200000000001</c:v>
                </c:pt>
                <c:pt idx="21">
                  <c:v>160.44999999999999</c:v>
                </c:pt>
                <c:pt idx="22">
                  <c:v>161.59399999999999</c:v>
                </c:pt>
                <c:pt idx="23">
                  <c:v>162.65199999999999</c:v>
                </c:pt>
                <c:pt idx="24">
                  <c:v>163.52600000000001</c:v>
                </c:pt>
                <c:pt idx="25">
                  <c:v>164.07599999999999</c:v>
                </c:pt>
                <c:pt idx="26">
                  <c:v>164.55199999999999</c:v>
                </c:pt>
                <c:pt idx="27">
                  <c:v>165.29599999999999</c:v>
                </c:pt>
                <c:pt idx="28">
                  <c:v>166.34</c:v>
                </c:pt>
                <c:pt idx="29">
                  <c:v>167.18199999999999</c:v>
                </c:pt>
                <c:pt idx="30">
                  <c:v>168.208</c:v>
                </c:pt>
                <c:pt idx="31">
                  <c:v>169.13200000000001</c:v>
                </c:pt>
                <c:pt idx="32">
                  <c:v>169.81</c:v>
                </c:pt>
                <c:pt idx="33">
                  <c:v>170.28199999999998</c:v>
                </c:pt>
                <c:pt idx="34">
                  <c:v>170.72399999999999</c:v>
                </c:pt>
                <c:pt idx="35">
                  <c:v>171.02600000000001</c:v>
                </c:pt>
                <c:pt idx="36">
                  <c:v>171.3</c:v>
                </c:pt>
                <c:pt idx="37">
                  <c:v>171.20999999999998</c:v>
                </c:pt>
                <c:pt idx="38">
                  <c:v>170.97399999999999</c:v>
                </c:pt>
                <c:pt idx="39">
                  <c:v>170.358</c:v>
                </c:pt>
                <c:pt idx="40">
                  <c:v>169.214</c:v>
                </c:pt>
                <c:pt idx="41">
                  <c:v>167.99</c:v>
                </c:pt>
                <c:pt idx="42">
                  <c:v>166.96199999999999</c:v>
                </c:pt>
                <c:pt idx="43">
                  <c:v>165.892</c:v>
                </c:pt>
                <c:pt idx="44">
                  <c:v>164.71799999999999</c:v>
                </c:pt>
                <c:pt idx="45">
                  <c:v>164.322</c:v>
                </c:pt>
                <c:pt idx="46">
                  <c:v>163.73200000000003</c:v>
                </c:pt>
                <c:pt idx="47">
                  <c:v>163.24600000000001</c:v>
                </c:pt>
                <c:pt idx="48">
                  <c:v>162.78400000000002</c:v>
                </c:pt>
                <c:pt idx="49">
                  <c:v>162.614</c:v>
                </c:pt>
                <c:pt idx="50">
                  <c:v>162.17200000000003</c:v>
                </c:pt>
                <c:pt idx="51">
                  <c:v>162.03799999999998</c:v>
                </c:pt>
                <c:pt idx="52">
                  <c:v>161.93400000000003</c:v>
                </c:pt>
                <c:pt idx="53">
                  <c:v>161.77600000000001</c:v>
                </c:pt>
                <c:pt idx="54">
                  <c:v>161.66799999999998</c:v>
                </c:pt>
                <c:pt idx="55">
                  <c:v>161.57400000000001</c:v>
                </c:pt>
                <c:pt idx="56">
                  <c:v>161.51400000000001</c:v>
                </c:pt>
                <c:pt idx="57">
                  <c:v>161.262</c:v>
                </c:pt>
                <c:pt idx="58">
                  <c:v>160.994</c:v>
                </c:pt>
                <c:pt idx="59">
                  <c:v>160.91800000000001</c:v>
                </c:pt>
                <c:pt idx="60">
                  <c:v>160.79000000000002</c:v>
                </c:pt>
                <c:pt idx="61">
                  <c:v>160.66800000000001</c:v>
                </c:pt>
                <c:pt idx="62">
                  <c:v>160.852</c:v>
                </c:pt>
                <c:pt idx="63">
                  <c:v>161.12799999999999</c:v>
                </c:pt>
                <c:pt idx="64">
                  <c:v>161.25200000000001</c:v>
                </c:pt>
                <c:pt idx="65">
                  <c:v>161.63799999999998</c:v>
                </c:pt>
                <c:pt idx="66">
                  <c:v>161.81666666666669</c:v>
                </c:pt>
                <c:pt idx="67">
                  <c:v>162.27000000000001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CA-4FD3-80CA-AD00F21DCB61}"/>
            </c:ext>
          </c:extLst>
        </c:ser>
        <c:ser>
          <c:idx val="3"/>
          <c:order val="4"/>
          <c:tx>
            <c:strRef>
              <c:f>'Fig A.3'!$B$9</c:f>
              <c:strCache>
                <c:ptCount val="1"/>
                <c:pt idx="0">
                  <c:v>3 enfants et plus hors MDA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'Fig A.3'!$C$4:$BR$4</c:f>
              <c:numCache>
                <c:formatCode>General</c:formatCode>
                <c:ptCount val="68"/>
                <c:pt idx="0">
                  <c:v>1933</c:v>
                </c:pt>
                <c:pt idx="1">
                  <c:v>1934</c:v>
                </c:pt>
                <c:pt idx="2">
                  <c:v>1935</c:v>
                </c:pt>
                <c:pt idx="3">
                  <c:v>1936</c:v>
                </c:pt>
                <c:pt idx="4">
                  <c:v>1937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1945</c:v>
                </c:pt>
                <c:pt idx="13">
                  <c:v>1946</c:v>
                </c:pt>
                <c:pt idx="14">
                  <c:v>1947</c:v>
                </c:pt>
                <c:pt idx="15">
                  <c:v>1948</c:v>
                </c:pt>
                <c:pt idx="16">
                  <c:v>1949</c:v>
                </c:pt>
                <c:pt idx="17">
                  <c:v>1950</c:v>
                </c:pt>
                <c:pt idx="18">
                  <c:v>1951</c:v>
                </c:pt>
                <c:pt idx="19">
                  <c:v>1952</c:v>
                </c:pt>
                <c:pt idx="20">
                  <c:v>1953</c:v>
                </c:pt>
                <c:pt idx="21">
                  <c:v>1954</c:v>
                </c:pt>
                <c:pt idx="22">
                  <c:v>1955</c:v>
                </c:pt>
                <c:pt idx="23">
                  <c:v>1956</c:v>
                </c:pt>
                <c:pt idx="24">
                  <c:v>1957</c:v>
                </c:pt>
                <c:pt idx="25">
                  <c:v>1958</c:v>
                </c:pt>
                <c:pt idx="26">
                  <c:v>1959</c:v>
                </c:pt>
                <c:pt idx="27">
                  <c:v>1960</c:v>
                </c:pt>
                <c:pt idx="28">
                  <c:v>1961</c:v>
                </c:pt>
                <c:pt idx="29">
                  <c:v>1962</c:v>
                </c:pt>
                <c:pt idx="30">
                  <c:v>1963</c:v>
                </c:pt>
                <c:pt idx="31">
                  <c:v>1964</c:v>
                </c:pt>
                <c:pt idx="32">
                  <c:v>1965</c:v>
                </c:pt>
                <c:pt idx="33">
                  <c:v>1966</c:v>
                </c:pt>
                <c:pt idx="34">
                  <c:v>1967</c:v>
                </c:pt>
                <c:pt idx="35">
                  <c:v>1968</c:v>
                </c:pt>
                <c:pt idx="36">
                  <c:v>1969</c:v>
                </c:pt>
                <c:pt idx="37">
                  <c:v>1970</c:v>
                </c:pt>
                <c:pt idx="38">
                  <c:v>1971</c:v>
                </c:pt>
                <c:pt idx="39">
                  <c:v>1972</c:v>
                </c:pt>
                <c:pt idx="40">
                  <c:v>1973</c:v>
                </c:pt>
                <c:pt idx="41">
                  <c:v>1974</c:v>
                </c:pt>
                <c:pt idx="42">
                  <c:v>1975</c:v>
                </c:pt>
                <c:pt idx="43">
                  <c:v>1976</c:v>
                </c:pt>
                <c:pt idx="44">
                  <c:v>1977</c:v>
                </c:pt>
                <c:pt idx="45">
                  <c:v>1978</c:v>
                </c:pt>
                <c:pt idx="46">
                  <c:v>1979</c:v>
                </c:pt>
                <c:pt idx="47">
                  <c:v>1980</c:v>
                </c:pt>
                <c:pt idx="48">
                  <c:v>1981</c:v>
                </c:pt>
                <c:pt idx="49">
                  <c:v>1982</c:v>
                </c:pt>
                <c:pt idx="50">
                  <c:v>1983</c:v>
                </c:pt>
                <c:pt idx="51">
                  <c:v>1984</c:v>
                </c:pt>
                <c:pt idx="52">
                  <c:v>1985</c:v>
                </c:pt>
                <c:pt idx="53">
                  <c:v>1986</c:v>
                </c:pt>
                <c:pt idx="54">
                  <c:v>1987</c:v>
                </c:pt>
                <c:pt idx="55">
                  <c:v>1988</c:v>
                </c:pt>
                <c:pt idx="56">
                  <c:v>1989</c:v>
                </c:pt>
                <c:pt idx="57">
                  <c:v>1990</c:v>
                </c:pt>
                <c:pt idx="58">
                  <c:v>1991</c:v>
                </c:pt>
                <c:pt idx="59">
                  <c:v>1992</c:v>
                </c:pt>
                <c:pt idx="60">
                  <c:v>1993</c:v>
                </c:pt>
                <c:pt idx="61">
                  <c:v>1994</c:v>
                </c:pt>
                <c:pt idx="62">
                  <c:v>1995</c:v>
                </c:pt>
                <c:pt idx="63">
                  <c:v>1996</c:v>
                </c:pt>
                <c:pt idx="64">
                  <c:v>1997</c:v>
                </c:pt>
                <c:pt idx="65">
                  <c:v>1998</c:v>
                </c:pt>
                <c:pt idx="66">
                  <c:v>1999</c:v>
                </c:pt>
                <c:pt idx="67">
                  <c:v>2000</c:v>
                </c:pt>
              </c:numCache>
            </c:numRef>
          </c:cat>
          <c:val>
            <c:numRef>
              <c:f>'Fig A.3'!$C$9:$BR$9</c:f>
              <c:numCache>
                <c:formatCode>0</c:formatCode>
                <c:ptCount val="68"/>
                <c:pt idx="0">
                  <c:v>84.949999999999989</c:v>
                </c:pt>
                <c:pt idx="1">
                  <c:v>86.483333333333334</c:v>
                </c:pt>
                <c:pt idx="2">
                  <c:v>88.111999999999995</c:v>
                </c:pt>
                <c:pt idx="3">
                  <c:v>90.126000000000005</c:v>
                </c:pt>
                <c:pt idx="4">
                  <c:v>92.361999999999995</c:v>
                </c:pt>
                <c:pt idx="5">
                  <c:v>94.244</c:v>
                </c:pt>
                <c:pt idx="6">
                  <c:v>96.402000000000001</c:v>
                </c:pt>
                <c:pt idx="7">
                  <c:v>99.146000000000001</c:v>
                </c:pt>
                <c:pt idx="8">
                  <c:v>101.7</c:v>
                </c:pt>
                <c:pt idx="9">
                  <c:v>104.056</c:v>
                </c:pt>
                <c:pt idx="10">
                  <c:v>107.13799999999999</c:v>
                </c:pt>
                <c:pt idx="11">
                  <c:v>110.27200000000001</c:v>
                </c:pt>
                <c:pt idx="12">
                  <c:v>113.08199999999999</c:v>
                </c:pt>
                <c:pt idx="13">
                  <c:v>115.77400000000003</c:v>
                </c:pt>
                <c:pt idx="14">
                  <c:v>118.52200000000002</c:v>
                </c:pt>
                <c:pt idx="15">
                  <c:v>120.56000000000002</c:v>
                </c:pt>
                <c:pt idx="16">
                  <c:v>122.67400000000001</c:v>
                </c:pt>
                <c:pt idx="17">
                  <c:v>125.02000000000001</c:v>
                </c:pt>
                <c:pt idx="18">
                  <c:v>127.056</c:v>
                </c:pt>
                <c:pt idx="19">
                  <c:v>129.21799999999999</c:v>
                </c:pt>
                <c:pt idx="20">
                  <c:v>131.75</c:v>
                </c:pt>
                <c:pt idx="21">
                  <c:v>133.81199999999998</c:v>
                </c:pt>
                <c:pt idx="22">
                  <c:v>135.42199999999997</c:v>
                </c:pt>
                <c:pt idx="23">
                  <c:v>136.852</c:v>
                </c:pt>
                <c:pt idx="24">
                  <c:v>138.142</c:v>
                </c:pt>
                <c:pt idx="25">
                  <c:v>138.93799999999999</c:v>
                </c:pt>
                <c:pt idx="26">
                  <c:v>139.63800000000001</c:v>
                </c:pt>
                <c:pt idx="27">
                  <c:v>140.54799999999997</c:v>
                </c:pt>
                <c:pt idx="28">
                  <c:v>141.65400000000002</c:v>
                </c:pt>
                <c:pt idx="29">
                  <c:v>142.52600000000001</c:v>
                </c:pt>
                <c:pt idx="30">
                  <c:v>143.53399999999996</c:v>
                </c:pt>
                <c:pt idx="31">
                  <c:v>144.4</c:v>
                </c:pt>
                <c:pt idx="32">
                  <c:v>144.96799999999999</c:v>
                </c:pt>
                <c:pt idx="33">
                  <c:v>145.43600000000001</c:v>
                </c:pt>
                <c:pt idx="34">
                  <c:v>145.91199999999998</c:v>
                </c:pt>
                <c:pt idx="35">
                  <c:v>146.26200000000003</c:v>
                </c:pt>
                <c:pt idx="36">
                  <c:v>146.56800000000004</c:v>
                </c:pt>
                <c:pt idx="37">
                  <c:v>146.54000000000002</c:v>
                </c:pt>
                <c:pt idx="38">
                  <c:v>146.36399999999998</c:v>
                </c:pt>
                <c:pt idx="39">
                  <c:v>145.81599999999997</c:v>
                </c:pt>
                <c:pt idx="40">
                  <c:v>144.76</c:v>
                </c:pt>
                <c:pt idx="41">
                  <c:v>143.59399999999999</c:v>
                </c:pt>
                <c:pt idx="42">
                  <c:v>142.636</c:v>
                </c:pt>
                <c:pt idx="43">
                  <c:v>141.608</c:v>
                </c:pt>
                <c:pt idx="44">
                  <c:v>140.42999999999998</c:v>
                </c:pt>
                <c:pt idx="45">
                  <c:v>140.09200000000001</c:v>
                </c:pt>
                <c:pt idx="46">
                  <c:v>139.56199999999998</c:v>
                </c:pt>
                <c:pt idx="47">
                  <c:v>139.15</c:v>
                </c:pt>
                <c:pt idx="48">
                  <c:v>138.73400000000001</c:v>
                </c:pt>
                <c:pt idx="49">
                  <c:v>138.60399999999998</c:v>
                </c:pt>
                <c:pt idx="50">
                  <c:v>138.11199999999999</c:v>
                </c:pt>
                <c:pt idx="51">
                  <c:v>137.94999999999999</c:v>
                </c:pt>
                <c:pt idx="52">
                  <c:v>137.834</c:v>
                </c:pt>
                <c:pt idx="53">
                  <c:v>137.702</c:v>
                </c:pt>
                <c:pt idx="54">
                  <c:v>137.62599999999998</c:v>
                </c:pt>
                <c:pt idx="55">
                  <c:v>137.57199999999997</c:v>
                </c:pt>
                <c:pt idx="56">
                  <c:v>137.58799999999999</c:v>
                </c:pt>
                <c:pt idx="57">
                  <c:v>137.31599999999997</c:v>
                </c:pt>
                <c:pt idx="58">
                  <c:v>137.036</c:v>
                </c:pt>
                <c:pt idx="59">
                  <c:v>136.988</c:v>
                </c:pt>
                <c:pt idx="60">
                  <c:v>136.88200000000001</c:v>
                </c:pt>
                <c:pt idx="61">
                  <c:v>136.73000000000002</c:v>
                </c:pt>
                <c:pt idx="62">
                  <c:v>136.92400000000004</c:v>
                </c:pt>
                <c:pt idx="63">
                  <c:v>137.22199999999998</c:v>
                </c:pt>
                <c:pt idx="64">
                  <c:v>137.32599999999996</c:v>
                </c:pt>
                <c:pt idx="65">
                  <c:v>137.72199999999998</c:v>
                </c:pt>
                <c:pt idx="66">
                  <c:v>137.93000000000004</c:v>
                </c:pt>
                <c:pt idx="67">
                  <c:v>138.46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CA-4FD3-80CA-AD00F21DC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084079"/>
        <c:axId val="1"/>
      </c:lineChart>
      <c:catAx>
        <c:axId val="6340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08407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252378608923892"/>
          <c:y val="0.17870033487193412"/>
          <c:w val="0.3088512139107612"/>
          <c:h val="0.6357607023260023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9528709146098521E-2"/>
          <c:y val="5.0400916380297825E-2"/>
          <c:w val="0.58982843107052929"/>
          <c:h val="0.81006539131062227"/>
        </c:manualLayout>
      </c:layout>
      <c:lineChart>
        <c:grouping val="standard"/>
        <c:varyColors val="0"/>
        <c:ser>
          <c:idx val="1"/>
          <c:order val="0"/>
          <c:tx>
            <c:strRef>
              <c:f>'Fig A.4'!$B$5</c:f>
              <c:strCache>
                <c:ptCount val="1"/>
                <c:pt idx="0">
                  <c:v>Non bénéficiaires de la MDA</c:v>
                </c:pt>
              </c:strCache>
            </c:strRef>
          </c:tx>
          <c:spPr>
            <a:ln w="38100" cap="rnd">
              <a:solidFill>
                <a:srgbClr val="0079A4">
                  <a:alpha val="94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'Fig A.4'!$C$4:$BF$4</c:f>
              <c:numCache>
                <c:formatCode>General</c:formatCode>
                <c:ptCount val="56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</c:numCache>
            </c:numRef>
          </c:cat>
          <c:val>
            <c:numRef>
              <c:f>'Fig A.4'!$C$5:$BF$5</c:f>
              <c:numCache>
                <c:formatCode>0</c:formatCode>
                <c:ptCount val="56"/>
                <c:pt idx="0">
                  <c:v>148.779429867185</c:v>
                </c:pt>
                <c:pt idx="1">
                  <c:v>153.73077015816668</c:v>
                </c:pt>
                <c:pt idx="2">
                  <c:v>155.97901723330202</c:v>
                </c:pt>
                <c:pt idx="3">
                  <c:v>157.71142875090442</c:v>
                </c:pt>
                <c:pt idx="4">
                  <c:v>158.68862317617862</c:v>
                </c:pt>
                <c:pt idx="5">
                  <c:v>159.4418067740622</c:v>
                </c:pt>
                <c:pt idx="6">
                  <c:v>159.47495403894283</c:v>
                </c:pt>
                <c:pt idx="7">
                  <c:v>160.4932558028276</c:v>
                </c:pt>
                <c:pt idx="8">
                  <c:v>162.40643979326961</c:v>
                </c:pt>
                <c:pt idx="9">
                  <c:v>163.35082740659021</c:v>
                </c:pt>
                <c:pt idx="10">
                  <c:v>164.623746338242</c:v>
                </c:pt>
                <c:pt idx="11">
                  <c:v>165.53316685807039</c:v>
                </c:pt>
                <c:pt idx="12">
                  <c:v>165.00228371517579</c:v>
                </c:pt>
                <c:pt idx="13">
                  <c:v>164.14386595918461</c:v>
                </c:pt>
                <c:pt idx="14">
                  <c:v>163.59875742318681</c:v>
                </c:pt>
                <c:pt idx="15">
                  <c:v>162.48165339757421</c:v>
                </c:pt>
                <c:pt idx="16">
                  <c:v>162.38832017605222</c:v>
                </c:pt>
                <c:pt idx="17">
                  <c:v>162.67474445757423</c:v>
                </c:pt>
                <c:pt idx="18">
                  <c:v>162.57173027206983</c:v>
                </c:pt>
                <c:pt idx="19">
                  <c:v>162.344236796697</c:v>
                </c:pt>
                <c:pt idx="20">
                  <c:v>162.2568996823594</c:v>
                </c:pt>
                <c:pt idx="21">
                  <c:v>161.68154895762621</c:v>
                </c:pt>
                <c:pt idx="22">
                  <c:v>161.25833447199179</c:v>
                </c:pt>
                <c:pt idx="23">
                  <c:v>159.880923401291</c:v>
                </c:pt>
                <c:pt idx="24">
                  <c:v>158.4857666136898</c:v>
                </c:pt>
                <c:pt idx="25">
                  <c:v>157.73791619966119</c:v>
                </c:pt>
                <c:pt idx="26">
                  <c:v>157.259120767837</c:v>
                </c:pt>
                <c:pt idx="27">
                  <c:v>156.24135985146398</c:v>
                </c:pt>
                <c:pt idx="28">
                  <c:v>156.54227693773458</c:v>
                </c:pt>
                <c:pt idx="29">
                  <c:v>156.86551021572862</c:v>
                </c:pt>
                <c:pt idx="30">
                  <c:v>156.8783569639408</c:v>
                </c:pt>
                <c:pt idx="31">
                  <c:v>156.51280707237299</c:v>
                </c:pt>
                <c:pt idx="32">
                  <c:v>156.65873936569801</c:v>
                </c:pt>
                <c:pt idx="33">
                  <c:v>156.35614759160339</c:v>
                </c:pt>
                <c:pt idx="34">
                  <c:v>156.51238321647457</c:v>
                </c:pt>
                <c:pt idx="35">
                  <c:v>156.47044134354377</c:v>
                </c:pt>
                <c:pt idx="36">
                  <c:v>156.79585247273019</c:v>
                </c:pt>
                <c:pt idx="37">
                  <c:v>157.04661152848922</c:v>
                </c:pt>
                <c:pt idx="38">
                  <c:v>157.5413825140532</c:v>
                </c:pt>
                <c:pt idx="39">
                  <c:v>158.0213349875184</c:v>
                </c:pt>
                <c:pt idx="40">
                  <c:v>158.493497022718</c:v>
                </c:pt>
                <c:pt idx="41">
                  <c:v>158.42371685701261</c:v>
                </c:pt>
                <c:pt idx="42">
                  <c:v>158.58904433026041</c:v>
                </c:pt>
                <c:pt idx="43">
                  <c:v>158.62631966424541</c:v>
                </c:pt>
                <c:pt idx="44">
                  <c:v>158.88690080026041</c:v>
                </c:pt>
                <c:pt idx="45">
                  <c:v>159.12420593699721</c:v>
                </c:pt>
                <c:pt idx="46">
                  <c:v>159.9810169759582</c:v>
                </c:pt>
                <c:pt idx="47">
                  <c:v>160.5654166873816</c:v>
                </c:pt>
                <c:pt idx="48">
                  <c:v>161.32201754186502</c:v>
                </c:pt>
                <c:pt idx="49">
                  <c:v>161.70779891880142</c:v>
                </c:pt>
                <c:pt idx="50">
                  <c:v>161.63049349743801</c:v>
                </c:pt>
                <c:pt idx="51">
                  <c:v>161.74192027557919</c:v>
                </c:pt>
                <c:pt idx="52">
                  <c:v>162.03752020728103</c:v>
                </c:pt>
                <c:pt idx="53">
                  <c:v>161.85441809017138</c:v>
                </c:pt>
                <c:pt idx="54">
                  <c:v>162.225595397321</c:v>
                </c:pt>
                <c:pt idx="55">
                  <c:v>160.832544191919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7-4024-85D5-7782A1C9A81A}"/>
            </c:ext>
          </c:extLst>
        </c:ser>
        <c:ser>
          <c:idx val="2"/>
          <c:order val="1"/>
          <c:tx>
            <c:strRef>
              <c:f>'Fig A.4'!$B$6</c:f>
              <c:strCache>
                <c:ptCount val="1"/>
                <c:pt idx="0">
                  <c:v>1 ou 2 enfants y compris MDA</c:v>
                </c:pt>
              </c:strCache>
            </c:strRef>
          </c:tx>
          <c:spPr>
            <a:ln w="3810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'Fig A.4'!$C$4:$BF$4</c:f>
              <c:numCache>
                <c:formatCode>General</c:formatCode>
                <c:ptCount val="56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</c:numCache>
            </c:numRef>
          </c:cat>
          <c:val>
            <c:numRef>
              <c:f>'Fig A.4'!$C$6:$BF$6</c:f>
              <c:numCache>
                <c:formatCode>0</c:formatCode>
                <c:ptCount val="56"/>
                <c:pt idx="0">
                  <c:v>152.024830179525</c:v>
                </c:pt>
                <c:pt idx="1">
                  <c:v>155.00880877992367</c:v>
                </c:pt>
                <c:pt idx="2">
                  <c:v>157.092737160875</c:v>
                </c:pt>
                <c:pt idx="3">
                  <c:v>159.23255821005358</c:v>
                </c:pt>
                <c:pt idx="4">
                  <c:v>161.1655657617238</c:v>
                </c:pt>
                <c:pt idx="5">
                  <c:v>162.89574606473661</c:v>
                </c:pt>
                <c:pt idx="6">
                  <c:v>164.90723559459201</c:v>
                </c:pt>
                <c:pt idx="7">
                  <c:v>166.56665192929862</c:v>
                </c:pt>
                <c:pt idx="8">
                  <c:v>168.10016408208099</c:v>
                </c:pt>
                <c:pt idx="9">
                  <c:v>169.67101685373299</c:v>
                </c:pt>
                <c:pt idx="10">
                  <c:v>170.83854014771561</c:v>
                </c:pt>
                <c:pt idx="11">
                  <c:v>171.56055493739899</c:v>
                </c:pt>
                <c:pt idx="12">
                  <c:v>172.207214077918</c:v>
                </c:pt>
                <c:pt idx="13">
                  <c:v>172.6151798222354</c:v>
                </c:pt>
                <c:pt idx="14">
                  <c:v>172.35079201574359</c:v>
                </c:pt>
                <c:pt idx="15">
                  <c:v>172.35224625536162</c:v>
                </c:pt>
                <c:pt idx="16">
                  <c:v>172.4431707849844</c:v>
                </c:pt>
                <c:pt idx="17">
                  <c:v>172.14853833954879</c:v>
                </c:pt>
                <c:pt idx="18">
                  <c:v>171.93209677491501</c:v>
                </c:pt>
                <c:pt idx="19">
                  <c:v>171.86601355845141</c:v>
                </c:pt>
                <c:pt idx="20">
                  <c:v>171.34438207769321</c:v>
                </c:pt>
                <c:pt idx="21">
                  <c:v>170.81890019041202</c:v>
                </c:pt>
                <c:pt idx="22">
                  <c:v>170.58717719550702</c:v>
                </c:pt>
                <c:pt idx="23">
                  <c:v>170.129553278071</c:v>
                </c:pt>
                <c:pt idx="24">
                  <c:v>169.70558249591039</c:v>
                </c:pt>
                <c:pt idx="25">
                  <c:v>169.4071034295734</c:v>
                </c:pt>
                <c:pt idx="26">
                  <c:v>169.02230771266619</c:v>
                </c:pt>
                <c:pt idx="27">
                  <c:v>168.4604120880638</c:v>
                </c:pt>
                <c:pt idx="28">
                  <c:v>168.07480279636061</c:v>
                </c:pt>
                <c:pt idx="29">
                  <c:v>167.888031599469</c:v>
                </c:pt>
                <c:pt idx="30">
                  <c:v>167.91395907788001</c:v>
                </c:pt>
                <c:pt idx="31">
                  <c:v>168.23485842979281</c:v>
                </c:pt>
                <c:pt idx="32">
                  <c:v>168.4563471644864</c:v>
                </c:pt>
                <c:pt idx="33">
                  <c:v>168.86400747443182</c:v>
                </c:pt>
                <c:pt idx="34">
                  <c:v>169.30174158575582</c:v>
                </c:pt>
                <c:pt idx="35">
                  <c:v>169.20988007918442</c:v>
                </c:pt>
                <c:pt idx="36">
                  <c:v>169.0663550947128</c:v>
                </c:pt>
                <c:pt idx="37">
                  <c:v>168.98996640194221</c:v>
                </c:pt>
                <c:pt idx="38">
                  <c:v>169.06951632581959</c:v>
                </c:pt>
                <c:pt idx="39">
                  <c:v>168.60239877754719</c:v>
                </c:pt>
                <c:pt idx="40">
                  <c:v>168.47245175310803</c:v>
                </c:pt>
                <c:pt idx="41">
                  <c:v>168.5034310565824</c:v>
                </c:pt>
                <c:pt idx="42">
                  <c:v>168.30675971292121</c:v>
                </c:pt>
                <c:pt idx="43">
                  <c:v>168.11652473029801</c:v>
                </c:pt>
                <c:pt idx="44">
                  <c:v>168.11118646118339</c:v>
                </c:pt>
                <c:pt idx="45">
                  <c:v>167.99112300813039</c:v>
                </c:pt>
                <c:pt idx="46">
                  <c:v>167.84926630526621</c:v>
                </c:pt>
                <c:pt idx="47">
                  <c:v>167.65759487712322</c:v>
                </c:pt>
                <c:pt idx="48">
                  <c:v>167.62519227506681</c:v>
                </c:pt>
                <c:pt idx="49">
                  <c:v>168.1424215314274</c:v>
                </c:pt>
                <c:pt idx="50">
                  <c:v>168.80109987567158</c:v>
                </c:pt>
                <c:pt idx="51">
                  <c:v>169.2195958909974</c:v>
                </c:pt>
                <c:pt idx="52">
                  <c:v>169.84999008752061</c:v>
                </c:pt>
                <c:pt idx="53">
                  <c:v>170.080788186961</c:v>
                </c:pt>
                <c:pt idx="54">
                  <c:v>170.02255492531637</c:v>
                </c:pt>
                <c:pt idx="55">
                  <c:v>169.60980478497001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7-4024-85D5-7782A1C9A81A}"/>
            </c:ext>
          </c:extLst>
        </c:ser>
        <c:ser>
          <c:idx val="0"/>
          <c:order val="2"/>
          <c:tx>
            <c:strRef>
              <c:f>'Fig A.4'!$B$8</c:f>
              <c:strCache>
                <c:ptCount val="1"/>
                <c:pt idx="0">
                  <c:v>1 ou 2 enfants hors MDA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'Fig A.4'!$C$4:$BF$4</c:f>
              <c:numCache>
                <c:formatCode>General</c:formatCode>
                <c:ptCount val="56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</c:numCache>
            </c:numRef>
          </c:cat>
          <c:val>
            <c:numRef>
              <c:f>'Fig A.4'!$C$8:$BF$8</c:f>
              <c:numCache>
                <c:formatCode>0</c:formatCode>
                <c:ptCount val="56"/>
                <c:pt idx="0">
                  <c:v>145.50954633673024</c:v>
                </c:pt>
                <c:pt idx="1">
                  <c:v>148.55313056185005</c:v>
                </c:pt>
                <c:pt idx="2">
                  <c:v>150.7060088658834</c:v>
                </c:pt>
                <c:pt idx="3">
                  <c:v>152.92249676516283</c:v>
                </c:pt>
                <c:pt idx="4">
                  <c:v>154.91066297356812</c:v>
                </c:pt>
                <c:pt idx="5">
                  <c:v>156.70797521680828</c:v>
                </c:pt>
                <c:pt idx="6">
                  <c:v>158.76887699459772</c:v>
                </c:pt>
                <c:pt idx="7">
                  <c:v>160.44740447084874</c:v>
                </c:pt>
                <c:pt idx="8">
                  <c:v>161.94196358180045</c:v>
                </c:pt>
                <c:pt idx="9">
                  <c:v>163.46614887554625</c:v>
                </c:pt>
                <c:pt idx="10">
                  <c:v>164.57851376278123</c:v>
                </c:pt>
                <c:pt idx="11">
                  <c:v>165.22532345163251</c:v>
                </c:pt>
                <c:pt idx="12">
                  <c:v>165.76617131284627</c:v>
                </c:pt>
                <c:pt idx="13">
                  <c:v>166.07660343824938</c:v>
                </c:pt>
                <c:pt idx="14">
                  <c:v>165.74001113464422</c:v>
                </c:pt>
                <c:pt idx="15">
                  <c:v>165.68625413691899</c:v>
                </c:pt>
                <c:pt idx="16">
                  <c:v>165.73670283005794</c:v>
                </c:pt>
                <c:pt idx="17">
                  <c:v>165.41354962531506</c:v>
                </c:pt>
                <c:pt idx="18">
                  <c:v>165.25093818511661</c:v>
                </c:pt>
                <c:pt idx="19">
                  <c:v>165.25712404495826</c:v>
                </c:pt>
                <c:pt idx="20">
                  <c:v>164.81858270326833</c:v>
                </c:pt>
                <c:pt idx="21">
                  <c:v>164.37206906995539</c:v>
                </c:pt>
                <c:pt idx="22">
                  <c:v>164.31181039330122</c:v>
                </c:pt>
                <c:pt idx="23">
                  <c:v>164.02662761365951</c:v>
                </c:pt>
                <c:pt idx="24">
                  <c:v>163.76375566667366</c:v>
                </c:pt>
                <c:pt idx="25">
                  <c:v>163.69974991304503</c:v>
                </c:pt>
                <c:pt idx="26">
                  <c:v>163.6106234874764</c:v>
                </c:pt>
                <c:pt idx="27">
                  <c:v>163.35417051943995</c:v>
                </c:pt>
                <c:pt idx="28">
                  <c:v>163.26743069565356</c:v>
                </c:pt>
                <c:pt idx="29">
                  <c:v>163.41791148334735</c:v>
                </c:pt>
                <c:pt idx="30">
                  <c:v>163.71753374962958</c:v>
                </c:pt>
                <c:pt idx="31">
                  <c:v>164.27325916624099</c:v>
                </c:pt>
                <c:pt idx="32">
                  <c:v>164.68766685125854</c:v>
                </c:pt>
                <c:pt idx="33">
                  <c:v>165.24327157228029</c:v>
                </c:pt>
                <c:pt idx="34">
                  <c:v>165.75450859455651</c:v>
                </c:pt>
                <c:pt idx="35">
                  <c:v>165.71736819368991</c:v>
                </c:pt>
                <c:pt idx="36">
                  <c:v>165.6074917737767</c:v>
                </c:pt>
                <c:pt idx="37">
                  <c:v>165.54428114281717</c:v>
                </c:pt>
                <c:pt idx="38">
                  <c:v>165.64098568875437</c:v>
                </c:pt>
                <c:pt idx="39">
                  <c:v>165.20936140093005</c:v>
                </c:pt>
                <c:pt idx="40">
                  <c:v>165.09366925778386</c:v>
                </c:pt>
                <c:pt idx="41">
                  <c:v>165.14973115999973</c:v>
                </c:pt>
                <c:pt idx="42">
                  <c:v>164.97592642001874</c:v>
                </c:pt>
                <c:pt idx="43">
                  <c:v>164.79314719482011</c:v>
                </c:pt>
                <c:pt idx="44">
                  <c:v>164.77826189177048</c:v>
                </c:pt>
                <c:pt idx="45">
                  <c:v>164.65876517457863</c:v>
                </c:pt>
                <c:pt idx="46">
                  <c:v>164.50526815927395</c:v>
                </c:pt>
                <c:pt idx="47">
                  <c:v>164.32195593390239</c:v>
                </c:pt>
                <c:pt idx="48">
                  <c:v>164.27633853005722</c:v>
                </c:pt>
                <c:pt idx="49">
                  <c:v>164.794735312027</c:v>
                </c:pt>
                <c:pt idx="50">
                  <c:v>165.46092534420899</c:v>
                </c:pt>
                <c:pt idx="51">
                  <c:v>165.88196848597156</c:v>
                </c:pt>
                <c:pt idx="52">
                  <c:v>166.49550467908998</c:v>
                </c:pt>
                <c:pt idx="53">
                  <c:v>166.7267594049973</c:v>
                </c:pt>
                <c:pt idx="54">
                  <c:v>166.66209358012475</c:v>
                </c:pt>
                <c:pt idx="55">
                  <c:v>166.22010861588149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37-4024-85D5-7782A1C9A81A}"/>
            </c:ext>
          </c:extLst>
        </c:ser>
        <c:ser>
          <c:idx val="4"/>
          <c:order val="3"/>
          <c:tx>
            <c:strRef>
              <c:f>'Fig A.4'!$B$7</c:f>
              <c:strCache>
                <c:ptCount val="1"/>
                <c:pt idx="0">
                  <c:v>3 enfants et plus y compris MDA</c:v>
                </c:pt>
              </c:strCache>
            </c:strRef>
          </c:tx>
          <c:spPr>
            <a:ln w="38100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'Fig A.4'!$C$4:$BF$4</c:f>
              <c:numCache>
                <c:formatCode>General</c:formatCode>
                <c:ptCount val="56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</c:numCache>
            </c:numRef>
          </c:cat>
          <c:val>
            <c:numRef>
              <c:f>'Fig A.4'!$C$7:$BF$7</c:f>
              <c:numCache>
                <c:formatCode>0</c:formatCode>
                <c:ptCount val="56"/>
                <c:pt idx="0">
                  <c:v>123.273290003095</c:v>
                </c:pt>
                <c:pt idx="1">
                  <c:v>127.96535406083534</c:v>
                </c:pt>
                <c:pt idx="2">
                  <c:v>130.90577884749118</c:v>
                </c:pt>
                <c:pt idx="3">
                  <c:v>134.145602174673</c:v>
                </c:pt>
                <c:pt idx="4">
                  <c:v>136.80263536497981</c:v>
                </c:pt>
                <c:pt idx="5">
                  <c:v>139.27877418342618</c:v>
                </c:pt>
                <c:pt idx="6">
                  <c:v>141.95383408557959</c:v>
                </c:pt>
                <c:pt idx="7">
                  <c:v>145.3086768137016</c:v>
                </c:pt>
                <c:pt idx="8">
                  <c:v>148.192395151732</c:v>
                </c:pt>
                <c:pt idx="9">
                  <c:v>151.3011711074538</c:v>
                </c:pt>
                <c:pt idx="10">
                  <c:v>152.4567076054054</c:v>
                </c:pt>
                <c:pt idx="11">
                  <c:v>153.75653742412538</c:v>
                </c:pt>
                <c:pt idx="12">
                  <c:v>153.67193187634899</c:v>
                </c:pt>
                <c:pt idx="13">
                  <c:v>154.07686372526601</c:v>
                </c:pt>
                <c:pt idx="14">
                  <c:v>154.12916785515881</c:v>
                </c:pt>
                <c:pt idx="15">
                  <c:v>156.06050841177662</c:v>
                </c:pt>
                <c:pt idx="16">
                  <c:v>157.46310331294461</c:v>
                </c:pt>
                <c:pt idx="17">
                  <c:v>159.5738506334782</c:v>
                </c:pt>
                <c:pt idx="18">
                  <c:v>161.5066040860502</c:v>
                </c:pt>
                <c:pt idx="19">
                  <c:v>163.56094218144761</c:v>
                </c:pt>
                <c:pt idx="20">
                  <c:v>164.5889896463882</c:v>
                </c:pt>
                <c:pt idx="21">
                  <c:v>166.25647454199799</c:v>
                </c:pt>
                <c:pt idx="22">
                  <c:v>167.35437734687079</c:v>
                </c:pt>
                <c:pt idx="23">
                  <c:v>168.07363579364139</c:v>
                </c:pt>
                <c:pt idx="24">
                  <c:v>168.1526345812608</c:v>
                </c:pt>
                <c:pt idx="25">
                  <c:v>169.18770677443982</c:v>
                </c:pt>
                <c:pt idx="26">
                  <c:v>169.77547863490781</c:v>
                </c:pt>
                <c:pt idx="27">
                  <c:v>170.29917444081482</c:v>
                </c:pt>
                <c:pt idx="28">
                  <c:v>171.07867086341099</c:v>
                </c:pt>
                <c:pt idx="29">
                  <c:v>172.26449623617981</c:v>
                </c:pt>
                <c:pt idx="30">
                  <c:v>172.35914825083182</c:v>
                </c:pt>
                <c:pt idx="31">
                  <c:v>172.50527227740142</c:v>
                </c:pt>
                <c:pt idx="32">
                  <c:v>172.8153491571592</c:v>
                </c:pt>
                <c:pt idx="33">
                  <c:v>172.98973224816183</c:v>
                </c:pt>
                <c:pt idx="34">
                  <c:v>172.66456793621919</c:v>
                </c:pt>
                <c:pt idx="35">
                  <c:v>172.81193515233662</c:v>
                </c:pt>
                <c:pt idx="36">
                  <c:v>172.97574502783021</c:v>
                </c:pt>
                <c:pt idx="37">
                  <c:v>172.86025424147741</c:v>
                </c:pt>
                <c:pt idx="38">
                  <c:v>172.902945599502</c:v>
                </c:pt>
                <c:pt idx="39">
                  <c:v>173.36649323750621</c:v>
                </c:pt>
                <c:pt idx="40">
                  <c:v>173.46807751245902</c:v>
                </c:pt>
                <c:pt idx="41">
                  <c:v>173.13179982506182</c:v>
                </c:pt>
                <c:pt idx="42">
                  <c:v>172.60935189793022</c:v>
                </c:pt>
                <c:pt idx="43">
                  <c:v>172.04985522401859</c:v>
                </c:pt>
                <c:pt idx="44">
                  <c:v>171.52082248592342</c:v>
                </c:pt>
                <c:pt idx="45">
                  <c:v>171.35992565261381</c:v>
                </c:pt>
                <c:pt idx="46">
                  <c:v>171.4643423090038</c:v>
                </c:pt>
                <c:pt idx="47">
                  <c:v>171.63339737899241</c:v>
                </c:pt>
                <c:pt idx="48">
                  <c:v>172.1181992511288</c:v>
                </c:pt>
                <c:pt idx="49">
                  <c:v>172.39533032984002</c:v>
                </c:pt>
                <c:pt idx="50">
                  <c:v>172.65201675941779</c:v>
                </c:pt>
                <c:pt idx="51">
                  <c:v>173.60718639842881</c:v>
                </c:pt>
                <c:pt idx="52">
                  <c:v>174.21990256384237</c:v>
                </c:pt>
                <c:pt idx="53">
                  <c:v>173.718008527932</c:v>
                </c:pt>
                <c:pt idx="54">
                  <c:v>174.17361376756568</c:v>
                </c:pt>
                <c:pt idx="55">
                  <c:v>171.275627240143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37-4024-85D5-7782A1C9A81A}"/>
            </c:ext>
          </c:extLst>
        </c:ser>
        <c:ser>
          <c:idx val="3"/>
          <c:order val="4"/>
          <c:tx>
            <c:strRef>
              <c:f>'Fig A.4'!$B$9</c:f>
              <c:strCache>
                <c:ptCount val="1"/>
                <c:pt idx="0">
                  <c:v>3 enfants et plus hors MDA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'Fig A.4'!$C$4:$BF$4</c:f>
              <c:numCache>
                <c:formatCode>General</c:formatCode>
                <c:ptCount val="56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</c:numCache>
            </c:numRef>
          </c:cat>
          <c:val>
            <c:numRef>
              <c:f>'Fig A.4'!$C$9:$BF$9</c:f>
              <c:numCache>
                <c:formatCode>0</c:formatCode>
                <c:ptCount val="56"/>
                <c:pt idx="0">
                  <c:v>112.06437635406991</c:v>
                </c:pt>
                <c:pt idx="1">
                  <c:v>116.82384851882237</c:v>
                </c:pt>
                <c:pt idx="2">
                  <c:v>119.92984205983024</c:v>
                </c:pt>
                <c:pt idx="3">
                  <c:v>123.34339832428593</c:v>
                </c:pt>
                <c:pt idx="4">
                  <c:v>126.16080792847831</c:v>
                </c:pt>
                <c:pt idx="5">
                  <c:v>128.67392429928685</c:v>
                </c:pt>
                <c:pt idx="6">
                  <c:v>131.35966343493243</c:v>
                </c:pt>
                <c:pt idx="7">
                  <c:v>134.63079392387658</c:v>
                </c:pt>
                <c:pt idx="8">
                  <c:v>137.28782521233285</c:v>
                </c:pt>
                <c:pt idx="9">
                  <c:v>140.26737170476798</c:v>
                </c:pt>
                <c:pt idx="10">
                  <c:v>141.2357743481935</c:v>
                </c:pt>
                <c:pt idx="11">
                  <c:v>142.35066315486924</c:v>
                </c:pt>
                <c:pt idx="12">
                  <c:v>142.00448752714345</c:v>
                </c:pt>
                <c:pt idx="13">
                  <c:v>142.21353745569064</c:v>
                </c:pt>
                <c:pt idx="14">
                  <c:v>141.97346484825911</c:v>
                </c:pt>
                <c:pt idx="15">
                  <c:v>143.69410516316549</c:v>
                </c:pt>
                <c:pt idx="16">
                  <c:v>144.92024790799923</c:v>
                </c:pt>
                <c:pt idx="17">
                  <c:v>146.97625546448006</c:v>
                </c:pt>
                <c:pt idx="18">
                  <c:v>148.89045120893894</c:v>
                </c:pt>
                <c:pt idx="19">
                  <c:v>150.96220976002235</c:v>
                </c:pt>
                <c:pt idx="20">
                  <c:v>152.12685733487316</c:v>
                </c:pt>
                <c:pt idx="21">
                  <c:v>153.99026404515479</c:v>
                </c:pt>
                <c:pt idx="22">
                  <c:v>155.30429638572792</c:v>
                </c:pt>
                <c:pt idx="23">
                  <c:v>156.34927265647025</c:v>
                </c:pt>
                <c:pt idx="24">
                  <c:v>156.8028371265886</c:v>
                </c:pt>
                <c:pt idx="25">
                  <c:v>158.20432082088783</c:v>
                </c:pt>
                <c:pt idx="26">
                  <c:v>159.22176083051764</c:v>
                </c:pt>
                <c:pt idx="27">
                  <c:v>160.23994031952651</c:v>
                </c:pt>
                <c:pt idx="28">
                  <c:v>161.55565129425105</c:v>
                </c:pt>
                <c:pt idx="29">
                  <c:v>163.2315106525071</c:v>
                </c:pt>
                <c:pt idx="30">
                  <c:v>163.89401981001626</c:v>
                </c:pt>
                <c:pt idx="31">
                  <c:v>164.56782241468227</c:v>
                </c:pt>
                <c:pt idx="32">
                  <c:v>165.26557238702762</c:v>
                </c:pt>
                <c:pt idx="33">
                  <c:v>165.70434242966127</c:v>
                </c:pt>
                <c:pt idx="34">
                  <c:v>165.70686678280688</c:v>
                </c:pt>
                <c:pt idx="35">
                  <c:v>165.98334041882018</c:v>
                </c:pt>
                <c:pt idx="36">
                  <c:v>166.19808870809177</c:v>
                </c:pt>
                <c:pt idx="37">
                  <c:v>166.15159800816193</c:v>
                </c:pt>
                <c:pt idx="38">
                  <c:v>166.26857508047223</c:v>
                </c:pt>
                <c:pt idx="39">
                  <c:v>166.70828712930449</c:v>
                </c:pt>
                <c:pt idx="40">
                  <c:v>166.84820771112612</c:v>
                </c:pt>
                <c:pt idx="41">
                  <c:v>166.56471536493967</c:v>
                </c:pt>
                <c:pt idx="42">
                  <c:v>166.06449389001452</c:v>
                </c:pt>
                <c:pt idx="43">
                  <c:v>165.47746905961213</c:v>
                </c:pt>
                <c:pt idx="44">
                  <c:v>164.97901667865978</c:v>
                </c:pt>
                <c:pt idx="45">
                  <c:v>164.8173222381717</c:v>
                </c:pt>
                <c:pt idx="46">
                  <c:v>164.93138743322248</c:v>
                </c:pt>
                <c:pt idx="47">
                  <c:v>165.11430627656853</c:v>
                </c:pt>
                <c:pt idx="48">
                  <c:v>165.62904659632639</c:v>
                </c:pt>
                <c:pt idx="49">
                  <c:v>165.88868837594714</c:v>
                </c:pt>
                <c:pt idx="50">
                  <c:v>166.11556811252976</c:v>
                </c:pt>
                <c:pt idx="51">
                  <c:v>167.05129603533501</c:v>
                </c:pt>
                <c:pt idx="52">
                  <c:v>167.61438814059824</c:v>
                </c:pt>
                <c:pt idx="53">
                  <c:v>167.07833266148342</c:v>
                </c:pt>
                <c:pt idx="54">
                  <c:v>167.53837980329129</c:v>
                </c:pt>
                <c:pt idx="55">
                  <c:v>164.57401433691717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37-4024-85D5-7782A1C9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084079"/>
        <c:axId val="1"/>
      </c:lineChart>
      <c:catAx>
        <c:axId val="6340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08407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252378608923892"/>
          <c:y val="0.17870033487193412"/>
          <c:w val="0.3088512139107612"/>
          <c:h val="0.6357607023260023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22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 A.5'!$C$4:$BU$4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A.5'!$C$5:$BU$5</c:f>
              <c:numCache>
                <c:formatCode>0%</c:formatCode>
                <c:ptCount val="71"/>
                <c:pt idx="3">
                  <c:v>0.18866743807117387</c:v>
                </c:pt>
                <c:pt idx="4">
                  <c:v>0.21845886371142034</c:v>
                </c:pt>
                <c:pt idx="5">
                  <c:v>0.23824619717678042</c:v>
                </c:pt>
                <c:pt idx="6">
                  <c:v>0.2604465831966733</c:v>
                </c:pt>
                <c:pt idx="7">
                  <c:v>0.27745345430432067</c:v>
                </c:pt>
                <c:pt idx="8">
                  <c:v>0.2960819239265482</c:v>
                </c:pt>
                <c:pt idx="9">
                  <c:v>0.31108358842826112</c:v>
                </c:pt>
                <c:pt idx="10">
                  <c:v>0.32201447309184589</c:v>
                </c:pt>
                <c:pt idx="11">
                  <c:v>0.33434872128095261</c:v>
                </c:pt>
                <c:pt idx="12">
                  <c:v>0.34740787867354828</c:v>
                </c:pt>
                <c:pt idx="13">
                  <c:v>0.36223246606603043</c:v>
                </c:pt>
                <c:pt idx="14">
                  <c:v>0.38075897704421735</c:v>
                </c:pt>
                <c:pt idx="15">
                  <c:v>0.4029028713114885</c:v>
                </c:pt>
                <c:pt idx="16">
                  <c:v>0.42454847776397769</c:v>
                </c:pt>
                <c:pt idx="17">
                  <c:v>0.44754419698071074</c:v>
                </c:pt>
                <c:pt idx="18">
                  <c:v>0.46849909913940541</c:v>
                </c:pt>
                <c:pt idx="19">
                  <c:v>0.48985602748505064</c:v>
                </c:pt>
                <c:pt idx="20">
                  <c:v>0.50990502996641596</c:v>
                </c:pt>
                <c:pt idx="21">
                  <c:v>0.52636630104883386</c:v>
                </c:pt>
                <c:pt idx="22">
                  <c:v>0.53828851337875072</c:v>
                </c:pt>
                <c:pt idx="23">
                  <c:v>0.54824035765444468</c:v>
                </c:pt>
                <c:pt idx="24">
                  <c:v>0.55432023907558492</c:v>
                </c:pt>
                <c:pt idx="25">
                  <c:v>0.55821202602780562</c:v>
                </c:pt>
                <c:pt idx="26">
                  <c:v>0.55981867286971343</c:v>
                </c:pt>
                <c:pt idx="27">
                  <c:v>0.56076178721901582</c:v>
                </c:pt>
                <c:pt idx="28">
                  <c:v>0.55750464665061683</c:v>
                </c:pt>
                <c:pt idx="29">
                  <c:v>0.55571621078135891</c:v>
                </c:pt>
                <c:pt idx="30">
                  <c:v>0.55367053249750031</c:v>
                </c:pt>
                <c:pt idx="31">
                  <c:v>0.55220148526248547</c:v>
                </c:pt>
                <c:pt idx="32">
                  <c:v>0.5520849880138553</c:v>
                </c:pt>
                <c:pt idx="33">
                  <c:v>0.55507418960508526</c:v>
                </c:pt>
                <c:pt idx="34">
                  <c:v>0.55558291925194747</c:v>
                </c:pt>
                <c:pt idx="35">
                  <c:v>0.55888032792753883</c:v>
                </c:pt>
                <c:pt idx="36">
                  <c:v>0.56197412729666563</c:v>
                </c:pt>
                <c:pt idx="37">
                  <c:v>0.565201452155212</c:v>
                </c:pt>
                <c:pt idx="38">
                  <c:v>0.56647964475042234</c:v>
                </c:pt>
                <c:pt idx="39">
                  <c:v>0.56849217571507915</c:v>
                </c:pt>
                <c:pt idx="40">
                  <c:v>0.56648882576234472</c:v>
                </c:pt>
                <c:pt idx="41">
                  <c:v>0.56460573746997211</c:v>
                </c:pt>
                <c:pt idx="42">
                  <c:v>0.56203951459153212</c:v>
                </c:pt>
                <c:pt idx="43">
                  <c:v>0.56175410248935387</c:v>
                </c:pt>
                <c:pt idx="44">
                  <c:v>0.56116407044433469</c:v>
                </c:pt>
                <c:pt idx="45">
                  <c:v>0.56267810584271216</c:v>
                </c:pt>
                <c:pt idx="46">
                  <c:v>0.56565233833400452</c:v>
                </c:pt>
                <c:pt idx="47">
                  <c:v>0.5673720031749292</c:v>
                </c:pt>
                <c:pt idx="48">
                  <c:v>0.56870203003612052</c:v>
                </c:pt>
                <c:pt idx="49">
                  <c:v>0.56993260380581545</c:v>
                </c:pt>
                <c:pt idx="50">
                  <c:v>0.57228242997197465</c:v>
                </c:pt>
                <c:pt idx="51">
                  <c:v>0.57080453431483591</c:v>
                </c:pt>
                <c:pt idx="52">
                  <c:v>0.56927770091701768</c:v>
                </c:pt>
                <c:pt idx="53">
                  <c:v>0.56778279370664786</c:v>
                </c:pt>
                <c:pt idx="54">
                  <c:v>0.56527776337984981</c:v>
                </c:pt>
                <c:pt idx="55">
                  <c:v>0.56103457349270669</c:v>
                </c:pt>
                <c:pt idx="56">
                  <c:v>0.55725154417388389</c:v>
                </c:pt>
                <c:pt idx="57">
                  <c:v>0.55397235319050586</c:v>
                </c:pt>
                <c:pt idx="58">
                  <c:v>0.54993870065657058</c:v>
                </c:pt>
                <c:pt idx="59">
                  <c:v>0.54637082266824477</c:v>
                </c:pt>
                <c:pt idx="60">
                  <c:v>0.54196460933957358</c:v>
                </c:pt>
                <c:pt idx="61">
                  <c:v>0.53911091120406485</c:v>
                </c:pt>
                <c:pt idx="62">
                  <c:v>0.53749379235834538</c:v>
                </c:pt>
                <c:pt idx="63">
                  <c:v>0.53518240769303715</c:v>
                </c:pt>
                <c:pt idx="64">
                  <c:v>0.53503277195428578</c:v>
                </c:pt>
                <c:pt idx="65">
                  <c:v>0.53509818487124949</c:v>
                </c:pt>
                <c:pt idx="66">
                  <c:v>0.53517302541401168</c:v>
                </c:pt>
                <c:pt idx="67">
                  <c:v>0.5345679417541167</c:v>
                </c:pt>
                <c:pt idx="68">
                  <c:v>0.53504966412834976</c:v>
                </c:pt>
                <c:pt idx="69">
                  <c:v>0.53369859574924738</c:v>
                </c:pt>
                <c:pt idx="70">
                  <c:v>0.53399593149393554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5-4103-AC8A-39816EDB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929023"/>
        <c:axId val="1"/>
      </c:lineChart>
      <c:catAx>
        <c:axId val="17669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6692902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'Fig A.5'!$C$4:$BU$4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A.5'!$C$6:$BU$6</c:f>
              <c:numCache>
                <c:formatCode>0</c:formatCode>
                <c:ptCount val="71"/>
                <c:pt idx="3">
                  <c:v>22.208389761562053</c:v>
                </c:pt>
                <c:pt idx="4">
                  <c:v>22.952618318492483</c:v>
                </c:pt>
                <c:pt idx="5">
                  <c:v>23.830077579824696</c:v>
                </c:pt>
                <c:pt idx="6">
                  <c:v>24.620832990895451</c:v>
                </c:pt>
                <c:pt idx="7">
                  <c:v>25.425479944347952</c:v>
                </c:pt>
                <c:pt idx="8">
                  <c:v>26.143596446163468</c:v>
                </c:pt>
                <c:pt idx="9">
                  <c:v>26.69800126936007</c:v>
                </c:pt>
                <c:pt idx="10">
                  <c:v>27.180436056008336</c:v>
                </c:pt>
                <c:pt idx="11">
                  <c:v>27.604715357718533</c:v>
                </c:pt>
                <c:pt idx="12">
                  <c:v>27.868761056379935</c:v>
                </c:pt>
                <c:pt idx="13">
                  <c:v>28.182260070952889</c:v>
                </c:pt>
                <c:pt idx="14">
                  <c:v>28.314311539854049</c:v>
                </c:pt>
                <c:pt idx="15">
                  <c:v>28.565572780208491</c:v>
                </c:pt>
                <c:pt idx="16">
                  <c:v>28.709928925848612</c:v>
                </c:pt>
                <c:pt idx="17">
                  <c:v>28.9483684394854</c:v>
                </c:pt>
                <c:pt idx="18">
                  <c:v>29.161903166419116</c:v>
                </c:pt>
                <c:pt idx="19">
                  <c:v>29.574353705365944</c:v>
                </c:pt>
                <c:pt idx="20">
                  <c:v>29.903049051038955</c:v>
                </c:pt>
                <c:pt idx="21">
                  <c:v>30.27366770541396</c:v>
                </c:pt>
                <c:pt idx="22">
                  <c:v>30.820941815743964</c:v>
                </c:pt>
                <c:pt idx="23">
                  <c:v>31.135082700769573</c:v>
                </c:pt>
                <c:pt idx="24">
                  <c:v>31.428579372562346</c:v>
                </c:pt>
                <c:pt idx="25">
                  <c:v>31.656964151706802</c:v>
                </c:pt>
                <c:pt idx="26">
                  <c:v>31.86846557741929</c:v>
                </c:pt>
                <c:pt idx="27">
                  <c:v>31.878546197856689</c:v>
                </c:pt>
                <c:pt idx="28">
                  <c:v>32.041386888431944</c:v>
                </c:pt>
                <c:pt idx="29">
                  <c:v>31.974522006591446</c:v>
                </c:pt>
                <c:pt idx="30">
                  <c:v>31.78822917473078</c:v>
                </c:pt>
                <c:pt idx="31">
                  <c:v>31.561804366666316</c:v>
                </c:pt>
                <c:pt idx="32">
                  <c:v>31.134118649821581</c:v>
                </c:pt>
                <c:pt idx="33">
                  <c:v>30.535709575740384</c:v>
                </c:pt>
                <c:pt idx="34">
                  <c:v>30.0120563600697</c:v>
                </c:pt>
                <c:pt idx="35">
                  <c:v>29.578722688160195</c:v>
                </c:pt>
                <c:pt idx="36">
                  <c:v>29.171634764299938</c:v>
                </c:pt>
                <c:pt idx="37">
                  <c:v>28.869434078487519</c:v>
                </c:pt>
                <c:pt idx="38">
                  <c:v>28.619262298086575</c:v>
                </c:pt>
                <c:pt idx="39">
                  <c:v>28.37957948503556</c:v>
                </c:pt>
                <c:pt idx="40">
                  <c:v>28.142473542124371</c:v>
                </c:pt>
                <c:pt idx="41">
                  <c:v>27.824072197526341</c:v>
                </c:pt>
                <c:pt idx="42">
                  <c:v>27.526804523001175</c:v>
                </c:pt>
                <c:pt idx="43">
                  <c:v>27.282207601053244</c:v>
                </c:pt>
                <c:pt idx="44">
                  <c:v>27.056122367806505</c:v>
                </c:pt>
                <c:pt idx="45">
                  <c:v>26.766454980579358</c:v>
                </c:pt>
                <c:pt idx="46">
                  <c:v>26.541917702333876</c:v>
                </c:pt>
                <c:pt idx="47">
                  <c:v>26.287683439680659</c:v>
                </c:pt>
                <c:pt idx="48">
                  <c:v>26.025382258864376</c:v>
                </c:pt>
                <c:pt idx="49">
                  <c:v>25.80005516658623</c:v>
                </c:pt>
                <c:pt idx="50">
                  <c:v>25.620773650153701</c:v>
                </c:pt>
                <c:pt idx="51">
                  <c:v>25.469695761469342</c:v>
                </c:pt>
                <c:pt idx="52">
                  <c:v>25.422441947896257</c:v>
                </c:pt>
                <c:pt idx="53">
                  <c:v>25.277203608950533</c:v>
                </c:pt>
                <c:pt idx="54">
                  <c:v>25.190566162981277</c:v>
                </c:pt>
                <c:pt idx="55">
                  <c:v>24.980592257343275</c:v>
                </c:pt>
                <c:pt idx="56">
                  <c:v>24.636335534420052</c:v>
                </c:pt>
                <c:pt idx="57">
                  <c:v>24.272994073203144</c:v>
                </c:pt>
                <c:pt idx="58">
                  <c:v>23.997017869378077</c:v>
                </c:pt>
                <c:pt idx="59">
                  <c:v>23.595702485635488</c:v>
                </c:pt>
                <c:pt idx="60">
                  <c:v>23.282491807327244</c:v>
                </c:pt>
                <c:pt idx="61">
                  <c:v>23.149683676946733</c:v>
                </c:pt>
                <c:pt idx="62">
                  <c:v>22.893534846823677</c:v>
                </c:pt>
                <c:pt idx="63">
                  <c:v>22.717031990750236</c:v>
                </c:pt>
                <c:pt idx="64">
                  <c:v>22.656704168314732</c:v>
                </c:pt>
                <c:pt idx="65">
                  <c:v>22.62024528258371</c:v>
                </c:pt>
                <c:pt idx="66">
                  <c:v>22.545776584552467</c:v>
                </c:pt>
                <c:pt idx="67">
                  <c:v>22.466398278987416</c:v>
                </c:pt>
                <c:pt idx="68">
                  <c:v>22.337436076108951</c:v>
                </c:pt>
                <c:pt idx="69">
                  <c:v>22.184947568291552</c:v>
                </c:pt>
                <c:pt idx="70">
                  <c:v>21.910279292329911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8-4F91-83CE-8513FC286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930463"/>
        <c:axId val="1"/>
      </c:lineChart>
      <c:catAx>
        <c:axId val="176693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66930463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'Fig A.6'!$B$5</c:f>
              <c:strCache>
                <c:ptCount val="1"/>
                <c:pt idx="0">
                  <c:v>Cnav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 A.6'!$C$4:$BU$4</c:f>
              <c:numCache>
                <c:formatCode>General</c:formatCode>
                <c:ptCount val="71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</c:numCache>
            </c:numRef>
          </c:cat>
          <c:val>
            <c:numRef>
              <c:f>'Fig A.6'!$C$5:$BU$5</c:f>
              <c:numCache>
                <c:formatCode>0%</c:formatCode>
                <c:ptCount val="71"/>
                <c:pt idx="3">
                  <c:v>0.47300712990240767</c:v>
                </c:pt>
                <c:pt idx="4">
                  <c:v>0.47336890682709204</c:v>
                </c:pt>
                <c:pt idx="5">
                  <c:v>0.47060481777865493</c:v>
                </c:pt>
                <c:pt idx="6">
                  <c:v>0.46842736332713653</c:v>
                </c:pt>
                <c:pt idx="7">
                  <c:v>0.46391042975899388</c:v>
                </c:pt>
                <c:pt idx="8">
                  <c:v>0.45961751504031917</c:v>
                </c:pt>
                <c:pt idx="9">
                  <c:v>0.45228468822023632</c:v>
                </c:pt>
                <c:pt idx="10">
                  <c:v>0.44464607434808806</c:v>
                </c:pt>
                <c:pt idx="11">
                  <c:v>0.43372334108297839</c:v>
                </c:pt>
                <c:pt idx="12">
                  <c:v>0.422993132550749</c:v>
                </c:pt>
                <c:pt idx="13">
                  <c:v>0.41036376525288631</c:v>
                </c:pt>
                <c:pt idx="14">
                  <c:v>0.39667395918869675</c:v>
                </c:pt>
                <c:pt idx="15">
                  <c:v>0.38468692897364909</c:v>
                </c:pt>
                <c:pt idx="16">
                  <c:v>0.37399879027810023</c:v>
                </c:pt>
                <c:pt idx="17">
                  <c:v>0.36420193730149369</c:v>
                </c:pt>
                <c:pt idx="18">
                  <c:v>0.35442703324388741</c:v>
                </c:pt>
                <c:pt idx="19">
                  <c:v>0.34868069651076306</c:v>
                </c:pt>
                <c:pt idx="20">
                  <c:v>0.34312618615174062</c:v>
                </c:pt>
                <c:pt idx="21">
                  <c:v>0.33957074797775932</c:v>
                </c:pt>
                <c:pt idx="22">
                  <c:v>0.33632387586724405</c:v>
                </c:pt>
                <c:pt idx="23">
                  <c:v>0.33486786227931409</c:v>
                </c:pt>
                <c:pt idx="24">
                  <c:v>0.33389287312578891</c:v>
                </c:pt>
                <c:pt idx="25">
                  <c:v>0.33185887503134393</c:v>
                </c:pt>
                <c:pt idx="26">
                  <c:v>0.32836602408625704</c:v>
                </c:pt>
                <c:pt idx="27">
                  <c:v>0.3256230173182475</c:v>
                </c:pt>
                <c:pt idx="28">
                  <c:v>0.32163884040469581</c:v>
                </c:pt>
                <c:pt idx="29">
                  <c:v>0.31629323558964384</c:v>
                </c:pt>
                <c:pt idx="30">
                  <c:v>0.31331296629792371</c:v>
                </c:pt>
                <c:pt idx="31">
                  <c:v>0.3126582003015389</c:v>
                </c:pt>
                <c:pt idx="32">
                  <c:v>0.31135199938906055</c:v>
                </c:pt>
                <c:pt idx="33">
                  <c:v>0.31102285130429902</c:v>
                </c:pt>
                <c:pt idx="34">
                  <c:v>0.31165013842804623</c:v>
                </c:pt>
                <c:pt idx="35">
                  <c:v>0.31204199224239204</c:v>
                </c:pt>
                <c:pt idx="36">
                  <c:v>0.31079454379029664</c:v>
                </c:pt>
                <c:pt idx="37">
                  <c:v>0.31086796201637568</c:v>
                </c:pt>
                <c:pt idx="38">
                  <c:v>0.3092873109501576</c:v>
                </c:pt>
                <c:pt idx="39">
                  <c:v>0.3083689593204188</c:v>
                </c:pt>
                <c:pt idx="40">
                  <c:v>0.30743350490120164</c:v>
                </c:pt>
                <c:pt idx="41">
                  <c:v>0.30680550249011218</c:v>
                </c:pt>
                <c:pt idx="42">
                  <c:v>0.3062273588076157</c:v>
                </c:pt>
                <c:pt idx="43">
                  <c:v>0.3075442776962492</c:v>
                </c:pt>
                <c:pt idx="44">
                  <c:v>0.30830053063435031</c:v>
                </c:pt>
                <c:pt idx="45">
                  <c:v>0.30989630761835746</c:v>
                </c:pt>
                <c:pt idx="46">
                  <c:v>0.31098345419634754</c:v>
                </c:pt>
                <c:pt idx="47">
                  <c:v>0.31186193102932708</c:v>
                </c:pt>
                <c:pt idx="48">
                  <c:v>0.30900483463324041</c:v>
                </c:pt>
                <c:pt idx="49">
                  <c:v>0.307202805583625</c:v>
                </c:pt>
                <c:pt idx="50">
                  <c:v>0.30269533748405958</c:v>
                </c:pt>
                <c:pt idx="51">
                  <c:v>0.29888728243862378</c:v>
                </c:pt>
                <c:pt idx="52">
                  <c:v>0.29335251808223572</c:v>
                </c:pt>
                <c:pt idx="53">
                  <c:v>0.28960590063064978</c:v>
                </c:pt>
                <c:pt idx="54">
                  <c:v>0.28410667611363</c:v>
                </c:pt>
                <c:pt idx="55">
                  <c:v>0.27877926317507601</c:v>
                </c:pt>
                <c:pt idx="56">
                  <c:v>0.27281842819020502</c:v>
                </c:pt>
                <c:pt idx="57">
                  <c:v>0.26842285256432341</c:v>
                </c:pt>
                <c:pt idx="58">
                  <c:v>0.26420612563351187</c:v>
                </c:pt>
                <c:pt idx="59">
                  <c:v>0.26096951632777715</c:v>
                </c:pt>
                <c:pt idx="60">
                  <c:v>0.25848325053875876</c:v>
                </c:pt>
                <c:pt idx="61">
                  <c:v>0.25743259622695658</c:v>
                </c:pt>
                <c:pt idx="62">
                  <c:v>0.25709278579471129</c:v>
                </c:pt>
                <c:pt idx="63">
                  <c:v>0.25525095448817181</c:v>
                </c:pt>
                <c:pt idx="64">
                  <c:v>0.25406226685492805</c:v>
                </c:pt>
                <c:pt idx="65">
                  <c:v>0.25379833505199267</c:v>
                </c:pt>
                <c:pt idx="66">
                  <c:v>0.25312268018964684</c:v>
                </c:pt>
                <c:pt idx="67">
                  <c:v>0.25089608281113207</c:v>
                </c:pt>
                <c:pt idx="68">
                  <c:v>0.25241383811863483</c:v>
                </c:pt>
                <c:pt idx="69">
                  <c:v>0.25318102363172329</c:v>
                </c:pt>
                <c:pt idx="70">
                  <c:v>0.25505823071188011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5-49B6-BF75-5DB31E561538}"/>
            </c:ext>
          </c:extLst>
        </c:ser>
        <c:ser>
          <c:idx val="0"/>
          <c:order val="1"/>
          <c:tx>
            <c:strRef>
              <c:f>'Fig A.6'!$B$6</c:f>
              <c:strCache>
                <c:ptCount val="1"/>
                <c:pt idx="0">
                  <c:v>SRE - civils</c:v>
                </c:pt>
              </c:strCache>
            </c:strRef>
          </c:tx>
          <c:spPr>
            <a:ln w="19050">
              <a:solidFill>
                <a:srgbClr val="548235"/>
              </a:solidFill>
            </a:ln>
          </c:spPr>
          <c:marker>
            <c:symbol val="none"/>
          </c:marker>
          <c:val>
            <c:numRef>
              <c:f>'Fig A.6'!$C$6:$BU$6</c:f>
              <c:numCache>
                <c:formatCode>0%</c:formatCode>
                <c:ptCount val="71"/>
                <c:pt idx="15">
                  <c:v>0.23187414500683995</c:v>
                </c:pt>
                <c:pt idx="16">
                  <c:v>0.22583130571473711</c:v>
                </c:pt>
                <c:pt idx="17">
                  <c:v>0.22450804659494997</c:v>
                </c:pt>
                <c:pt idx="18">
                  <c:v>0.22364754356821792</c:v>
                </c:pt>
                <c:pt idx="19">
                  <c:v>0.22854451280185631</c:v>
                </c:pt>
                <c:pt idx="20">
                  <c:v>0.23046745476762079</c:v>
                </c:pt>
                <c:pt idx="21">
                  <c:v>0.23828946816248076</c:v>
                </c:pt>
                <c:pt idx="22">
                  <c:v>0.24553407936825034</c:v>
                </c:pt>
                <c:pt idx="23">
                  <c:v>0.2534383192635421</c:v>
                </c:pt>
                <c:pt idx="24">
                  <c:v>0.25629811841255201</c:v>
                </c:pt>
                <c:pt idx="25">
                  <c:v>0.26058337270840848</c:v>
                </c:pt>
                <c:pt idx="26">
                  <c:v>0.26138372663376241</c:v>
                </c:pt>
                <c:pt idx="27">
                  <c:v>0.25969507175328904</c:v>
                </c:pt>
                <c:pt idx="28">
                  <c:v>0.25762278014760681</c:v>
                </c:pt>
                <c:pt idx="29">
                  <c:v>0.25527173575818063</c:v>
                </c:pt>
                <c:pt idx="30">
                  <c:v>0.25527389788429089</c:v>
                </c:pt>
                <c:pt idx="31">
                  <c:v>0.25233386621590242</c:v>
                </c:pt>
                <c:pt idx="32">
                  <c:v>0.25137422706229234</c:v>
                </c:pt>
                <c:pt idx="33">
                  <c:v>0.24916111399317784</c:v>
                </c:pt>
                <c:pt idx="34">
                  <c:v>0.2490362631355397</c:v>
                </c:pt>
                <c:pt idx="35">
                  <c:v>0.24718583471223871</c:v>
                </c:pt>
                <c:pt idx="36">
                  <c:v>0.24869544659914347</c:v>
                </c:pt>
                <c:pt idx="37">
                  <c:v>0.2482957198956543</c:v>
                </c:pt>
                <c:pt idx="38">
                  <c:v>0.24344300150495143</c:v>
                </c:pt>
                <c:pt idx="39">
                  <c:v>0.2437942105904442</c:v>
                </c:pt>
                <c:pt idx="40">
                  <c:v>0.23876316027549399</c:v>
                </c:pt>
                <c:pt idx="41">
                  <c:v>0.23513590763045275</c:v>
                </c:pt>
                <c:pt idx="42">
                  <c:v>0.23095178753726225</c:v>
                </c:pt>
                <c:pt idx="43">
                  <c:v>0.23102677080712408</c:v>
                </c:pt>
                <c:pt idx="44">
                  <c:v>0.22633871797070473</c:v>
                </c:pt>
                <c:pt idx="45">
                  <c:v>0.2238329614642241</c:v>
                </c:pt>
                <c:pt idx="46">
                  <c:v>0.21704729054740562</c:v>
                </c:pt>
                <c:pt idx="47">
                  <c:v>0.21272607942176025</c:v>
                </c:pt>
                <c:pt idx="48">
                  <c:v>0.20755878761757182</c:v>
                </c:pt>
                <c:pt idx="49">
                  <c:v>0.20308952092566224</c:v>
                </c:pt>
                <c:pt idx="50">
                  <c:v>0.19956954175524438</c:v>
                </c:pt>
                <c:pt idx="51">
                  <c:v>0.19131744435397569</c:v>
                </c:pt>
                <c:pt idx="52">
                  <c:v>0.18598496768832395</c:v>
                </c:pt>
                <c:pt idx="53">
                  <c:v>0.18325701040937292</c:v>
                </c:pt>
                <c:pt idx="54">
                  <c:v>0.17804753330911183</c:v>
                </c:pt>
                <c:pt idx="55">
                  <c:v>0.17513432935086812</c:v>
                </c:pt>
                <c:pt idx="56">
                  <c:v>0.17867238553901976</c:v>
                </c:pt>
                <c:pt idx="57">
                  <c:v>0.17861514804688225</c:v>
                </c:pt>
                <c:pt idx="58">
                  <c:v>0.1763267793139188</c:v>
                </c:pt>
                <c:pt idx="59">
                  <c:v>0.17688885879759683</c:v>
                </c:pt>
                <c:pt idx="60">
                  <c:v>0.17949734751273586</c:v>
                </c:pt>
                <c:pt idx="61">
                  <c:v>0.18143802820937308</c:v>
                </c:pt>
                <c:pt idx="62">
                  <c:v>0.17956972591597914</c:v>
                </c:pt>
                <c:pt idx="63">
                  <c:v>0.17888290400902054</c:v>
                </c:pt>
                <c:pt idx="64">
                  <c:v>0.18269337582776063</c:v>
                </c:pt>
                <c:pt idx="65">
                  <c:v>0.18237092466790483</c:v>
                </c:pt>
                <c:pt idx="66">
                  <c:v>0.18554467537916736</c:v>
                </c:pt>
                <c:pt idx="67">
                  <c:v>0.19209774111428982</c:v>
                </c:pt>
                <c:pt idx="68">
                  <c:v>0.19882117855811138</c:v>
                </c:pt>
                <c:pt idx="69">
                  <c:v>0.20230568277685204</c:v>
                </c:pt>
                <c:pt idx="70">
                  <c:v>0.20104211897524968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5-49B6-BF75-5DB31E561538}"/>
            </c:ext>
          </c:extLst>
        </c:ser>
        <c:ser>
          <c:idx val="2"/>
          <c:order val="2"/>
          <c:tx>
            <c:strRef>
              <c:f>'Fig A.6'!$B$7</c:f>
              <c:strCache>
                <c:ptCount val="1"/>
                <c:pt idx="0">
                  <c:v>CNRACL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'Fig A.6'!$C$7:$BU$7</c:f>
              <c:numCache>
                <c:formatCode>0%</c:formatCode>
                <c:ptCount val="71"/>
                <c:pt idx="0">
                  <c:v>0.3837949933</c:v>
                </c:pt>
                <c:pt idx="1">
                  <c:v>0.38477662340000002</c:v>
                </c:pt>
                <c:pt idx="2">
                  <c:v>0.38079163759999995</c:v>
                </c:pt>
                <c:pt idx="3">
                  <c:v>0.37963763503999998</c:v>
                </c:pt>
                <c:pt idx="4">
                  <c:v>0.37819552522</c:v>
                </c:pt>
                <c:pt idx="5">
                  <c:v>0.37649299258000002</c:v>
                </c:pt>
                <c:pt idx="6">
                  <c:v>0.3739169329</c:v>
                </c:pt>
                <c:pt idx="7">
                  <c:v>0.37287827194000001</c:v>
                </c:pt>
                <c:pt idx="8">
                  <c:v>0.36979288622000006</c:v>
                </c:pt>
                <c:pt idx="9">
                  <c:v>0.36243617466000005</c:v>
                </c:pt>
                <c:pt idx="10">
                  <c:v>0.35466605496000003</c:v>
                </c:pt>
                <c:pt idx="11">
                  <c:v>0.34522523317999998</c:v>
                </c:pt>
                <c:pt idx="12">
                  <c:v>0.33513964699999998</c:v>
                </c:pt>
                <c:pt idx="13">
                  <c:v>0.32376480984</c:v>
                </c:pt>
                <c:pt idx="14">
                  <c:v>0.31189452598</c:v>
                </c:pt>
                <c:pt idx="15">
                  <c:v>0.30010910192000001</c:v>
                </c:pt>
                <c:pt idx="16">
                  <c:v>0.29077726506000001</c:v>
                </c:pt>
                <c:pt idx="17">
                  <c:v>0.28333949278000004</c:v>
                </c:pt>
                <c:pt idx="18">
                  <c:v>0.27673221955999999</c:v>
                </c:pt>
                <c:pt idx="19">
                  <c:v>0.27520490634000006</c:v>
                </c:pt>
                <c:pt idx="20">
                  <c:v>0.27560907595999995</c:v>
                </c:pt>
                <c:pt idx="21">
                  <c:v>0.27724439686000002</c:v>
                </c:pt>
                <c:pt idx="22">
                  <c:v>0.28079364917999999</c:v>
                </c:pt>
                <c:pt idx="23">
                  <c:v>0.28618690922000001</c:v>
                </c:pt>
                <c:pt idx="24">
                  <c:v>0.29213367832000003</c:v>
                </c:pt>
                <c:pt idx="25">
                  <c:v>0.29987806355999996</c:v>
                </c:pt>
                <c:pt idx="26">
                  <c:v>0.30962222674000001</c:v>
                </c:pt>
                <c:pt idx="27">
                  <c:v>0.32035946626</c:v>
                </c:pt>
                <c:pt idx="28">
                  <c:v>0.33116500248000003</c:v>
                </c:pt>
                <c:pt idx="29">
                  <c:v>0.34051219033999996</c:v>
                </c:pt>
                <c:pt idx="30">
                  <c:v>0.34647962298000001</c:v>
                </c:pt>
                <c:pt idx="31">
                  <c:v>0.34964442870000001</c:v>
                </c:pt>
                <c:pt idx="32">
                  <c:v>0.34726901305999996</c:v>
                </c:pt>
                <c:pt idx="33">
                  <c:v>0.34288024831999997</c:v>
                </c:pt>
                <c:pt idx="34">
                  <c:v>0.33752621970000002</c:v>
                </c:pt>
                <c:pt idx="35">
                  <c:v>0.33154458785999996</c:v>
                </c:pt>
                <c:pt idx="36">
                  <c:v>0.3244526626</c:v>
                </c:pt>
                <c:pt idx="37">
                  <c:v>0.31813492915999997</c:v>
                </c:pt>
                <c:pt idx="38">
                  <c:v>0.31219102875999993</c:v>
                </c:pt>
                <c:pt idx="39">
                  <c:v>0.30651133054000002</c:v>
                </c:pt>
                <c:pt idx="40">
                  <c:v>0.30204595080000002</c:v>
                </c:pt>
                <c:pt idx="41">
                  <c:v>0.29903508895999997</c:v>
                </c:pt>
                <c:pt idx="42">
                  <c:v>0.29739061888000001</c:v>
                </c:pt>
                <c:pt idx="43">
                  <c:v>0.29647257856000003</c:v>
                </c:pt>
                <c:pt idx="44">
                  <c:v>0.29630059331999997</c:v>
                </c:pt>
                <c:pt idx="45">
                  <c:v>0.29703590222000004</c:v>
                </c:pt>
                <c:pt idx="46">
                  <c:v>0.29763235509999997</c:v>
                </c:pt>
                <c:pt idx="47">
                  <c:v>0.29905525239999997</c:v>
                </c:pt>
                <c:pt idx="48">
                  <c:v>0.29868332294</c:v>
                </c:pt>
                <c:pt idx="49">
                  <c:v>0.29906700649999995</c:v>
                </c:pt>
                <c:pt idx="50">
                  <c:v>0.29929524542000002</c:v>
                </c:pt>
                <c:pt idx="51">
                  <c:v>0.30073502168000005</c:v>
                </c:pt>
                <c:pt idx="52">
                  <c:v>0.30211878556000005</c:v>
                </c:pt>
                <c:pt idx="53">
                  <c:v>0.30435184686000005</c:v>
                </c:pt>
                <c:pt idx="54">
                  <c:v>0.30640459370000001</c:v>
                </c:pt>
                <c:pt idx="55">
                  <c:v>0.30776898279999998</c:v>
                </c:pt>
                <c:pt idx="56">
                  <c:v>0.30695330158</c:v>
                </c:pt>
                <c:pt idx="57">
                  <c:v>0.30545953646000001</c:v>
                </c:pt>
                <c:pt idx="58">
                  <c:v>0.30377620585999998</c:v>
                </c:pt>
                <c:pt idx="59">
                  <c:v>0.30075720536</c:v>
                </c:pt>
                <c:pt idx="60">
                  <c:v>0.29805862243999998</c:v>
                </c:pt>
                <c:pt idx="61">
                  <c:v>0.29599931753999997</c:v>
                </c:pt>
                <c:pt idx="62">
                  <c:v>0.29457127577999997</c:v>
                </c:pt>
                <c:pt idx="63">
                  <c:v>0.29397975908000001</c:v>
                </c:pt>
                <c:pt idx="64">
                  <c:v>0.29416280086000002</c:v>
                </c:pt>
                <c:pt idx="65">
                  <c:v>0.29575940016000002</c:v>
                </c:pt>
                <c:pt idx="66">
                  <c:v>0.29687966251999998</c:v>
                </c:pt>
                <c:pt idx="67">
                  <c:v>0.29784829648</c:v>
                </c:pt>
                <c:pt idx="68">
                  <c:v>0.29917315010000001</c:v>
                </c:pt>
                <c:pt idx="69">
                  <c:v>0.29989503966666664</c:v>
                </c:pt>
                <c:pt idx="70">
                  <c:v>0.30198364480000001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B5-49B6-BF75-5DB31E561538}"/>
            </c:ext>
          </c:extLst>
        </c:ser>
        <c:ser>
          <c:idx val="3"/>
          <c:order val="3"/>
          <c:tx>
            <c:strRef>
              <c:f>'Fig A.6'!$B$8</c:f>
              <c:strCache>
                <c:ptCount val="1"/>
                <c:pt idx="0">
                  <c:v>Agirc-Arrco</c:v>
                </c:pt>
              </c:strCache>
            </c:strRef>
          </c:tx>
          <c:spPr>
            <a:ln w="15875">
              <a:solidFill>
                <a:srgbClr val="79297F"/>
              </a:solidFill>
            </a:ln>
          </c:spPr>
          <c:marker>
            <c:symbol val="none"/>
          </c:marker>
          <c:val>
            <c:numRef>
              <c:f>'Fig A.6'!$C$8:$BU$8</c:f>
              <c:numCache>
                <c:formatCode>0%</c:formatCode>
                <c:ptCount val="71"/>
                <c:pt idx="11">
                  <c:v>0.38406946262967995</c:v>
                </c:pt>
                <c:pt idx="12">
                  <c:v>0.37781813921584528</c:v>
                </c:pt>
                <c:pt idx="13">
                  <c:v>0.37250108986021085</c:v>
                </c:pt>
                <c:pt idx="14">
                  <c:v>0.36554832978363011</c:v>
                </c:pt>
                <c:pt idx="15">
                  <c:v>0.35887708778567295</c:v>
                </c:pt>
                <c:pt idx="16">
                  <c:v>0.35371919594355283</c:v>
                </c:pt>
                <c:pt idx="17">
                  <c:v>0.34812217779610033</c:v>
                </c:pt>
                <c:pt idx="18">
                  <c:v>0.34409996556016881</c:v>
                </c:pt>
                <c:pt idx="19">
                  <c:v>0.34220212013424961</c:v>
                </c:pt>
                <c:pt idx="20">
                  <c:v>0.34192460102486627</c:v>
                </c:pt>
                <c:pt idx="21">
                  <c:v>0.34269892245754335</c:v>
                </c:pt>
                <c:pt idx="22">
                  <c:v>0.34314572788323144</c:v>
                </c:pt>
                <c:pt idx="23">
                  <c:v>0.34195252418039146</c:v>
                </c:pt>
                <c:pt idx="24">
                  <c:v>0.33985034788775598</c:v>
                </c:pt>
                <c:pt idx="25">
                  <c:v>0.3355094806682809</c:v>
                </c:pt>
                <c:pt idx="26">
                  <c:v>0.3293055536540031</c:v>
                </c:pt>
                <c:pt idx="27">
                  <c:v>0.32310162663972547</c:v>
                </c:pt>
                <c:pt idx="28">
                  <c:v>0.31689769962544789</c:v>
                </c:pt>
                <c:pt idx="29">
                  <c:v>0.31069377261117026</c:v>
                </c:pt>
                <c:pt idx="30">
                  <c:v>0.30448984559689229</c:v>
                </c:pt>
                <c:pt idx="31">
                  <c:v>0.29828591858261461</c:v>
                </c:pt>
                <c:pt idx="32">
                  <c:v>0.29443448865205296</c:v>
                </c:pt>
                <c:pt idx="33">
                  <c:v>0.29097955170947515</c:v>
                </c:pt>
                <c:pt idx="34">
                  <c:v>0.28901478512198914</c:v>
                </c:pt>
                <c:pt idx="35">
                  <c:v>0.28766095923010637</c:v>
                </c:pt>
                <c:pt idx="36">
                  <c:v>0.2886481723875356</c:v>
                </c:pt>
                <c:pt idx="37">
                  <c:v>0.28833153358952968</c:v>
                </c:pt>
                <c:pt idx="38">
                  <c:v>0.28807057424186067</c:v>
                </c:pt>
                <c:pt idx="39">
                  <c:v>0.28783173368768583</c:v>
                </c:pt>
                <c:pt idx="40">
                  <c:v>0.28836733997961794</c:v>
                </c:pt>
                <c:pt idx="41">
                  <c:v>0.28881528705594045</c:v>
                </c:pt>
                <c:pt idx="42">
                  <c:v>0.29095867627523697</c:v>
                </c:pt>
                <c:pt idx="43">
                  <c:v>0.29364268295385698</c:v>
                </c:pt>
                <c:pt idx="44">
                  <c:v>0.29677489613236313</c:v>
                </c:pt>
                <c:pt idx="45">
                  <c:v>0.2998250904152468</c:v>
                </c:pt>
                <c:pt idx="46">
                  <c:v>0.30317443503557839</c:v>
                </c:pt>
                <c:pt idx="47">
                  <c:v>0.30509690741082846</c:v>
                </c:pt>
                <c:pt idx="48">
                  <c:v>0.30668529148519991</c:v>
                </c:pt>
                <c:pt idx="49">
                  <c:v>0.30783764130549562</c:v>
                </c:pt>
                <c:pt idx="50">
                  <c:v>0.30941513774492924</c:v>
                </c:pt>
                <c:pt idx="51">
                  <c:v>0.31034155731101587</c:v>
                </c:pt>
                <c:pt idx="52">
                  <c:v>0.31016079948796965</c:v>
                </c:pt>
                <c:pt idx="53">
                  <c:v>0.30962287088645268</c:v>
                </c:pt>
                <c:pt idx="54">
                  <c:v>0.30714861507793545</c:v>
                </c:pt>
                <c:pt idx="55">
                  <c:v>0.30182839740647321</c:v>
                </c:pt>
                <c:pt idx="56">
                  <c:v>0.29513403391472409</c:v>
                </c:pt>
                <c:pt idx="57">
                  <c:v>0.29007749377383141</c:v>
                </c:pt>
                <c:pt idx="58">
                  <c:v>0.28558601881380363</c:v>
                </c:pt>
                <c:pt idx="59">
                  <c:v>0.28273164864986222</c:v>
                </c:pt>
                <c:pt idx="60">
                  <c:v>0.28451300347400077</c:v>
                </c:pt>
                <c:pt idx="61">
                  <c:v>0.28917479228910781</c:v>
                </c:pt>
                <c:pt idx="62">
                  <c:v>0.29296552257452607</c:v>
                </c:pt>
                <c:pt idx="63">
                  <c:v>0.29851109200980031</c:v>
                </c:pt>
                <c:pt idx="64">
                  <c:v>0.30332104669161747</c:v>
                </c:pt>
                <c:pt idx="65">
                  <c:v>0.30736626737700323</c:v>
                </c:pt>
                <c:pt idx="66">
                  <c:v>0.30885130212243372</c:v>
                </c:pt>
                <c:pt idx="67">
                  <c:v>0.31139574396300429</c:v>
                </c:pt>
                <c:pt idx="68">
                  <c:v>0.31215973045663015</c:v>
                </c:pt>
                <c:pt idx="69">
                  <c:v>0.31368005816585326</c:v>
                </c:pt>
                <c:pt idx="70">
                  <c:v>0.31367307974739317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B5-49B6-BF75-5DB31E561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929023"/>
        <c:axId val="1"/>
      </c:lineChart>
      <c:catAx>
        <c:axId val="17669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76692902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19635826771654"/>
          <c:y val="5.0870651477843622E-2"/>
          <c:w val="0.58525951443569557"/>
          <c:h val="0.8095956562130765"/>
        </c:manualLayout>
      </c:layout>
      <c:lineChart>
        <c:grouping val="standard"/>
        <c:varyColors val="0"/>
        <c:ser>
          <c:idx val="0"/>
          <c:order val="0"/>
          <c:tx>
            <c:v>Part des bénéficiaires - Ensemble (échelle de gauche)</c:v>
          </c:tx>
          <c:spPr>
            <a:ln w="28575" cap="rnd">
              <a:solidFill>
                <a:srgbClr val="98B954"/>
              </a:solidFill>
              <a:round/>
            </a:ln>
            <a:effectLst/>
          </c:spPr>
          <c:marker>
            <c:symbol val="none"/>
          </c:marker>
          <c:cat>
            <c:numRef>
              <c:f>'Fig A.7'!$D$5:$AA$5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A.7'!$D$6:$AA$6</c:f>
              <c:numCache>
                <c:formatCode>0.0%</c:formatCode>
                <c:ptCount val="24"/>
                <c:pt idx="0">
                  <c:v>6.5857077164224792E-3</c:v>
                </c:pt>
                <c:pt idx="1">
                  <c:v>5.8623983965317844E-3</c:v>
                </c:pt>
                <c:pt idx="2">
                  <c:v>5.3336831864803161E-3</c:v>
                </c:pt>
                <c:pt idx="3">
                  <c:v>7.5696950823308899E-3</c:v>
                </c:pt>
                <c:pt idx="4">
                  <c:v>6.943484773455369E-3</c:v>
                </c:pt>
                <c:pt idx="5">
                  <c:v>8.7704651318666876E-3</c:v>
                </c:pt>
                <c:pt idx="6">
                  <c:v>8.2261917317599537E-3</c:v>
                </c:pt>
                <c:pt idx="7">
                  <c:v>1.0883093933951869E-2</c:v>
                </c:pt>
                <c:pt idx="8">
                  <c:v>1.0210992049199343E-2</c:v>
                </c:pt>
                <c:pt idx="9">
                  <c:v>1.2201049969047579E-2</c:v>
                </c:pt>
                <c:pt idx="10">
                  <c:v>1.0181038193035901E-2</c:v>
                </c:pt>
                <c:pt idx="11">
                  <c:v>1.1914008022098228E-2</c:v>
                </c:pt>
                <c:pt idx="12">
                  <c:v>9.5077720440643072E-3</c:v>
                </c:pt>
                <c:pt idx="13">
                  <c:v>1.1954256289304598E-2</c:v>
                </c:pt>
                <c:pt idx="14">
                  <c:v>1.0002558599812065E-2</c:v>
                </c:pt>
                <c:pt idx="15">
                  <c:v>1.2572071895419965E-2</c:v>
                </c:pt>
                <c:pt idx="16">
                  <c:v>1.2423646551773235E-2</c:v>
                </c:pt>
                <c:pt idx="17">
                  <c:v>1.5033087307122541E-2</c:v>
                </c:pt>
                <c:pt idx="18">
                  <c:v>1.5503486853402401E-2</c:v>
                </c:pt>
                <c:pt idx="19">
                  <c:v>1.6217627383973723E-2</c:v>
                </c:pt>
                <c:pt idx="20">
                  <c:v>1.5455312617203178E-2</c:v>
                </c:pt>
                <c:pt idx="21">
                  <c:v>1.4840082886448185E-2</c:v>
                </c:pt>
                <c:pt idx="22">
                  <c:v>1.4320385418516499E-2</c:v>
                </c:pt>
                <c:pt idx="23">
                  <c:v>1.478940494606782E-2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0-4DF0-84A5-40311AB7C2A0}"/>
            </c:ext>
          </c:extLst>
        </c:ser>
        <c:ser>
          <c:idx val="1"/>
          <c:order val="1"/>
          <c:tx>
            <c:v>Part des bénéficiaires - Femmes (échelle de gauche)</c:v>
          </c:tx>
          <c:spPr>
            <a:ln w="28575" cap="rnd">
              <a:solidFill>
                <a:srgbClr val="604A7B"/>
              </a:solidFill>
              <a:round/>
            </a:ln>
            <a:effectLst/>
          </c:spPr>
          <c:marker>
            <c:symbol val="none"/>
          </c:marker>
          <c:cat>
            <c:numRef>
              <c:f>'Fig A.7'!$D$5:$AA$5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A.7'!$D$7:$AA$7</c:f>
              <c:numCache>
                <c:formatCode>0.0%</c:formatCode>
                <c:ptCount val="24"/>
                <c:pt idx="0">
                  <c:v>1.3787169255330411E-2</c:v>
                </c:pt>
                <c:pt idx="1">
                  <c:v>1.2384127189834906E-2</c:v>
                </c:pt>
                <c:pt idx="2">
                  <c:v>1.1320686359821823E-2</c:v>
                </c:pt>
                <c:pt idx="3">
                  <c:v>1.6142090999912474E-2</c:v>
                </c:pt>
                <c:pt idx="4">
                  <c:v>1.4740238563491421E-2</c:v>
                </c:pt>
                <c:pt idx="5">
                  <c:v>1.8529269291140488E-2</c:v>
                </c:pt>
                <c:pt idx="6">
                  <c:v>1.7233084572369151E-2</c:v>
                </c:pt>
                <c:pt idx="7">
                  <c:v>2.286094057387272E-2</c:v>
                </c:pt>
                <c:pt idx="8">
                  <c:v>2.1350276595195169E-2</c:v>
                </c:pt>
                <c:pt idx="9">
                  <c:v>2.5539715567668916E-2</c:v>
                </c:pt>
                <c:pt idx="10">
                  <c:v>2.136486557059666E-2</c:v>
                </c:pt>
                <c:pt idx="11">
                  <c:v>2.5210980345821279E-2</c:v>
                </c:pt>
                <c:pt idx="12">
                  <c:v>2.0157148221045421E-2</c:v>
                </c:pt>
                <c:pt idx="13">
                  <c:v>2.5368756960069763E-2</c:v>
                </c:pt>
                <c:pt idx="14">
                  <c:v>2.0957488518841608E-2</c:v>
                </c:pt>
                <c:pt idx="15">
                  <c:v>2.5485979536506081E-2</c:v>
                </c:pt>
                <c:pt idx="16">
                  <c:v>2.397302098262066E-2</c:v>
                </c:pt>
                <c:pt idx="17">
                  <c:v>2.8430432910882517E-2</c:v>
                </c:pt>
                <c:pt idx="18">
                  <c:v>2.9239236593933252E-2</c:v>
                </c:pt>
                <c:pt idx="19">
                  <c:v>3.0606324453581583E-2</c:v>
                </c:pt>
                <c:pt idx="20">
                  <c:v>2.9108937043111353E-2</c:v>
                </c:pt>
                <c:pt idx="21">
                  <c:v>2.7510479744286415E-2</c:v>
                </c:pt>
                <c:pt idx="22">
                  <c:v>2.6459200385719101E-2</c:v>
                </c:pt>
                <c:pt idx="23">
                  <c:v>2.7688789382269947E-2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0-4DF0-84A5-40311AB7C2A0}"/>
            </c:ext>
          </c:extLst>
        </c:ser>
        <c:ser>
          <c:idx val="2"/>
          <c:order val="2"/>
          <c:tx>
            <c:v>Part des généficiaires - Hommes (échelle de gauche)</c:v>
          </c:tx>
          <c:spPr>
            <a:ln w="28575" cap="rnd">
              <a:solidFill>
                <a:srgbClr val="C55A11"/>
              </a:solidFill>
              <a:round/>
            </a:ln>
            <a:effectLst/>
          </c:spPr>
          <c:marker>
            <c:symbol val="none"/>
          </c:marker>
          <c:cat>
            <c:numRef>
              <c:f>'Fig A.7'!$D$5:$AA$5</c:f>
              <c:numCache>
                <c:formatCode>General</c:formatCode>
                <c:ptCount val="24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</c:numCache>
            </c:numRef>
          </c:cat>
          <c:val>
            <c:numRef>
              <c:f>'Fig A.7'!$D$8:$AA$8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5.4361682311954573E-5</c:v>
                </c:pt>
                <c:pt idx="10">
                  <c:v>5.4361682311954573E-5</c:v>
                </c:pt>
                <c:pt idx="11">
                  <c:v>6.5712136970838341E-5</c:v>
                </c:pt>
                <c:pt idx="12">
                  <c:v>3.8244783657565951E-5</c:v>
                </c:pt>
                <c:pt idx="13">
                  <c:v>1.3688076660347168E-4</c:v>
                </c:pt>
                <c:pt idx="14">
                  <c:v>3.5799445626591143E-4</c:v>
                </c:pt>
                <c:pt idx="15">
                  <c:v>9.9225130450305015E-4</c:v>
                </c:pt>
                <c:pt idx="16">
                  <c:v>1.7583295430439454E-3</c:v>
                </c:pt>
                <c:pt idx="17">
                  <c:v>2.4305828412800956E-3</c:v>
                </c:pt>
                <c:pt idx="18">
                  <c:v>2.4630220898386075E-3</c:v>
                </c:pt>
                <c:pt idx="19">
                  <c:v>2.2730670968730579E-3</c:v>
                </c:pt>
                <c:pt idx="20">
                  <c:v>1.9976995375299844E-3</c:v>
                </c:pt>
                <c:pt idx="21">
                  <c:v>2.0844628426969977E-3</c:v>
                </c:pt>
                <c:pt idx="22">
                  <c:v>1.9320221646707168E-3</c:v>
                </c:pt>
                <c:pt idx="23">
                  <c:v>1.5669556514849123E-3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F0-4DF0-84A5-40311AB7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909551"/>
        <c:axId val="1"/>
      </c:lineChart>
      <c:lineChart>
        <c:grouping val="standard"/>
        <c:varyColors val="0"/>
        <c:ser>
          <c:idx val="3"/>
          <c:order val="3"/>
          <c:tx>
            <c:v>âge moyen - Femmes (échelle de droite)</c:v>
          </c:tx>
          <c:spPr>
            <a:ln w="19050">
              <a:solidFill>
                <a:srgbClr val="604A7B"/>
              </a:solidFill>
            </a:ln>
          </c:spPr>
          <c:marker>
            <c:symbol val="x"/>
            <c:size val="5"/>
            <c:spPr>
              <a:ln w="19050">
                <a:solidFill>
                  <a:srgbClr val="604A7B"/>
                </a:solidFill>
              </a:ln>
            </c:spPr>
          </c:marker>
          <c:val>
            <c:numRef>
              <c:f>'Fig A.7'!$D$9:$AA$9</c:f>
              <c:numCache>
                <c:formatCode>0</c:formatCode>
                <c:ptCount val="24"/>
                <c:pt idx="0">
                  <c:v>53.777075183998399</c:v>
                </c:pt>
                <c:pt idx="1">
                  <c:v>53.039757118991865</c:v>
                </c:pt>
                <c:pt idx="2">
                  <c:v>52.208861732243726</c:v>
                </c:pt>
                <c:pt idx="3">
                  <c:v>52.3001959863129</c:v>
                </c:pt>
                <c:pt idx="4">
                  <c:v>51.232239032448909</c:v>
                </c:pt>
                <c:pt idx="5">
                  <c:v>51.462142206765371</c:v>
                </c:pt>
                <c:pt idx="6">
                  <c:v>51.033906283819242</c:v>
                </c:pt>
                <c:pt idx="7">
                  <c:v>52.205104035019474</c:v>
                </c:pt>
                <c:pt idx="8">
                  <c:v>52.037100270376925</c:v>
                </c:pt>
                <c:pt idx="9">
                  <c:v>52.618563234610399</c:v>
                </c:pt>
                <c:pt idx="10">
                  <c:v>51.804531832226473</c:v>
                </c:pt>
                <c:pt idx="11">
                  <c:v>52.067509667808302</c:v>
                </c:pt>
                <c:pt idx="12">
                  <c:v>51.764313196981</c:v>
                </c:pt>
                <c:pt idx="13">
                  <c:v>52.325916850568433</c:v>
                </c:pt>
                <c:pt idx="14">
                  <c:v>52.568432903563711</c:v>
                </c:pt>
                <c:pt idx="15">
                  <c:v>52.739206099942329</c:v>
                </c:pt>
                <c:pt idx="16">
                  <c:v>52.65215706942363</c:v>
                </c:pt>
                <c:pt idx="17">
                  <c:v>52.654981803185201</c:v>
                </c:pt>
                <c:pt idx="18">
                  <c:v>52.906069602859638</c:v>
                </c:pt>
                <c:pt idx="19">
                  <c:v>52.876963825878896</c:v>
                </c:pt>
                <c:pt idx="20">
                  <c:v>53.327841269436043</c:v>
                </c:pt>
                <c:pt idx="21">
                  <c:v>53.78273202216576</c:v>
                </c:pt>
                <c:pt idx="22">
                  <c:v>54.651844194160269</c:v>
                </c:pt>
                <c:pt idx="23">
                  <c:v>54.996217619570302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F0-4DF0-84A5-40311AB7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67390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</a:t>
                </a:r>
                <a:r>
                  <a:rPr lang="fr-FR" baseline="0"/>
                  <a:t> de bénéficiaires</a:t>
                </a:r>
                <a:endParaRPr lang="fr-FR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390955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60"/>
          <c:min val="5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Âge moyen de départ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898989"/>
            </a:solidFill>
          </a:ln>
        </c:spPr>
        <c:txPr>
          <a:bodyPr/>
          <a:lstStyle/>
          <a:p>
            <a:pPr>
              <a:defRPr sz="900" baseline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fr-FR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197998687664039"/>
          <c:y val="4.3540591908770028E-2"/>
          <c:w val="0.21802001312335961"/>
          <c:h val="0.89576396053941543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506442563224203E-2"/>
          <c:y val="5.0870651477843622E-2"/>
          <c:w val="0.85952914976537031"/>
          <c:h val="0.7500309368545427"/>
        </c:manualLayout>
      </c:layout>
      <c:lineChart>
        <c:grouping val="standard"/>
        <c:varyColors val="0"/>
        <c:ser>
          <c:idx val="0"/>
          <c:order val="0"/>
          <c:tx>
            <c:strRef>
              <c:f>'Fig A.8'!$C$6</c:f>
              <c:strCache>
                <c:ptCount val="1"/>
                <c:pt idx="0">
                  <c:v>Ensemble</c:v>
                </c:pt>
              </c:strCache>
            </c:strRef>
          </c:tx>
          <c:spPr>
            <a:ln w="28575" cap="rnd">
              <a:solidFill>
                <a:srgbClr val="98B954"/>
              </a:solidFill>
              <a:round/>
            </a:ln>
            <a:effectLst/>
          </c:spPr>
          <c:marker>
            <c:symbol val="none"/>
          </c:marker>
          <c:cat>
            <c:numRef>
              <c:f>'Fig A.8'!$D$5:$AW$5</c:f>
              <c:numCache>
                <c:formatCode>General</c:formatCode>
                <c:ptCount val="4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</c:numCache>
            </c:numRef>
          </c:cat>
          <c:val>
            <c:numRef>
              <c:f>'Fig A.8'!$D$6:$AW$6</c:f>
              <c:numCache>
                <c:formatCode>0%</c:formatCode>
                <c:ptCount val="46"/>
                <c:pt idx="0">
                  <c:v>9.8948303954969632E-2</c:v>
                </c:pt>
                <c:pt idx="1">
                  <c:v>0.10781109676762446</c:v>
                </c:pt>
                <c:pt idx="2">
                  <c:v>0.11307093744506855</c:v>
                </c:pt>
                <c:pt idx="3">
                  <c:v>0.11749087852761091</c:v>
                </c:pt>
                <c:pt idx="4">
                  <c:v>0.12007047543578271</c:v>
                </c:pt>
                <c:pt idx="5">
                  <c:v>0.12185430505466388</c:v>
                </c:pt>
                <c:pt idx="6">
                  <c:v>0.12248232460378235</c:v>
                </c:pt>
                <c:pt idx="7">
                  <c:v>0.12351679127373572</c:v>
                </c:pt>
                <c:pt idx="8">
                  <c:v>0.12411539558932105</c:v>
                </c:pt>
                <c:pt idx="9">
                  <c:v>0.12394898655186878</c:v>
                </c:pt>
                <c:pt idx="10">
                  <c:v>0.1235530958784781</c:v>
                </c:pt>
                <c:pt idx="11">
                  <c:v>0.12306244255993441</c:v>
                </c:pt>
                <c:pt idx="12">
                  <c:v>0.12452003519474197</c:v>
                </c:pt>
                <c:pt idx="13">
                  <c:v>0.12521921179284315</c:v>
                </c:pt>
                <c:pt idx="14">
                  <c:v>0.12520790227745693</c:v>
                </c:pt>
                <c:pt idx="15">
                  <c:v>0.12674939350205122</c:v>
                </c:pt>
                <c:pt idx="16">
                  <c:v>0.12980225591600886</c:v>
                </c:pt>
                <c:pt idx="17">
                  <c:v>0.13301996390372961</c:v>
                </c:pt>
                <c:pt idx="18">
                  <c:v>0.13620008111650683</c:v>
                </c:pt>
                <c:pt idx="19">
                  <c:v>0.13950631732609078</c:v>
                </c:pt>
                <c:pt idx="20">
                  <c:v>0.14165529640505434</c:v>
                </c:pt>
                <c:pt idx="21">
                  <c:v>0.14156850952547509</c:v>
                </c:pt>
                <c:pt idx="22">
                  <c:v>0.13893950219226878</c:v>
                </c:pt>
                <c:pt idx="23">
                  <c:v>0.13734182933876921</c:v>
                </c:pt>
                <c:pt idx="24">
                  <c:v>0.13507977980938185</c:v>
                </c:pt>
                <c:pt idx="25">
                  <c:v>0.13091442455472371</c:v>
                </c:pt>
                <c:pt idx="26">
                  <c:v>0.12383722501819287</c:v>
                </c:pt>
                <c:pt idx="27">
                  <c:v>0.11441694206968597</c:v>
                </c:pt>
                <c:pt idx="28">
                  <c:v>0.10186259894218379</c:v>
                </c:pt>
                <c:pt idx="29">
                  <c:v>8.7669405377763188E-2</c:v>
                </c:pt>
                <c:pt idx="30">
                  <c:v>7.3826570740299371E-2</c:v>
                </c:pt>
                <c:pt idx="31">
                  <c:v>6.1429648305803317E-2</c:v>
                </c:pt>
                <c:pt idx="32">
                  <c:v>5.0049601558812121E-2</c:v>
                </c:pt>
                <c:pt idx="33">
                  <c:v>4.0978659106982208E-2</c:v>
                </c:pt>
                <c:pt idx="34">
                  <c:v>3.4484058153228171E-2</c:v>
                </c:pt>
                <c:pt idx="35">
                  <c:v>2.8898762759674068E-2</c:v>
                </c:pt>
                <c:pt idx="36">
                  <c:v>2.487389019374589E-2</c:v>
                </c:pt>
                <c:pt idx="37">
                  <c:v>2.159398107651626E-2</c:v>
                </c:pt>
                <c:pt idx="38">
                  <c:v>1.8764376490251918E-2</c:v>
                </c:pt>
                <c:pt idx="39">
                  <c:v>1.6044175196478036E-2</c:v>
                </c:pt>
                <c:pt idx="40">
                  <c:v>1.3298099015173195E-2</c:v>
                </c:pt>
                <c:pt idx="41">
                  <c:v>1.0434111186116358E-2</c:v>
                </c:pt>
                <c:pt idx="42">
                  <c:v>7.8190924885400952E-3</c:v>
                </c:pt>
                <c:pt idx="43">
                  <c:v>5.4439833716761858E-3</c:v>
                </c:pt>
                <c:pt idx="44">
                  <c:v>3.3980923182188273E-3</c:v>
                </c:pt>
                <c:pt idx="45">
                  <c:v>1.9234730132409107E-3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3-44D9-95F9-191FA0600746}"/>
            </c:ext>
          </c:extLst>
        </c:ser>
        <c:ser>
          <c:idx val="1"/>
          <c:order val="1"/>
          <c:tx>
            <c:strRef>
              <c:f>'Fig A.8'!$C$7</c:f>
              <c:strCache>
                <c:ptCount val="1"/>
                <c:pt idx="0">
                  <c:v>Femmes</c:v>
                </c:pt>
              </c:strCache>
            </c:strRef>
          </c:tx>
          <c:spPr>
            <a:ln w="28575" cap="rnd">
              <a:solidFill>
                <a:srgbClr val="604A7B"/>
              </a:solidFill>
              <a:round/>
            </a:ln>
            <a:effectLst/>
          </c:spPr>
          <c:marker>
            <c:symbol val="none"/>
          </c:marker>
          <c:cat>
            <c:numRef>
              <c:f>'Fig A.8'!$D$5:$AW$5</c:f>
              <c:numCache>
                <c:formatCode>General</c:formatCode>
                <c:ptCount val="4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</c:numCache>
            </c:numRef>
          </c:cat>
          <c:val>
            <c:numRef>
              <c:f>'Fig A.8'!$D$7:$AW$7</c:f>
              <c:numCache>
                <c:formatCode>0%</c:formatCode>
                <c:ptCount val="46"/>
                <c:pt idx="0">
                  <c:v>0.13998323554065381</c:v>
                </c:pt>
                <c:pt idx="1">
                  <c:v>0.15428254674645708</c:v>
                </c:pt>
                <c:pt idx="2">
                  <c:v>0.16194520160814524</c:v>
                </c:pt>
                <c:pt idx="3">
                  <c:v>0.16958230674417965</c:v>
                </c:pt>
                <c:pt idx="4">
                  <c:v>0.17424270766890043</c:v>
                </c:pt>
                <c:pt idx="5">
                  <c:v>0.17796878296811894</c:v>
                </c:pt>
                <c:pt idx="6">
                  <c:v>0.18081763246333565</c:v>
                </c:pt>
                <c:pt idx="7">
                  <c:v>0.1839445868132227</c:v>
                </c:pt>
                <c:pt idx="8">
                  <c:v>0.18555203539721488</c:v>
                </c:pt>
                <c:pt idx="9">
                  <c:v>0.18573371039088155</c:v>
                </c:pt>
                <c:pt idx="10">
                  <c:v>0.18569771124553838</c:v>
                </c:pt>
                <c:pt idx="11">
                  <c:v>0.18474595070216143</c:v>
                </c:pt>
                <c:pt idx="12">
                  <c:v>0.18647283622632121</c:v>
                </c:pt>
                <c:pt idx="13">
                  <c:v>0.18774039952308602</c:v>
                </c:pt>
                <c:pt idx="14">
                  <c:v>0.18809370484599819</c:v>
                </c:pt>
                <c:pt idx="15">
                  <c:v>0.18938010894167939</c:v>
                </c:pt>
                <c:pt idx="16">
                  <c:v>0.19317185187939273</c:v>
                </c:pt>
                <c:pt idx="17">
                  <c:v>0.19769082620090539</c:v>
                </c:pt>
                <c:pt idx="18">
                  <c:v>0.20171468878903159</c:v>
                </c:pt>
                <c:pt idx="19">
                  <c:v>0.20627822503249904</c:v>
                </c:pt>
                <c:pt idx="20">
                  <c:v>0.20997939907876603</c:v>
                </c:pt>
                <c:pt idx="21">
                  <c:v>0.21081876492789306</c:v>
                </c:pt>
                <c:pt idx="22">
                  <c:v>0.20723864280221532</c:v>
                </c:pt>
                <c:pt idx="23">
                  <c:v>0.20478221214748621</c:v>
                </c:pt>
                <c:pt idx="24">
                  <c:v>0.20125565488299779</c:v>
                </c:pt>
                <c:pt idx="25">
                  <c:v>0.19484982286964825</c:v>
                </c:pt>
                <c:pt idx="26">
                  <c:v>0.18406995821955968</c:v>
                </c:pt>
                <c:pt idx="27">
                  <c:v>0.16998358136299402</c:v>
                </c:pt>
                <c:pt idx="28">
                  <c:v>0.15173978444660266</c:v>
                </c:pt>
                <c:pt idx="29">
                  <c:v>0.13081049735104444</c:v>
                </c:pt>
                <c:pt idx="30">
                  <c:v>0.11052276636726779</c:v>
                </c:pt>
                <c:pt idx="31">
                  <c:v>9.2010749065052327E-2</c:v>
                </c:pt>
                <c:pt idx="32">
                  <c:v>7.5158244816585576E-2</c:v>
                </c:pt>
                <c:pt idx="33">
                  <c:v>6.1541442235570745E-2</c:v>
                </c:pt>
                <c:pt idx="34">
                  <c:v>5.1761400598419119E-2</c:v>
                </c:pt>
                <c:pt idx="35">
                  <c:v>4.3435917559112434E-2</c:v>
                </c:pt>
                <c:pt idx="36">
                  <c:v>3.7449680501390047E-2</c:v>
                </c:pt>
                <c:pt idx="37">
                  <c:v>3.2518929951482582E-2</c:v>
                </c:pt>
                <c:pt idx="38">
                  <c:v>2.8292604796830122E-2</c:v>
                </c:pt>
                <c:pt idx="39">
                  <c:v>2.4248627627712314E-2</c:v>
                </c:pt>
                <c:pt idx="40">
                  <c:v>2.0145776721020355E-2</c:v>
                </c:pt>
                <c:pt idx="41">
                  <c:v>1.5852572026240908E-2</c:v>
                </c:pt>
                <c:pt idx="42">
                  <c:v>1.1944321561751634E-2</c:v>
                </c:pt>
                <c:pt idx="43">
                  <c:v>8.3544357161669074E-3</c:v>
                </c:pt>
                <c:pt idx="44">
                  <c:v>5.2443913414197494E-3</c:v>
                </c:pt>
                <c:pt idx="45">
                  <c:v>2.9811115272081121E-3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3-44D9-95F9-191FA0600746}"/>
            </c:ext>
          </c:extLst>
        </c:ser>
        <c:ser>
          <c:idx val="2"/>
          <c:order val="2"/>
          <c:tx>
            <c:strRef>
              <c:f>'Fig A.8'!$C$8</c:f>
              <c:strCache>
                <c:ptCount val="1"/>
                <c:pt idx="0">
                  <c:v>Hommes</c:v>
                </c:pt>
              </c:strCache>
            </c:strRef>
          </c:tx>
          <c:spPr>
            <a:ln w="28575" cap="rnd">
              <a:solidFill>
                <a:srgbClr val="C55A11"/>
              </a:solidFill>
              <a:round/>
            </a:ln>
            <a:effectLst/>
          </c:spPr>
          <c:marker>
            <c:symbol val="none"/>
          </c:marker>
          <c:cat>
            <c:numRef>
              <c:f>'Fig A.8'!$D$5:$AW$5</c:f>
              <c:numCache>
                <c:formatCode>General</c:formatCode>
                <c:ptCount val="4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</c:numCache>
            </c:numRef>
          </c:cat>
          <c:val>
            <c:numRef>
              <c:f>'Fig A.8'!$D$8:$AW$8</c:f>
              <c:numCache>
                <c:formatCode>0%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1.9500780031201248E-5</c:v>
                </c:pt>
                <c:pt idx="13">
                  <c:v>1.5838966892009015E-4</c:v>
                </c:pt>
                <c:pt idx="14">
                  <c:v>4.620088090706852E-4</c:v>
                </c:pt>
                <c:pt idx="15">
                  <c:v>1.7573161605080219E-3</c:v>
                </c:pt>
                <c:pt idx="16">
                  <c:v>2.5543028955918147E-3</c:v>
                </c:pt>
                <c:pt idx="17">
                  <c:v>3.2234097104973229E-3</c:v>
                </c:pt>
                <c:pt idx="18">
                  <c:v>3.7553763986859596E-3</c:v>
                </c:pt>
                <c:pt idx="19">
                  <c:v>4.0853274264314584E-3</c:v>
                </c:pt>
                <c:pt idx="20">
                  <c:v>3.1939042375789817E-3</c:v>
                </c:pt>
                <c:pt idx="21">
                  <c:v>2.7680348885379476E-3</c:v>
                </c:pt>
                <c:pt idx="22">
                  <c:v>2.4570329653925533E-3</c:v>
                </c:pt>
                <c:pt idx="23">
                  <c:v>2.1926355569951671E-3</c:v>
                </c:pt>
                <c:pt idx="24">
                  <c:v>1.8045616163996977E-3</c:v>
                </c:pt>
                <c:pt idx="25">
                  <c:v>1.6065410159643383E-3</c:v>
                </c:pt>
                <c:pt idx="26">
                  <c:v>1.4446432407731031E-3</c:v>
                </c:pt>
                <c:pt idx="27">
                  <c:v>1.1989820134262323E-3</c:v>
                </c:pt>
                <c:pt idx="28">
                  <c:v>9.6281197225784221E-4</c:v>
                </c:pt>
                <c:pt idx="29">
                  <c:v>7.9198820439649548E-4</c:v>
                </c:pt>
                <c:pt idx="30">
                  <c:v>6.561354939290066E-4</c:v>
                </c:pt>
                <c:pt idx="31">
                  <c:v>4.7988219151026446E-4</c:v>
                </c:pt>
                <c:pt idx="32">
                  <c:v>3.6085097020631586E-4</c:v>
                </c:pt>
                <c:pt idx="33">
                  <c:v>2.4983576155652597E-4</c:v>
                </c:pt>
                <c:pt idx="34">
                  <c:v>2.0886965239364031E-4</c:v>
                </c:pt>
                <c:pt idx="35">
                  <c:v>1.6714834418912172E-4</c:v>
                </c:pt>
                <c:pt idx="36">
                  <c:v>1.412911247265885E-4</c:v>
                </c:pt>
                <c:pt idx="37">
                  <c:v>1.3512690610792568E-4</c:v>
                </c:pt>
                <c:pt idx="38">
                  <c:v>8.8998910019544411E-5</c:v>
                </c:pt>
                <c:pt idx="39">
                  <c:v>6.1763376360209407E-5</c:v>
                </c:pt>
                <c:pt idx="40">
                  <c:v>3.9923989299010371E-5</c:v>
                </c:pt>
                <c:pt idx="41">
                  <c:v>3.2814900328761903E-5</c:v>
                </c:pt>
                <c:pt idx="42">
                  <c:v>2.6065895806928872E-5</c:v>
                </c:pt>
                <c:pt idx="43">
                  <c:v>1.2920973033350169E-5</c:v>
                </c:pt>
                <c:pt idx="44">
                  <c:v>6.4501564162930954E-6</c:v>
                </c:pt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3-44D9-95F9-191FA0600746}"/>
            </c:ext>
          </c:extLst>
        </c:ser>
        <c:ser>
          <c:idx val="3"/>
          <c:order val="3"/>
          <c:tx>
            <c:strRef>
              <c:f>'Fig A.8'!$C$9</c:f>
              <c:strCache>
                <c:ptCount val="1"/>
                <c:pt idx="0">
                  <c:v>Femmes ayant 3 enfants et plus</c:v>
                </c:pt>
              </c:strCache>
            </c:strRef>
          </c:tx>
          <c:spPr>
            <a:ln w="19050">
              <a:solidFill>
                <a:srgbClr val="604A7B"/>
              </a:solidFill>
            </a:ln>
          </c:spPr>
          <c:marker>
            <c:symbol val="x"/>
            <c:size val="5"/>
            <c:spPr>
              <a:ln w="19050">
                <a:solidFill>
                  <a:srgbClr val="604A7B"/>
                </a:solidFill>
              </a:ln>
            </c:spPr>
          </c:marker>
          <c:cat>
            <c:numRef>
              <c:f>'Fig A.8'!$D$5:$AW$5</c:f>
              <c:numCache>
                <c:formatCode>General</c:formatCode>
                <c:ptCount val="4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</c:numCache>
            </c:numRef>
          </c:cat>
          <c:val>
            <c:numRef>
              <c:f>'Fig A.8'!$D$9:$AW$9</c:f>
              <c:numCache>
                <c:formatCode>0%</c:formatCode>
                <c:ptCount val="46"/>
                <c:pt idx="0">
                  <c:v>0.36724637681159422</c:v>
                </c:pt>
                <c:pt idx="1">
                  <c:v>0.40331087295182372</c:v>
                </c:pt>
                <c:pt idx="2">
                  <c:v>0.42732711459476952</c:v>
                </c:pt>
                <c:pt idx="3">
                  <c:v>0.44802792786747131</c:v>
                </c:pt>
                <c:pt idx="4">
                  <c:v>0.46060935335141712</c:v>
                </c:pt>
                <c:pt idx="5">
                  <c:v>0.47245719971822009</c:v>
                </c:pt>
                <c:pt idx="6">
                  <c:v>0.48277970214497179</c:v>
                </c:pt>
                <c:pt idx="7">
                  <c:v>0.49066701527104711</c:v>
                </c:pt>
                <c:pt idx="8">
                  <c:v>0.49929726174926525</c:v>
                </c:pt>
                <c:pt idx="9">
                  <c:v>0.50847263313562419</c:v>
                </c:pt>
                <c:pt idx="10">
                  <c:v>0.51711049646252705</c:v>
                </c:pt>
                <c:pt idx="11">
                  <c:v>0.5265045818951668</c:v>
                </c:pt>
                <c:pt idx="12">
                  <c:v>0.54719677770797914</c:v>
                </c:pt>
                <c:pt idx="13">
                  <c:v>0.56806376738750586</c:v>
                </c:pt>
                <c:pt idx="14">
                  <c:v>0.59062746863292159</c:v>
                </c:pt>
                <c:pt idx="15">
                  <c:v>0.61802996273976007</c:v>
                </c:pt>
                <c:pt idx="16">
                  <c:v>0.65237794901881252</c:v>
                </c:pt>
                <c:pt idx="17">
                  <c:v>0.68692981745034043</c:v>
                </c:pt>
                <c:pt idx="18">
                  <c:v>0.71881574692269656</c:v>
                </c:pt>
                <c:pt idx="19">
                  <c:v>0.74034352392705016</c:v>
                </c:pt>
                <c:pt idx="20">
                  <c:v>0.75217227735585046</c:v>
                </c:pt>
                <c:pt idx="21">
                  <c:v>0.74907672434285111</c:v>
                </c:pt>
                <c:pt idx="22">
                  <c:v>0.72487181173680926</c:v>
                </c:pt>
                <c:pt idx="23">
                  <c:v>0.69635069916651782</c:v>
                </c:pt>
                <c:pt idx="24">
                  <c:v>0.66323727798489429</c:v>
                </c:pt>
                <c:pt idx="25">
                  <c:v>0.61830805396206456</c:v>
                </c:pt>
                <c:pt idx="26">
                  <c:v>0.55774350525197458</c:v>
                </c:pt>
                <c:pt idx="27">
                  <c:v>0.48960718440912315</c:v>
                </c:pt>
                <c:pt idx="28">
                  <c:v>0.41440489055476171</c:v>
                </c:pt>
                <c:pt idx="29">
                  <c:v>0.33887203489432999</c:v>
                </c:pt>
                <c:pt idx="30">
                  <c:v>0.27090529312639777</c:v>
                </c:pt>
                <c:pt idx="31">
                  <c:v>0.21487591008583809</c:v>
                </c:pt>
                <c:pt idx="32">
                  <c:v>0.16951212486731979</c:v>
                </c:pt>
                <c:pt idx="33">
                  <c:v>0.13430347084349298</c:v>
                </c:pt>
                <c:pt idx="34">
                  <c:v>0.1085578714668837</c:v>
                </c:pt>
                <c:pt idx="35">
                  <c:v>8.7212522129195877E-2</c:v>
                </c:pt>
                <c:pt idx="36">
                  <c:v>7.1787210819379582E-2</c:v>
                </c:pt>
                <c:pt idx="37">
                  <c:v>5.8417010608890374E-2</c:v>
                </c:pt>
                <c:pt idx="38">
                  <c:v>4.6722079257346102E-2</c:v>
                </c:pt>
                <c:pt idx="39">
                  <c:v>3.6270442053678562E-2</c:v>
                </c:pt>
                <c:pt idx="40">
                  <c:v>2.6802414097042683E-2</c:v>
                </c:pt>
                <c:pt idx="41">
                  <c:v>1.8514821983482498E-2</c:v>
                </c:pt>
                <c:pt idx="42">
                  <c:v>1.1755138918156254E-2</c:v>
                </c:pt>
                <c:pt idx="43">
                  <c:v>7.0410178691407647E-3</c:v>
                </c:pt>
                <c:pt idx="44">
                  <c:v>3.5369180723785532E-3</c:v>
                </c:pt>
                <c:pt idx="45">
                  <c:v>1.4913936183644041E-3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3-44D9-95F9-191FA060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079200"/>
        <c:axId val="1"/>
      </c:lineChart>
      <c:catAx>
        <c:axId val="18290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29079200"/>
        <c:crosses val="autoZero"/>
        <c:crossBetween val="between"/>
        <c:majorUnit val="0.1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06442563224203E-2"/>
          <c:y val="5.0870651477843622E-2"/>
          <c:w val="0.85952914976537031"/>
          <c:h val="0.7500309368545427"/>
        </c:manualLayout>
      </c:layout>
      <c:lineChart>
        <c:grouping val="standard"/>
        <c:varyColors val="0"/>
        <c:ser>
          <c:idx val="0"/>
          <c:order val="0"/>
          <c:tx>
            <c:strRef>
              <c:f>'Fig A.8'!$C$10</c:f>
              <c:strCache>
                <c:ptCount val="1"/>
                <c:pt idx="0">
                  <c:v>Ensemble</c:v>
                </c:pt>
              </c:strCache>
            </c:strRef>
          </c:tx>
          <c:spPr>
            <a:ln w="28575" cap="rnd">
              <a:solidFill>
                <a:srgbClr val="98B954"/>
              </a:solidFill>
              <a:round/>
            </a:ln>
            <a:effectLst/>
          </c:spPr>
          <c:marker>
            <c:symbol val="none"/>
          </c:marker>
          <c:cat>
            <c:numRef>
              <c:f>'Fig A.8'!$S$5:$AW$5</c:f>
              <c:numCache>
                <c:formatCode>General</c:formatCode>
                <c:ptCount val="31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</c:numCache>
            </c:numRef>
          </c:cat>
          <c:val>
            <c:numRef>
              <c:f>'Fig A.8'!$S$10:$AW$10</c:f>
              <c:numCache>
                <c:formatCode>0.0%</c:formatCode>
                <c:ptCount val="31"/>
                <c:pt idx="0">
                  <c:v>7.4213406292749654E-2</c:v>
                </c:pt>
                <c:pt idx="1">
                  <c:v>7.093373590336656E-2</c:v>
                </c:pt>
                <c:pt idx="2">
                  <c:v>7.0517263243678852E-2</c:v>
                </c:pt>
                <c:pt idx="3">
                  <c:v>6.8403562727261363E-2</c:v>
                </c:pt>
                <c:pt idx="4">
                  <c:v>6.9597863238322649E-2</c:v>
                </c:pt>
                <c:pt idx="5">
                  <c:v>7.2119492037047109E-2</c:v>
                </c:pt>
                <c:pt idx="6">
                  <c:v>7.3457225565855669E-2</c:v>
                </c:pt>
                <c:pt idx="7">
                  <c:v>7.5758236136007184E-2</c:v>
                </c:pt>
                <c:pt idx="8">
                  <c:v>8.0483396583424474E-2</c:v>
                </c:pt>
                <c:pt idx="9">
                  <c:v>8.050775372579326E-2</c:v>
                </c:pt>
                <c:pt idx="10">
                  <c:v>8.0537596970225139E-2</c:v>
                </c:pt>
                <c:pt idx="11">
                  <c:v>8.1182103083481255E-2</c:v>
                </c:pt>
                <c:pt idx="12">
                  <c:v>7.9059691277776317E-2</c:v>
                </c:pt>
                <c:pt idx="13">
                  <c:v>7.5631849399435097E-2</c:v>
                </c:pt>
                <c:pt idx="14">
                  <c:v>7.3451808682049979E-2</c:v>
                </c:pt>
                <c:pt idx="15">
                  <c:v>6.8443555040470755E-2</c:v>
                </c:pt>
                <c:pt idx="16">
                  <c:v>6.2897632198321188E-2</c:v>
                </c:pt>
                <c:pt idx="17">
                  <c:v>5.8181076343892559E-2</c:v>
                </c:pt>
                <c:pt idx="18">
                  <c:v>5.2417410747180537E-2</c:v>
                </c:pt>
                <c:pt idx="19">
                  <c:v>4.5988978810570333E-2</c:v>
                </c:pt>
                <c:pt idx="20">
                  <c:v>4.3303952309648307E-2</c:v>
                </c:pt>
                <c:pt idx="21">
                  <c:v>4.0503842949382696E-2</c:v>
                </c:pt>
                <c:pt idx="22">
                  <c:v>3.7334801234997106E-2</c:v>
                </c:pt>
                <c:pt idx="23">
                  <c:v>3.524459288111785E-2</c:v>
                </c:pt>
                <c:pt idx="24">
                  <c:v>3.5929051357000634E-2</c:v>
                </c:pt>
                <c:pt idx="25">
                  <c:v>3.1239460624264592E-2</c:v>
                </c:pt>
                <c:pt idx="26">
                  <c:v>2.5683595027240991E-2</c:v>
                </c:pt>
                <c:pt idx="27">
                  <c:v>2.0346895690071424E-2</c:v>
                </c:pt>
                <c:pt idx="28">
                  <c:v>1.4465803177232769E-2</c:v>
                </c:pt>
                <c:pt idx="29">
                  <c:v>7.2590570986857724E-3</c:v>
                </c:pt>
                <c:pt idx="30">
                  <c:v>3.35694069656937E-3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1-4017-AD76-64E9E44AE660}"/>
            </c:ext>
          </c:extLst>
        </c:ser>
        <c:ser>
          <c:idx val="1"/>
          <c:order val="1"/>
          <c:tx>
            <c:strRef>
              <c:f>'Fig A.8'!$C$11</c:f>
              <c:strCache>
                <c:ptCount val="1"/>
                <c:pt idx="0">
                  <c:v>Femmes</c:v>
                </c:pt>
              </c:strCache>
            </c:strRef>
          </c:tx>
          <c:spPr>
            <a:ln w="28575" cap="rnd">
              <a:solidFill>
                <a:srgbClr val="604A7B"/>
              </a:solidFill>
              <a:round/>
            </a:ln>
            <a:effectLst/>
          </c:spPr>
          <c:marker>
            <c:symbol val="none"/>
          </c:marker>
          <c:cat>
            <c:numRef>
              <c:f>'Fig A.8'!$S$5:$AW$5</c:f>
              <c:numCache>
                <c:formatCode>General</c:formatCode>
                <c:ptCount val="31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</c:numCache>
            </c:numRef>
          </c:cat>
          <c:val>
            <c:numRef>
              <c:f>'Fig A.8'!$S$11:$AW$11</c:f>
              <c:numCache>
                <c:formatCode>0.0%</c:formatCode>
                <c:ptCount val="31"/>
                <c:pt idx="0">
                  <c:v>0.12855377008652658</c:v>
                </c:pt>
                <c:pt idx="1">
                  <c:v>0.11885420382681899</c:v>
                </c:pt>
                <c:pt idx="2">
                  <c:v>0.11843618287618565</c:v>
                </c:pt>
                <c:pt idx="3">
                  <c:v>0.11498585000198303</c:v>
                </c:pt>
                <c:pt idx="4">
                  <c:v>0.11818660641491571</c:v>
                </c:pt>
                <c:pt idx="5">
                  <c:v>0.1244619887790587</c:v>
                </c:pt>
                <c:pt idx="6">
                  <c:v>0.12718389460143115</c:v>
                </c:pt>
                <c:pt idx="7">
                  <c:v>0.13301421040381561</c:v>
                </c:pt>
                <c:pt idx="8">
                  <c:v>0.14090350531646925</c:v>
                </c:pt>
                <c:pt idx="9">
                  <c:v>0.14192726642898204</c:v>
                </c:pt>
                <c:pt idx="10">
                  <c:v>0.14226614949300842</c:v>
                </c:pt>
                <c:pt idx="11">
                  <c:v>0.14486281827810626</c:v>
                </c:pt>
                <c:pt idx="12">
                  <c:v>0.1417019000070564</c:v>
                </c:pt>
                <c:pt idx="13">
                  <c:v>0.13619147362943546</c:v>
                </c:pt>
                <c:pt idx="14">
                  <c:v>0.13128580386433258</c:v>
                </c:pt>
                <c:pt idx="15">
                  <c:v>0.12198259018022813</c:v>
                </c:pt>
                <c:pt idx="16">
                  <c:v>0.11115933271646672</c:v>
                </c:pt>
                <c:pt idx="17">
                  <c:v>0.10127731158029503</c:v>
                </c:pt>
                <c:pt idx="18">
                  <c:v>9.0896210726822413E-2</c:v>
                </c:pt>
                <c:pt idx="19">
                  <c:v>7.9496157336887058E-2</c:v>
                </c:pt>
                <c:pt idx="20">
                  <c:v>7.459559891952787E-2</c:v>
                </c:pt>
                <c:pt idx="21">
                  <c:v>6.9709516465258567E-2</c:v>
                </c:pt>
                <c:pt idx="22">
                  <c:v>6.4164324686783375E-2</c:v>
                </c:pt>
                <c:pt idx="23">
                  <c:v>6.067896958577397E-2</c:v>
                </c:pt>
                <c:pt idx="24">
                  <c:v>6.2140286236964035E-2</c:v>
                </c:pt>
                <c:pt idx="25">
                  <c:v>5.4095483861604322E-2</c:v>
                </c:pt>
                <c:pt idx="26">
                  <c:v>4.4517623159842541E-2</c:v>
                </c:pt>
                <c:pt idx="27">
                  <c:v>3.5339036950473635E-2</c:v>
                </c:pt>
                <c:pt idx="28">
                  <c:v>2.5071892228084463E-2</c:v>
                </c:pt>
                <c:pt idx="29">
                  <c:v>1.2536665609995497E-2</c:v>
                </c:pt>
                <c:pt idx="30">
                  <c:v>5.8473232063673787E-3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1-4017-AD76-64E9E44AE660}"/>
            </c:ext>
          </c:extLst>
        </c:ser>
        <c:ser>
          <c:idx val="2"/>
          <c:order val="2"/>
          <c:tx>
            <c:strRef>
              <c:f>'Fig A.8'!$C$12</c:f>
              <c:strCache>
                <c:ptCount val="1"/>
                <c:pt idx="0">
                  <c:v>Hommes</c:v>
                </c:pt>
              </c:strCache>
            </c:strRef>
          </c:tx>
          <c:spPr>
            <a:ln w="28575" cap="rnd">
              <a:solidFill>
                <a:srgbClr val="C55A11"/>
              </a:solidFill>
              <a:round/>
            </a:ln>
            <a:effectLst/>
          </c:spPr>
          <c:marker>
            <c:symbol val="none"/>
          </c:marker>
          <c:cat>
            <c:numRef>
              <c:f>'Fig A.8'!$S$5:$AW$5</c:f>
              <c:numCache>
                <c:formatCode>General</c:formatCode>
                <c:ptCount val="31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</c:numCache>
            </c:numRef>
          </c:cat>
          <c:val>
            <c:numRef>
              <c:f>'Fig A.8'!$S$12:$AW$12</c:f>
              <c:numCache>
                <c:formatCode>0.0%</c:formatCode>
                <c:ptCount val="31"/>
                <c:pt idx="0">
                  <c:v>6.8912710566615618E-3</c:v>
                </c:pt>
                <c:pt idx="1">
                  <c:v>1.3080967054166615E-2</c:v>
                </c:pt>
                <c:pt idx="2">
                  <c:v>1.335603844040054E-2</c:v>
                </c:pt>
                <c:pt idx="3">
                  <c:v>1.3220663566199248E-2</c:v>
                </c:pt>
                <c:pt idx="4">
                  <c:v>1.2045023929934534E-2</c:v>
                </c:pt>
                <c:pt idx="5">
                  <c:v>1.0925324434834119E-2</c:v>
                </c:pt>
                <c:pt idx="6">
                  <c:v>1.0862633063467634E-2</c:v>
                </c:pt>
                <c:pt idx="7">
                  <c:v>1.0304674455592387E-2</c:v>
                </c:pt>
                <c:pt idx="8">
                  <c:v>1.1710801740977921E-2</c:v>
                </c:pt>
                <c:pt idx="9">
                  <c:v>1.0824305731702382E-2</c:v>
                </c:pt>
                <c:pt idx="10">
                  <c:v>9.3797532159974085E-3</c:v>
                </c:pt>
                <c:pt idx="11">
                  <c:v>7.242674153579402E-3</c:v>
                </c:pt>
                <c:pt idx="12">
                  <c:v>5.355927322764539E-3</c:v>
                </c:pt>
                <c:pt idx="13">
                  <c:v>2.9942770220870631E-3</c:v>
                </c:pt>
                <c:pt idx="14">
                  <c:v>2.3491376258961008E-3</c:v>
                </c:pt>
                <c:pt idx="15">
                  <c:v>1.89332019456139E-3</c:v>
                </c:pt>
                <c:pt idx="16">
                  <c:v>1.581046784333922E-3</c:v>
                </c:pt>
                <c:pt idx="17">
                  <c:v>1.3338279957059863E-3</c:v>
                </c:pt>
                <c:pt idx="18">
                  <c:v>1.2197818991701987E-3</c:v>
                </c:pt>
                <c:pt idx="19">
                  <c:v>9.5602263414579019E-4</c:v>
                </c:pt>
                <c:pt idx="20">
                  <c:v>6.5617255918327142E-4</c:v>
                </c:pt>
                <c:pt idx="21">
                  <c:v>3.5268242261270991E-4</c:v>
                </c:pt>
                <c:pt idx="22">
                  <c:v>3.5268242261270991E-4</c:v>
                </c:pt>
                <c:pt idx="23">
                  <c:v>1.7937219730941703E-4</c:v>
                </c:pt>
                <c:pt idx="24">
                  <c:v>1.524390243902439E-4</c:v>
                </c:pt>
                <c:pt idx="25">
                  <c:v>1.524390243902439E-4</c:v>
                </c:pt>
                <c:pt idx="26">
                  <c:v>1.524390243902439E-4</c:v>
                </c:pt>
                <c:pt idx="27">
                  <c:v>1.524390243902439E-4</c:v>
                </c:pt>
                <c:pt idx="28">
                  <c:v>1.524390243902439E-4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1-4017-AD76-64E9E44AE660}"/>
            </c:ext>
          </c:extLst>
        </c:ser>
        <c:ser>
          <c:idx val="3"/>
          <c:order val="3"/>
          <c:tx>
            <c:strRef>
              <c:f>'Fig A.8'!$C$13</c:f>
              <c:strCache>
                <c:ptCount val="1"/>
                <c:pt idx="0">
                  <c:v>Femmes ayant 3 enfants et plus</c:v>
                </c:pt>
              </c:strCache>
            </c:strRef>
          </c:tx>
          <c:spPr>
            <a:ln w="19050">
              <a:solidFill>
                <a:srgbClr val="604A7B"/>
              </a:solidFill>
            </a:ln>
          </c:spPr>
          <c:marker>
            <c:symbol val="x"/>
            <c:size val="5"/>
            <c:spPr>
              <a:ln w="19050">
                <a:solidFill>
                  <a:srgbClr val="604A7B"/>
                </a:solidFill>
              </a:ln>
            </c:spPr>
          </c:marker>
          <c:cat>
            <c:numRef>
              <c:f>'Fig A.8'!$S$5:$AW$5</c:f>
              <c:numCache>
                <c:formatCode>General</c:formatCode>
                <c:ptCount val="31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</c:numCache>
            </c:numRef>
          </c:cat>
          <c:val>
            <c:numRef>
              <c:f>'Fig A.8'!$S$13:$AW$13</c:f>
              <c:numCache>
                <c:formatCode>0.0%</c:formatCode>
                <c:ptCount val="31"/>
                <c:pt idx="0">
                  <c:v>0.56545961002785516</c:v>
                </c:pt>
                <c:pt idx="1">
                  <c:v>0.54433957406425881</c:v>
                </c:pt>
                <c:pt idx="2">
                  <c:v>0.54516120806891732</c:v>
                </c:pt>
                <c:pt idx="3">
                  <c:v>0.53704853917537942</c:v>
                </c:pt>
                <c:pt idx="4">
                  <c:v>0.53916141242844051</c:v>
                </c:pt>
                <c:pt idx="5">
                  <c:v>0.54998605786847066</c:v>
                </c:pt>
                <c:pt idx="6">
                  <c:v>0.54789900606455755</c:v>
                </c:pt>
                <c:pt idx="7">
                  <c:v>0.54271889602614798</c:v>
                </c:pt>
                <c:pt idx="8">
                  <c:v>0.54638625945546815</c:v>
                </c:pt>
                <c:pt idx="9">
                  <c:v>0.53095623283201632</c:v>
                </c:pt>
                <c:pt idx="10">
                  <c:v>0.52323790321340735</c:v>
                </c:pt>
                <c:pt idx="11">
                  <c:v>0.52063503397346811</c:v>
                </c:pt>
                <c:pt idx="12">
                  <c:v>0.50960999520327377</c:v>
                </c:pt>
                <c:pt idx="13">
                  <c:v>0.48838852836251923</c:v>
                </c:pt>
                <c:pt idx="14">
                  <c:v>0.47282054948217134</c:v>
                </c:pt>
                <c:pt idx="15">
                  <c:v>0.43576694405308336</c:v>
                </c:pt>
                <c:pt idx="16">
                  <c:v>0.40036600065685696</c:v>
                </c:pt>
                <c:pt idx="17">
                  <c:v>0.36594545936608663</c:v>
                </c:pt>
                <c:pt idx="18">
                  <c:v>0.3288732508419584</c:v>
                </c:pt>
                <c:pt idx="19">
                  <c:v>0.28919042438406423</c:v>
                </c:pt>
                <c:pt idx="20">
                  <c:v>0.27208208138270051</c:v>
                </c:pt>
                <c:pt idx="21">
                  <c:v>0.2474762255268447</c:v>
                </c:pt>
                <c:pt idx="22">
                  <c:v>0.22486600313121455</c:v>
                </c:pt>
                <c:pt idx="23">
                  <c:v>0.21762083137830288</c:v>
                </c:pt>
                <c:pt idx="24">
                  <c:v>0.22269785320115268</c:v>
                </c:pt>
                <c:pt idx="25">
                  <c:v>0.19574677030346782</c:v>
                </c:pt>
                <c:pt idx="26">
                  <c:v>0.16729882869096926</c:v>
                </c:pt>
                <c:pt idx="27">
                  <c:v>0.13816722336051968</c:v>
                </c:pt>
                <c:pt idx="28">
                  <c:v>9.7159191469769174E-2</c:v>
                </c:pt>
                <c:pt idx="29">
                  <c:v>5.1630120100245903E-2</c:v>
                </c:pt>
                <c:pt idx="30">
                  <c:v>2.5668581638707451E-2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1-4017-AD76-64E9E44AE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079200"/>
        <c:axId val="1"/>
      </c:lineChart>
      <c:catAx>
        <c:axId val="18290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29079200"/>
        <c:crosses val="autoZero"/>
        <c:crossBetween val="between"/>
        <c:majorUnit val="0.1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506442563224203E-2"/>
          <c:y val="5.0870651477843622E-2"/>
          <c:w val="0.85952914976537031"/>
          <c:h val="0.7500309368545427"/>
        </c:manualLayout>
      </c:layout>
      <c:lineChart>
        <c:grouping val="standard"/>
        <c:varyColors val="0"/>
        <c:ser>
          <c:idx val="1"/>
          <c:order val="0"/>
          <c:tx>
            <c:strRef>
              <c:f>'Fig A.9'!$C$6</c:f>
              <c:strCache>
                <c:ptCount val="1"/>
                <c:pt idx="0">
                  <c:v>Femmes bénéficiaires</c:v>
                </c:pt>
              </c:strCache>
            </c:strRef>
          </c:tx>
          <c:spPr>
            <a:ln w="19050" cap="rnd">
              <a:solidFill>
                <a:srgbClr val="604A7B"/>
              </a:solidFill>
              <a:round/>
            </a:ln>
            <a:effectLst/>
          </c:spPr>
          <c:marker>
            <c:symbol val="x"/>
            <c:size val="5"/>
            <c:spPr>
              <a:ln w="19050">
                <a:solidFill>
                  <a:srgbClr val="604A7B"/>
                </a:solidFill>
              </a:ln>
            </c:spPr>
          </c:marker>
          <c:cat>
            <c:numRef>
              <c:f>'Fig A.9'!$D$5:$AW$5</c:f>
              <c:numCache>
                <c:formatCode>General</c:formatCode>
                <c:ptCount val="4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</c:numCache>
            </c:numRef>
          </c:cat>
          <c:val>
            <c:numRef>
              <c:f>'Fig A.9'!$D$6:$AW$6</c:f>
              <c:numCache>
                <c:formatCode>0.0</c:formatCode>
                <c:ptCount val="46"/>
                <c:pt idx="0">
                  <c:v>55.02</c:v>
                </c:pt>
                <c:pt idx="1">
                  <c:v>54.913333333333334</c:v>
                </c:pt>
                <c:pt idx="2">
                  <c:v>54.676000000000002</c:v>
                </c:pt>
                <c:pt idx="3">
                  <c:v>54.475999999999999</c:v>
                </c:pt>
                <c:pt idx="4">
                  <c:v>54.246000000000002</c:v>
                </c:pt>
                <c:pt idx="5">
                  <c:v>53.936</c:v>
                </c:pt>
                <c:pt idx="6">
                  <c:v>53.678000000000011</c:v>
                </c:pt>
                <c:pt idx="7">
                  <c:v>53.440000000000012</c:v>
                </c:pt>
                <c:pt idx="8">
                  <c:v>53.23</c:v>
                </c:pt>
                <c:pt idx="9">
                  <c:v>53.032000000000004</c:v>
                </c:pt>
                <c:pt idx="10">
                  <c:v>52.872</c:v>
                </c:pt>
                <c:pt idx="11">
                  <c:v>52.746000000000002</c:v>
                </c:pt>
                <c:pt idx="12">
                  <c:v>52.833999999999989</c:v>
                </c:pt>
                <c:pt idx="13">
                  <c:v>52.887999999999998</c:v>
                </c:pt>
                <c:pt idx="14">
                  <c:v>53.016000000000005</c:v>
                </c:pt>
                <c:pt idx="15">
                  <c:v>53.125999999999998</c:v>
                </c:pt>
                <c:pt idx="16">
                  <c:v>53.36</c:v>
                </c:pt>
                <c:pt idx="17">
                  <c:v>53.427999999999997</c:v>
                </c:pt>
                <c:pt idx="18">
                  <c:v>53.5</c:v>
                </c:pt>
                <c:pt idx="19">
                  <c:v>53.572000000000003</c:v>
                </c:pt>
                <c:pt idx="20">
                  <c:v>53.673999999999999</c:v>
                </c:pt>
                <c:pt idx="21">
                  <c:v>53.604000000000006</c:v>
                </c:pt>
                <c:pt idx="22">
                  <c:v>53.382000000000005</c:v>
                </c:pt>
                <c:pt idx="23">
                  <c:v>53.109999999999992</c:v>
                </c:pt>
                <c:pt idx="24">
                  <c:v>52.696000000000005</c:v>
                </c:pt>
                <c:pt idx="25">
                  <c:v>52.169999999999995</c:v>
                </c:pt>
                <c:pt idx="26">
                  <c:v>51.465999999999994</c:v>
                </c:pt>
                <c:pt idx="27">
                  <c:v>50.702000000000005</c:v>
                </c:pt>
                <c:pt idx="28">
                  <c:v>49.9</c:v>
                </c:pt>
                <c:pt idx="29">
                  <c:v>48.89</c:v>
                </c:pt>
                <c:pt idx="30">
                  <c:v>47.721999999999994</c:v>
                </c:pt>
                <c:pt idx="31">
                  <c:v>46.558000000000007</c:v>
                </c:pt>
                <c:pt idx="32">
                  <c:v>45.438000000000002</c:v>
                </c:pt>
                <c:pt idx="33">
                  <c:v>44.317999999999998</c:v>
                </c:pt>
                <c:pt idx="34">
                  <c:v>43.451999999999998</c:v>
                </c:pt>
                <c:pt idx="35">
                  <c:v>42.738</c:v>
                </c:pt>
                <c:pt idx="36">
                  <c:v>42.116</c:v>
                </c:pt>
                <c:pt idx="37">
                  <c:v>41.501999999999995</c:v>
                </c:pt>
                <c:pt idx="38">
                  <c:v>40.92</c:v>
                </c:pt>
                <c:pt idx="39">
                  <c:v>40.283999999999999</c:v>
                </c:pt>
                <c:pt idx="40">
                  <c:v>39.664000000000001</c:v>
                </c:pt>
                <c:pt idx="41">
                  <c:v>39.059999999999995</c:v>
                </c:pt>
                <c:pt idx="42">
                  <c:v>38.42199999999999</c:v>
                </c:pt>
                <c:pt idx="43">
                  <c:v>37.727999999999994</c:v>
                </c:pt>
                <c:pt idx="44">
                  <c:v>36.953999999999994</c:v>
                </c:pt>
                <c:pt idx="45">
                  <c:v>36.176000000000002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1-4E50-BECE-F93D892924A4}"/>
            </c:ext>
          </c:extLst>
        </c:ser>
        <c:ser>
          <c:idx val="3"/>
          <c:order val="1"/>
          <c:tx>
            <c:strRef>
              <c:f>'Fig A.9'!$C$7</c:f>
              <c:strCache>
                <c:ptCount val="1"/>
                <c:pt idx="0">
                  <c:v>Femmes ayant 3 enfants et plus</c:v>
                </c:pt>
              </c:strCache>
            </c:strRef>
          </c:tx>
          <c:spPr>
            <a:ln w="19050">
              <a:solidFill>
                <a:srgbClr val="604A7B"/>
              </a:solidFill>
            </a:ln>
          </c:spPr>
          <c:marker>
            <c:symbol val="none"/>
          </c:marker>
          <c:cat>
            <c:numRef>
              <c:f>'Fig A.9'!$D$5:$AW$5</c:f>
              <c:numCache>
                <c:formatCode>General</c:formatCode>
                <c:ptCount val="4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</c:numCache>
            </c:numRef>
          </c:cat>
          <c:val>
            <c:numRef>
              <c:f>'Fig A.9'!$D$7:$AW$7</c:f>
              <c:numCache>
                <c:formatCode>0.0</c:formatCode>
                <c:ptCount val="46"/>
                <c:pt idx="0">
                  <c:v>58.19</c:v>
                </c:pt>
                <c:pt idx="1">
                  <c:v>57.976666666666667</c:v>
                </c:pt>
                <c:pt idx="2">
                  <c:v>57.722000000000001</c:v>
                </c:pt>
                <c:pt idx="3">
                  <c:v>57.490000000000009</c:v>
                </c:pt>
                <c:pt idx="4">
                  <c:v>57.263999999999996</c:v>
                </c:pt>
                <c:pt idx="5">
                  <c:v>57.024000000000001</c:v>
                </c:pt>
                <c:pt idx="6">
                  <c:v>56.798000000000002</c:v>
                </c:pt>
                <c:pt idx="7">
                  <c:v>56.6</c:v>
                </c:pt>
                <c:pt idx="8">
                  <c:v>56.422000000000004</c:v>
                </c:pt>
                <c:pt idx="9">
                  <c:v>56.25</c:v>
                </c:pt>
                <c:pt idx="10">
                  <c:v>56.097999999999999</c:v>
                </c:pt>
                <c:pt idx="11">
                  <c:v>55.926000000000002</c:v>
                </c:pt>
                <c:pt idx="12">
                  <c:v>55.802</c:v>
                </c:pt>
                <c:pt idx="13">
                  <c:v>55.648000000000003</c:v>
                </c:pt>
                <c:pt idx="14">
                  <c:v>55.556000000000004</c:v>
                </c:pt>
                <c:pt idx="15">
                  <c:v>55.415999999999997</c:v>
                </c:pt>
                <c:pt idx="16">
                  <c:v>55.366</c:v>
                </c:pt>
                <c:pt idx="17">
                  <c:v>55.298000000000002</c:v>
                </c:pt>
                <c:pt idx="18">
                  <c:v>55.275999999999996</c:v>
                </c:pt>
                <c:pt idx="19">
                  <c:v>55.311999999999991</c:v>
                </c:pt>
                <c:pt idx="20">
                  <c:v>55.463999999999999</c:v>
                </c:pt>
                <c:pt idx="21">
                  <c:v>55.633999999999993</c:v>
                </c:pt>
                <c:pt idx="22">
                  <c:v>55.826000000000001</c:v>
                </c:pt>
                <c:pt idx="23">
                  <c:v>56.027999999999999</c:v>
                </c:pt>
                <c:pt idx="24">
                  <c:v>56.204000000000008</c:v>
                </c:pt>
                <c:pt idx="25">
                  <c:v>56.411999999999999</c:v>
                </c:pt>
                <c:pt idx="26">
                  <c:v>56.71</c:v>
                </c:pt>
                <c:pt idx="27">
                  <c:v>57.061999999999991</c:v>
                </c:pt>
                <c:pt idx="28">
                  <c:v>57.52</c:v>
                </c:pt>
                <c:pt idx="29">
                  <c:v>57.984000000000002</c:v>
                </c:pt>
                <c:pt idx="30">
                  <c:v>58.432000000000002</c:v>
                </c:pt>
                <c:pt idx="31">
                  <c:v>58.855999999999995</c:v>
                </c:pt>
                <c:pt idx="32">
                  <c:v>59.298000000000002</c:v>
                </c:pt>
                <c:pt idx="33">
                  <c:v>59.738</c:v>
                </c:pt>
                <c:pt idx="34">
                  <c:v>60.198</c:v>
                </c:pt>
                <c:pt idx="35">
                  <c:v>60.672000000000004</c:v>
                </c:pt>
                <c:pt idx="36">
                  <c:v>61.101999999999997</c:v>
                </c:pt>
                <c:pt idx="37">
                  <c:v>61.486000000000004</c:v>
                </c:pt>
                <c:pt idx="38">
                  <c:v>61.835999999999999</c:v>
                </c:pt>
                <c:pt idx="39">
                  <c:v>62.148000000000003</c:v>
                </c:pt>
                <c:pt idx="40">
                  <c:v>62.446000000000005</c:v>
                </c:pt>
                <c:pt idx="41">
                  <c:v>62.75</c:v>
                </c:pt>
                <c:pt idx="42">
                  <c:v>63.033999999999992</c:v>
                </c:pt>
                <c:pt idx="43">
                  <c:v>63.263999999999996</c:v>
                </c:pt>
                <c:pt idx="44">
                  <c:v>63.455999999999996</c:v>
                </c:pt>
                <c:pt idx="45">
                  <c:v>63.585999999999999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61-4E50-BECE-F93D89292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079200"/>
        <c:axId val="1"/>
      </c:lineChart>
      <c:catAx>
        <c:axId val="18290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29079200"/>
        <c:crosses val="autoZero"/>
        <c:crossBetween val="between"/>
        <c:majorUnit val="5"/>
        <c:minorUnit val="1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506442563224203E-2"/>
          <c:y val="5.0870651477843622E-2"/>
          <c:w val="0.85952914976537031"/>
          <c:h val="0.7500309368545427"/>
        </c:manualLayout>
      </c:layout>
      <c:lineChart>
        <c:grouping val="standard"/>
        <c:varyColors val="0"/>
        <c:ser>
          <c:idx val="1"/>
          <c:order val="0"/>
          <c:tx>
            <c:strRef>
              <c:f>'Fig A.9'!$C$8</c:f>
              <c:strCache>
                <c:ptCount val="1"/>
                <c:pt idx="0">
                  <c:v>Femmes bénéficiaires</c:v>
                </c:pt>
              </c:strCache>
            </c:strRef>
          </c:tx>
          <c:spPr>
            <a:ln w="19050" cap="rnd">
              <a:solidFill>
                <a:srgbClr val="604A7B"/>
              </a:solidFill>
              <a:round/>
            </a:ln>
            <a:effectLst/>
          </c:spPr>
          <c:marker>
            <c:symbol val="x"/>
            <c:size val="5"/>
            <c:spPr>
              <a:ln w="19050">
                <a:solidFill>
                  <a:srgbClr val="604A7B"/>
                </a:solidFill>
              </a:ln>
            </c:spPr>
          </c:marker>
          <c:cat>
            <c:numRef>
              <c:f>'Fig A.9'!$S$5:$AW$5</c:f>
              <c:numCache>
                <c:formatCode>General</c:formatCode>
                <c:ptCount val="31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</c:numCache>
            </c:numRef>
          </c:cat>
          <c:val>
            <c:numRef>
              <c:f>'Fig A.9'!$S$8:$AW$8</c:f>
              <c:numCache>
                <c:formatCode>0.0</c:formatCode>
                <c:ptCount val="31"/>
                <c:pt idx="0">
                  <c:v>51.4839743589744</c:v>
                </c:pt>
                <c:pt idx="1">
                  <c:v>51.427564168014669</c:v>
                </c:pt>
                <c:pt idx="2">
                  <c:v>51.645257075251472</c:v>
                </c:pt>
                <c:pt idx="3">
                  <c:v>51.549427454421824</c:v>
                </c:pt>
                <c:pt idx="4">
                  <c:v>51.722065380418577</c:v>
                </c:pt>
                <c:pt idx="5">
                  <c:v>51.827513277200126</c:v>
                </c:pt>
                <c:pt idx="6">
                  <c:v>51.76337832763668</c:v>
                </c:pt>
                <c:pt idx="7">
                  <c:v>51.778475779445742</c:v>
                </c:pt>
                <c:pt idx="8">
                  <c:v>52.086072172316122</c:v>
                </c:pt>
                <c:pt idx="9">
                  <c:v>51.9659748923509</c:v>
                </c:pt>
                <c:pt idx="10">
                  <c:v>51.678440948832915</c:v>
                </c:pt>
                <c:pt idx="11">
                  <c:v>51.677256239230076</c:v>
                </c:pt>
                <c:pt idx="12">
                  <c:v>51.290050431533857</c:v>
                </c:pt>
                <c:pt idx="13">
                  <c:v>51.000783081992537</c:v>
                </c:pt>
                <c:pt idx="14">
                  <c:v>50.889424167751478</c:v>
                </c:pt>
                <c:pt idx="15">
                  <c:v>50.807556005675501</c:v>
                </c:pt>
                <c:pt idx="16">
                  <c:v>50.509513420635258</c:v>
                </c:pt>
                <c:pt idx="17">
                  <c:v>50.711022710918535</c:v>
                </c:pt>
                <c:pt idx="18">
                  <c:v>50.751788476684297</c:v>
                </c:pt>
                <c:pt idx="19">
                  <c:v>51.011870251717184</c:v>
                </c:pt>
                <c:pt idx="20">
                  <c:v>51.612758354177586</c:v>
                </c:pt>
                <c:pt idx="21">
                  <c:v>52.522067440035855</c:v>
                </c:pt>
                <c:pt idx="22">
                  <c:v>53.062583267491981</c:v>
                </c:pt>
                <c:pt idx="23">
                  <c:v>53.861943497286994</c:v>
                </c:pt>
                <c:pt idx="24">
                  <c:v>54.414404312334021</c:v>
                </c:pt>
                <c:pt idx="25">
                  <c:v>54.771606473965065</c:v>
                </c:pt>
                <c:pt idx="26">
                  <c:v>55.215375944370031</c:v>
                </c:pt>
                <c:pt idx="27">
                  <c:v>55.902738581732685</c:v>
                </c:pt>
                <c:pt idx="28">
                  <c:v>56.1183182918776</c:v>
                </c:pt>
                <c:pt idx="29">
                  <c:v>56.85119047619046</c:v>
                </c:pt>
                <c:pt idx="30">
                  <c:v>56.375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1-4E50-BECE-F93D892924A4}"/>
            </c:ext>
          </c:extLst>
        </c:ser>
        <c:ser>
          <c:idx val="3"/>
          <c:order val="1"/>
          <c:tx>
            <c:strRef>
              <c:f>'Fig A.9'!$C$9</c:f>
              <c:strCache>
                <c:ptCount val="1"/>
                <c:pt idx="0">
                  <c:v>Femmes ayant 3 enfants et plus</c:v>
                </c:pt>
              </c:strCache>
            </c:strRef>
          </c:tx>
          <c:spPr>
            <a:ln w="19050">
              <a:solidFill>
                <a:srgbClr val="604A7B"/>
              </a:solidFill>
            </a:ln>
          </c:spPr>
          <c:marker>
            <c:symbol val="none"/>
          </c:marker>
          <c:cat>
            <c:numRef>
              <c:f>'Fig A.9'!$S$5:$AW$5</c:f>
              <c:numCache>
                <c:formatCode>General</c:formatCode>
                <c:ptCount val="31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</c:numCache>
            </c:numRef>
          </c:cat>
          <c:val>
            <c:numRef>
              <c:f>'Fig A.9'!$S$9:$AW$9</c:f>
              <c:numCache>
                <c:formatCode>0.0</c:formatCode>
                <c:ptCount val="31"/>
                <c:pt idx="0">
                  <c:v>55.447075208913702</c:v>
                </c:pt>
                <c:pt idx="1">
                  <c:v>55.584631961849198</c:v>
                </c:pt>
                <c:pt idx="2">
                  <c:v>55.734231820354317</c:v>
                </c:pt>
                <c:pt idx="3">
                  <c:v>55.77175315478182</c:v>
                </c:pt>
                <c:pt idx="4">
                  <c:v>55.90710892077616</c:v>
                </c:pt>
                <c:pt idx="5">
                  <c:v>55.962104068079</c:v>
                </c:pt>
                <c:pt idx="6">
                  <c:v>56.094319470430001</c:v>
                </c:pt>
                <c:pt idx="7">
                  <c:v>56.249869835494543</c:v>
                </c:pt>
                <c:pt idx="8">
                  <c:v>56.571429699885798</c:v>
                </c:pt>
                <c:pt idx="9">
                  <c:v>56.824156738766341</c:v>
                </c:pt>
                <c:pt idx="10">
                  <c:v>56.864180661339148</c:v>
                </c:pt>
                <c:pt idx="11">
                  <c:v>56.977907110689003</c:v>
                </c:pt>
                <c:pt idx="12">
                  <c:v>56.975337424715022</c:v>
                </c:pt>
                <c:pt idx="13">
                  <c:v>57.111305588637798</c:v>
                </c:pt>
                <c:pt idx="14">
                  <c:v>57.308488082102599</c:v>
                </c:pt>
                <c:pt idx="15">
                  <c:v>57.8307795842545</c:v>
                </c:pt>
                <c:pt idx="16">
                  <c:v>58.266705993733375</c:v>
                </c:pt>
                <c:pt idx="17">
                  <c:v>58.946343398313537</c:v>
                </c:pt>
                <c:pt idx="18">
                  <c:v>59.572231934965735</c:v>
                </c:pt>
                <c:pt idx="19">
                  <c:v>60.320501197905301</c:v>
                </c:pt>
                <c:pt idx="20">
                  <c:v>60.897667175936817</c:v>
                </c:pt>
                <c:pt idx="21">
                  <c:v>61.667325785439175</c:v>
                </c:pt>
                <c:pt idx="22">
                  <c:v>62.284593310474939</c:v>
                </c:pt>
                <c:pt idx="23">
                  <c:v>62.74892708609044</c:v>
                </c:pt>
                <c:pt idx="24">
                  <c:v>63.01639089296534</c:v>
                </c:pt>
                <c:pt idx="25">
                  <c:v>63.548492741359667</c:v>
                </c:pt>
                <c:pt idx="26">
                  <c:v>63.908279110006774</c:v>
                </c:pt>
                <c:pt idx="27">
                  <c:v>64.29257763921423</c:v>
                </c:pt>
                <c:pt idx="28">
                  <c:v>64.708923293375904</c:v>
                </c:pt>
                <c:pt idx="29">
                  <c:v>65.114059197053066</c:v>
                </c:pt>
                <c:pt idx="30">
                  <c:v>65.277005625624483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61-4E50-BECE-F93D89292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079200"/>
        <c:axId val="1"/>
      </c:lineChart>
      <c:catAx>
        <c:axId val="18290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98989"/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rgbClr val="898989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ln w="6350">
            <a:solidFill>
              <a:srgbClr val="898989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29079200"/>
        <c:crosses val="autoZero"/>
        <c:crossBetween val="between"/>
        <c:majorUnit val="5"/>
        <c:minorUnit val="1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 B.1'!$C$4</c:f>
              <c:strCache>
                <c:ptCount val="1"/>
                <c:pt idx="0">
                  <c:v>-100 %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'Fig B.1'!$B$5:$B$19</c:f>
              <c:strCache>
                <c:ptCount val="15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Polypensionnés RG+régimes alignés/FP</c:v>
                </c:pt>
                <c:pt idx="7">
                  <c:v>Q2 Polypensionnés RG+régimes alignés/FP</c:v>
                </c:pt>
                <c:pt idx="8">
                  <c:v>Q3 Polypensionnés RG+régimes alignés/FP</c:v>
                </c:pt>
                <c:pt idx="9">
                  <c:v>Q4 Polypensionnés RG+régimes alignés/FP</c:v>
                </c:pt>
                <c:pt idx="10">
                  <c:v>Q5 Polypensionnés RG+régimes alignés/FP</c:v>
                </c:pt>
                <c:pt idx="12">
                  <c:v>Femmes </c:v>
                </c:pt>
                <c:pt idx="13">
                  <c:v>Hommes</c:v>
                </c:pt>
                <c:pt idx="14">
                  <c:v>Ensemble</c:v>
                </c:pt>
              </c:strCache>
            </c:strRef>
          </c:cat>
          <c:val>
            <c:numRef>
              <c:f>'Fig B.1'!$C$5:$C$19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B-4B2D-9162-2DDDFD3415EF}"/>
            </c:ext>
          </c:extLst>
        </c:ser>
        <c:ser>
          <c:idx val="1"/>
          <c:order val="1"/>
          <c:tx>
            <c:strRef>
              <c:f>'Fig B.1'!$D$4</c:f>
              <c:strCache>
                <c:ptCount val="1"/>
                <c:pt idx="0">
                  <c:v>Entre -100 % et -20 % </c:v>
                </c:pt>
              </c:strCache>
            </c:strRef>
          </c:tx>
          <c:spPr>
            <a:solidFill>
              <a:srgbClr val="E97132"/>
            </a:solidFill>
            <a:ln>
              <a:solidFill>
                <a:srgbClr val="E97132"/>
              </a:solidFill>
            </a:ln>
            <a:effectLst/>
          </c:spPr>
          <c:invertIfNegative val="0"/>
          <c:cat>
            <c:strRef>
              <c:f>'Fig B.1'!$B$5:$B$19</c:f>
              <c:strCache>
                <c:ptCount val="15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Polypensionnés RG+régimes alignés/FP</c:v>
                </c:pt>
                <c:pt idx="7">
                  <c:v>Q2 Polypensionnés RG+régimes alignés/FP</c:v>
                </c:pt>
                <c:pt idx="8">
                  <c:v>Q3 Polypensionnés RG+régimes alignés/FP</c:v>
                </c:pt>
                <c:pt idx="9">
                  <c:v>Q4 Polypensionnés RG+régimes alignés/FP</c:v>
                </c:pt>
                <c:pt idx="10">
                  <c:v>Q5 Polypensionnés RG+régimes alignés/FP</c:v>
                </c:pt>
                <c:pt idx="12">
                  <c:v>Femmes </c:v>
                </c:pt>
                <c:pt idx="13">
                  <c:v>Hommes</c:v>
                </c:pt>
                <c:pt idx="14">
                  <c:v>Ensemble</c:v>
                </c:pt>
              </c:strCache>
            </c:strRef>
          </c:cat>
          <c:val>
            <c:numRef>
              <c:f>'Fig B.1'!$D$5:$D$19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B-4B2D-9162-2DDDFD3415EF}"/>
            </c:ext>
          </c:extLst>
        </c:ser>
        <c:ser>
          <c:idx val="2"/>
          <c:order val="2"/>
          <c:tx>
            <c:strRef>
              <c:f>'Fig B.1'!$E$4</c:f>
              <c:strCache>
                <c:ptCount val="1"/>
                <c:pt idx="0">
                  <c:v>Entre- 20 % à - 1 %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'Fig B.1'!$B$5:$B$19</c:f>
              <c:strCache>
                <c:ptCount val="15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Polypensionnés RG+régimes alignés/FP</c:v>
                </c:pt>
                <c:pt idx="7">
                  <c:v>Q2 Polypensionnés RG+régimes alignés/FP</c:v>
                </c:pt>
                <c:pt idx="8">
                  <c:v>Q3 Polypensionnés RG+régimes alignés/FP</c:v>
                </c:pt>
                <c:pt idx="9">
                  <c:v>Q4 Polypensionnés RG+régimes alignés/FP</c:v>
                </c:pt>
                <c:pt idx="10">
                  <c:v>Q5 Polypensionnés RG+régimes alignés/FP</c:v>
                </c:pt>
                <c:pt idx="12">
                  <c:v>Femmes </c:v>
                </c:pt>
                <c:pt idx="13">
                  <c:v>Hommes</c:v>
                </c:pt>
                <c:pt idx="14">
                  <c:v>Ensemble</c:v>
                </c:pt>
              </c:strCache>
            </c:strRef>
          </c:cat>
          <c:val>
            <c:numRef>
              <c:f>'Fig B.1'!$E$5:$E$19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9B-4B2D-9162-2DDDFD3415EF}"/>
            </c:ext>
          </c:extLst>
        </c:ser>
        <c:ser>
          <c:idx val="3"/>
          <c:order val="3"/>
          <c:tx>
            <c:strRef>
              <c:f>'Fig B.1'!$F$4</c:f>
              <c:strCache>
                <c:ptCount val="1"/>
                <c:pt idx="0">
                  <c:v>Entre - 1 % et + 1%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9B-4B2D-9162-2DDDFD3415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9B-4B2D-9162-2DDDFD3415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B.1'!$B$5:$B$19</c:f>
              <c:strCache>
                <c:ptCount val="15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Polypensionnés RG+régimes alignés/FP</c:v>
                </c:pt>
                <c:pt idx="7">
                  <c:v>Q2 Polypensionnés RG+régimes alignés/FP</c:v>
                </c:pt>
                <c:pt idx="8">
                  <c:v>Q3 Polypensionnés RG+régimes alignés/FP</c:v>
                </c:pt>
                <c:pt idx="9">
                  <c:v>Q4 Polypensionnés RG+régimes alignés/FP</c:v>
                </c:pt>
                <c:pt idx="10">
                  <c:v>Q5 Polypensionnés RG+régimes alignés/FP</c:v>
                </c:pt>
                <c:pt idx="12">
                  <c:v>Femmes </c:v>
                </c:pt>
                <c:pt idx="13">
                  <c:v>Hommes</c:v>
                </c:pt>
                <c:pt idx="14">
                  <c:v>Ensemble</c:v>
                </c:pt>
              </c:strCache>
            </c:strRef>
          </c:cat>
          <c:val>
            <c:numRef>
              <c:f>'Fig B.1'!$F$5:$F$19</c:f>
              <c:numCache>
                <c:formatCode>0%</c:formatCode>
                <c:ptCount val="15"/>
                <c:pt idx="0">
                  <c:v>0.97119341563785999</c:v>
                </c:pt>
                <c:pt idx="1">
                  <c:v>0.952380952380952</c:v>
                </c:pt>
                <c:pt idx="2">
                  <c:v>0.81578947368421095</c:v>
                </c:pt>
                <c:pt idx="3">
                  <c:v>0.30597014925373101</c:v>
                </c:pt>
                <c:pt idx="4">
                  <c:v>3.3898305084745804E-2</c:v>
                </c:pt>
                <c:pt idx="6">
                  <c:v>0.97727272727272707</c:v>
                </c:pt>
                <c:pt idx="7">
                  <c:v>0.87272727272727291</c:v>
                </c:pt>
                <c:pt idx="8">
                  <c:v>0.63636363636363602</c:v>
                </c:pt>
                <c:pt idx="9">
                  <c:v>0.20689655172413801</c:v>
                </c:pt>
                <c:pt idx="10">
                  <c:v>3.2258064516128997E-2</c:v>
                </c:pt>
                <c:pt idx="12">
                  <c:v>0.60823754789272</c:v>
                </c:pt>
                <c:pt idx="13">
                  <c:v>0.56168831168831201</c:v>
                </c:pt>
                <c:pt idx="14">
                  <c:v>0.59096385542168695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9B-4B2D-9162-2DDDFD3415EF}"/>
            </c:ext>
          </c:extLst>
        </c:ser>
        <c:ser>
          <c:idx val="4"/>
          <c:order val="4"/>
          <c:tx>
            <c:strRef>
              <c:f>'Fig B.1'!$G$4</c:f>
              <c:strCache>
                <c:ptCount val="1"/>
                <c:pt idx="0">
                  <c:v>Entre + 1 % et + 20 %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9B-4B2D-9162-2DDDFD3415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9B-4B2D-9162-2DDDFD3415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9B-4B2D-9162-2DDDFD3415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9B-4B2D-9162-2DDDFD3415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9B-4B2D-9162-2DDDFD3415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B.1'!$B$5:$B$19</c:f>
              <c:strCache>
                <c:ptCount val="15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Polypensionnés RG+régimes alignés/FP</c:v>
                </c:pt>
                <c:pt idx="7">
                  <c:v>Q2 Polypensionnés RG+régimes alignés/FP</c:v>
                </c:pt>
                <c:pt idx="8">
                  <c:v>Q3 Polypensionnés RG+régimes alignés/FP</c:v>
                </c:pt>
                <c:pt idx="9">
                  <c:v>Q4 Polypensionnés RG+régimes alignés/FP</c:v>
                </c:pt>
                <c:pt idx="10">
                  <c:v>Q5 Polypensionnés RG+régimes alignés/FP</c:v>
                </c:pt>
                <c:pt idx="12">
                  <c:v>Femmes </c:v>
                </c:pt>
                <c:pt idx="13">
                  <c:v>Hommes</c:v>
                </c:pt>
                <c:pt idx="14">
                  <c:v>Ensemble</c:v>
                </c:pt>
              </c:strCache>
            </c:strRef>
          </c:cat>
          <c:val>
            <c:numRef>
              <c:f>'Fig B.1'!$G$5:$G$19</c:f>
              <c:numCache>
                <c:formatCode>0%</c:formatCode>
                <c:ptCount val="15"/>
                <c:pt idx="0">
                  <c:v>4.11522633744856E-3</c:v>
                </c:pt>
                <c:pt idx="1">
                  <c:v>1.8315018315018302E-2</c:v>
                </c:pt>
                <c:pt idx="2">
                  <c:v>0.10526315789473699</c:v>
                </c:pt>
                <c:pt idx="3">
                  <c:v>0.19029850746268701</c:v>
                </c:pt>
                <c:pt idx="4">
                  <c:v>0</c:v>
                </c:pt>
                <c:pt idx="6">
                  <c:v>0</c:v>
                </c:pt>
                <c:pt idx="7">
                  <c:v>0.10909090909090899</c:v>
                </c:pt>
                <c:pt idx="8">
                  <c:v>0.24242424242424199</c:v>
                </c:pt>
                <c:pt idx="9">
                  <c:v>0.27586206896551702</c:v>
                </c:pt>
                <c:pt idx="10">
                  <c:v>0.225806451612903</c:v>
                </c:pt>
                <c:pt idx="12">
                  <c:v>9.0038314176245193E-2</c:v>
                </c:pt>
                <c:pt idx="13">
                  <c:v>8.2792207792207806E-2</c:v>
                </c:pt>
                <c:pt idx="14">
                  <c:v>8.7349397590361394E-2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9B-4B2D-9162-2DDDFD3415EF}"/>
            </c:ext>
          </c:extLst>
        </c:ser>
        <c:ser>
          <c:idx val="5"/>
          <c:order val="5"/>
          <c:tx>
            <c:strRef>
              <c:f>'Fig B.1'!$H$4</c:f>
              <c:strCache>
                <c:ptCount val="1"/>
                <c:pt idx="0">
                  <c:v>Plus de 20 %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1.029345159494641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245055781220766E-2"/>
                      <c:h val="3.21782481722814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BB9B-4B2D-9162-2DDDFD3415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B9B-4B2D-9162-2DDDFD3415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B9B-4B2D-9162-2DDDFD3415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B.1'!$B$5:$B$19</c:f>
              <c:strCache>
                <c:ptCount val="15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Polypensionnés RG+régimes alignés/FP</c:v>
                </c:pt>
                <c:pt idx="7">
                  <c:v>Q2 Polypensionnés RG+régimes alignés/FP</c:v>
                </c:pt>
                <c:pt idx="8">
                  <c:v>Q3 Polypensionnés RG+régimes alignés/FP</c:v>
                </c:pt>
                <c:pt idx="9">
                  <c:v>Q4 Polypensionnés RG+régimes alignés/FP</c:v>
                </c:pt>
                <c:pt idx="10">
                  <c:v>Q5 Polypensionnés RG+régimes alignés/FP</c:v>
                </c:pt>
                <c:pt idx="12">
                  <c:v>Femmes </c:v>
                </c:pt>
                <c:pt idx="13">
                  <c:v>Hommes</c:v>
                </c:pt>
                <c:pt idx="14">
                  <c:v>Ensemble</c:v>
                </c:pt>
              </c:strCache>
            </c:strRef>
          </c:cat>
          <c:val>
            <c:numRef>
              <c:f>'Fig B.1'!$H$5:$H$19</c:f>
              <c:numCache>
                <c:formatCode>0%</c:formatCode>
                <c:ptCount val="15"/>
                <c:pt idx="0">
                  <c:v>2.4691358024691402E-2</c:v>
                </c:pt>
                <c:pt idx="1">
                  <c:v>2.9304029304029301E-2</c:v>
                </c:pt>
                <c:pt idx="2">
                  <c:v>7.8947368421052599E-2</c:v>
                </c:pt>
                <c:pt idx="3">
                  <c:v>0.50373134328358193</c:v>
                </c:pt>
                <c:pt idx="4">
                  <c:v>0.96610169491525399</c:v>
                </c:pt>
                <c:pt idx="6">
                  <c:v>2.2727272727272697E-2</c:v>
                </c:pt>
                <c:pt idx="7">
                  <c:v>1.8181818181818198E-2</c:v>
                </c:pt>
                <c:pt idx="8">
                  <c:v>0.12121212121212099</c:v>
                </c:pt>
                <c:pt idx="9">
                  <c:v>0.51724137931034497</c:v>
                </c:pt>
                <c:pt idx="10">
                  <c:v>0.74193548387096797</c:v>
                </c:pt>
                <c:pt idx="12">
                  <c:v>0.30172413793103398</c:v>
                </c:pt>
                <c:pt idx="13">
                  <c:v>0.35551948051948101</c:v>
                </c:pt>
                <c:pt idx="14">
                  <c:v>0.32168674698795202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9B-4B2D-9162-2DDDFD341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5927391"/>
        <c:axId val="1415926911"/>
      </c:barChart>
      <c:catAx>
        <c:axId val="141592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926911"/>
        <c:crosses val="autoZero"/>
        <c:auto val="1"/>
        <c:lblAlgn val="ctr"/>
        <c:lblOffset val="100"/>
        <c:noMultiLvlLbl val="0"/>
      </c:catAx>
      <c:valAx>
        <c:axId val="141592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92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 B.2'!$C$4</c:f>
              <c:strCache>
                <c:ptCount val="1"/>
                <c:pt idx="0">
                  <c:v>-100 %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35-4920-BA69-56D92DDAC91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35-4920-BA69-56D92DDAC91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35-4920-BA69-56D92DDAC91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35-4920-BA69-56D92DDAC91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35-4920-BA69-56D92DDAC91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35-4920-BA69-56D92DDAC91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35-4920-BA69-56D92DDAC91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35-4920-BA69-56D92DDAC9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'Fig B.2'!$B$5:$B$31</c15:sqref>
                  </c15:fullRef>
                </c:ext>
              </c:extLst>
              <c:f>'Fig B.2'!$B$11:$B$31</c:f>
              <c:strCache>
                <c:ptCount val="21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Monopensionnés FP</c:v>
                </c:pt>
                <c:pt idx="7">
                  <c:v>Q2 Monopensionnés FP</c:v>
                </c:pt>
                <c:pt idx="8">
                  <c:v>Q3 Monopensionnés FP</c:v>
                </c:pt>
                <c:pt idx="9">
                  <c:v>Q4 Monopensionnés FP</c:v>
                </c:pt>
                <c:pt idx="10">
                  <c:v>Q5 Monopensionnés FP</c:v>
                </c:pt>
                <c:pt idx="12">
                  <c:v>Q1 Polypensionnés RG+régimes alignés/FP</c:v>
                </c:pt>
                <c:pt idx="13">
                  <c:v>Q2 Polypensionnés RG+régimes alignés/FP</c:v>
                </c:pt>
                <c:pt idx="14">
                  <c:v>Q3 Polypensionnés RG+régimes alignés/FP</c:v>
                </c:pt>
                <c:pt idx="15">
                  <c:v>Q4 Polypensionnés RG+régimes alignés/FP</c:v>
                </c:pt>
                <c:pt idx="16">
                  <c:v>Q5 Polypensionnés RG+régimes alignés/FP</c:v>
                </c:pt>
                <c:pt idx="18">
                  <c:v>Femmes</c:v>
                </c:pt>
                <c:pt idx="19">
                  <c:v>Hommes </c:v>
                </c:pt>
                <c:pt idx="20">
                  <c:v>Ensemble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B.2'!$C$5:$C$31</c15:sqref>
                  </c15:fullRef>
                </c:ext>
              </c:extLst>
              <c:f>'Fig B.2'!$C$11:$C$31</c:f>
              <c:numCache>
                <c:formatCode>0%</c:formatCode>
                <c:ptCount val="21"/>
                <c:pt idx="0">
                  <c:v>4.11522633744856E-3</c:v>
                </c:pt>
                <c:pt idx="1">
                  <c:v>0</c:v>
                </c:pt>
                <c:pt idx="2">
                  <c:v>0</c:v>
                </c:pt>
                <c:pt idx="3">
                  <c:v>2.2388059701492501E-2</c:v>
                </c:pt>
                <c:pt idx="4">
                  <c:v>0.53389830508474601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0.73333333333333295</c:v>
                </c:pt>
                <c:pt idx="12">
                  <c:v>2.2727272727272697E-2</c:v>
                </c:pt>
                <c:pt idx="13">
                  <c:v>0</c:v>
                </c:pt>
                <c:pt idx="14">
                  <c:v>0</c:v>
                </c:pt>
                <c:pt idx="15">
                  <c:v>1.72413793103448E-2</c:v>
                </c:pt>
                <c:pt idx="16">
                  <c:v>0.74193548387096797</c:v>
                </c:pt>
                <c:pt idx="18">
                  <c:v>9.6993210475266697E-2</c:v>
                </c:pt>
                <c:pt idx="19">
                  <c:v>0.15897435897435899</c:v>
                </c:pt>
                <c:pt idx="20">
                  <c:v>0.11943069306930701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35-4920-BA69-56D92DDAC917}"/>
            </c:ext>
          </c:extLst>
        </c:ser>
        <c:ser>
          <c:idx val="1"/>
          <c:order val="1"/>
          <c:tx>
            <c:strRef>
              <c:f>'Fig B.2'!$D$4</c:f>
              <c:strCache>
                <c:ptCount val="1"/>
                <c:pt idx="0">
                  <c:v>Entre -100 % et -20 %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E97132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35-4920-BA69-56D92DDAC91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35-4920-BA69-56D92DDAC91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35-4920-BA69-56D92DDAC9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'Fig B.2'!$B$5:$B$31</c15:sqref>
                  </c15:fullRef>
                </c:ext>
              </c:extLst>
              <c:f>'Fig B.2'!$B$11:$B$31</c:f>
              <c:strCache>
                <c:ptCount val="21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Monopensionnés FP</c:v>
                </c:pt>
                <c:pt idx="7">
                  <c:v>Q2 Monopensionnés FP</c:v>
                </c:pt>
                <c:pt idx="8">
                  <c:v>Q3 Monopensionnés FP</c:v>
                </c:pt>
                <c:pt idx="9">
                  <c:v>Q4 Monopensionnés FP</c:v>
                </c:pt>
                <c:pt idx="10">
                  <c:v>Q5 Monopensionnés FP</c:v>
                </c:pt>
                <c:pt idx="12">
                  <c:v>Q1 Polypensionnés RG+régimes alignés/FP</c:v>
                </c:pt>
                <c:pt idx="13">
                  <c:v>Q2 Polypensionnés RG+régimes alignés/FP</c:v>
                </c:pt>
                <c:pt idx="14">
                  <c:v>Q3 Polypensionnés RG+régimes alignés/FP</c:v>
                </c:pt>
                <c:pt idx="15">
                  <c:v>Q4 Polypensionnés RG+régimes alignés/FP</c:v>
                </c:pt>
                <c:pt idx="16">
                  <c:v>Q5 Polypensionnés RG+régimes alignés/FP</c:v>
                </c:pt>
                <c:pt idx="18">
                  <c:v>Femmes</c:v>
                </c:pt>
                <c:pt idx="19">
                  <c:v>Hommes </c:v>
                </c:pt>
                <c:pt idx="20">
                  <c:v>Ensemble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B.2'!$D$5:$D$31</c15:sqref>
                  </c15:fullRef>
                </c:ext>
              </c:extLst>
              <c:f>'Fig B.2'!$D$11:$D$31</c:f>
              <c:numCache>
                <c:formatCode>0%</c:formatCode>
                <c:ptCount val="21"/>
                <c:pt idx="0">
                  <c:v>4.11522633744856E-3</c:v>
                </c:pt>
                <c:pt idx="1">
                  <c:v>0</c:v>
                </c:pt>
                <c:pt idx="2">
                  <c:v>3.7593984962406E-3</c:v>
                </c:pt>
                <c:pt idx="3">
                  <c:v>3.7313432835820899E-2</c:v>
                </c:pt>
                <c:pt idx="4">
                  <c:v>0.186440677966102</c:v>
                </c:pt>
                <c:pt idx="6">
                  <c:v>0.2</c:v>
                </c:pt>
                <c:pt idx="7">
                  <c:v>0.33333333333333298</c:v>
                </c:pt>
                <c:pt idx="8">
                  <c:v>0.46153846153846201</c:v>
                </c:pt>
                <c:pt idx="9">
                  <c:v>0.88888888888888895</c:v>
                </c:pt>
                <c:pt idx="10">
                  <c:v>0.2</c:v>
                </c:pt>
                <c:pt idx="12">
                  <c:v>2.2727272727272697E-2</c:v>
                </c:pt>
                <c:pt idx="13">
                  <c:v>3.6363636363636397E-2</c:v>
                </c:pt>
                <c:pt idx="14">
                  <c:v>0.15151515151515199</c:v>
                </c:pt>
                <c:pt idx="15">
                  <c:v>0.48275862068965503</c:v>
                </c:pt>
                <c:pt idx="16">
                  <c:v>0.225806451612903</c:v>
                </c:pt>
                <c:pt idx="18">
                  <c:v>6.8865179437439403E-2</c:v>
                </c:pt>
                <c:pt idx="19">
                  <c:v>0.100854700854701</c:v>
                </c:pt>
                <c:pt idx="20">
                  <c:v>8.0445544554455406E-2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35-4920-BA69-56D92DDAC917}"/>
            </c:ext>
          </c:extLst>
        </c:ser>
        <c:ser>
          <c:idx val="2"/>
          <c:order val="2"/>
          <c:tx>
            <c:strRef>
              <c:f>'Fig B.2'!$E$4</c:f>
              <c:strCache>
                <c:ptCount val="1"/>
                <c:pt idx="0">
                  <c:v>Entre- 20 % à - 1 %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35-4920-BA69-56D92DDAC91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735-4920-BA69-56D92DDAC9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'Fig B.2'!$B$5:$B$31</c15:sqref>
                  </c15:fullRef>
                </c:ext>
              </c:extLst>
              <c:f>'Fig B.2'!$B$11:$B$31</c:f>
              <c:strCache>
                <c:ptCount val="21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Monopensionnés FP</c:v>
                </c:pt>
                <c:pt idx="7">
                  <c:v>Q2 Monopensionnés FP</c:v>
                </c:pt>
                <c:pt idx="8">
                  <c:v>Q3 Monopensionnés FP</c:v>
                </c:pt>
                <c:pt idx="9">
                  <c:v>Q4 Monopensionnés FP</c:v>
                </c:pt>
                <c:pt idx="10">
                  <c:v>Q5 Monopensionnés FP</c:v>
                </c:pt>
                <c:pt idx="12">
                  <c:v>Q1 Polypensionnés RG+régimes alignés/FP</c:v>
                </c:pt>
                <c:pt idx="13">
                  <c:v>Q2 Polypensionnés RG+régimes alignés/FP</c:v>
                </c:pt>
                <c:pt idx="14">
                  <c:v>Q3 Polypensionnés RG+régimes alignés/FP</c:v>
                </c:pt>
                <c:pt idx="15">
                  <c:v>Q4 Polypensionnés RG+régimes alignés/FP</c:v>
                </c:pt>
                <c:pt idx="16">
                  <c:v>Q5 Polypensionnés RG+régimes alignés/FP</c:v>
                </c:pt>
                <c:pt idx="18">
                  <c:v>Femmes</c:v>
                </c:pt>
                <c:pt idx="19">
                  <c:v>Hommes </c:v>
                </c:pt>
                <c:pt idx="20">
                  <c:v>Ensemble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B.2'!$E$5:$E$31</c15:sqref>
                  </c15:fullRef>
                </c:ext>
              </c:extLst>
              <c:f>'Fig B.2'!$E$11:$E$31</c:f>
              <c:numCache>
                <c:formatCode>0%</c:formatCode>
                <c:ptCount val="21"/>
                <c:pt idx="0">
                  <c:v>3.7037037037037E-2</c:v>
                </c:pt>
                <c:pt idx="1">
                  <c:v>6.22710622710623E-2</c:v>
                </c:pt>
                <c:pt idx="2">
                  <c:v>8.2706766917293215E-2</c:v>
                </c:pt>
                <c:pt idx="3">
                  <c:v>0.119402985074627</c:v>
                </c:pt>
                <c:pt idx="4">
                  <c:v>6.7796610169491497E-2</c:v>
                </c:pt>
                <c:pt idx="6">
                  <c:v>0.2</c:v>
                </c:pt>
                <c:pt idx="7">
                  <c:v>0</c:v>
                </c:pt>
                <c:pt idx="8">
                  <c:v>0.15384615384615399</c:v>
                </c:pt>
                <c:pt idx="9">
                  <c:v>0.11111111111111099</c:v>
                </c:pt>
                <c:pt idx="10">
                  <c:v>6.6666666666666693E-2</c:v>
                </c:pt>
                <c:pt idx="12">
                  <c:v>9.0909090909090898E-2</c:v>
                </c:pt>
                <c:pt idx="13">
                  <c:v>0.145454545454545</c:v>
                </c:pt>
                <c:pt idx="14">
                  <c:v>0.15151515151515199</c:v>
                </c:pt>
                <c:pt idx="15">
                  <c:v>0.12068965517241401</c:v>
                </c:pt>
                <c:pt idx="16">
                  <c:v>0</c:v>
                </c:pt>
                <c:pt idx="18">
                  <c:v>9.5053346265761396E-2</c:v>
                </c:pt>
                <c:pt idx="19">
                  <c:v>5.4700854700854701E-2</c:v>
                </c:pt>
                <c:pt idx="20">
                  <c:v>8.0445544554455406E-2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735-4920-BA69-56D92DDAC917}"/>
            </c:ext>
          </c:extLst>
        </c:ser>
        <c:ser>
          <c:idx val="3"/>
          <c:order val="3"/>
          <c:tx>
            <c:strRef>
              <c:f>'Fig B.2'!$F$4</c:f>
              <c:strCache>
                <c:ptCount val="1"/>
                <c:pt idx="0">
                  <c:v>Entre - 1 % et + 1%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735-4920-BA69-56D92DDAC91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735-4920-BA69-56D92DDAC9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'Fig B.2'!$B$5:$B$31</c15:sqref>
                  </c15:fullRef>
                </c:ext>
              </c:extLst>
              <c:f>'Fig B.2'!$B$11:$B$31</c:f>
              <c:strCache>
                <c:ptCount val="21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Monopensionnés FP</c:v>
                </c:pt>
                <c:pt idx="7">
                  <c:v>Q2 Monopensionnés FP</c:v>
                </c:pt>
                <c:pt idx="8">
                  <c:v>Q3 Monopensionnés FP</c:v>
                </c:pt>
                <c:pt idx="9">
                  <c:v>Q4 Monopensionnés FP</c:v>
                </c:pt>
                <c:pt idx="10">
                  <c:v>Q5 Monopensionnés FP</c:v>
                </c:pt>
                <c:pt idx="12">
                  <c:v>Q1 Polypensionnés RG+régimes alignés/FP</c:v>
                </c:pt>
                <c:pt idx="13">
                  <c:v>Q2 Polypensionnés RG+régimes alignés/FP</c:v>
                </c:pt>
                <c:pt idx="14">
                  <c:v>Q3 Polypensionnés RG+régimes alignés/FP</c:v>
                </c:pt>
                <c:pt idx="15">
                  <c:v>Q4 Polypensionnés RG+régimes alignés/FP</c:v>
                </c:pt>
                <c:pt idx="16">
                  <c:v>Q5 Polypensionnés RG+régimes alignés/FP</c:v>
                </c:pt>
                <c:pt idx="18">
                  <c:v>Femmes</c:v>
                </c:pt>
                <c:pt idx="19">
                  <c:v>Hommes </c:v>
                </c:pt>
                <c:pt idx="20">
                  <c:v>Ensemble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B.2'!$F$5:$F$31</c15:sqref>
                  </c15:fullRef>
                </c:ext>
              </c:extLst>
              <c:f>'Fig B.2'!$F$11:$F$31</c:f>
              <c:numCache>
                <c:formatCode>0%</c:formatCode>
                <c:ptCount val="21"/>
                <c:pt idx="0">
                  <c:v>0.95473251028806605</c:v>
                </c:pt>
                <c:pt idx="1">
                  <c:v>0.93772893772893795</c:v>
                </c:pt>
                <c:pt idx="2">
                  <c:v>0.90977443609022601</c:v>
                </c:pt>
                <c:pt idx="3">
                  <c:v>0.72761194029850695</c:v>
                </c:pt>
                <c:pt idx="4">
                  <c:v>0.144067796610169</c:v>
                </c:pt>
                <c:pt idx="6">
                  <c:v>0.4</c:v>
                </c:pt>
                <c:pt idx="7">
                  <c:v>0.66666666666666696</c:v>
                </c:pt>
                <c:pt idx="8">
                  <c:v>0.38461538461538503</c:v>
                </c:pt>
                <c:pt idx="9">
                  <c:v>0</c:v>
                </c:pt>
                <c:pt idx="10">
                  <c:v>0</c:v>
                </c:pt>
                <c:pt idx="12">
                  <c:v>0.86363636363636398</c:v>
                </c:pt>
                <c:pt idx="13">
                  <c:v>0.81818181818181801</c:v>
                </c:pt>
                <c:pt idx="14">
                  <c:v>0.69696969696969702</c:v>
                </c:pt>
                <c:pt idx="15">
                  <c:v>0.25862068965517199</c:v>
                </c:pt>
                <c:pt idx="16">
                  <c:v>3.2258064516128997E-2</c:v>
                </c:pt>
                <c:pt idx="18">
                  <c:v>0.70417070805043702</c:v>
                </c:pt>
                <c:pt idx="19">
                  <c:v>0.663247863247863</c:v>
                </c:pt>
                <c:pt idx="20">
                  <c:v>0.68935643564356397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735-4920-BA69-56D92DDAC917}"/>
            </c:ext>
          </c:extLst>
        </c:ser>
        <c:ser>
          <c:idx val="4"/>
          <c:order val="4"/>
          <c:tx>
            <c:strRef>
              <c:f>'Fig B.2'!$G$4</c:f>
              <c:strCache>
                <c:ptCount val="1"/>
                <c:pt idx="0">
                  <c:v>Entre + 1 % et + 20 %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735-4920-BA69-56D92DDAC91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735-4920-BA69-56D92DDAC91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735-4920-BA69-56D92DDAC91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735-4920-BA69-56D92DDAC91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735-4920-BA69-56D92DDAC91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735-4920-BA69-56D92DDAC91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735-4920-BA69-56D92DDAC9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'Fig B.2'!$B$5:$B$31</c15:sqref>
                  </c15:fullRef>
                </c:ext>
              </c:extLst>
              <c:f>'Fig B.2'!$B$11:$B$31</c:f>
              <c:strCache>
                <c:ptCount val="21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Monopensionnés FP</c:v>
                </c:pt>
                <c:pt idx="7">
                  <c:v>Q2 Monopensionnés FP</c:v>
                </c:pt>
                <c:pt idx="8">
                  <c:v>Q3 Monopensionnés FP</c:v>
                </c:pt>
                <c:pt idx="9">
                  <c:v>Q4 Monopensionnés FP</c:v>
                </c:pt>
                <c:pt idx="10">
                  <c:v>Q5 Monopensionnés FP</c:v>
                </c:pt>
                <c:pt idx="12">
                  <c:v>Q1 Polypensionnés RG+régimes alignés/FP</c:v>
                </c:pt>
                <c:pt idx="13">
                  <c:v>Q2 Polypensionnés RG+régimes alignés/FP</c:v>
                </c:pt>
                <c:pt idx="14">
                  <c:v>Q3 Polypensionnés RG+régimes alignés/FP</c:v>
                </c:pt>
                <c:pt idx="15">
                  <c:v>Q4 Polypensionnés RG+régimes alignés/FP</c:v>
                </c:pt>
                <c:pt idx="16">
                  <c:v>Q5 Polypensionnés RG+régimes alignés/FP</c:v>
                </c:pt>
                <c:pt idx="18">
                  <c:v>Femmes</c:v>
                </c:pt>
                <c:pt idx="19">
                  <c:v>Hommes </c:v>
                </c:pt>
                <c:pt idx="20">
                  <c:v>Ensemble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B.2'!$G$5:$G$31</c15:sqref>
                  </c15:fullRef>
                </c:ext>
              </c:extLst>
              <c:f>'Fig B.2'!$G$11:$G$31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3.7593984962406E-3</c:v>
                </c:pt>
                <c:pt idx="3">
                  <c:v>8.9552238805970102E-2</c:v>
                </c:pt>
                <c:pt idx="4">
                  <c:v>6.7796610169491497E-2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0.12068965517241401</c:v>
                </c:pt>
                <c:pt idx="16">
                  <c:v>0</c:v>
                </c:pt>
                <c:pt idx="18">
                  <c:v>3.39476236663434E-2</c:v>
                </c:pt>
                <c:pt idx="19">
                  <c:v>2.2222222222222202E-2</c:v>
                </c:pt>
                <c:pt idx="20">
                  <c:v>2.9702970297029698E-2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735-4920-BA69-56D92DDAC917}"/>
            </c:ext>
          </c:extLst>
        </c:ser>
        <c:ser>
          <c:idx val="5"/>
          <c:order val="5"/>
          <c:tx>
            <c:strRef>
              <c:f>'Fig B.2'!$H$4</c:f>
              <c:strCache>
                <c:ptCount val="1"/>
                <c:pt idx="0">
                  <c:v>Plus de 20 %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'Fig B.2'!$B$5:$B$31</c15:sqref>
                  </c15:fullRef>
                </c:ext>
              </c:extLst>
              <c:f>'Fig B.2'!$B$11:$B$31</c:f>
              <c:strCache>
                <c:ptCount val="21"/>
                <c:pt idx="0">
                  <c:v>Q1 Monopensionnés RG+régimes alignés</c:v>
                </c:pt>
                <c:pt idx="1">
                  <c:v>Q2 Monopensionnés RG+régimes alignés</c:v>
                </c:pt>
                <c:pt idx="2">
                  <c:v>Q3 Monopensionnés RG+régimes alignés</c:v>
                </c:pt>
                <c:pt idx="3">
                  <c:v>Q4 Monopensionnés RG+régimes alignés</c:v>
                </c:pt>
                <c:pt idx="4">
                  <c:v>Q5 Monopensionnés RG+régimes alignés</c:v>
                </c:pt>
                <c:pt idx="6">
                  <c:v>Q1 Monopensionnés FP</c:v>
                </c:pt>
                <c:pt idx="7">
                  <c:v>Q2 Monopensionnés FP</c:v>
                </c:pt>
                <c:pt idx="8">
                  <c:v>Q3 Monopensionnés FP</c:v>
                </c:pt>
                <c:pt idx="9">
                  <c:v>Q4 Monopensionnés FP</c:v>
                </c:pt>
                <c:pt idx="10">
                  <c:v>Q5 Monopensionnés FP</c:v>
                </c:pt>
                <c:pt idx="12">
                  <c:v>Q1 Polypensionnés RG+régimes alignés/FP</c:v>
                </c:pt>
                <c:pt idx="13">
                  <c:v>Q2 Polypensionnés RG+régimes alignés/FP</c:v>
                </c:pt>
                <c:pt idx="14">
                  <c:v>Q3 Polypensionnés RG+régimes alignés/FP</c:v>
                </c:pt>
                <c:pt idx="15">
                  <c:v>Q4 Polypensionnés RG+régimes alignés/FP</c:v>
                </c:pt>
                <c:pt idx="16">
                  <c:v>Q5 Polypensionnés RG+régimes alignés/FP</c:v>
                </c:pt>
                <c:pt idx="18">
                  <c:v>Femmes</c:v>
                </c:pt>
                <c:pt idx="19">
                  <c:v>Hommes </c:v>
                </c:pt>
                <c:pt idx="20">
                  <c:v>Ensemble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B.2'!$H$5:$H$31</c15:sqref>
                  </c15:fullRef>
                </c:ext>
              </c:extLst>
              <c:f>'Fig B.2'!$H$11:$H$31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3.7313432835820899E-3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9.69932104752667E-4</c:v>
                </c:pt>
                <c:pt idx="19">
                  <c:v>0</c:v>
                </c:pt>
                <c:pt idx="20">
                  <c:v>6.1881188118811904E-4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735-4920-BA69-56D92DDA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3470799"/>
        <c:axId val="1443472239"/>
      </c:barChart>
      <c:catAx>
        <c:axId val="144347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3472239"/>
        <c:crosses val="autoZero"/>
        <c:auto val="1"/>
        <c:lblAlgn val="ctr"/>
        <c:lblOffset val="100"/>
        <c:noMultiLvlLbl val="0"/>
      </c:catAx>
      <c:valAx>
        <c:axId val="14434722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347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B.3'!$B$5</c:f>
              <c:strCache>
                <c:ptCount val="1"/>
                <c:pt idx="0">
                  <c:v>Ensemble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'Fig B.3'!$C$4:$AU$4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B.3'!$C$5:$AU$5</c:f>
              <c:numCache>
                <c:formatCode>0.0%</c:formatCode>
                <c:ptCount val="45"/>
                <c:pt idx="0">
                  <c:v>-3.0704571642165657E-2</c:v>
                </c:pt>
                <c:pt idx="1">
                  <c:v>-4.3378502115974271E-2</c:v>
                </c:pt>
                <c:pt idx="2">
                  <c:v>-5.6836076464906363E-2</c:v>
                </c:pt>
                <c:pt idx="3">
                  <c:v>-6.9268475987201553E-2</c:v>
                </c:pt>
                <c:pt idx="4">
                  <c:v>-8.083134598610682E-2</c:v>
                </c:pt>
                <c:pt idx="5">
                  <c:v>-9.1794981464646791E-2</c:v>
                </c:pt>
                <c:pt idx="6">
                  <c:v>-0.10038709771774162</c:v>
                </c:pt>
                <c:pt idx="7">
                  <c:v>-0.11063169944406413</c:v>
                </c:pt>
                <c:pt idx="8">
                  <c:v>-0.12044700853506948</c:v>
                </c:pt>
                <c:pt idx="9">
                  <c:v>-0.12735655606064031</c:v>
                </c:pt>
                <c:pt idx="10">
                  <c:v>-0.1331586030870632</c:v>
                </c:pt>
                <c:pt idx="11">
                  <c:v>-0.14005503553796281</c:v>
                </c:pt>
                <c:pt idx="12">
                  <c:v>-0.14404584411712237</c:v>
                </c:pt>
                <c:pt idx="13">
                  <c:v>-0.14954959496058029</c:v>
                </c:pt>
                <c:pt idx="14">
                  <c:v>-0.15285530097390548</c:v>
                </c:pt>
                <c:pt idx="15">
                  <c:v>-0.15624922942124897</c:v>
                </c:pt>
                <c:pt idx="16">
                  <c:v>-0.16043923947508631</c:v>
                </c:pt>
                <c:pt idx="17">
                  <c:v>-0.16056072829654866</c:v>
                </c:pt>
                <c:pt idx="18">
                  <c:v>-0.15945185485343205</c:v>
                </c:pt>
                <c:pt idx="19">
                  <c:v>-0.16077371099503382</c:v>
                </c:pt>
                <c:pt idx="20">
                  <c:v>-0.16329570651836628</c:v>
                </c:pt>
                <c:pt idx="21">
                  <c:v>-0.16513269893262081</c:v>
                </c:pt>
                <c:pt idx="22">
                  <c:v>-0.16673142452837145</c:v>
                </c:pt>
                <c:pt idx="23">
                  <c:v>-0.16895408382439045</c:v>
                </c:pt>
                <c:pt idx="24">
                  <c:v>-0.17026226153990928</c:v>
                </c:pt>
                <c:pt idx="25">
                  <c:v>-0.17078790236496999</c:v>
                </c:pt>
                <c:pt idx="26">
                  <c:v>-0.17158463062900337</c:v>
                </c:pt>
                <c:pt idx="27">
                  <c:v>-0.16823044851007948</c:v>
                </c:pt>
                <c:pt idx="28">
                  <c:v>-0.167788958959778</c:v>
                </c:pt>
                <c:pt idx="29">
                  <c:v>-0.16672204358291803</c:v>
                </c:pt>
                <c:pt idx="30">
                  <c:v>-0.16778706632079032</c:v>
                </c:pt>
                <c:pt idx="31">
                  <c:v>-0.16680140027761006</c:v>
                </c:pt>
                <c:pt idx="32">
                  <c:v>-0.16610076357014245</c:v>
                </c:pt>
                <c:pt idx="33">
                  <c:v>-0.16304922328342103</c:v>
                </c:pt>
                <c:pt idx="34">
                  <c:v>-0.16366807837218803</c:v>
                </c:pt>
                <c:pt idx="35">
                  <c:v>-0.16527258370793535</c:v>
                </c:pt>
                <c:pt idx="36">
                  <c:v>-0.16329354379228875</c:v>
                </c:pt>
                <c:pt idx="37">
                  <c:v>-0.16254364421543571</c:v>
                </c:pt>
                <c:pt idx="38">
                  <c:v>-0.16089381215840562</c:v>
                </c:pt>
                <c:pt idx="39">
                  <c:v>-0.16214914120078308</c:v>
                </c:pt>
                <c:pt idx="40">
                  <c:v>-0.16027612514775325</c:v>
                </c:pt>
                <c:pt idx="41">
                  <c:v>-0.15873163213627567</c:v>
                </c:pt>
                <c:pt idx="42">
                  <c:v>-0.15373023558639462</c:v>
                </c:pt>
                <c:pt idx="43">
                  <c:v>-0.15163627898965318</c:v>
                </c:pt>
                <c:pt idx="44">
                  <c:v>-0.14953307965090698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9-43B3-99F7-41F859B41DF5}"/>
            </c:ext>
          </c:extLst>
        </c:ser>
        <c:ser>
          <c:idx val="1"/>
          <c:order val="1"/>
          <c:tx>
            <c:strRef>
              <c:f>'Fig B.3'!$B$6</c:f>
              <c:strCache>
                <c:ptCount val="1"/>
                <c:pt idx="0">
                  <c:v>Agirc-Arrco</c:v>
                </c:pt>
              </c:strCache>
            </c:strRef>
          </c:tx>
          <c:spPr>
            <a:ln w="28575" cap="rnd">
              <a:solidFill>
                <a:srgbClr val="79297F"/>
              </a:solidFill>
              <a:round/>
            </a:ln>
            <a:effectLst/>
          </c:spPr>
          <c:marker>
            <c:symbol val="none"/>
          </c:marker>
          <c:cat>
            <c:numRef>
              <c:f>'Fig B.3'!$C$4:$AU$4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B.3'!$C$6:$AU$6</c:f>
              <c:numCache>
                <c:formatCode>0.0%</c:formatCode>
                <c:ptCount val="45"/>
                <c:pt idx="0">
                  <c:v>-4.4656562088068529E-2</c:v>
                </c:pt>
                <c:pt idx="1">
                  <c:v>-6.2687435406670988E-2</c:v>
                </c:pt>
                <c:pt idx="2">
                  <c:v>-8.1956179753954597E-2</c:v>
                </c:pt>
                <c:pt idx="3">
                  <c:v>-9.8367405993495943E-2</c:v>
                </c:pt>
                <c:pt idx="4">
                  <c:v>-0.11750875625365816</c:v>
                </c:pt>
                <c:pt idx="5">
                  <c:v>-0.1354221634639515</c:v>
                </c:pt>
                <c:pt idx="6">
                  <c:v>-0.14909980894488728</c:v>
                </c:pt>
                <c:pt idx="7">
                  <c:v>-0.16412636115714518</c:v>
                </c:pt>
                <c:pt idx="8">
                  <c:v>-0.17839525802770964</c:v>
                </c:pt>
                <c:pt idx="9">
                  <c:v>-0.19224580101084829</c:v>
                </c:pt>
                <c:pt idx="10">
                  <c:v>-0.20513616324246223</c:v>
                </c:pt>
                <c:pt idx="11">
                  <c:v>-0.21640317771127274</c:v>
                </c:pt>
                <c:pt idx="12">
                  <c:v>-0.22776629635157714</c:v>
                </c:pt>
                <c:pt idx="13">
                  <c:v>-0.23906179213856774</c:v>
                </c:pt>
                <c:pt idx="14">
                  <c:v>-0.24775891198805172</c:v>
                </c:pt>
                <c:pt idx="15">
                  <c:v>-0.25640321296965962</c:v>
                </c:pt>
                <c:pt idx="16">
                  <c:v>-0.26649295225402436</c:v>
                </c:pt>
                <c:pt idx="17">
                  <c:v>-0.27568773853777045</c:v>
                </c:pt>
                <c:pt idx="18">
                  <c:v>-0.28101219334634064</c:v>
                </c:pt>
                <c:pt idx="19">
                  <c:v>-0.28746895069347383</c:v>
                </c:pt>
                <c:pt idx="20">
                  <c:v>-0.29655306013677302</c:v>
                </c:pt>
                <c:pt idx="21">
                  <c:v>-0.30425637941524014</c:v>
                </c:pt>
                <c:pt idx="22">
                  <c:v>-0.30983369859487164</c:v>
                </c:pt>
                <c:pt idx="23">
                  <c:v>-0.31684890631723489</c:v>
                </c:pt>
                <c:pt idx="24">
                  <c:v>-0.32247633981918172</c:v>
                </c:pt>
                <c:pt idx="25">
                  <c:v>-0.32708582560373545</c:v>
                </c:pt>
                <c:pt idx="26">
                  <c:v>-0.3322873635584237</c:v>
                </c:pt>
                <c:pt idx="27">
                  <c:v>-0.33440863376175389</c:v>
                </c:pt>
                <c:pt idx="28">
                  <c:v>-0.33854787260357494</c:v>
                </c:pt>
                <c:pt idx="29">
                  <c:v>-0.34010788493559407</c:v>
                </c:pt>
                <c:pt idx="30">
                  <c:v>-0.34151442491467965</c:v>
                </c:pt>
                <c:pt idx="31">
                  <c:v>-0.34266190803743274</c:v>
                </c:pt>
                <c:pt idx="32">
                  <c:v>-0.34497822801583988</c:v>
                </c:pt>
                <c:pt idx="33">
                  <c:v>-0.34503528139798084</c:v>
                </c:pt>
                <c:pt idx="34">
                  <c:v>-0.34903720734246407</c:v>
                </c:pt>
                <c:pt idx="35">
                  <c:v>-0.35213983656678921</c:v>
                </c:pt>
                <c:pt idx="36">
                  <c:v>-0.35220691754324995</c:v>
                </c:pt>
                <c:pt idx="37">
                  <c:v>-0.35397333328343233</c:v>
                </c:pt>
                <c:pt idx="38">
                  <c:v>-0.35206246206779573</c:v>
                </c:pt>
                <c:pt idx="39">
                  <c:v>-0.35290578239359549</c:v>
                </c:pt>
                <c:pt idx="40">
                  <c:v>-0.35103383218220713</c:v>
                </c:pt>
                <c:pt idx="41">
                  <c:v>-0.34912830750359791</c:v>
                </c:pt>
                <c:pt idx="42">
                  <c:v>-0.34289709168078913</c:v>
                </c:pt>
                <c:pt idx="43">
                  <c:v>-0.33953369306639519</c:v>
                </c:pt>
                <c:pt idx="44">
                  <c:v>-0.33882095071980201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9-43B3-99F7-41F859B41DF5}"/>
            </c:ext>
          </c:extLst>
        </c:ser>
        <c:ser>
          <c:idx val="2"/>
          <c:order val="2"/>
          <c:tx>
            <c:strRef>
              <c:f>'Fig B.3'!$B$7</c:f>
              <c:strCache>
                <c:ptCount val="1"/>
                <c:pt idx="0">
                  <c:v>Fonction publique </c:v>
                </c:pt>
              </c:strCache>
            </c:strRef>
          </c:tx>
          <c:spPr>
            <a:ln w="28575" cap="rnd">
              <a:solidFill>
                <a:srgbClr val="F5A74B"/>
              </a:solidFill>
              <a:round/>
            </a:ln>
            <a:effectLst/>
          </c:spPr>
          <c:marker>
            <c:symbol val="none"/>
          </c:marker>
          <c:cat>
            <c:numRef>
              <c:f>'Fig B.3'!$C$4:$AU$4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B.3'!$C$7:$AU$7</c:f>
              <c:numCache>
                <c:formatCode>0.0%</c:formatCode>
                <c:ptCount val="45"/>
                <c:pt idx="0">
                  <c:v>-6.865741211933854E-2</c:v>
                </c:pt>
                <c:pt idx="1">
                  <c:v>-0.10573252793475234</c:v>
                </c:pt>
                <c:pt idx="2">
                  <c:v>-0.14640724260909846</c:v>
                </c:pt>
                <c:pt idx="3">
                  <c:v>-0.1803674136305243</c:v>
                </c:pt>
                <c:pt idx="4">
                  <c:v>-0.21304834850790405</c:v>
                </c:pt>
                <c:pt idx="5">
                  <c:v>-0.2406527225426322</c:v>
                </c:pt>
                <c:pt idx="6">
                  <c:v>-0.26601760879003644</c:v>
                </c:pt>
                <c:pt idx="7">
                  <c:v>-0.29465166788905439</c:v>
                </c:pt>
                <c:pt idx="8">
                  <c:v>-0.31929747843926626</c:v>
                </c:pt>
                <c:pt idx="9">
                  <c:v>-0.33758364093903848</c:v>
                </c:pt>
                <c:pt idx="10">
                  <c:v>-0.35432831039238327</c:v>
                </c:pt>
                <c:pt idx="11">
                  <c:v>-0.3746880793233896</c:v>
                </c:pt>
                <c:pt idx="12">
                  <c:v>-0.39010115797877565</c:v>
                </c:pt>
                <c:pt idx="13">
                  <c:v>-0.40910870608435845</c:v>
                </c:pt>
                <c:pt idx="14">
                  <c:v>-0.42098914112289798</c:v>
                </c:pt>
                <c:pt idx="15">
                  <c:v>-0.43261071212212504</c:v>
                </c:pt>
                <c:pt idx="16">
                  <c:v>-0.44144303248553907</c:v>
                </c:pt>
                <c:pt idx="17">
                  <c:v>-0.4454195504724176</c:v>
                </c:pt>
                <c:pt idx="18">
                  <c:v>-0.44876096929756693</c:v>
                </c:pt>
                <c:pt idx="19">
                  <c:v>-0.4579614545015448</c:v>
                </c:pt>
                <c:pt idx="20">
                  <c:v>-0.46511163006228018</c:v>
                </c:pt>
                <c:pt idx="21">
                  <c:v>-0.47480313181246958</c:v>
                </c:pt>
                <c:pt idx="22">
                  <c:v>-0.48464094279032166</c:v>
                </c:pt>
                <c:pt idx="23">
                  <c:v>-0.4930850284953508</c:v>
                </c:pt>
                <c:pt idx="24">
                  <c:v>-0.49758459362482316</c:v>
                </c:pt>
                <c:pt idx="25">
                  <c:v>-0.50082690977332778</c:v>
                </c:pt>
                <c:pt idx="26">
                  <c:v>-0.50490921539810396</c:v>
                </c:pt>
                <c:pt idx="27">
                  <c:v>-0.50032352902709254</c:v>
                </c:pt>
                <c:pt idx="28">
                  <c:v>-0.49939603759987178</c:v>
                </c:pt>
                <c:pt idx="29">
                  <c:v>-0.50162524375789497</c:v>
                </c:pt>
                <c:pt idx="30">
                  <c:v>-0.51136025865790358</c:v>
                </c:pt>
                <c:pt idx="31">
                  <c:v>-0.51128334282688026</c:v>
                </c:pt>
                <c:pt idx="32">
                  <c:v>-0.51140205330297606</c:v>
                </c:pt>
                <c:pt idx="33">
                  <c:v>-0.50603219904349062</c:v>
                </c:pt>
                <c:pt idx="34">
                  <c:v>-0.50966242552650265</c:v>
                </c:pt>
                <c:pt idx="35">
                  <c:v>-0.51456969673028796</c:v>
                </c:pt>
                <c:pt idx="36">
                  <c:v>-0.51065632542680572</c:v>
                </c:pt>
                <c:pt idx="37">
                  <c:v>-0.51069506073130289</c:v>
                </c:pt>
                <c:pt idx="38">
                  <c:v>-0.51647421883738087</c:v>
                </c:pt>
                <c:pt idx="39">
                  <c:v>-0.51839956893925787</c:v>
                </c:pt>
                <c:pt idx="40">
                  <c:v>-0.52366541943934908</c:v>
                </c:pt>
                <c:pt idx="41">
                  <c:v>-0.5202395734088453</c:v>
                </c:pt>
                <c:pt idx="42">
                  <c:v>-0.50675235158562937</c:v>
                </c:pt>
                <c:pt idx="43">
                  <c:v>-0.50388791927748822</c:v>
                </c:pt>
                <c:pt idx="44">
                  <c:v>-0.49895643965062841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39-43B3-99F7-41F859B41DF5}"/>
            </c:ext>
          </c:extLst>
        </c:ser>
        <c:ser>
          <c:idx val="3"/>
          <c:order val="3"/>
          <c:tx>
            <c:strRef>
              <c:f>'Fig B.3'!$B$8</c:f>
              <c:strCache>
                <c:ptCount val="1"/>
                <c:pt idx="0">
                  <c:v>Indépendants </c:v>
                </c:pt>
              </c:strCache>
            </c:strRef>
          </c:tx>
          <c:spPr>
            <a:ln w="28575" cap="rnd">
              <a:solidFill>
                <a:srgbClr val="C6D9F1"/>
              </a:solidFill>
              <a:round/>
            </a:ln>
            <a:effectLst/>
          </c:spPr>
          <c:marker>
            <c:symbol val="none"/>
          </c:marker>
          <c:cat>
            <c:numRef>
              <c:f>'Fig B.3'!$C$4:$AU$4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B.3'!$C$8:$AU$8</c:f>
              <c:numCache>
                <c:formatCode>0.0%</c:formatCode>
                <c:ptCount val="45"/>
                <c:pt idx="0">
                  <c:v>-1.1583652039564075E-3</c:v>
                </c:pt>
                <c:pt idx="1">
                  <c:v>3.4415548802684405E-3</c:v>
                </c:pt>
                <c:pt idx="2">
                  <c:v>9.6959528364253707E-3</c:v>
                </c:pt>
                <c:pt idx="3">
                  <c:v>1.3288655748293408E-2</c:v>
                </c:pt>
                <c:pt idx="4">
                  <c:v>1.8940285057305103E-2</c:v>
                </c:pt>
                <c:pt idx="5">
                  <c:v>2.2493383106749802E-2</c:v>
                </c:pt>
                <c:pt idx="6">
                  <c:v>2.507421376912965E-2</c:v>
                </c:pt>
                <c:pt idx="7">
                  <c:v>2.961592448067623E-2</c:v>
                </c:pt>
                <c:pt idx="8">
                  <c:v>3.319016057184624E-2</c:v>
                </c:pt>
                <c:pt idx="9">
                  <c:v>3.7202741397444408E-2</c:v>
                </c:pt>
                <c:pt idx="10">
                  <c:v>4.3352677714223221E-2</c:v>
                </c:pt>
                <c:pt idx="11">
                  <c:v>4.6728714985474429E-2</c:v>
                </c:pt>
                <c:pt idx="12">
                  <c:v>5.0833450643090347E-2</c:v>
                </c:pt>
                <c:pt idx="13">
                  <c:v>5.2809672354538664E-2</c:v>
                </c:pt>
                <c:pt idx="14">
                  <c:v>5.5463501677461599E-2</c:v>
                </c:pt>
                <c:pt idx="15">
                  <c:v>5.8986480009508326E-2</c:v>
                </c:pt>
                <c:pt idx="16">
                  <c:v>6.3068149917818894E-2</c:v>
                </c:pt>
                <c:pt idx="17">
                  <c:v>6.4176289114149979E-2</c:v>
                </c:pt>
                <c:pt idx="18">
                  <c:v>6.3235975030014893E-2</c:v>
                </c:pt>
                <c:pt idx="19">
                  <c:v>6.5374659217874817E-2</c:v>
                </c:pt>
                <c:pt idx="20">
                  <c:v>6.4271675205405165E-2</c:v>
                </c:pt>
                <c:pt idx="21">
                  <c:v>6.5324516874486357E-2</c:v>
                </c:pt>
                <c:pt idx="22">
                  <c:v>6.5774915259237121E-2</c:v>
                </c:pt>
                <c:pt idx="23">
                  <c:v>6.7467744311214176E-2</c:v>
                </c:pt>
                <c:pt idx="24">
                  <c:v>6.7905360858414171E-2</c:v>
                </c:pt>
                <c:pt idx="25">
                  <c:v>6.8570100242171347E-2</c:v>
                </c:pt>
                <c:pt idx="26">
                  <c:v>6.8814033622946358E-2</c:v>
                </c:pt>
                <c:pt idx="27">
                  <c:v>6.8247020863104496E-2</c:v>
                </c:pt>
                <c:pt idx="28">
                  <c:v>6.6754292529489126E-2</c:v>
                </c:pt>
                <c:pt idx="29">
                  <c:v>6.9764899673257663E-2</c:v>
                </c:pt>
                <c:pt idx="30">
                  <c:v>7.0195884178739565E-2</c:v>
                </c:pt>
                <c:pt idx="31">
                  <c:v>6.6811155118980628E-2</c:v>
                </c:pt>
                <c:pt idx="32">
                  <c:v>6.6804816810752579E-2</c:v>
                </c:pt>
                <c:pt idx="33">
                  <c:v>6.3534635574482495E-2</c:v>
                </c:pt>
                <c:pt idx="34">
                  <c:v>6.7191867652459214E-2</c:v>
                </c:pt>
                <c:pt idx="35">
                  <c:v>6.8511034703341925E-2</c:v>
                </c:pt>
                <c:pt idx="36">
                  <c:v>6.6777747821276892E-2</c:v>
                </c:pt>
                <c:pt idx="37">
                  <c:v>6.5696874088436746E-2</c:v>
                </c:pt>
                <c:pt idx="38">
                  <c:v>7.0878767951954386E-2</c:v>
                </c:pt>
                <c:pt idx="39">
                  <c:v>7.1851748440839663E-2</c:v>
                </c:pt>
                <c:pt idx="40">
                  <c:v>7.2772356351676726E-2</c:v>
                </c:pt>
                <c:pt idx="41">
                  <c:v>6.8615139539581746E-2</c:v>
                </c:pt>
                <c:pt idx="42">
                  <c:v>6.9457076924355432E-2</c:v>
                </c:pt>
                <c:pt idx="43">
                  <c:v>6.8850482310738079E-2</c:v>
                </c:pt>
                <c:pt idx="44">
                  <c:v>6.7170841030371603E-2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39-43B3-99F7-41F859B41DF5}"/>
            </c:ext>
          </c:extLst>
        </c:ser>
        <c:ser>
          <c:idx val="4"/>
          <c:order val="4"/>
          <c:tx>
            <c:strRef>
              <c:f>'Fig B.3'!$B$9</c:f>
              <c:strCache>
                <c:ptCount val="1"/>
                <c:pt idx="0">
                  <c:v>Régime général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 B.3'!$C$4:$AU$4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B.3'!$C$9:$AU$9</c:f>
              <c:numCache>
                <c:formatCode>0.0%</c:formatCode>
                <c:ptCount val="45"/>
                <c:pt idx="0">
                  <c:v>8.069960192351372E-3</c:v>
                </c:pt>
                <c:pt idx="1">
                  <c:v>1.7846598669479755E-2</c:v>
                </c:pt>
                <c:pt idx="2">
                  <c:v>2.9394300718987878E-2</c:v>
                </c:pt>
                <c:pt idx="3">
                  <c:v>3.7429093573726271E-2</c:v>
                </c:pt>
                <c:pt idx="4">
                  <c:v>4.8968212361155443E-2</c:v>
                </c:pt>
                <c:pt idx="5">
                  <c:v>5.8477573222135676E-2</c:v>
                </c:pt>
                <c:pt idx="6">
                  <c:v>6.709832409170241E-2</c:v>
                </c:pt>
                <c:pt idx="7">
                  <c:v>7.5097725437840476E-2</c:v>
                </c:pt>
                <c:pt idx="8">
                  <c:v>8.1972742840827881E-2</c:v>
                </c:pt>
                <c:pt idx="9">
                  <c:v>8.953449650858375E-2</c:v>
                </c:pt>
                <c:pt idx="10">
                  <c:v>9.5735647591171244E-2</c:v>
                </c:pt>
                <c:pt idx="11">
                  <c:v>0.10212606828070701</c:v>
                </c:pt>
                <c:pt idx="12">
                  <c:v>0.10875041948104774</c:v>
                </c:pt>
                <c:pt idx="13">
                  <c:v>0.11477957029426954</c:v>
                </c:pt>
                <c:pt idx="14">
                  <c:v>0.11879159387067469</c:v>
                </c:pt>
                <c:pt idx="15">
                  <c:v>0.12237286086692348</c:v>
                </c:pt>
                <c:pt idx="16">
                  <c:v>0.12386639352149151</c:v>
                </c:pt>
                <c:pt idx="17">
                  <c:v>0.12719116033868608</c:v>
                </c:pt>
                <c:pt idx="18">
                  <c:v>0.12941673797486111</c:v>
                </c:pt>
                <c:pt idx="19">
                  <c:v>0.13209623133701157</c:v>
                </c:pt>
                <c:pt idx="20">
                  <c:v>0.13248528467477544</c:v>
                </c:pt>
                <c:pt idx="21">
                  <c:v>0.13538534852259759</c:v>
                </c:pt>
                <c:pt idx="22">
                  <c:v>0.13767364801137566</c:v>
                </c:pt>
                <c:pt idx="23">
                  <c:v>0.13804504823745739</c:v>
                </c:pt>
                <c:pt idx="24">
                  <c:v>0.13780573733597742</c:v>
                </c:pt>
                <c:pt idx="25">
                  <c:v>0.13815956707721694</c:v>
                </c:pt>
                <c:pt idx="26">
                  <c:v>0.13806787553284702</c:v>
                </c:pt>
                <c:pt idx="27">
                  <c:v>0.14105875754690161</c:v>
                </c:pt>
                <c:pt idx="28">
                  <c:v>0.13987070163189108</c:v>
                </c:pt>
                <c:pt idx="29">
                  <c:v>0.1399131542161183</c:v>
                </c:pt>
                <c:pt idx="30">
                  <c:v>0.13975245721571605</c:v>
                </c:pt>
                <c:pt idx="31">
                  <c:v>0.13706795004217631</c:v>
                </c:pt>
                <c:pt idx="32">
                  <c:v>0.13551854358080012</c:v>
                </c:pt>
                <c:pt idx="33">
                  <c:v>0.13431084905515309</c:v>
                </c:pt>
                <c:pt idx="34">
                  <c:v>0.13615536754584712</c:v>
                </c:pt>
                <c:pt idx="35">
                  <c:v>0.13583979320469092</c:v>
                </c:pt>
                <c:pt idx="36">
                  <c:v>0.13548953124529628</c:v>
                </c:pt>
                <c:pt idx="37">
                  <c:v>0.13553074080852162</c:v>
                </c:pt>
                <c:pt idx="38">
                  <c:v>0.13286882755654539</c:v>
                </c:pt>
                <c:pt idx="39">
                  <c:v>0.13153789473699584</c:v>
                </c:pt>
                <c:pt idx="40">
                  <c:v>0.13174401144239756</c:v>
                </c:pt>
                <c:pt idx="41">
                  <c:v>0.1288159792840656</c:v>
                </c:pt>
                <c:pt idx="42">
                  <c:v>0.12545828534195835</c:v>
                </c:pt>
                <c:pt idx="43">
                  <c:v>0.12128778974319235</c:v>
                </c:pt>
                <c:pt idx="44">
                  <c:v>0.12095547513439556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39-43B3-99F7-41F859B41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324143"/>
        <c:axId val="1769323183"/>
      </c:lineChart>
      <c:catAx>
        <c:axId val="17693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323183"/>
        <c:crosses val="autoZero"/>
        <c:auto val="1"/>
        <c:lblAlgn val="ctr"/>
        <c:lblOffset val="100"/>
        <c:noMultiLvlLbl val="0"/>
      </c:catAx>
      <c:valAx>
        <c:axId val="17693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3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C.1'!$B$5</c:f>
              <c:strCache>
                <c:ptCount val="1"/>
                <c:pt idx="0">
                  <c:v>Ensemble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'Fig C.1'!$C$4:$AU$4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C.1'!$C$5:$AU$5</c:f>
              <c:numCache>
                <c:formatCode>0.0%</c:formatCode>
                <c:ptCount val="45"/>
                <c:pt idx="0">
                  <c:v>2.1253013030897553E-2</c:v>
                </c:pt>
                <c:pt idx="1">
                  <c:v>1.5818797756781078E-2</c:v>
                </c:pt>
                <c:pt idx="2">
                  <c:v>9.4699720682811239E-3</c:v>
                </c:pt>
                <c:pt idx="3">
                  <c:v>2.6476176689773398E-3</c:v>
                </c:pt>
                <c:pt idx="4">
                  <c:v>-2.6673121756013323E-3</c:v>
                </c:pt>
                <c:pt idx="5">
                  <c:v>-9.0474657347264821E-3</c:v>
                </c:pt>
                <c:pt idx="6">
                  <c:v>-1.3894951232308429E-2</c:v>
                </c:pt>
                <c:pt idx="7">
                  <c:v>-2.0178471604899995E-2</c:v>
                </c:pt>
                <c:pt idx="8">
                  <c:v>-2.6143127005629395E-2</c:v>
                </c:pt>
                <c:pt idx="9">
                  <c:v>-3.1072288049727701E-2</c:v>
                </c:pt>
                <c:pt idx="10">
                  <c:v>-3.7291339291371281E-2</c:v>
                </c:pt>
                <c:pt idx="11">
                  <c:v>-4.4168088091503348E-2</c:v>
                </c:pt>
                <c:pt idx="12">
                  <c:v>-4.7847712110049352E-2</c:v>
                </c:pt>
                <c:pt idx="13">
                  <c:v>-5.3856395613095728E-2</c:v>
                </c:pt>
                <c:pt idx="14">
                  <c:v>-5.7437351925758585E-2</c:v>
                </c:pt>
                <c:pt idx="15">
                  <c:v>-6.2805156620252392E-2</c:v>
                </c:pt>
                <c:pt idx="16">
                  <c:v>-6.8656448244040449E-2</c:v>
                </c:pt>
                <c:pt idx="17">
                  <c:v>-7.2921034184151343E-2</c:v>
                </c:pt>
                <c:pt idx="18">
                  <c:v>-7.5833660989836627E-2</c:v>
                </c:pt>
                <c:pt idx="19">
                  <c:v>-7.9059883124465602E-2</c:v>
                </c:pt>
                <c:pt idx="20">
                  <c:v>-8.2342251028798857E-2</c:v>
                </c:pt>
                <c:pt idx="21">
                  <c:v>-8.6354505599430725E-2</c:v>
                </c:pt>
                <c:pt idx="22">
                  <c:v>-8.9314816647843381E-2</c:v>
                </c:pt>
                <c:pt idx="23">
                  <c:v>-9.3896059727104228E-2</c:v>
                </c:pt>
                <c:pt idx="24">
                  <c:v>-9.6434019356842135E-2</c:v>
                </c:pt>
                <c:pt idx="25">
                  <c:v>-0.1003746975783812</c:v>
                </c:pt>
                <c:pt idx="26">
                  <c:v>-0.10356924269422167</c:v>
                </c:pt>
                <c:pt idx="27">
                  <c:v>-0.10452772753994544</c:v>
                </c:pt>
                <c:pt idx="28">
                  <c:v>-0.10658494972392507</c:v>
                </c:pt>
                <c:pt idx="29">
                  <c:v>-0.10909810682102136</c:v>
                </c:pt>
                <c:pt idx="30">
                  <c:v>-0.11083896562391532</c:v>
                </c:pt>
                <c:pt idx="31">
                  <c:v>-0.11253012296338637</c:v>
                </c:pt>
                <c:pt idx="32">
                  <c:v>-0.11443877473729483</c:v>
                </c:pt>
                <c:pt idx="33">
                  <c:v>-0.1142568270038619</c:v>
                </c:pt>
                <c:pt idx="34">
                  <c:v>-0.11568310177965836</c:v>
                </c:pt>
                <c:pt idx="35">
                  <c:v>-0.11623378095171745</c:v>
                </c:pt>
                <c:pt idx="36">
                  <c:v>-0.11876099102434669</c:v>
                </c:pt>
                <c:pt idx="37">
                  <c:v>-0.11881175751226315</c:v>
                </c:pt>
                <c:pt idx="38">
                  <c:v>-0.12137943004380519</c:v>
                </c:pt>
                <c:pt idx="39">
                  <c:v>-0.12270270814824941</c:v>
                </c:pt>
                <c:pt idx="40">
                  <c:v>-0.12514484762226299</c:v>
                </c:pt>
                <c:pt idx="41">
                  <c:v>-0.12626856470264713</c:v>
                </c:pt>
                <c:pt idx="42">
                  <c:v>-0.12582101095334391</c:v>
                </c:pt>
                <c:pt idx="43">
                  <c:v>-0.12732019497429595</c:v>
                </c:pt>
                <c:pt idx="44">
                  <c:v>-0.1287411115417974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2-475E-A644-8A34FF8E6A68}"/>
            </c:ext>
          </c:extLst>
        </c:ser>
        <c:ser>
          <c:idx val="1"/>
          <c:order val="1"/>
          <c:tx>
            <c:strRef>
              <c:f>'Fig C.1'!$B$6</c:f>
              <c:strCache>
                <c:ptCount val="1"/>
                <c:pt idx="0">
                  <c:v>Agirc-Arrco</c:v>
                </c:pt>
              </c:strCache>
            </c:strRef>
          </c:tx>
          <c:spPr>
            <a:ln w="28575" cap="rnd">
              <a:solidFill>
                <a:srgbClr val="79297F"/>
              </a:solidFill>
              <a:round/>
            </a:ln>
            <a:effectLst/>
          </c:spPr>
          <c:marker>
            <c:symbol val="none"/>
          </c:marker>
          <c:cat>
            <c:numRef>
              <c:f>'Fig C.1'!$C$4:$AU$4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C.1'!$C$6:$AU$6</c:f>
              <c:numCache>
                <c:formatCode>0.0%</c:formatCode>
                <c:ptCount val="45"/>
                <c:pt idx="0">
                  <c:v>-1.7043157099453445E-2</c:v>
                </c:pt>
                <c:pt idx="1">
                  <c:v>-3.2283198589736932E-2</c:v>
                </c:pt>
                <c:pt idx="2">
                  <c:v>-4.9077900116340847E-2</c:v>
                </c:pt>
                <c:pt idx="3">
                  <c:v>-6.3841733446089649E-2</c:v>
                </c:pt>
                <c:pt idx="4">
                  <c:v>-8.0334764143677545E-2</c:v>
                </c:pt>
                <c:pt idx="5">
                  <c:v>-9.6693970638288426E-2</c:v>
                </c:pt>
                <c:pt idx="6">
                  <c:v>-0.11000475087862514</c:v>
                </c:pt>
                <c:pt idx="7">
                  <c:v>-0.12474977084813879</c:v>
                </c:pt>
                <c:pt idx="8">
                  <c:v>-0.1380977709396369</c:v>
                </c:pt>
                <c:pt idx="9">
                  <c:v>-0.15009385975348694</c:v>
                </c:pt>
                <c:pt idx="10">
                  <c:v>-0.16056990577295036</c:v>
                </c:pt>
                <c:pt idx="11">
                  <c:v>-0.1724277812481273</c:v>
                </c:pt>
                <c:pt idx="12">
                  <c:v>-0.18150727101343955</c:v>
                </c:pt>
                <c:pt idx="13">
                  <c:v>-0.19281324116340653</c:v>
                </c:pt>
                <c:pt idx="14">
                  <c:v>-0.20045880691614879</c:v>
                </c:pt>
                <c:pt idx="15">
                  <c:v>-0.21032472985261394</c:v>
                </c:pt>
                <c:pt idx="16">
                  <c:v>-0.22066429639276941</c:v>
                </c:pt>
                <c:pt idx="17">
                  <c:v>-0.23023655690870032</c:v>
                </c:pt>
                <c:pt idx="18">
                  <c:v>-0.23634219166871764</c:v>
                </c:pt>
                <c:pt idx="19">
                  <c:v>-0.24198177189388675</c:v>
                </c:pt>
                <c:pt idx="20">
                  <c:v>-0.25103832299735057</c:v>
                </c:pt>
                <c:pt idx="21">
                  <c:v>-0.25750024493852741</c:v>
                </c:pt>
                <c:pt idx="22">
                  <c:v>-0.26408743122710487</c:v>
                </c:pt>
                <c:pt idx="23">
                  <c:v>-0.26890269941621903</c:v>
                </c:pt>
                <c:pt idx="24">
                  <c:v>-0.27394434750186347</c:v>
                </c:pt>
                <c:pt idx="25">
                  <c:v>-0.27923773651580563</c:v>
                </c:pt>
                <c:pt idx="26">
                  <c:v>-0.28543109511735615</c:v>
                </c:pt>
                <c:pt idx="27">
                  <c:v>-0.28777254391873858</c:v>
                </c:pt>
                <c:pt idx="28">
                  <c:v>-0.29129728674909089</c:v>
                </c:pt>
                <c:pt idx="29">
                  <c:v>-0.29367208894084357</c:v>
                </c:pt>
                <c:pt idx="30">
                  <c:v>-0.29487437803597688</c:v>
                </c:pt>
                <c:pt idx="31">
                  <c:v>-0.29671927754783201</c:v>
                </c:pt>
                <c:pt idx="32">
                  <c:v>-0.29919355468662656</c:v>
                </c:pt>
                <c:pt idx="33">
                  <c:v>-0.29944618834576942</c:v>
                </c:pt>
                <c:pt idx="34">
                  <c:v>-0.30238788813547496</c:v>
                </c:pt>
                <c:pt idx="35">
                  <c:v>-0.30337155577697639</c:v>
                </c:pt>
                <c:pt idx="36">
                  <c:v>-0.3039116068387363</c:v>
                </c:pt>
                <c:pt idx="37">
                  <c:v>-0.30598452091830297</c:v>
                </c:pt>
                <c:pt idx="38">
                  <c:v>-0.30543501964824887</c:v>
                </c:pt>
                <c:pt idx="39">
                  <c:v>-0.30582734537061074</c:v>
                </c:pt>
                <c:pt idx="40">
                  <c:v>-0.3059451522562866</c:v>
                </c:pt>
                <c:pt idx="41">
                  <c:v>-0.3043544432107585</c:v>
                </c:pt>
                <c:pt idx="42">
                  <c:v>-0.3015748927940593</c:v>
                </c:pt>
                <c:pt idx="43">
                  <c:v>-0.30035117535698269</c:v>
                </c:pt>
                <c:pt idx="44">
                  <c:v>-0.3012406512249925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2-475E-A644-8A34FF8E6A68}"/>
            </c:ext>
          </c:extLst>
        </c:ser>
        <c:ser>
          <c:idx val="2"/>
          <c:order val="2"/>
          <c:tx>
            <c:strRef>
              <c:f>'Fig C.1'!$B$7</c:f>
              <c:strCache>
                <c:ptCount val="1"/>
                <c:pt idx="0">
                  <c:v>Fonction publique </c:v>
                </c:pt>
              </c:strCache>
            </c:strRef>
          </c:tx>
          <c:spPr>
            <a:ln w="28575" cap="rnd">
              <a:solidFill>
                <a:srgbClr val="F5A74B"/>
              </a:solidFill>
              <a:round/>
            </a:ln>
            <a:effectLst/>
          </c:spPr>
          <c:marker>
            <c:symbol val="none"/>
          </c:marker>
          <c:cat>
            <c:numRef>
              <c:f>'Fig C.1'!$C$4:$AU$4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C.1'!$C$7:$AU$7</c:f>
              <c:numCache>
                <c:formatCode>0.0%</c:formatCode>
                <c:ptCount val="45"/>
                <c:pt idx="0">
                  <c:v>-1.380183389491876E-2</c:v>
                </c:pt>
                <c:pt idx="1">
                  <c:v>-2.595061332894024E-2</c:v>
                </c:pt>
                <c:pt idx="2">
                  <c:v>-3.8946945500887058E-2</c:v>
                </c:pt>
                <c:pt idx="3">
                  <c:v>-5.2471380246305113E-2</c:v>
                </c:pt>
                <c:pt idx="4">
                  <c:v>-6.399509598379878E-2</c:v>
                </c:pt>
                <c:pt idx="5">
                  <c:v>-7.3847143932407058E-2</c:v>
                </c:pt>
                <c:pt idx="6">
                  <c:v>-8.1684768363495572E-2</c:v>
                </c:pt>
                <c:pt idx="7">
                  <c:v>-9.2445970878946432E-2</c:v>
                </c:pt>
                <c:pt idx="8">
                  <c:v>-0.10368310314510595</c:v>
                </c:pt>
                <c:pt idx="9">
                  <c:v>-0.1114048210218728</c:v>
                </c:pt>
                <c:pt idx="10">
                  <c:v>-0.12327878060700939</c:v>
                </c:pt>
                <c:pt idx="11">
                  <c:v>-0.13465381409314103</c:v>
                </c:pt>
                <c:pt idx="12">
                  <c:v>-0.14298839702726496</c:v>
                </c:pt>
                <c:pt idx="13">
                  <c:v>-0.15377099469508607</c:v>
                </c:pt>
                <c:pt idx="14">
                  <c:v>-0.16084775550475258</c:v>
                </c:pt>
                <c:pt idx="15">
                  <c:v>-0.16837454946292871</c:v>
                </c:pt>
                <c:pt idx="16">
                  <c:v>-0.17629686865058708</c:v>
                </c:pt>
                <c:pt idx="17">
                  <c:v>-0.18153264070036576</c:v>
                </c:pt>
                <c:pt idx="18">
                  <c:v>-0.18680789824997193</c:v>
                </c:pt>
                <c:pt idx="19">
                  <c:v>-0.19644170044124026</c:v>
                </c:pt>
                <c:pt idx="20">
                  <c:v>-0.20209144210763458</c:v>
                </c:pt>
                <c:pt idx="21">
                  <c:v>-0.21222085695450538</c:v>
                </c:pt>
                <c:pt idx="22">
                  <c:v>-0.2163107725508045</c:v>
                </c:pt>
                <c:pt idx="23">
                  <c:v>-0.22840129529443298</c:v>
                </c:pt>
                <c:pt idx="24">
                  <c:v>-0.23415982623064996</c:v>
                </c:pt>
                <c:pt idx="25">
                  <c:v>-0.23909704269263157</c:v>
                </c:pt>
                <c:pt idx="26">
                  <c:v>-0.24274091103526332</c:v>
                </c:pt>
                <c:pt idx="27">
                  <c:v>-0.24415443862589337</c:v>
                </c:pt>
                <c:pt idx="28">
                  <c:v>-0.24541110416879044</c:v>
                </c:pt>
                <c:pt idx="29">
                  <c:v>-0.24816733636227545</c:v>
                </c:pt>
                <c:pt idx="30">
                  <c:v>-0.25318224713026422</c:v>
                </c:pt>
                <c:pt idx="31">
                  <c:v>-0.2553796617391037</c:v>
                </c:pt>
                <c:pt idx="32">
                  <c:v>-0.25737663926635423</c:v>
                </c:pt>
                <c:pt idx="33">
                  <c:v>-0.25737737362431889</c:v>
                </c:pt>
                <c:pt idx="34">
                  <c:v>-0.25997775113049382</c:v>
                </c:pt>
                <c:pt idx="35">
                  <c:v>-0.26142146478804756</c:v>
                </c:pt>
                <c:pt idx="36">
                  <c:v>-0.26359026858673562</c:v>
                </c:pt>
                <c:pt idx="37">
                  <c:v>-0.26234618570516677</c:v>
                </c:pt>
                <c:pt idx="38">
                  <c:v>-0.26861326265432278</c:v>
                </c:pt>
                <c:pt idx="39">
                  <c:v>-0.26849337633265702</c:v>
                </c:pt>
                <c:pt idx="40">
                  <c:v>-0.27212752940816032</c:v>
                </c:pt>
                <c:pt idx="41">
                  <c:v>-0.26988782111245213</c:v>
                </c:pt>
                <c:pt idx="42">
                  <c:v>-0.26058270853868987</c:v>
                </c:pt>
                <c:pt idx="43">
                  <c:v>-0.2568986262518882</c:v>
                </c:pt>
                <c:pt idx="44">
                  <c:v>-0.25794604772119617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72-475E-A644-8A34FF8E6A68}"/>
            </c:ext>
          </c:extLst>
        </c:ser>
        <c:ser>
          <c:idx val="3"/>
          <c:order val="3"/>
          <c:tx>
            <c:strRef>
              <c:f>'Fig C.1'!$B$8</c:f>
              <c:strCache>
                <c:ptCount val="1"/>
                <c:pt idx="0">
                  <c:v>Indépendants </c:v>
                </c:pt>
              </c:strCache>
            </c:strRef>
          </c:tx>
          <c:spPr>
            <a:ln w="28575" cap="rnd">
              <a:solidFill>
                <a:srgbClr val="C6D9F1"/>
              </a:solidFill>
              <a:round/>
            </a:ln>
            <a:effectLst/>
          </c:spPr>
          <c:marker>
            <c:symbol val="none"/>
          </c:marker>
          <c:cat>
            <c:numRef>
              <c:f>'Fig C.1'!$C$4:$AU$4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C.1'!$C$8:$AU$8</c:f>
              <c:numCache>
                <c:formatCode>0.0%</c:formatCode>
                <c:ptCount val="45"/>
                <c:pt idx="0">
                  <c:v>2.2054164944115495E-2</c:v>
                </c:pt>
                <c:pt idx="1">
                  <c:v>1.4435341782280533E-2</c:v>
                </c:pt>
                <c:pt idx="2">
                  <c:v>7.0864989830562945E-3</c:v>
                </c:pt>
                <c:pt idx="3">
                  <c:v>-1.2076500202165558E-4</c:v>
                </c:pt>
                <c:pt idx="4">
                  <c:v>-3.3451635139148139E-3</c:v>
                </c:pt>
                <c:pt idx="5">
                  <c:v>-9.5070011510687107E-3</c:v>
                </c:pt>
                <c:pt idx="6">
                  <c:v>-1.3333414220634672E-2</c:v>
                </c:pt>
                <c:pt idx="7">
                  <c:v>-1.8536316909290671E-2</c:v>
                </c:pt>
                <c:pt idx="8">
                  <c:v>-2.7581184742703595E-2</c:v>
                </c:pt>
                <c:pt idx="9">
                  <c:v>-3.4808463006332002E-2</c:v>
                </c:pt>
                <c:pt idx="10">
                  <c:v>-4.5494659640448104E-2</c:v>
                </c:pt>
                <c:pt idx="11">
                  <c:v>-4.7128703628373222E-2</c:v>
                </c:pt>
                <c:pt idx="12">
                  <c:v>-5.1496708809964452E-2</c:v>
                </c:pt>
                <c:pt idx="13">
                  <c:v>-5.7931253698148714E-2</c:v>
                </c:pt>
                <c:pt idx="14">
                  <c:v>-6.4580008107900141E-2</c:v>
                </c:pt>
                <c:pt idx="15">
                  <c:v>-6.5093137427178122E-2</c:v>
                </c:pt>
                <c:pt idx="16">
                  <c:v>-7.3792009402674302E-2</c:v>
                </c:pt>
                <c:pt idx="17">
                  <c:v>-7.5550169564050959E-2</c:v>
                </c:pt>
                <c:pt idx="18">
                  <c:v>-8.2014413506320022E-2</c:v>
                </c:pt>
                <c:pt idx="19">
                  <c:v>-8.24036611552946E-2</c:v>
                </c:pt>
                <c:pt idx="20">
                  <c:v>-8.161721325108677E-2</c:v>
                </c:pt>
                <c:pt idx="21">
                  <c:v>-9.1658852955721445E-2</c:v>
                </c:pt>
                <c:pt idx="22">
                  <c:v>-9.7140744146070448E-2</c:v>
                </c:pt>
                <c:pt idx="23">
                  <c:v>-0.10371709456375051</c:v>
                </c:pt>
                <c:pt idx="24">
                  <c:v>-9.7950536040170996E-2</c:v>
                </c:pt>
                <c:pt idx="25">
                  <c:v>-0.10140236137972856</c:v>
                </c:pt>
                <c:pt idx="26">
                  <c:v>-9.8510306969779957E-2</c:v>
                </c:pt>
                <c:pt idx="27">
                  <c:v>-9.5937554034048092E-2</c:v>
                </c:pt>
                <c:pt idx="28">
                  <c:v>-9.7734699993460683E-2</c:v>
                </c:pt>
                <c:pt idx="29">
                  <c:v>-9.986673530031126E-2</c:v>
                </c:pt>
                <c:pt idx="30">
                  <c:v>-9.9622118248591907E-2</c:v>
                </c:pt>
                <c:pt idx="31">
                  <c:v>-0.10362822541294361</c:v>
                </c:pt>
                <c:pt idx="32">
                  <c:v>-0.10920414192942633</c:v>
                </c:pt>
                <c:pt idx="33">
                  <c:v>-0.11555507372230248</c:v>
                </c:pt>
                <c:pt idx="34">
                  <c:v>-0.11593472286542474</c:v>
                </c:pt>
                <c:pt idx="35">
                  <c:v>-0.11226553381430704</c:v>
                </c:pt>
                <c:pt idx="36">
                  <c:v>-0.12018265354096537</c:v>
                </c:pt>
                <c:pt idx="37">
                  <c:v>-0.11591729903045099</c:v>
                </c:pt>
                <c:pt idx="38">
                  <c:v>-0.12635496325289045</c:v>
                </c:pt>
                <c:pt idx="39">
                  <c:v>-0.13200157301395596</c:v>
                </c:pt>
                <c:pt idx="40">
                  <c:v>-0.13591898793412571</c:v>
                </c:pt>
                <c:pt idx="41">
                  <c:v>-0.141836858215383</c:v>
                </c:pt>
                <c:pt idx="42">
                  <c:v>-0.14719673073054645</c:v>
                </c:pt>
                <c:pt idx="43">
                  <c:v>-0.14697714634259024</c:v>
                </c:pt>
                <c:pt idx="44">
                  <c:v>-0.14833793153878932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72-475E-A644-8A34FF8E6A68}"/>
            </c:ext>
          </c:extLst>
        </c:ser>
        <c:ser>
          <c:idx val="4"/>
          <c:order val="4"/>
          <c:tx>
            <c:strRef>
              <c:f>'Fig C.1'!$B$9</c:f>
              <c:strCache>
                <c:ptCount val="1"/>
                <c:pt idx="0">
                  <c:v>Régime général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 C.1'!$C$4:$AU$4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C.1'!$C$9:$AU$9</c:f>
              <c:numCache>
                <c:formatCode>0.0%</c:formatCode>
                <c:ptCount val="45"/>
                <c:pt idx="0">
                  <c:v>8.9657278714650249E-2</c:v>
                </c:pt>
                <c:pt idx="1">
                  <c:v>0.10055708072165345</c:v>
                </c:pt>
                <c:pt idx="2">
                  <c:v>0.11112249904599279</c:v>
                </c:pt>
                <c:pt idx="3">
                  <c:v>0.11860704561658454</c:v>
                </c:pt>
                <c:pt idx="4">
                  <c:v>0.13020052724419784</c:v>
                </c:pt>
                <c:pt idx="5">
                  <c:v>0.13788684028416517</c:v>
                </c:pt>
                <c:pt idx="6">
                  <c:v>0.14396101381554116</c:v>
                </c:pt>
                <c:pt idx="7">
                  <c:v>0.14952589146913303</c:v>
                </c:pt>
                <c:pt idx="8">
                  <c:v>0.15694633114969961</c:v>
                </c:pt>
                <c:pt idx="9">
                  <c:v>0.16134362912930572</c:v>
                </c:pt>
                <c:pt idx="10">
                  <c:v>0.16278684844887412</c:v>
                </c:pt>
                <c:pt idx="11">
                  <c:v>0.16294987619789172</c:v>
                </c:pt>
                <c:pt idx="12">
                  <c:v>0.16557319020687464</c:v>
                </c:pt>
                <c:pt idx="13">
                  <c:v>0.16710246816474281</c:v>
                </c:pt>
                <c:pt idx="14">
                  <c:v>0.16834427272119298</c:v>
                </c:pt>
                <c:pt idx="15">
                  <c:v>0.16489812671084339</c:v>
                </c:pt>
                <c:pt idx="16">
                  <c:v>0.16381212764598363</c:v>
                </c:pt>
                <c:pt idx="17">
                  <c:v>0.16079231070825206</c:v>
                </c:pt>
                <c:pt idx="18">
                  <c:v>0.15857958729572014</c:v>
                </c:pt>
                <c:pt idx="19">
                  <c:v>0.1583323302714478</c:v>
                </c:pt>
                <c:pt idx="20">
                  <c:v>0.15736081068778582</c:v>
                </c:pt>
                <c:pt idx="21">
                  <c:v>0.1575277751161013</c:v>
                </c:pt>
                <c:pt idx="22">
                  <c:v>0.15549233694600062</c:v>
                </c:pt>
                <c:pt idx="23">
                  <c:v>0.15285480013917954</c:v>
                </c:pt>
                <c:pt idx="24">
                  <c:v>0.14990813596789831</c:v>
                </c:pt>
                <c:pt idx="25">
                  <c:v>0.14387818370360819</c:v>
                </c:pt>
                <c:pt idx="26">
                  <c:v>0.13979758907549275</c:v>
                </c:pt>
                <c:pt idx="27">
                  <c:v>0.13714219632547087</c:v>
                </c:pt>
                <c:pt idx="28">
                  <c:v>0.13218479969035771</c:v>
                </c:pt>
                <c:pt idx="29">
                  <c:v>0.12647049917204761</c:v>
                </c:pt>
                <c:pt idx="30">
                  <c:v>0.12406568655844304</c:v>
                </c:pt>
                <c:pt idx="31">
                  <c:v>0.11917531348408193</c:v>
                </c:pt>
                <c:pt idx="32">
                  <c:v>0.11540895387479602</c:v>
                </c:pt>
                <c:pt idx="33">
                  <c:v>0.11386873863553065</c:v>
                </c:pt>
                <c:pt idx="34">
                  <c:v>0.11342206910215921</c:v>
                </c:pt>
                <c:pt idx="35">
                  <c:v>0.11224845084266528</c:v>
                </c:pt>
                <c:pt idx="36">
                  <c:v>0.10713830143979919</c:v>
                </c:pt>
                <c:pt idx="37">
                  <c:v>0.10571332859496466</c:v>
                </c:pt>
                <c:pt idx="38">
                  <c:v>9.9225332322991397E-2</c:v>
                </c:pt>
                <c:pt idx="39">
                  <c:v>9.6768678860465931E-2</c:v>
                </c:pt>
                <c:pt idx="40">
                  <c:v>9.0519691753397344E-2</c:v>
                </c:pt>
                <c:pt idx="41">
                  <c:v>8.3705842866983529E-2</c:v>
                </c:pt>
                <c:pt idx="42">
                  <c:v>7.6171324765027471E-2</c:v>
                </c:pt>
                <c:pt idx="43">
                  <c:v>6.6354167698902705E-2</c:v>
                </c:pt>
                <c:pt idx="44">
                  <c:v>6.2522063678684361E-2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72-475E-A644-8A34FF8E6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324143"/>
        <c:axId val="1769323183"/>
      </c:lineChart>
      <c:catAx>
        <c:axId val="17693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323183"/>
        <c:crosses val="autoZero"/>
        <c:auto val="1"/>
        <c:lblAlgn val="ctr"/>
        <c:lblOffset val="100"/>
        <c:noMultiLvlLbl val="0"/>
      </c:catAx>
      <c:valAx>
        <c:axId val="17693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3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C.2'!$B$5</c:f>
              <c:strCache>
                <c:ptCount val="1"/>
                <c:pt idx="0">
                  <c:v>Masses de prestations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'Fig C.2'!$C$4:$AU$4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C.2'!$C$5:$AU$5</c:f>
              <c:numCache>
                <c:formatCode>0.0%</c:formatCode>
                <c:ptCount val="45"/>
                <c:pt idx="0">
                  <c:v>-4.2801161725683545E-2</c:v>
                </c:pt>
                <c:pt idx="1">
                  <c:v>-4.5636858930551527E-2</c:v>
                </c:pt>
                <c:pt idx="2">
                  <c:v>-4.8695389891580586E-2</c:v>
                </c:pt>
                <c:pt idx="3">
                  <c:v>-5.2599867311210122E-2</c:v>
                </c:pt>
                <c:pt idx="4">
                  <c:v>-5.5355911569526094E-2</c:v>
                </c:pt>
                <c:pt idx="5">
                  <c:v>-5.7589210980655156E-2</c:v>
                </c:pt>
                <c:pt idx="6">
                  <c:v>-6.0880008553224341E-2</c:v>
                </c:pt>
                <c:pt idx="7">
                  <c:v>-6.27238500330531E-2</c:v>
                </c:pt>
                <c:pt idx="8">
                  <c:v>-6.5710103225778235E-2</c:v>
                </c:pt>
                <c:pt idx="9">
                  <c:v>-6.8536583668402706E-2</c:v>
                </c:pt>
                <c:pt idx="10">
                  <c:v>-7.1016565624623829E-2</c:v>
                </c:pt>
                <c:pt idx="11">
                  <c:v>-7.3233953059302373E-2</c:v>
                </c:pt>
                <c:pt idx="12">
                  <c:v>-7.4329780118954789E-2</c:v>
                </c:pt>
                <c:pt idx="13">
                  <c:v>-7.6447114146916934E-2</c:v>
                </c:pt>
                <c:pt idx="14">
                  <c:v>-7.7495507977329542E-2</c:v>
                </c:pt>
                <c:pt idx="15">
                  <c:v>-7.9642001137965629E-2</c:v>
                </c:pt>
                <c:pt idx="16">
                  <c:v>-8.1291285528103704E-2</c:v>
                </c:pt>
                <c:pt idx="17">
                  <c:v>-8.3043603865520246E-2</c:v>
                </c:pt>
                <c:pt idx="18">
                  <c:v>-8.4059899313714548E-2</c:v>
                </c:pt>
                <c:pt idx="19">
                  <c:v>-8.5402454144512557E-2</c:v>
                </c:pt>
                <c:pt idx="20">
                  <c:v>-8.6199427785804805E-2</c:v>
                </c:pt>
                <c:pt idx="21">
                  <c:v>-8.5023113849192034E-2</c:v>
                </c:pt>
                <c:pt idx="22">
                  <c:v>-8.5767074027035956E-2</c:v>
                </c:pt>
                <c:pt idx="23">
                  <c:v>-8.6037571476403979E-2</c:v>
                </c:pt>
                <c:pt idx="24">
                  <c:v>-8.7479289363463539E-2</c:v>
                </c:pt>
                <c:pt idx="25">
                  <c:v>-8.7474296153375555E-2</c:v>
                </c:pt>
                <c:pt idx="26">
                  <c:v>-8.6337820520994091E-2</c:v>
                </c:pt>
                <c:pt idx="27">
                  <c:v>-8.5135595941084621E-2</c:v>
                </c:pt>
                <c:pt idx="28">
                  <c:v>-8.4545525809243099E-2</c:v>
                </c:pt>
                <c:pt idx="29">
                  <c:v>-8.4536311607898387E-2</c:v>
                </c:pt>
                <c:pt idx="30">
                  <c:v>-8.4209238856731178E-2</c:v>
                </c:pt>
                <c:pt idx="31">
                  <c:v>-8.3053516754816342E-2</c:v>
                </c:pt>
                <c:pt idx="32">
                  <c:v>-8.1158086088477119E-2</c:v>
                </c:pt>
                <c:pt idx="33">
                  <c:v>-7.8640667815520773E-2</c:v>
                </c:pt>
                <c:pt idx="34">
                  <c:v>-7.7455387884598229E-2</c:v>
                </c:pt>
                <c:pt idx="35">
                  <c:v>-7.6681523729689394E-2</c:v>
                </c:pt>
                <c:pt idx="36">
                  <c:v>-7.4644459805765589E-2</c:v>
                </c:pt>
                <c:pt idx="37">
                  <c:v>-7.2565701099418067E-2</c:v>
                </c:pt>
                <c:pt idx="38">
                  <c:v>-7.136508154798922E-2</c:v>
                </c:pt>
                <c:pt idx="39">
                  <c:v>-6.9396210221614213E-2</c:v>
                </c:pt>
                <c:pt idx="40">
                  <c:v>-6.6814441746948394E-2</c:v>
                </c:pt>
                <c:pt idx="41">
                  <c:v>-6.582479750378735E-2</c:v>
                </c:pt>
                <c:pt idx="42">
                  <c:v>-6.5568056465414234E-2</c:v>
                </c:pt>
                <c:pt idx="43">
                  <c:v>-6.502086974721745E-2</c:v>
                </c:pt>
                <c:pt idx="44">
                  <c:v>-6.4369192028999045E-2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7-4830-A746-57B9E2ED3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048255"/>
        <c:axId val="1921049215"/>
      </c:lineChart>
      <c:catAx>
        <c:axId val="192104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1049215"/>
        <c:crosses val="autoZero"/>
        <c:auto val="1"/>
        <c:lblAlgn val="ctr"/>
        <c:lblOffset val="100"/>
        <c:noMultiLvlLbl val="0"/>
      </c:catAx>
      <c:valAx>
        <c:axId val="19210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104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'Fig C.2'!$B$6</c:f>
              <c:strCache>
                <c:ptCount val="1"/>
                <c:pt idx="0">
                  <c:v>Effectifs de bénéficiaires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'Fig C.2'!$C$4:$AU$4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C.2'!$C$6:$AU$6</c:f>
              <c:numCache>
                <c:formatCode>0.0%</c:formatCode>
                <c:ptCount val="45"/>
                <c:pt idx="0">
                  <c:v>5.2431950022317061E-3</c:v>
                </c:pt>
                <c:pt idx="1">
                  <c:v>6.6129480411237802E-3</c:v>
                </c:pt>
                <c:pt idx="2">
                  <c:v>8.6506143589181184E-3</c:v>
                </c:pt>
                <c:pt idx="3">
                  <c:v>9.4313757745244694E-3</c:v>
                </c:pt>
                <c:pt idx="4">
                  <c:v>1.0780203626067754E-2</c:v>
                </c:pt>
                <c:pt idx="5">
                  <c:v>1.2170166935920636E-2</c:v>
                </c:pt>
                <c:pt idx="6">
                  <c:v>1.3570777235428228E-2</c:v>
                </c:pt>
                <c:pt idx="7">
                  <c:v>1.5014375465875562E-2</c:v>
                </c:pt>
                <c:pt idx="8">
                  <c:v>1.5871336366528137E-2</c:v>
                </c:pt>
                <c:pt idx="9">
                  <c:v>1.7124189894100261E-2</c:v>
                </c:pt>
                <c:pt idx="10">
                  <c:v>1.769772905247477E-2</c:v>
                </c:pt>
                <c:pt idx="11">
                  <c:v>1.8402688033090656E-2</c:v>
                </c:pt>
                <c:pt idx="12">
                  <c:v>1.9869942196540397E-2</c:v>
                </c:pt>
                <c:pt idx="13">
                  <c:v>2.0186973494973948E-2</c:v>
                </c:pt>
                <c:pt idx="14">
                  <c:v>2.2047486894860337E-2</c:v>
                </c:pt>
                <c:pt idx="15">
                  <c:v>2.2762227007082313E-2</c:v>
                </c:pt>
                <c:pt idx="16">
                  <c:v>2.3126687382212071E-2</c:v>
                </c:pt>
                <c:pt idx="17">
                  <c:v>2.396824589080384E-2</c:v>
                </c:pt>
                <c:pt idx="18">
                  <c:v>2.5869120654407666E-2</c:v>
                </c:pt>
                <c:pt idx="19">
                  <c:v>2.6356192425804142E-2</c:v>
                </c:pt>
                <c:pt idx="20">
                  <c:v>2.7269926047667769E-2</c:v>
                </c:pt>
                <c:pt idx="21">
                  <c:v>2.8168288789340235E-2</c:v>
                </c:pt>
                <c:pt idx="22">
                  <c:v>2.8130484154034314E-2</c:v>
                </c:pt>
                <c:pt idx="23">
                  <c:v>2.8575841828865519E-2</c:v>
                </c:pt>
                <c:pt idx="24">
                  <c:v>2.8102564102574858E-2</c:v>
                </c:pt>
                <c:pt idx="25">
                  <c:v>2.8430920547114866E-2</c:v>
                </c:pt>
                <c:pt idx="26">
                  <c:v>2.9916500179304941E-2</c:v>
                </c:pt>
                <c:pt idx="27">
                  <c:v>2.9707542329411325E-2</c:v>
                </c:pt>
                <c:pt idx="28">
                  <c:v>2.9298972235017037E-2</c:v>
                </c:pt>
                <c:pt idx="29">
                  <c:v>2.9455458224487082E-2</c:v>
                </c:pt>
                <c:pt idx="30">
                  <c:v>2.8950727597662772E-2</c:v>
                </c:pt>
                <c:pt idx="31">
                  <c:v>2.9311137210858412E-2</c:v>
                </c:pt>
                <c:pt idx="32">
                  <c:v>2.9026837093253807E-2</c:v>
                </c:pt>
                <c:pt idx="33">
                  <c:v>2.8950175224756191E-2</c:v>
                </c:pt>
                <c:pt idx="34">
                  <c:v>2.8374194203349853E-2</c:v>
                </c:pt>
                <c:pt idx="35">
                  <c:v>2.8393562101438678E-2</c:v>
                </c:pt>
                <c:pt idx="36">
                  <c:v>2.8414252548715786E-2</c:v>
                </c:pt>
                <c:pt idx="37">
                  <c:v>2.9192296057286401E-2</c:v>
                </c:pt>
                <c:pt idx="38">
                  <c:v>3.0086176485421418E-2</c:v>
                </c:pt>
                <c:pt idx="39">
                  <c:v>3.0452261306543695E-2</c:v>
                </c:pt>
                <c:pt idx="40">
                  <c:v>3.0984507746139187E-2</c:v>
                </c:pt>
                <c:pt idx="41">
                  <c:v>3.1032931887472689E-2</c:v>
                </c:pt>
                <c:pt idx="42">
                  <c:v>3.1251560081885454E-2</c:v>
                </c:pt>
                <c:pt idx="43">
                  <c:v>3.1273231897719023E-2</c:v>
                </c:pt>
                <c:pt idx="44">
                  <c:v>3.0803461063052814E-2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E-46B4-9623-8C9144A1A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999295"/>
        <c:axId val="1921005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C.2'!$B$5</c15:sqref>
                        </c15:formulaRef>
                      </c:ext>
                    </c:extLst>
                    <c:strCache>
                      <c:ptCount val="1"/>
                      <c:pt idx="0">
                        <c:v>Masses de prestations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'Fig C.2'!$C$4:$AU$4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  <c:pt idx="5">
                        <c:v>2031</c:v>
                      </c:pt>
                      <c:pt idx="6">
                        <c:v>2032</c:v>
                      </c:pt>
                      <c:pt idx="7">
                        <c:v>2033</c:v>
                      </c:pt>
                      <c:pt idx="8">
                        <c:v>2034</c:v>
                      </c:pt>
                      <c:pt idx="9">
                        <c:v>2035</c:v>
                      </c:pt>
                      <c:pt idx="10">
                        <c:v>2036</c:v>
                      </c:pt>
                      <c:pt idx="11">
                        <c:v>2037</c:v>
                      </c:pt>
                      <c:pt idx="12">
                        <c:v>2038</c:v>
                      </c:pt>
                      <c:pt idx="13">
                        <c:v>2039</c:v>
                      </c:pt>
                      <c:pt idx="14">
                        <c:v>2040</c:v>
                      </c:pt>
                      <c:pt idx="15">
                        <c:v>2041</c:v>
                      </c:pt>
                      <c:pt idx="16">
                        <c:v>2042</c:v>
                      </c:pt>
                      <c:pt idx="17">
                        <c:v>2043</c:v>
                      </c:pt>
                      <c:pt idx="18">
                        <c:v>2044</c:v>
                      </c:pt>
                      <c:pt idx="19">
                        <c:v>2045</c:v>
                      </c:pt>
                      <c:pt idx="20">
                        <c:v>2046</c:v>
                      </c:pt>
                      <c:pt idx="21">
                        <c:v>2047</c:v>
                      </c:pt>
                      <c:pt idx="22">
                        <c:v>2048</c:v>
                      </c:pt>
                      <c:pt idx="23">
                        <c:v>2049</c:v>
                      </c:pt>
                      <c:pt idx="24">
                        <c:v>2050</c:v>
                      </c:pt>
                      <c:pt idx="25">
                        <c:v>2051</c:v>
                      </c:pt>
                      <c:pt idx="26">
                        <c:v>2052</c:v>
                      </c:pt>
                      <c:pt idx="27">
                        <c:v>2053</c:v>
                      </c:pt>
                      <c:pt idx="28">
                        <c:v>2054</c:v>
                      </c:pt>
                      <c:pt idx="29">
                        <c:v>2055</c:v>
                      </c:pt>
                      <c:pt idx="30">
                        <c:v>2056</c:v>
                      </c:pt>
                      <c:pt idx="31">
                        <c:v>2057</c:v>
                      </c:pt>
                      <c:pt idx="32">
                        <c:v>2058</c:v>
                      </c:pt>
                      <c:pt idx="33">
                        <c:v>2059</c:v>
                      </c:pt>
                      <c:pt idx="34">
                        <c:v>2060</c:v>
                      </c:pt>
                      <c:pt idx="35">
                        <c:v>2061</c:v>
                      </c:pt>
                      <c:pt idx="36">
                        <c:v>2062</c:v>
                      </c:pt>
                      <c:pt idx="37">
                        <c:v>2063</c:v>
                      </c:pt>
                      <c:pt idx="38">
                        <c:v>2064</c:v>
                      </c:pt>
                      <c:pt idx="39">
                        <c:v>2065</c:v>
                      </c:pt>
                      <c:pt idx="40">
                        <c:v>2066</c:v>
                      </c:pt>
                      <c:pt idx="41">
                        <c:v>2067</c:v>
                      </c:pt>
                      <c:pt idx="42">
                        <c:v>2068</c:v>
                      </c:pt>
                      <c:pt idx="43">
                        <c:v>2069</c:v>
                      </c:pt>
                      <c:pt idx="44">
                        <c:v>2070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'Fig C.2'!$C$5:$AU$5</c15:sqref>
                        </c15:formulaRef>
                      </c:ext>
                    </c:extLst>
                    <c:numCache>
                      <c:formatCode>0.0%</c:formatCode>
                      <c:ptCount val="45"/>
                      <c:pt idx="0">
                        <c:v>-4.2801161725683545E-2</c:v>
                      </c:pt>
                      <c:pt idx="1">
                        <c:v>-4.5636858930551527E-2</c:v>
                      </c:pt>
                      <c:pt idx="2">
                        <c:v>-4.8695389891580586E-2</c:v>
                      </c:pt>
                      <c:pt idx="3">
                        <c:v>-5.2599867311210122E-2</c:v>
                      </c:pt>
                      <c:pt idx="4">
                        <c:v>-5.5355911569526094E-2</c:v>
                      </c:pt>
                      <c:pt idx="5">
                        <c:v>-5.7589210980655156E-2</c:v>
                      </c:pt>
                      <c:pt idx="6">
                        <c:v>-6.0880008553224341E-2</c:v>
                      </c:pt>
                      <c:pt idx="7">
                        <c:v>-6.27238500330531E-2</c:v>
                      </c:pt>
                      <c:pt idx="8">
                        <c:v>-6.5710103225778235E-2</c:v>
                      </c:pt>
                      <c:pt idx="9">
                        <c:v>-6.8536583668402706E-2</c:v>
                      </c:pt>
                      <c:pt idx="10">
                        <c:v>-7.1016565624623829E-2</c:v>
                      </c:pt>
                      <c:pt idx="11">
                        <c:v>-7.3233953059302373E-2</c:v>
                      </c:pt>
                      <c:pt idx="12">
                        <c:v>-7.4329780118954789E-2</c:v>
                      </c:pt>
                      <c:pt idx="13">
                        <c:v>-7.6447114146916934E-2</c:v>
                      </c:pt>
                      <c:pt idx="14">
                        <c:v>-7.7495507977329542E-2</c:v>
                      </c:pt>
                      <c:pt idx="15">
                        <c:v>-7.9642001137965629E-2</c:v>
                      </c:pt>
                      <c:pt idx="16">
                        <c:v>-8.1291285528103704E-2</c:v>
                      </c:pt>
                      <c:pt idx="17">
                        <c:v>-8.3043603865520246E-2</c:v>
                      </c:pt>
                      <c:pt idx="18">
                        <c:v>-8.4059899313714548E-2</c:v>
                      </c:pt>
                      <c:pt idx="19">
                        <c:v>-8.5402454144512557E-2</c:v>
                      </c:pt>
                      <c:pt idx="20">
                        <c:v>-8.6199427785804805E-2</c:v>
                      </c:pt>
                      <c:pt idx="21">
                        <c:v>-8.5023113849192034E-2</c:v>
                      </c:pt>
                      <c:pt idx="22">
                        <c:v>-8.5767074027035956E-2</c:v>
                      </c:pt>
                      <c:pt idx="23">
                        <c:v>-8.6037571476403979E-2</c:v>
                      </c:pt>
                      <c:pt idx="24">
                        <c:v>-8.7479289363463539E-2</c:v>
                      </c:pt>
                      <c:pt idx="25">
                        <c:v>-8.7474296153375555E-2</c:v>
                      </c:pt>
                      <c:pt idx="26">
                        <c:v>-8.6337820520994091E-2</c:v>
                      </c:pt>
                      <c:pt idx="27">
                        <c:v>-8.5135595941084621E-2</c:v>
                      </c:pt>
                      <c:pt idx="28">
                        <c:v>-8.4545525809243099E-2</c:v>
                      </c:pt>
                      <c:pt idx="29">
                        <c:v>-8.4536311607898387E-2</c:v>
                      </c:pt>
                      <c:pt idx="30">
                        <c:v>-8.4209238856731178E-2</c:v>
                      </c:pt>
                      <c:pt idx="31">
                        <c:v>-8.3053516754816342E-2</c:v>
                      </c:pt>
                      <c:pt idx="32">
                        <c:v>-8.1158086088477119E-2</c:v>
                      </c:pt>
                      <c:pt idx="33">
                        <c:v>-7.8640667815520773E-2</c:v>
                      </c:pt>
                      <c:pt idx="34">
                        <c:v>-7.7455387884598229E-2</c:v>
                      </c:pt>
                      <c:pt idx="35">
                        <c:v>-7.6681523729689394E-2</c:v>
                      </c:pt>
                      <c:pt idx="36">
                        <c:v>-7.4644459805765589E-2</c:v>
                      </c:pt>
                      <c:pt idx="37">
                        <c:v>-7.2565701099418067E-2</c:v>
                      </c:pt>
                      <c:pt idx="38">
                        <c:v>-7.136508154798922E-2</c:v>
                      </c:pt>
                      <c:pt idx="39">
                        <c:v>-6.9396210221614213E-2</c:v>
                      </c:pt>
                      <c:pt idx="40">
                        <c:v>-6.6814441746948394E-2</c:v>
                      </c:pt>
                      <c:pt idx="41">
                        <c:v>-6.582479750378735E-2</c:v>
                      </c:pt>
                      <c:pt idx="42">
                        <c:v>-6.5568056465414234E-2</c:v>
                      </c:pt>
                      <c:pt idx="43">
                        <c:v>-6.502086974721745E-2</c:v>
                      </c:pt>
                      <c:pt idx="44">
                        <c:v>-6.4369192028999045E-2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D1E-46B4-9623-8C9144A1A378}"/>
                  </c:ext>
                </c:extLst>
              </c15:ser>
            </c15:filteredLineSeries>
          </c:ext>
        </c:extLst>
      </c:lineChart>
      <c:catAx>
        <c:axId val="19209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1005055"/>
        <c:crosses val="autoZero"/>
        <c:auto val="1"/>
        <c:lblAlgn val="ctr"/>
        <c:lblOffset val="100"/>
        <c:noMultiLvlLbl val="0"/>
      </c:catAx>
      <c:valAx>
        <c:axId val="192100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99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C.3'!$B$5</c:f>
              <c:strCache>
                <c:ptCount val="1"/>
                <c:pt idx="0">
                  <c:v>Ensemble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'Fig C.3'!$C$4:$AU$4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C.3'!$C$5:$AU$5</c:f>
              <c:numCache>
                <c:formatCode>0.0%</c:formatCode>
                <c:ptCount val="45"/>
                <c:pt idx="0">
                  <c:v>-4.2801161725683545E-2</c:v>
                </c:pt>
                <c:pt idx="1">
                  <c:v>-4.5636858930551527E-2</c:v>
                </c:pt>
                <c:pt idx="2">
                  <c:v>-4.8695389891580586E-2</c:v>
                </c:pt>
                <c:pt idx="3">
                  <c:v>-5.2599867311210122E-2</c:v>
                </c:pt>
                <c:pt idx="4">
                  <c:v>-5.5355911569526094E-2</c:v>
                </c:pt>
                <c:pt idx="5">
                  <c:v>-5.7589210980655156E-2</c:v>
                </c:pt>
                <c:pt idx="6">
                  <c:v>-6.0880008553224341E-2</c:v>
                </c:pt>
                <c:pt idx="7">
                  <c:v>-6.27238500330531E-2</c:v>
                </c:pt>
                <c:pt idx="8">
                  <c:v>-6.5710103225778235E-2</c:v>
                </c:pt>
                <c:pt idx="9">
                  <c:v>-6.8536583668402706E-2</c:v>
                </c:pt>
                <c:pt idx="10">
                  <c:v>-7.1016565624623829E-2</c:v>
                </c:pt>
                <c:pt idx="11">
                  <c:v>-7.3233953059302373E-2</c:v>
                </c:pt>
                <c:pt idx="12">
                  <c:v>-7.4329780118954789E-2</c:v>
                </c:pt>
                <c:pt idx="13">
                  <c:v>-7.6447114146916934E-2</c:v>
                </c:pt>
                <c:pt idx="14">
                  <c:v>-7.7495507977329542E-2</c:v>
                </c:pt>
                <c:pt idx="15">
                  <c:v>-7.9642001137965629E-2</c:v>
                </c:pt>
                <c:pt idx="16">
                  <c:v>-8.1291285528103704E-2</c:v>
                </c:pt>
                <c:pt idx="17">
                  <c:v>-8.3043603865520246E-2</c:v>
                </c:pt>
                <c:pt idx="18">
                  <c:v>-8.4059899313714548E-2</c:v>
                </c:pt>
                <c:pt idx="19">
                  <c:v>-8.5402454144512557E-2</c:v>
                </c:pt>
                <c:pt idx="20">
                  <c:v>-8.6199427785804805E-2</c:v>
                </c:pt>
                <c:pt idx="21">
                  <c:v>-8.5023113849192034E-2</c:v>
                </c:pt>
                <c:pt idx="22">
                  <c:v>-8.5767074027035956E-2</c:v>
                </c:pt>
                <c:pt idx="23">
                  <c:v>-8.6037571476403979E-2</c:v>
                </c:pt>
                <c:pt idx="24">
                  <c:v>-8.7479289363463539E-2</c:v>
                </c:pt>
                <c:pt idx="25">
                  <c:v>-8.7474296153375555E-2</c:v>
                </c:pt>
                <c:pt idx="26">
                  <c:v>-8.6337820520994091E-2</c:v>
                </c:pt>
                <c:pt idx="27">
                  <c:v>-8.5135595941084621E-2</c:v>
                </c:pt>
                <c:pt idx="28">
                  <c:v>-8.4545525809243099E-2</c:v>
                </c:pt>
                <c:pt idx="29">
                  <c:v>-8.4536311607898387E-2</c:v>
                </c:pt>
                <c:pt idx="30">
                  <c:v>-8.4209238856731178E-2</c:v>
                </c:pt>
                <c:pt idx="31">
                  <c:v>-8.3053516754816342E-2</c:v>
                </c:pt>
                <c:pt idx="32">
                  <c:v>-8.1158086088477119E-2</c:v>
                </c:pt>
                <c:pt idx="33">
                  <c:v>-7.8640667815520773E-2</c:v>
                </c:pt>
                <c:pt idx="34">
                  <c:v>-7.7455387884598229E-2</c:v>
                </c:pt>
                <c:pt idx="35">
                  <c:v>-7.6681523729689394E-2</c:v>
                </c:pt>
                <c:pt idx="36">
                  <c:v>-7.4644459805765589E-2</c:v>
                </c:pt>
                <c:pt idx="37">
                  <c:v>-7.2565701099418067E-2</c:v>
                </c:pt>
                <c:pt idx="38">
                  <c:v>-7.136508154798922E-2</c:v>
                </c:pt>
                <c:pt idx="39">
                  <c:v>-6.9396210221614213E-2</c:v>
                </c:pt>
                <c:pt idx="40">
                  <c:v>-6.6814441746948394E-2</c:v>
                </c:pt>
                <c:pt idx="41">
                  <c:v>-6.582479750378735E-2</c:v>
                </c:pt>
                <c:pt idx="42">
                  <c:v>-6.5568056465414234E-2</c:v>
                </c:pt>
                <c:pt idx="43">
                  <c:v>-6.502086974721745E-2</c:v>
                </c:pt>
                <c:pt idx="44">
                  <c:v>-6.4369192028999045E-2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D-40BE-A1F2-32985F170A22}"/>
            </c:ext>
          </c:extLst>
        </c:ser>
        <c:ser>
          <c:idx val="1"/>
          <c:order val="1"/>
          <c:tx>
            <c:strRef>
              <c:f>'Fig C.3'!$B$6</c:f>
              <c:strCache>
                <c:ptCount val="1"/>
                <c:pt idx="0">
                  <c:v>Agirc-Arrco</c:v>
                </c:pt>
              </c:strCache>
            </c:strRef>
          </c:tx>
          <c:spPr>
            <a:ln w="28575" cap="rnd">
              <a:solidFill>
                <a:srgbClr val="79297F"/>
              </a:solidFill>
              <a:round/>
            </a:ln>
            <a:effectLst/>
          </c:spPr>
          <c:marker>
            <c:symbol val="none"/>
          </c:marker>
          <c:cat>
            <c:numRef>
              <c:f>'Fig C.3'!$C$4:$AU$4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C.3'!$C$6:$AU$6</c:f>
              <c:numCache>
                <c:formatCode>0.0%</c:formatCode>
                <c:ptCount val="45"/>
                <c:pt idx="0">
                  <c:v>-4.9272094784465745E-2</c:v>
                </c:pt>
                <c:pt idx="1">
                  <c:v>-5.1710591493357064E-2</c:v>
                </c:pt>
                <c:pt idx="2">
                  <c:v>-5.4243976643795329E-2</c:v>
                </c:pt>
                <c:pt idx="3">
                  <c:v>-5.6613985634958112E-2</c:v>
                </c:pt>
                <c:pt idx="4">
                  <c:v>-5.9509550592548324E-2</c:v>
                </c:pt>
                <c:pt idx="5">
                  <c:v>-6.1405415155807691E-2</c:v>
                </c:pt>
                <c:pt idx="6">
                  <c:v>-6.3800327516251198E-2</c:v>
                </c:pt>
                <c:pt idx="7">
                  <c:v>-6.4096473433371701E-2</c:v>
                </c:pt>
                <c:pt idx="8">
                  <c:v>-6.6847598164360825E-2</c:v>
                </c:pt>
                <c:pt idx="9">
                  <c:v>-7.0024931068400728E-2</c:v>
                </c:pt>
                <c:pt idx="10">
                  <c:v>-7.0385249708288022E-2</c:v>
                </c:pt>
                <c:pt idx="11">
                  <c:v>-7.1918373357439641E-2</c:v>
                </c:pt>
                <c:pt idx="12">
                  <c:v>-7.2247730390345349E-2</c:v>
                </c:pt>
                <c:pt idx="13">
                  <c:v>-7.2766623208370906E-2</c:v>
                </c:pt>
                <c:pt idx="14">
                  <c:v>-7.3823230668127487E-2</c:v>
                </c:pt>
                <c:pt idx="15">
                  <c:v>-7.4772992675069941E-2</c:v>
                </c:pt>
                <c:pt idx="16">
                  <c:v>-7.57741576442231E-2</c:v>
                </c:pt>
                <c:pt idx="17">
                  <c:v>-7.6532302911040295E-2</c:v>
                </c:pt>
                <c:pt idx="18">
                  <c:v>-7.6748664491136181E-2</c:v>
                </c:pt>
                <c:pt idx="19">
                  <c:v>-7.5936793311022641E-2</c:v>
                </c:pt>
                <c:pt idx="20">
                  <c:v>-7.5243928236409408E-2</c:v>
                </c:pt>
                <c:pt idx="21">
                  <c:v>-7.277157226087734E-2</c:v>
                </c:pt>
                <c:pt idx="22">
                  <c:v>-7.2501550334125905E-2</c:v>
                </c:pt>
                <c:pt idx="23">
                  <c:v>-7.221326255825837E-2</c:v>
                </c:pt>
                <c:pt idx="24">
                  <c:v>-7.2288382896742387E-2</c:v>
                </c:pt>
                <c:pt idx="25">
                  <c:v>-7.1498745603211011E-2</c:v>
                </c:pt>
                <c:pt idx="26">
                  <c:v>-7.0262639349887357E-2</c:v>
                </c:pt>
                <c:pt idx="27">
                  <c:v>-6.6962842289544536E-2</c:v>
                </c:pt>
                <c:pt idx="28">
                  <c:v>-6.4209802883657296E-2</c:v>
                </c:pt>
                <c:pt idx="29">
                  <c:v>-6.3659320227255178E-2</c:v>
                </c:pt>
                <c:pt idx="30">
                  <c:v>-6.233166957255834E-2</c:v>
                </c:pt>
                <c:pt idx="31">
                  <c:v>-6.0913357910585303E-2</c:v>
                </c:pt>
                <c:pt idx="32">
                  <c:v>-5.7762462962046519E-2</c:v>
                </c:pt>
                <c:pt idx="33">
                  <c:v>-5.3524723203628756E-2</c:v>
                </c:pt>
                <c:pt idx="34">
                  <c:v>-5.0438758309352703E-2</c:v>
                </c:pt>
                <c:pt idx="35">
                  <c:v>-4.752178738352144E-2</c:v>
                </c:pt>
                <c:pt idx="36">
                  <c:v>-4.4227853488484403E-2</c:v>
                </c:pt>
                <c:pt idx="37">
                  <c:v>-4.3009510627476266E-2</c:v>
                </c:pt>
                <c:pt idx="38">
                  <c:v>-3.9852601351577109E-2</c:v>
                </c:pt>
                <c:pt idx="39">
                  <c:v>-3.6630753590605879E-2</c:v>
                </c:pt>
                <c:pt idx="40">
                  <c:v>-3.3345694465497039E-2</c:v>
                </c:pt>
                <c:pt idx="41">
                  <c:v>-3.12112039545865E-2</c:v>
                </c:pt>
                <c:pt idx="42">
                  <c:v>-2.9681968311451059E-2</c:v>
                </c:pt>
                <c:pt idx="43">
                  <c:v>-2.7329788660476806E-2</c:v>
                </c:pt>
                <c:pt idx="44">
                  <c:v>-2.5578623522277879E-2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D-40BE-A1F2-32985F170A22}"/>
            </c:ext>
          </c:extLst>
        </c:ser>
        <c:ser>
          <c:idx val="2"/>
          <c:order val="2"/>
          <c:tx>
            <c:strRef>
              <c:f>'Fig C.3'!$B$7</c:f>
              <c:strCache>
                <c:ptCount val="1"/>
                <c:pt idx="0">
                  <c:v>Fonction publique </c:v>
                </c:pt>
              </c:strCache>
            </c:strRef>
          </c:tx>
          <c:spPr>
            <a:ln w="28575" cap="rnd">
              <a:solidFill>
                <a:srgbClr val="F5A74B"/>
              </a:solidFill>
              <a:round/>
            </a:ln>
            <a:effectLst/>
          </c:spPr>
          <c:marker>
            <c:symbol val="none"/>
          </c:marker>
          <c:cat>
            <c:numRef>
              <c:f>'Fig C.3'!$C$4:$AU$4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C.3'!$C$7:$AU$7</c:f>
              <c:numCache>
                <c:formatCode>0.0%</c:formatCode>
                <c:ptCount val="45"/>
                <c:pt idx="0">
                  <c:v>-3.8022342940413449E-2</c:v>
                </c:pt>
                <c:pt idx="1">
                  <c:v>-4.0722174842037488E-2</c:v>
                </c:pt>
                <c:pt idx="2">
                  <c:v>-4.304635662408314E-2</c:v>
                </c:pt>
                <c:pt idx="3">
                  <c:v>-4.6407018778431848E-2</c:v>
                </c:pt>
                <c:pt idx="4">
                  <c:v>-4.829404758739874E-2</c:v>
                </c:pt>
                <c:pt idx="5">
                  <c:v>-5.1019686400179995E-2</c:v>
                </c:pt>
                <c:pt idx="6">
                  <c:v>-5.4598921245079569E-2</c:v>
                </c:pt>
                <c:pt idx="7">
                  <c:v>-5.6795916409949035E-2</c:v>
                </c:pt>
                <c:pt idx="8">
                  <c:v>-5.7727643034599097E-2</c:v>
                </c:pt>
                <c:pt idx="9">
                  <c:v>-5.9209797143821165E-2</c:v>
                </c:pt>
                <c:pt idx="10">
                  <c:v>-6.2976667687454246E-2</c:v>
                </c:pt>
                <c:pt idx="11">
                  <c:v>-6.5934427802436996E-2</c:v>
                </c:pt>
                <c:pt idx="12">
                  <c:v>-6.6017681996987418E-2</c:v>
                </c:pt>
                <c:pt idx="13">
                  <c:v>-6.8283924083455239E-2</c:v>
                </c:pt>
                <c:pt idx="14">
                  <c:v>-6.8318627048776129E-2</c:v>
                </c:pt>
                <c:pt idx="15">
                  <c:v>-7.0950192249650212E-2</c:v>
                </c:pt>
                <c:pt idx="16">
                  <c:v>-7.29715041607399E-2</c:v>
                </c:pt>
                <c:pt idx="17">
                  <c:v>-7.5078860592426591E-2</c:v>
                </c:pt>
                <c:pt idx="18">
                  <c:v>-7.6193370077854039E-2</c:v>
                </c:pt>
                <c:pt idx="19">
                  <c:v>-7.9663305585055633E-2</c:v>
                </c:pt>
                <c:pt idx="20">
                  <c:v>-8.0864054104956798E-2</c:v>
                </c:pt>
                <c:pt idx="21">
                  <c:v>-7.9346993886089956E-2</c:v>
                </c:pt>
                <c:pt idx="22">
                  <c:v>-8.1323281565737676E-2</c:v>
                </c:pt>
                <c:pt idx="23">
                  <c:v>-8.1461880646419252E-2</c:v>
                </c:pt>
                <c:pt idx="24">
                  <c:v>-8.4665413799907829E-2</c:v>
                </c:pt>
                <c:pt idx="25">
                  <c:v>-8.2853651552012589E-2</c:v>
                </c:pt>
                <c:pt idx="26">
                  <c:v>-7.9233284731705517E-2</c:v>
                </c:pt>
                <c:pt idx="27">
                  <c:v>-8.0056561930410455E-2</c:v>
                </c:pt>
                <c:pt idx="28">
                  <c:v>-8.0273974304037002E-2</c:v>
                </c:pt>
                <c:pt idx="29">
                  <c:v>-7.9846091139133088E-2</c:v>
                </c:pt>
                <c:pt idx="30">
                  <c:v>-8.0901357532575477E-2</c:v>
                </c:pt>
                <c:pt idx="31">
                  <c:v>-7.8083421251785995E-2</c:v>
                </c:pt>
                <c:pt idx="32">
                  <c:v>-7.6953827268518613E-2</c:v>
                </c:pt>
                <c:pt idx="33">
                  <c:v>-7.3211298405124303E-2</c:v>
                </c:pt>
                <c:pt idx="34">
                  <c:v>-7.3736631343809658E-2</c:v>
                </c:pt>
                <c:pt idx="35">
                  <c:v>-7.4991734080424172E-2</c:v>
                </c:pt>
                <c:pt idx="36">
                  <c:v>-7.1575250831281606E-2</c:v>
                </c:pt>
                <c:pt idx="37">
                  <c:v>-6.5746413619073837E-2</c:v>
                </c:pt>
                <c:pt idx="38">
                  <c:v>-6.3940089986711843E-2</c:v>
                </c:pt>
                <c:pt idx="39">
                  <c:v>-6.1441695817894687E-2</c:v>
                </c:pt>
                <c:pt idx="40">
                  <c:v>-5.862621521141375E-2</c:v>
                </c:pt>
                <c:pt idx="41">
                  <c:v>-5.5943385077104224E-2</c:v>
                </c:pt>
                <c:pt idx="42">
                  <c:v>-5.6524502649133404E-2</c:v>
                </c:pt>
                <c:pt idx="43">
                  <c:v>-5.5219924330075977E-2</c:v>
                </c:pt>
                <c:pt idx="44">
                  <c:v>-5.4664498813253255E-2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6D-40BE-A1F2-32985F170A22}"/>
            </c:ext>
          </c:extLst>
        </c:ser>
        <c:ser>
          <c:idx val="3"/>
          <c:order val="3"/>
          <c:tx>
            <c:strRef>
              <c:f>'Fig C.3'!$B$8</c:f>
              <c:strCache>
                <c:ptCount val="1"/>
                <c:pt idx="0">
                  <c:v>Indépendants </c:v>
                </c:pt>
              </c:strCache>
            </c:strRef>
          </c:tx>
          <c:spPr>
            <a:ln w="28575" cap="rnd">
              <a:solidFill>
                <a:srgbClr val="C6D9F1"/>
              </a:solidFill>
              <a:round/>
            </a:ln>
            <a:effectLst/>
          </c:spPr>
          <c:marker>
            <c:symbol val="none"/>
          </c:marker>
          <c:cat>
            <c:numRef>
              <c:f>'Fig C.3'!$C$4:$AU$4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C.3'!$C$8:$AU$8</c:f>
              <c:numCache>
                <c:formatCode>0.0%</c:formatCode>
                <c:ptCount val="45"/>
                <c:pt idx="0">
                  <c:v>-2.831124433435047E-2</c:v>
                </c:pt>
                <c:pt idx="1">
                  <c:v>-3.1517855307268972E-2</c:v>
                </c:pt>
                <c:pt idx="2">
                  <c:v>-3.4379468365078422E-2</c:v>
                </c:pt>
                <c:pt idx="3">
                  <c:v>-3.9421085779937928E-2</c:v>
                </c:pt>
                <c:pt idx="4">
                  <c:v>-4.3679659221099017E-2</c:v>
                </c:pt>
                <c:pt idx="5">
                  <c:v>-4.6509348644754506E-2</c:v>
                </c:pt>
                <c:pt idx="6">
                  <c:v>-4.8419229630082182E-2</c:v>
                </c:pt>
                <c:pt idx="7">
                  <c:v>-5.203813297940442E-2</c:v>
                </c:pt>
                <c:pt idx="8">
                  <c:v>-5.7005420360059351E-2</c:v>
                </c:pt>
                <c:pt idx="9">
                  <c:v>-6.0288996684789584E-2</c:v>
                </c:pt>
                <c:pt idx="10">
                  <c:v>-6.3967265928829051E-2</c:v>
                </c:pt>
                <c:pt idx="11">
                  <c:v>-6.7067585640534361E-2</c:v>
                </c:pt>
                <c:pt idx="12">
                  <c:v>-6.9608229455707077E-2</c:v>
                </c:pt>
                <c:pt idx="13">
                  <c:v>-7.4780261248704849E-2</c:v>
                </c:pt>
                <c:pt idx="14">
                  <c:v>-7.6081205006303651E-2</c:v>
                </c:pt>
                <c:pt idx="15">
                  <c:v>-7.8978775347130728E-2</c:v>
                </c:pt>
                <c:pt idx="16">
                  <c:v>-8.0915381661683106E-2</c:v>
                </c:pt>
                <c:pt idx="17">
                  <c:v>-8.4560381781702013E-2</c:v>
                </c:pt>
                <c:pt idx="18">
                  <c:v>-8.7530876439931085E-2</c:v>
                </c:pt>
                <c:pt idx="19">
                  <c:v>-8.84628637614992E-2</c:v>
                </c:pt>
                <c:pt idx="20">
                  <c:v>-9.0421201401231721E-2</c:v>
                </c:pt>
                <c:pt idx="21">
                  <c:v>-9.0107321393810988E-2</c:v>
                </c:pt>
                <c:pt idx="22">
                  <c:v>-9.0925265581223436E-2</c:v>
                </c:pt>
                <c:pt idx="23">
                  <c:v>-9.0608759145208953E-2</c:v>
                </c:pt>
                <c:pt idx="24">
                  <c:v>-9.1631051793527804E-2</c:v>
                </c:pt>
                <c:pt idx="25">
                  <c:v>-9.2628114048634427E-2</c:v>
                </c:pt>
                <c:pt idx="26">
                  <c:v>-9.1741768494623552E-2</c:v>
                </c:pt>
                <c:pt idx="27">
                  <c:v>-9.2791604661158766E-2</c:v>
                </c:pt>
                <c:pt idx="28">
                  <c:v>-9.7074891629470306E-2</c:v>
                </c:pt>
                <c:pt idx="29">
                  <c:v>-9.7706453528751694E-2</c:v>
                </c:pt>
                <c:pt idx="30">
                  <c:v>-9.794271369389676E-2</c:v>
                </c:pt>
                <c:pt idx="31">
                  <c:v>-9.9465538790074012E-2</c:v>
                </c:pt>
                <c:pt idx="32">
                  <c:v>-9.7301245514999274E-2</c:v>
                </c:pt>
                <c:pt idx="33">
                  <c:v>-9.3955860199752786E-2</c:v>
                </c:pt>
                <c:pt idx="34">
                  <c:v>-9.2264675865068674E-2</c:v>
                </c:pt>
                <c:pt idx="35">
                  <c:v>-9.2301436895921324E-2</c:v>
                </c:pt>
                <c:pt idx="36">
                  <c:v>-9.1402716508637835E-2</c:v>
                </c:pt>
                <c:pt idx="37">
                  <c:v>-8.9627300363997991E-2</c:v>
                </c:pt>
                <c:pt idx="38">
                  <c:v>-9.1052604856604977E-2</c:v>
                </c:pt>
                <c:pt idx="39">
                  <c:v>-8.9688246547452194E-2</c:v>
                </c:pt>
                <c:pt idx="40">
                  <c:v>-8.7732826321096982E-2</c:v>
                </c:pt>
                <c:pt idx="41">
                  <c:v>-8.8905187790141879E-2</c:v>
                </c:pt>
                <c:pt idx="42">
                  <c:v>-8.844418448614437E-2</c:v>
                </c:pt>
                <c:pt idx="43">
                  <c:v>-8.8891806297378431E-2</c:v>
                </c:pt>
                <c:pt idx="44">
                  <c:v>-9.0148267022612541E-2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6D-40BE-A1F2-32985F170A22}"/>
            </c:ext>
          </c:extLst>
        </c:ser>
        <c:ser>
          <c:idx val="4"/>
          <c:order val="4"/>
          <c:tx>
            <c:strRef>
              <c:f>'Fig C.3'!$B$9</c:f>
              <c:strCache>
                <c:ptCount val="1"/>
                <c:pt idx="0">
                  <c:v>Régime général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 C.3'!$C$4:$AU$4</c:f>
              <c:numCache>
                <c:formatCode>General</c:formatCode>
                <c:ptCount val="4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</c:numCache>
            </c:numRef>
          </c:cat>
          <c:val>
            <c:numRef>
              <c:f>'Fig C.3'!$C$9:$AU$9</c:f>
              <c:numCache>
                <c:formatCode>0.0%</c:formatCode>
                <c:ptCount val="45"/>
                <c:pt idx="0">
                  <c:v>-4.3570685388664682E-2</c:v>
                </c:pt>
                <c:pt idx="1">
                  <c:v>-4.6847027116593901E-2</c:v>
                </c:pt>
                <c:pt idx="2">
                  <c:v>-5.0995737842077948E-2</c:v>
                </c:pt>
                <c:pt idx="3">
                  <c:v>-5.6627044202664102E-2</c:v>
                </c:pt>
                <c:pt idx="4">
                  <c:v>-5.9585757182217772E-2</c:v>
                </c:pt>
                <c:pt idx="5">
                  <c:v>-6.1647132191037457E-2</c:v>
                </c:pt>
                <c:pt idx="6">
                  <c:v>-6.5820089461987821E-2</c:v>
                </c:pt>
                <c:pt idx="7">
                  <c:v>-6.854414262223063E-2</c:v>
                </c:pt>
                <c:pt idx="8">
                  <c:v>-7.3176240007428117E-2</c:v>
                </c:pt>
                <c:pt idx="9">
                  <c:v>-7.6681932055749621E-2</c:v>
                </c:pt>
                <c:pt idx="10">
                  <c:v>-7.9833347446116101E-2</c:v>
                </c:pt>
                <c:pt idx="11">
                  <c:v>-8.1898329645869836E-2</c:v>
                </c:pt>
                <c:pt idx="12">
                  <c:v>-8.4120599106047286E-2</c:v>
                </c:pt>
                <c:pt idx="13">
                  <c:v>-8.7029842415501962E-2</c:v>
                </c:pt>
                <c:pt idx="14">
                  <c:v>-8.8671357417540966E-2</c:v>
                </c:pt>
                <c:pt idx="15">
                  <c:v>-9.1316752196346815E-2</c:v>
                </c:pt>
                <c:pt idx="16">
                  <c:v>-9.3170473480590293E-2</c:v>
                </c:pt>
                <c:pt idx="17">
                  <c:v>-9.5050055532260702E-2</c:v>
                </c:pt>
                <c:pt idx="18">
                  <c:v>-9.6159611527081523E-2</c:v>
                </c:pt>
                <c:pt idx="19">
                  <c:v>-9.7915073351279899E-2</c:v>
                </c:pt>
                <c:pt idx="20">
                  <c:v>-9.9440402888980983E-2</c:v>
                </c:pt>
                <c:pt idx="21">
                  <c:v>-9.9405266244035617E-2</c:v>
                </c:pt>
                <c:pt idx="22">
                  <c:v>-0.1000829664309317</c:v>
                </c:pt>
                <c:pt idx="23">
                  <c:v>-0.10085445882813382</c:v>
                </c:pt>
                <c:pt idx="24">
                  <c:v>-0.10229353838749633</c:v>
                </c:pt>
                <c:pt idx="25">
                  <c:v>-0.10373045628961984</c:v>
                </c:pt>
                <c:pt idx="26">
                  <c:v>-0.1040027845635484</c:v>
                </c:pt>
                <c:pt idx="27">
                  <c:v>-0.10297861691254268</c:v>
                </c:pt>
                <c:pt idx="28">
                  <c:v>-0.10288552647507454</c:v>
                </c:pt>
                <c:pt idx="29">
                  <c:v>-0.10333620620713301</c:v>
                </c:pt>
                <c:pt idx="30">
                  <c:v>-0.1029361645180365</c:v>
                </c:pt>
                <c:pt idx="31">
                  <c:v>-0.10228399350417959</c:v>
                </c:pt>
                <c:pt idx="32">
                  <c:v>-0.10093528570707772</c:v>
                </c:pt>
                <c:pt idx="33">
                  <c:v>-0.10039991712635182</c:v>
                </c:pt>
                <c:pt idx="34">
                  <c:v>-9.9967518417357001E-2</c:v>
                </c:pt>
                <c:pt idx="35">
                  <c:v>-9.9795744862494304E-2</c:v>
                </c:pt>
                <c:pt idx="36">
                  <c:v>-9.9306887343476771E-2</c:v>
                </c:pt>
                <c:pt idx="37">
                  <c:v>-9.8168775279974405E-2</c:v>
                </c:pt>
                <c:pt idx="38">
                  <c:v>-9.8068443399933508E-2</c:v>
                </c:pt>
                <c:pt idx="39">
                  <c:v>-9.7256881102706749E-2</c:v>
                </c:pt>
                <c:pt idx="40">
                  <c:v>-9.4955008329509205E-2</c:v>
                </c:pt>
                <c:pt idx="41">
                  <c:v>-9.5052033236301098E-2</c:v>
                </c:pt>
                <c:pt idx="42">
                  <c:v>-9.5049772653171591E-2</c:v>
                </c:pt>
                <c:pt idx="43">
                  <c:v>-9.5467797052676578E-2</c:v>
                </c:pt>
                <c:pt idx="44">
                  <c:v>-9.5099689493397588E-2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6D-40BE-A1F2-32985F170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324143"/>
        <c:axId val="1769323183"/>
      </c:lineChart>
      <c:catAx>
        <c:axId val="17693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323183"/>
        <c:crosses val="autoZero"/>
        <c:auto val="1"/>
        <c:lblAlgn val="ctr"/>
        <c:lblOffset val="100"/>
        <c:noMultiLvlLbl val="0"/>
      </c:catAx>
      <c:valAx>
        <c:axId val="17693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3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 C.4'!$C$4</c:f>
              <c:strCache>
                <c:ptCount val="1"/>
                <c:pt idx="0">
                  <c:v>-100 %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'Fig C.4'!$B$5:$B$11</c:f>
              <c:strCache>
                <c:ptCount val="7"/>
                <c:pt idx="0">
                  <c:v>Monopensionnés FP </c:v>
                </c:pt>
                <c:pt idx="1">
                  <c:v>Monopensionnés RG+régimes alignés</c:v>
                </c:pt>
                <c:pt idx="2">
                  <c:v>Polypensionnés RG+régimes lignés/FP</c:v>
                </c:pt>
                <c:pt idx="4">
                  <c:v>Femmes</c:v>
                </c:pt>
                <c:pt idx="5">
                  <c:v>Hommes </c:v>
                </c:pt>
                <c:pt idx="6">
                  <c:v>Ensemble </c:v>
                </c:pt>
              </c:strCache>
            </c:strRef>
          </c:cat>
          <c:val>
            <c:numRef>
              <c:f>'Fig C.4'!$C$5:$C$11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9-4227-B983-38ABE58150DA}"/>
            </c:ext>
          </c:extLst>
        </c:ser>
        <c:ser>
          <c:idx val="1"/>
          <c:order val="1"/>
          <c:tx>
            <c:strRef>
              <c:f>'Fig C.4'!$D$4</c:f>
              <c:strCache>
                <c:ptCount val="1"/>
                <c:pt idx="0">
                  <c:v>Entre -100 % et -20 % </c:v>
                </c:pt>
              </c:strCache>
            </c:strRef>
          </c:tx>
          <c:spPr>
            <a:solidFill>
              <a:srgbClr val="E97132"/>
            </a:solidFill>
            <a:ln>
              <a:solidFill>
                <a:srgbClr val="E971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C.4'!$B$5:$B$11</c:f>
              <c:strCache>
                <c:ptCount val="7"/>
                <c:pt idx="0">
                  <c:v>Monopensionnés FP </c:v>
                </c:pt>
                <c:pt idx="1">
                  <c:v>Monopensionnés RG+régimes alignés</c:v>
                </c:pt>
                <c:pt idx="2">
                  <c:v>Polypensionnés RG+régimes lignés/FP</c:v>
                </c:pt>
                <c:pt idx="4">
                  <c:v>Femmes</c:v>
                </c:pt>
                <c:pt idx="5">
                  <c:v>Hommes </c:v>
                </c:pt>
                <c:pt idx="6">
                  <c:v>Ensemble </c:v>
                </c:pt>
              </c:strCache>
            </c:strRef>
          </c:cat>
          <c:val>
            <c:numRef>
              <c:f>'Fig C.4'!$D$5:$D$11</c:f>
              <c:numCache>
                <c:formatCode>0%</c:formatCode>
                <c:ptCount val="7"/>
                <c:pt idx="0">
                  <c:v>0.17777777777777801</c:v>
                </c:pt>
                <c:pt idx="1">
                  <c:v>0.11819595645412101</c:v>
                </c:pt>
                <c:pt idx="2">
                  <c:v>8.42105263157895E-2</c:v>
                </c:pt>
                <c:pt idx="4">
                  <c:v>0.11143410852713201</c:v>
                </c:pt>
                <c:pt idx="5">
                  <c:v>0.11714770797962601</c:v>
                </c:pt>
                <c:pt idx="6">
                  <c:v>0.11351017890191199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9-4227-B983-38ABE58150DA}"/>
            </c:ext>
          </c:extLst>
        </c:ser>
        <c:ser>
          <c:idx val="2"/>
          <c:order val="2"/>
          <c:tx>
            <c:strRef>
              <c:f>'Fig C.4'!$E$4</c:f>
              <c:strCache>
                <c:ptCount val="1"/>
                <c:pt idx="0">
                  <c:v>Entre - 20 % et - 1 %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C.4'!$B$5:$B$11</c:f>
              <c:strCache>
                <c:ptCount val="7"/>
                <c:pt idx="0">
                  <c:v>Monopensionnés FP </c:v>
                </c:pt>
                <c:pt idx="1">
                  <c:v>Monopensionnés RG+régimes alignés</c:v>
                </c:pt>
                <c:pt idx="2">
                  <c:v>Polypensionnés RG+régimes lignés/FP</c:v>
                </c:pt>
                <c:pt idx="4">
                  <c:v>Femmes</c:v>
                </c:pt>
                <c:pt idx="5">
                  <c:v>Hommes </c:v>
                </c:pt>
                <c:pt idx="6">
                  <c:v>Ensemble </c:v>
                </c:pt>
              </c:strCache>
            </c:strRef>
          </c:cat>
          <c:val>
            <c:numRef>
              <c:f>'Fig C.4'!$E$5:$E$11</c:f>
              <c:numCache>
                <c:formatCode>0%</c:formatCode>
                <c:ptCount val="7"/>
                <c:pt idx="0">
                  <c:v>6.6666666666666693E-2</c:v>
                </c:pt>
                <c:pt idx="1">
                  <c:v>9.8755832037325006E-2</c:v>
                </c:pt>
                <c:pt idx="2">
                  <c:v>0.10877192982456099</c:v>
                </c:pt>
                <c:pt idx="4">
                  <c:v>9.883720930232559E-2</c:v>
                </c:pt>
                <c:pt idx="5">
                  <c:v>0.100169779286927</c:v>
                </c:pt>
                <c:pt idx="6">
                  <c:v>9.932140653917329E-2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79-4227-B983-38ABE58150DA}"/>
            </c:ext>
          </c:extLst>
        </c:ser>
        <c:ser>
          <c:idx val="3"/>
          <c:order val="3"/>
          <c:tx>
            <c:strRef>
              <c:f>'Fig C.4'!$F$4</c:f>
              <c:strCache>
                <c:ptCount val="1"/>
                <c:pt idx="0">
                  <c:v>Entre - 1 % et + 1%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C.4'!$B$5:$B$11</c:f>
              <c:strCache>
                <c:ptCount val="7"/>
                <c:pt idx="0">
                  <c:v>Monopensionnés FP </c:v>
                </c:pt>
                <c:pt idx="1">
                  <c:v>Monopensionnés RG+régimes alignés</c:v>
                </c:pt>
                <c:pt idx="2">
                  <c:v>Polypensionnés RG+régimes lignés/FP</c:v>
                </c:pt>
                <c:pt idx="4">
                  <c:v>Femmes</c:v>
                </c:pt>
                <c:pt idx="5">
                  <c:v>Hommes </c:v>
                </c:pt>
                <c:pt idx="6">
                  <c:v>Ensemble </c:v>
                </c:pt>
              </c:strCache>
            </c:strRef>
          </c:cat>
          <c:val>
            <c:numRef>
              <c:f>'Fig C.4'!$F$5:$F$11</c:f>
              <c:numCache>
                <c:formatCode>0%</c:formatCode>
                <c:ptCount val="7"/>
                <c:pt idx="0">
                  <c:v>0.71111111111111103</c:v>
                </c:pt>
                <c:pt idx="1">
                  <c:v>0.6438569206842919</c:v>
                </c:pt>
                <c:pt idx="2">
                  <c:v>0.66315789473684206</c:v>
                </c:pt>
                <c:pt idx="4">
                  <c:v>0.64825581395348808</c:v>
                </c:pt>
                <c:pt idx="5">
                  <c:v>0.64516129032258107</c:v>
                </c:pt>
                <c:pt idx="6">
                  <c:v>0.64713140037014194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79-4227-B983-38ABE58150DA}"/>
            </c:ext>
          </c:extLst>
        </c:ser>
        <c:ser>
          <c:idx val="4"/>
          <c:order val="4"/>
          <c:tx>
            <c:strRef>
              <c:f>'Fig C.4'!$G$4</c:f>
              <c:strCache>
                <c:ptCount val="1"/>
                <c:pt idx="0">
                  <c:v>Entre + 1 % et + 20 %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4472C6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79-4227-B983-38ABE5815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C.4'!$B$5:$B$11</c:f>
              <c:strCache>
                <c:ptCount val="7"/>
                <c:pt idx="0">
                  <c:v>Monopensionnés FP </c:v>
                </c:pt>
                <c:pt idx="1">
                  <c:v>Monopensionnés RG+régimes alignés</c:v>
                </c:pt>
                <c:pt idx="2">
                  <c:v>Polypensionnés RG+régimes lignés/FP</c:v>
                </c:pt>
                <c:pt idx="4">
                  <c:v>Femmes</c:v>
                </c:pt>
                <c:pt idx="5">
                  <c:v>Hommes </c:v>
                </c:pt>
                <c:pt idx="6">
                  <c:v>Ensemble </c:v>
                </c:pt>
              </c:strCache>
            </c:strRef>
          </c:cat>
          <c:val>
            <c:numRef>
              <c:f>'Fig C.4'!$G$5:$G$11</c:f>
              <c:numCache>
                <c:formatCode>0%</c:formatCode>
                <c:ptCount val="7"/>
                <c:pt idx="0">
                  <c:v>0</c:v>
                </c:pt>
                <c:pt idx="1">
                  <c:v>9.1757387247278388E-2</c:v>
                </c:pt>
                <c:pt idx="2">
                  <c:v>9.1228070175438603E-2</c:v>
                </c:pt>
                <c:pt idx="4">
                  <c:v>9.2054263565891498E-2</c:v>
                </c:pt>
                <c:pt idx="5">
                  <c:v>8.3191850594227498E-2</c:v>
                </c:pt>
                <c:pt idx="6">
                  <c:v>8.8834053053670592E-2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79-4227-B983-38ABE58150DA}"/>
            </c:ext>
          </c:extLst>
        </c:ser>
        <c:ser>
          <c:idx val="5"/>
          <c:order val="5"/>
          <c:tx>
            <c:strRef>
              <c:f>'Fig C.4'!$H$4</c:f>
              <c:strCache>
                <c:ptCount val="1"/>
                <c:pt idx="0">
                  <c:v>Plus de 20 %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C.4'!$B$5:$B$11</c:f>
              <c:strCache>
                <c:ptCount val="7"/>
                <c:pt idx="0">
                  <c:v>Monopensionnés FP </c:v>
                </c:pt>
                <c:pt idx="1">
                  <c:v>Monopensionnés RG+régimes alignés</c:v>
                </c:pt>
                <c:pt idx="2">
                  <c:v>Polypensionnés RG+régimes lignés/FP</c:v>
                </c:pt>
                <c:pt idx="4">
                  <c:v>Femmes</c:v>
                </c:pt>
                <c:pt idx="5">
                  <c:v>Hommes </c:v>
                </c:pt>
                <c:pt idx="6">
                  <c:v>Ensemble </c:v>
                </c:pt>
              </c:strCache>
            </c:strRef>
          </c:cat>
          <c:val>
            <c:numRef>
              <c:f>'Fig C.4'!$H$5:$H$11</c:f>
              <c:numCache>
                <c:formatCode>0%</c:formatCode>
                <c:ptCount val="7"/>
                <c:pt idx="0">
                  <c:v>4.4444444444444405E-2</c:v>
                </c:pt>
                <c:pt idx="1">
                  <c:v>4.7433903576982905E-2</c:v>
                </c:pt>
                <c:pt idx="2">
                  <c:v>5.2631578947368397E-2</c:v>
                </c:pt>
                <c:pt idx="4">
                  <c:v>4.9418604651162795E-2</c:v>
                </c:pt>
                <c:pt idx="5">
                  <c:v>5.4329371816638404E-2</c:v>
                </c:pt>
                <c:pt idx="6">
                  <c:v>5.1202961135101796E-2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79-4227-B983-38ABE5815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9912639"/>
        <c:axId val="2039908799"/>
      </c:barChart>
      <c:catAx>
        <c:axId val="203991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9908799"/>
        <c:crosses val="autoZero"/>
        <c:auto val="1"/>
        <c:lblAlgn val="ctr"/>
        <c:lblOffset val="100"/>
        <c:noMultiLvlLbl val="0"/>
      </c:catAx>
      <c:valAx>
        <c:axId val="20399087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991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0</xdr:rowOff>
    </xdr:from>
    <xdr:to>
      <xdr:col>7</xdr:col>
      <xdr:colOff>590550</xdr:colOff>
      <xdr:row>40</xdr:row>
      <xdr:rowOff>0</xdr:rowOff>
    </xdr:to>
    <xdr:graphicFrame macro="">
      <xdr:nvGraphicFramePr>
        <xdr:cNvPr id="37" name="Graphique 1">
          <a:extLst>
            <a:ext uri="{FF2B5EF4-FFF2-40B4-BE49-F238E27FC236}">
              <a16:creationId xmlns:a16="http://schemas.microsoft.com/office/drawing/2014/main" id="{ACD4422A-F924-43AA-AFAB-9282B5B58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13</xdr:col>
      <xdr:colOff>590550</xdr:colOff>
      <xdr:row>40</xdr:row>
      <xdr:rowOff>0</xdr:rowOff>
    </xdr:to>
    <xdr:graphicFrame macro="">
      <xdr:nvGraphicFramePr>
        <xdr:cNvPr id="38" name="Graphique 4">
          <a:extLst>
            <a:ext uri="{FF2B5EF4-FFF2-40B4-BE49-F238E27FC236}">
              <a16:creationId xmlns:a16="http://schemas.microsoft.com/office/drawing/2014/main" id="{C19C7EF9-E083-42CD-B8CA-505ABD45C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10</xdr:col>
      <xdr:colOff>0</xdr:colOff>
      <xdr:row>31</xdr:row>
      <xdr:rowOff>9525</xdr:rowOff>
    </xdr:to>
    <xdr:graphicFrame macro="">
      <xdr:nvGraphicFramePr>
        <xdr:cNvPr id="17" name="Graphique 5">
          <a:extLst>
            <a:ext uri="{FF2B5EF4-FFF2-40B4-BE49-F238E27FC236}">
              <a16:creationId xmlns:a16="http://schemas.microsoft.com/office/drawing/2014/main" id="{249A4CFD-3973-45DC-923C-573257C42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10</xdr:col>
      <xdr:colOff>0</xdr:colOff>
      <xdr:row>31</xdr:row>
      <xdr:rowOff>9525</xdr:rowOff>
    </xdr:to>
    <xdr:graphicFrame macro="">
      <xdr:nvGraphicFramePr>
        <xdr:cNvPr id="4" name="Graphique 5">
          <a:extLst>
            <a:ext uri="{FF2B5EF4-FFF2-40B4-BE49-F238E27FC236}">
              <a16:creationId xmlns:a16="http://schemas.microsoft.com/office/drawing/2014/main" id="{5525E2F8-1D71-4968-86D7-86A228B5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10</xdr:col>
      <xdr:colOff>0</xdr:colOff>
      <xdr:row>31</xdr:row>
      <xdr:rowOff>9525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80EF370-269B-458C-ABF3-534ACB423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7</xdr:col>
      <xdr:colOff>590550</xdr:colOff>
      <xdr:row>35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D8178C4-1D5B-417E-85A9-9D21C0D69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13</xdr:col>
      <xdr:colOff>590550</xdr:colOff>
      <xdr:row>35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F2B1935-27E3-4F33-BED6-0F352A542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9</xdr:col>
      <xdr:colOff>249000</xdr:colOff>
      <xdr:row>30</xdr:row>
      <xdr:rowOff>225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EC2C08C-7DD3-46FA-A978-543BA38CF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2" name="Graphique 6">
          <a:extLst>
            <a:ext uri="{FF2B5EF4-FFF2-40B4-BE49-F238E27FC236}">
              <a16:creationId xmlns:a16="http://schemas.microsoft.com/office/drawing/2014/main" id="{F1058BFC-25AF-43A4-B068-736298CC0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161924</xdr:rowOff>
    </xdr:from>
    <xdr:to>
      <xdr:col>8</xdr:col>
      <xdr:colOff>208200</xdr:colOff>
      <xdr:row>42</xdr:row>
      <xdr:rowOff>152849</xdr:rowOff>
    </xdr:to>
    <xdr:graphicFrame macro="">
      <xdr:nvGraphicFramePr>
        <xdr:cNvPr id="16" name="Graphique 4">
          <a:extLst>
            <a:ext uri="{FF2B5EF4-FFF2-40B4-BE49-F238E27FC236}">
              <a16:creationId xmlns:a16="http://schemas.microsoft.com/office/drawing/2014/main" id="{F0F64338-80A5-4B89-AD06-878CEDD74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14</xdr:col>
      <xdr:colOff>208200</xdr:colOff>
      <xdr:row>42</xdr:row>
      <xdr:rowOff>152850</xdr:rowOff>
    </xdr:to>
    <xdr:graphicFrame macro="">
      <xdr:nvGraphicFramePr>
        <xdr:cNvPr id="17" name="Graphique 4">
          <a:extLst>
            <a:ext uri="{FF2B5EF4-FFF2-40B4-BE49-F238E27FC236}">
              <a16:creationId xmlns:a16="http://schemas.microsoft.com/office/drawing/2014/main" id="{E36147F6-DE7A-4E72-B9EE-316091802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161924</xdr:rowOff>
    </xdr:from>
    <xdr:to>
      <xdr:col>8</xdr:col>
      <xdr:colOff>208200</xdr:colOff>
      <xdr:row>38</xdr:row>
      <xdr:rowOff>152849</xdr:rowOff>
    </xdr:to>
    <xdr:graphicFrame macro="">
      <xdr:nvGraphicFramePr>
        <xdr:cNvPr id="2" name="Graphique 4">
          <a:extLst>
            <a:ext uri="{FF2B5EF4-FFF2-40B4-BE49-F238E27FC236}">
              <a16:creationId xmlns:a16="http://schemas.microsoft.com/office/drawing/2014/main" id="{F531D42B-9727-4345-B5A8-000DA5CE8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14</xdr:col>
      <xdr:colOff>208200</xdr:colOff>
      <xdr:row>38</xdr:row>
      <xdr:rowOff>152850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B00CB548-1090-45FE-A868-32CDFDF1E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7</xdr:col>
      <xdr:colOff>509588</xdr:colOff>
      <xdr:row>48</xdr:row>
      <xdr:rowOff>66674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0D8BD20-07AC-49D8-B430-847D0EA02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171449</xdr:colOff>
      <xdr:row>33</xdr:row>
      <xdr:rowOff>38100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0B1301E-FA74-4F95-8579-AE668485E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9</xdr:col>
      <xdr:colOff>490538</xdr:colOff>
      <xdr:row>32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90D3C5B-FBE7-4B37-8D36-F65ABDBC4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9</xdr:col>
      <xdr:colOff>490538</xdr:colOff>
      <xdr:row>32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E083246-F2BB-4758-8144-B2DB27F8A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10</xdr:row>
      <xdr:rowOff>28581</xdr:rowOff>
    </xdr:from>
    <xdr:to>
      <xdr:col>7</xdr:col>
      <xdr:colOff>400050</xdr:colOff>
      <xdr:row>25</xdr:row>
      <xdr:rowOff>57156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28228ED-0EBB-AD30-C3AE-33575F8EB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538162</xdr:colOff>
      <xdr:row>10</xdr:row>
      <xdr:rowOff>28575</xdr:rowOff>
    </xdr:from>
    <xdr:to>
      <xdr:col>13</xdr:col>
      <xdr:colOff>80962</xdr:colOff>
      <xdr:row>25</xdr:row>
      <xdr:rowOff>57150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5D60B79-3FF0-9524-8279-B6637595D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9</xdr:col>
      <xdr:colOff>490538</xdr:colOff>
      <xdr:row>32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59E8DE0-00A6-4280-845B-1FB5B561C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7</xdr:col>
      <xdr:colOff>352424</xdr:colOff>
      <xdr:row>32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91607B5-FC2C-436D-850E-236FDEB77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te.cas.pm.gouv.fr\kbriard\Applic\APW94\SOPTABLE\ANNEXE\Restruct\ANXA01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/TEMP/prod%20levels%20manufactur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@/main.oecd.org/sdataELS/Applic/APW94/SOPTABLE/ANNEXE/Restruct/ANXA01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os\Presupuesto2006\Version%20Sept05\Remitido%20centros\OS66-Cruces\CONTRATO%20PROGRAMA\A&#209;O%202003\Cuadro%20financiacion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prod%20levels%20manufactur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un.cas.pm.gouv.fr\cor-commun\EXCELL\CUADERN\2008\cuadern%20MAYO%202008\I.8.1.y%202%20mayo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/TEMP/IJSTEC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olberg\Mes%20documents\Publications\doc%20de%20travail\Etudes\86\Graphique%203%20ER%20retraites%20en%202007%20v1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eloffre\Mes%20documents\1-Travaux\ER%20retraites%20en%202007\Donn&#233;es%20caisses\2%20-%20Traitements%20donn&#233;es\Ventil&#233;s%20par%20sexe\Graphique%203%20ER%20retraites%20en%202007%20par%20sexe%20v1.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olberg\Mes%20documents\Publications\doc%20de%20travail\Etudes\86\Tableau%204%20ER%20retraites%20en%202007%20v1.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OS\Presupuesto2008\v15de2008%20y%20v5de2007\PRESUPUESTO2008V1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rectionTechnique\UniteActuariatEtudes\1-Etudes%20quantitatives\N&#233;gociations\NEGO2010\8.%20Demandes%20post%2018-03-2011\Projetaccord\Synth-Accord-MEDEF-final-v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Rar$DI06.234\Var01_2organi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1%20-%20Archives/01%20-%20Archives%20anciens%20agents/Briard%20Karine/GT-SP/2013%2011%20-%20Financement%20retraite/2013%2011%20-%20Taux%20normalis&#233;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1%20-%20Archives\01%20-%20Archives%20anciens%20agents\Briard%20Karine\GT-SP\2013%2011%20-%20Financement%20retraite\2013%2011%20-%20Structure%20financemen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olberg\Mes%20documents\Publications\doc%20de%20travail\Etudes\86\Graphique%202%20ER%20retraites%20en%202007%20v1.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eloffre\Mes%20documents\1-Travaux\ER%20retraites%20en%202007\Donn&#233;es%20caisses\2%20-%20Traitements%20donn&#233;es\Ventil&#233;s%20par%20sexe\Graphique%202%20ER%20retraites%20en%202007%20par%20sexe%20v1.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GESTION\TRIANUAL\HOJAS98\TRASPL9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un.cas.pm.gouv.fr\cor-commun\SGGEPEE\AR_ECO\EASE\INF_MENSUAL\Libro\Cap%20IV_N&#250;m.%20de%20pensionistas\IV.1.(1%20y%202)%2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06%20-%20Documentation/Chiffres%20cl&#233;s/Chiffres%20cl&#233;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6%20-%20Documentation\Chiffres%20cl&#233;s\Chiffres%20cl&#233;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tilisateurs\hsenghor\AppData\Local\Microsoft\Windows\Temporary%20Internet%20Files\OLK65E4\Tab_SAS_F1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un.cas.pm.gouv.fr\cor-commun\SGGEPEE\AR_ECO\EASE\INF_MENSUAL\Libro\Cap%20II_Movimientos%20de%20pensiones\II.5.8%20Evoluci&#243;n%20altas%20de%20jubilaci&#243;n%20por%20edade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-%20Publications/02%20-%20Rapports%20annuels%20du%20COR/Novembre%202020/2_Calcul_indicateurs/1_Donn&#233;es_de_base/Financement/R&#233;serves/Tab%201.xxx%20r&#233;serves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C/Applic/APW94/SOPTABLE/ANNEXE/Restruct/ANXA0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un.cas.pm.gouv.fr\cor-commun\07%20-%20Projections\Actualisations%20annuelles\2019_nov\index%20pensions%20equ%202024\calcul%20v2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rectionTechnique\UniteActuariatEtudes\1-Etudes%20quantitatives\Projections\2010\2.Travaux\R&#233;sultats\Sorties%20multiformats\V5\R4\A\Multiformats%20Agirc-V5R4H4-cptes2011-COR-A-AvecRatt20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GEST\PRESUP\COMPAR\PRESUPUESTO%202008\v4%20de%202008\Recibido%20OS\OS63-H.Galdakao\Personal08%20V4%20(julio%202008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GEST\PRESUP\COMPAR\PRESUPUESTO%202008\v4%20de%202008\Recibido%20OS\OS63-H.Galdakao\Personal08%20V15(octubre%202007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mpagne%202016-2017\Travail%20-%20Emploi\Ch&#244;mage\ffc\tableaux%20finis\CW17FDSDS13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1%20-%20Archives/01%20-%20Archives%20anciens%20agents/Briard%20Karine/GT-SP/2013%2011%20-%20Financement%20retraite/2013%2011%20-%20Structure%20financement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Documentation\Cubes%20de%20donn&#233;es\STATS\Stats_CNAV.XLS" TargetMode="External"/><Relationship Id="rId1" Type="http://schemas.openxmlformats.org/officeDocument/2006/relationships/externalLinkPath" Target="/03%20-%20Publications/01%20-%20Rapports%20du%20COR/Droits%20familiaux%20et%20conjugaux/Documentation/Cubes%20de%20donn&#233;es/STATS/Stats_CNAV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Documentation\Cubes%20de%20donn&#233;es\STATS\Stats_SRE.XLS" TargetMode="External"/><Relationship Id="rId1" Type="http://schemas.openxmlformats.org/officeDocument/2006/relationships/externalLinkPath" Target="/03%20-%20Publications/01%20-%20Rapports%20du%20COR/Droits%20familiaux%20et%20conjugaux/Documentation/Cubes%20de%20donn&#233;es/STATS/Stats_SRE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Documentation\Cubes%20de%20donn&#233;es\STATS\Stats_CNRACL.XLS" TargetMode="External"/><Relationship Id="rId1" Type="http://schemas.openxmlformats.org/officeDocument/2006/relationships/externalLinkPath" Target="/03%20-%20Publications/01%20-%20Rapports%20du%20COR/Droits%20familiaux%20et%20conjugaux/Documentation/Cubes%20de%20donn&#233;es/STATS/Stats_CNRACL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Documentation\Cubes%20de%20donn&#233;es\STATS\Stats_DREES_TR%20-%20EIR%202020.XLS" TargetMode="External"/><Relationship Id="rId1" Type="http://schemas.openxmlformats.org/officeDocument/2006/relationships/externalLinkPath" Target="/03%20-%20Publications/01%20-%20Rapports%20du%20COR/Droits%20familiaux%20et%20conjugaux/Documentation/Cubes%20de%20donn&#233;es/STATS/Stats_DREES_TR%20-%20EIR%202020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Documentation\Cubes%20de%20donn&#233;es\STATS\Stats_AA.XLS" TargetMode="External"/><Relationship Id="rId1" Type="http://schemas.openxmlformats.org/officeDocument/2006/relationships/externalLinkPath" Target="/03%20-%20Publications/01%20-%20Rapports%20du%20COR/Droits%20familiaux%20et%20conjugaux/Documentation/Cubes%20de%20donn&#233;es/STATS/Stats_AA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familiaux\HF1_Tableaux%20note%20synth&#232;se.xlsx" TargetMode="External"/><Relationship Id="rId1" Type="http://schemas.openxmlformats.org/officeDocument/2006/relationships/externalLinkPath" Target="/03%20-%20Publications/01%20-%20Rapports%20du%20COR/Droits%20familiaux%20et%20conjugaux/Notes_SGCOR_mars_2025/Droits%20familiaux/HF1_Tableaux%20note%20synth&#232;se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familiaux\HF2_Tableaux%20note%20synth&#232;se.xlsx" TargetMode="External"/><Relationship Id="rId1" Type="http://schemas.openxmlformats.org/officeDocument/2006/relationships/externalLinkPath" Target="/03%20-%20Publications/01%20-%20Rapports%20du%20COR/Droits%20familiaux%20et%20conjugaux/Notes_SGCOR_mars_2025/Droits%20familiaux/HF2_Tableaux%20note%20synth&#232;se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familiaux\HF3_Tableaux%20note%20synth&#232;se.xlsx" TargetMode="External"/><Relationship Id="rId1" Type="http://schemas.openxmlformats.org/officeDocument/2006/relationships/externalLinkPath" Target="/03%20-%20Publications/01%20-%20Rapports%20du%20COR/Droits%20familiaux%20et%20conjugaux/Notes_SGCOR_mars_2025/Droits%20familiaux/HF3_Tableaux%20note%20synth&#232;se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familiaux\HF4_Tableaux%20note%20synth&#232;se.xlsx" TargetMode="External"/><Relationship Id="rId1" Type="http://schemas.openxmlformats.org/officeDocument/2006/relationships/externalLinkPath" Target="/03%20-%20Publications/01%20-%20Rapports%20du%20COR/Droits%20familiaux%20et%20conjugaux/Notes_SGCOR_mars_2025/Droits%20familiaux/HF4_Tableaux%20note%20synth&#232;se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conjugaux\HC4_Insee.xlsx" TargetMode="External"/><Relationship Id="rId1" Type="http://schemas.openxmlformats.org/officeDocument/2006/relationships/externalLinkPath" Target="/03%20-%20Publications/01%20-%20Rapports%20du%20COR/Droits%20familiaux%20et%20conjugaux/Notes_SGCOR_mars_2025/Droits%20conjugaux/HC4_Insee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conjugaux\HC5_Insee.xlsx" TargetMode="External"/><Relationship Id="rId1" Type="http://schemas.openxmlformats.org/officeDocument/2006/relationships/externalLinkPath" Target="/03%20-%20Publications/01%20-%20Rapports%20du%20COR/Droits%20familiaux%20et%20conjugaux/Notes_SGCOR_mars_2025/Droits%20conjugaux/HC5_Insee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conjugaux\HC_croisement_Insee.xlsx" TargetMode="External"/><Relationship Id="rId1" Type="http://schemas.openxmlformats.org/officeDocument/2006/relationships/externalLinkPath" Target="/03%20-%20Publications/01%20-%20Rapports%20du%20COR/Droits%20familiaux%20et%20conjugaux/Notes_SGCOR_mars_2025/Droits%20conjugaux/HC_croisement_Insee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EF8_Cnav_gen2000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EF8_Cnav_gen2000_VF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EF8_Cnav_gen1966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EF8_Cnav_gen1966_VF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EF8_Cnav_gen2000_VF_sans%20pla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EF8_Cnav_gen2000_VF_sans%20plaf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EF8_Cnav_gen1966_VF_sans%20pla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EF8_Cnav_gen1966_VF_sans%20plaf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conjugaux\masses_ann&#233;e.xlsx" TargetMode="External"/><Relationship Id="rId1" Type="http://schemas.openxmlformats.org/officeDocument/2006/relationships/externalLinkPath" Target="/03%20-%20Publications/01%20-%20Rapports%20du%20COR/Droits%20familiaux%20et%20conjugaux/Notes_SGCOR_mars_2025/Droits%20conjugaux/masses_ann&#233;e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Notes_SGCOR_mars_2025\Droits%20conjugaux\EC2_Insee.xlsx" TargetMode="External"/><Relationship Id="rId1" Type="http://schemas.openxmlformats.org/officeDocument/2006/relationships/externalLinkPath" Target="/03%20-%20Publications/01%20-%20Rapports%20du%20COR/Droits%20familiaux%20et%20conjugaux/Notes_SGCOR_mars_2025/Droits%20conjugaux/EC2_Insee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P_Cnav_gen2000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P_Cnav_gen2000_VF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P_Cnav_gen1966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P_Cnav_gen1966_VF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P_Cnav_gen2000_VF_sans%20pla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P_Cnav_gen2000_VF_sans%20plaf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D_Cnav_gen2000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D_Cnav_gen2000_VF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D_Cnav_gen1966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D_Cnav_gen1966_VF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PDD_Cnav_gen2000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PDD_Cnav_gen2000_VF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PDD_Cnav_gen1966_V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PDD_Cnav_gen1966_VF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3%20-%20Publications\01%20-%20Rapports%20du%20COR\Droits%20familiaux%20et%20conjugaux\Simulations\R&#233;sultats%20Cnav%20sept%202025_corr%20erreur%20AA_VF\B1_DPDD_Cnav_gen2000_VF_sans%20plaf.xlsx" TargetMode="External"/><Relationship Id="rId1" Type="http://schemas.openxmlformats.org/officeDocument/2006/relationships/externalLinkPath" Target="/03%20-%20Publications/01%20-%20Rapports%20du%20COR/Droits%20familiaux%20et%20conjugaux/Simulations/R&#233;sultats%20Cnav%20sept%202025_corr%20erreur%20AA_VF/B1_DPDD_Cnav_gen2000_VF_sans%20pl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1"/>
      <sheetName val="A12"/>
      <sheetName val="A13"/>
      <sheetName val="A14"/>
      <sheetName val="A15"/>
      <sheetName val="A16"/>
      <sheetName val="A21"/>
      <sheetName val="A22"/>
      <sheetName val="A23"/>
      <sheetName val="A13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1"/>
      <sheetName val="A12"/>
      <sheetName val="A13"/>
      <sheetName val="A14"/>
      <sheetName val="A15"/>
      <sheetName val="A16"/>
      <sheetName val="A21"/>
      <sheetName val="A22"/>
      <sheetName val="A23"/>
      <sheetName val="A24"/>
      <sheetName val="A13old"/>
      <sheetName val="A13 old"/>
      <sheetName val="A14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s Directriz"/>
      <sheetName val="RESUMEN"/>
      <sheetName val="C P SOMBRA"/>
      <sheetName val="comprobacion 01"/>
      <sheetName val="CP PTO"/>
      <sheetName val="C. PENSION"/>
      <sheetName val="dispersion geografica 2002"/>
      <sheetName val="DESLIZ DISP. GEOG.2003"/>
      <sheetName val="EXCLUSIVIDAD 2002"/>
      <sheetName val="DESLIZ. EXCLUSIVIDAD 2003"/>
      <sheetName val="ANTIGUEDAD 2002"/>
      <sheetName val="TISr Dic02"/>
      <sheetName val="Ruralidad2-03 sin SS"/>
      <sheetName val="Ruralidad2 con SS"/>
      <sheetName val="ALQUILERES"/>
      <sheetName val="REFUERZO VERANO 2002"/>
      <sheetName val="RESIDENCIAS 2002"/>
      <sheetName val="ATENCION CONTINUADA 2002"/>
      <sheetName val="PAC 2002"/>
      <sheetName val="ESPECIALIDADES 2002"/>
      <sheetName val="LABORATORIO 2002"/>
      <sheetName val="RADIOLOGIA 2002"/>
      <sheetName val="CAM 2002"/>
      <sheetName val="EXTRACOMARCA 2002"/>
      <sheetName val="SALUD MENTAL 2002"/>
      <sheetName val="PADI 2002"/>
      <sheetName val="ODONT ZARAM II 2002"/>
      <sheetName val="ODONT LAKUABIZKARRA 2002"/>
      <sheetName val="ODONTOLOGIA TOTAL 2002"/>
      <sheetName val="CENTRO PENITENCIARIO 2002"/>
      <sheetName val="BIZKAIA A.C. 2002"/>
      <sheetName val="C_ PEN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E POR CONCEPTOS"/>
      <sheetName val="%"/>
    </sheetNames>
    <sheetDataSet>
      <sheetData sheetId="0">
        <row r="2">
          <cell r="B2" t="str">
            <v>I.8.1. Importe mensual de las pensiones en vigor por clases, conceptos y regímenes (en millones de euros)</v>
          </cell>
        </row>
        <row r="3">
          <cell r="B3" t="str">
            <v>Datos a 1 de mayo de 2008</v>
          </cell>
        </row>
        <row r="4">
          <cell r="B4" t="str">
            <v>regímenes</v>
          </cell>
          <cell r="C4" t="str">
            <v>Incapacidad permenante</v>
          </cell>
          <cell r="G4" t="str">
            <v>Jubilación</v>
          </cell>
          <cell r="K4" t="str">
            <v>Viudedad</v>
          </cell>
          <cell r="O4" t="str">
            <v>Orfandad</v>
          </cell>
          <cell r="S4" t="str">
            <v>Favor de familiares</v>
          </cell>
          <cell r="W4" t="str">
            <v>Total pensiones</v>
          </cell>
        </row>
        <row r="5">
          <cell r="C5" t="str">
            <v>P. Inicial</v>
          </cell>
          <cell r="D5" t="str">
            <v>Reval.</v>
          </cell>
          <cell r="E5" t="str">
            <v>Mínimo</v>
          </cell>
          <cell r="F5" t="str">
            <v>Total</v>
          </cell>
          <cell r="G5" t="str">
            <v>P. Inicial</v>
          </cell>
          <cell r="H5" t="str">
            <v>Reval.</v>
          </cell>
          <cell r="I5" t="str">
            <v>Mínimo</v>
          </cell>
          <cell r="J5" t="str">
            <v>Total</v>
          </cell>
          <cell r="K5" t="str">
            <v>P. Inicial</v>
          </cell>
          <cell r="L5" t="str">
            <v>Reval.</v>
          </cell>
          <cell r="M5" t="str">
            <v>Mínimo</v>
          </cell>
          <cell r="N5" t="str">
            <v>Total</v>
          </cell>
          <cell r="O5" t="str">
            <v>P. Inicial</v>
          </cell>
          <cell r="P5" t="str">
            <v>Reval.</v>
          </cell>
          <cell r="Q5" t="str">
            <v>Mínimo</v>
          </cell>
          <cell r="R5" t="str">
            <v>Total</v>
          </cell>
          <cell r="S5" t="str">
            <v>P. Inicial</v>
          </cell>
          <cell r="T5" t="str">
            <v>Reval.</v>
          </cell>
          <cell r="U5" t="str">
            <v>Mínimo</v>
          </cell>
          <cell r="V5" t="str">
            <v>Total</v>
          </cell>
          <cell r="W5" t="str">
            <v>P. Inicial</v>
          </cell>
          <cell r="X5" t="str">
            <v>Reval.</v>
          </cell>
          <cell r="Y5" t="str">
            <v>Mínimo</v>
          </cell>
          <cell r="Z5" t="str">
            <v>Total</v>
          </cell>
        </row>
        <row r="7">
          <cell r="B7" t="str">
            <v>General</v>
          </cell>
          <cell r="C7">
            <v>392.50082245000004</v>
          </cell>
          <cell r="D7">
            <v>102.73029134000001</v>
          </cell>
          <cell r="E7">
            <v>2.87915915</v>
          </cell>
          <cell r="F7">
            <v>498.11027294000007</v>
          </cell>
          <cell r="G7">
            <v>1947.98846604</v>
          </cell>
          <cell r="H7">
            <v>749.79793097999982</v>
          </cell>
          <cell r="I7">
            <v>97.63837307999998</v>
          </cell>
          <cell r="J7">
            <v>2795.4247700999995</v>
          </cell>
          <cell r="K7">
            <v>369.66127552000006</v>
          </cell>
          <cell r="L7">
            <v>369.37393005000001</v>
          </cell>
          <cell r="M7">
            <v>65.915574129999996</v>
          </cell>
          <cell r="N7">
            <v>804.9507797</v>
          </cell>
          <cell r="O7">
            <v>28.396202589999994</v>
          </cell>
          <cell r="P7">
            <v>19.913073430000004</v>
          </cell>
          <cell r="Q7">
            <v>5.1928229899999998</v>
          </cell>
          <cell r="R7">
            <v>53.502099009999995</v>
          </cell>
          <cell r="S7">
            <v>3.4049483899999999</v>
          </cell>
          <cell r="T7">
            <v>5.538848419999999</v>
          </cell>
          <cell r="U7">
            <v>0.94007638000000004</v>
          </cell>
          <cell r="V7">
            <v>9.8838731899999992</v>
          </cell>
          <cell r="W7">
            <v>2741.9517149899998</v>
          </cell>
          <cell r="X7">
            <v>1247.3540742199998</v>
          </cell>
          <cell r="Y7">
            <v>172.56600572999997</v>
          </cell>
          <cell r="Z7">
            <v>4161.8717949399988</v>
          </cell>
        </row>
        <row r="8">
          <cell r="B8" t="str">
            <v>Trabajadores autónomos(*)</v>
          </cell>
          <cell r="C8">
            <v>57.075683760000018</v>
          </cell>
          <cell r="D8">
            <v>12.181733689999996</v>
          </cell>
          <cell r="E8">
            <v>1.6298857600000001</v>
          </cell>
          <cell r="F8">
            <v>70.887303210000013</v>
          </cell>
          <cell r="G8">
            <v>364.84071086000006</v>
          </cell>
          <cell r="H8">
            <v>175.01875304999999</v>
          </cell>
          <cell r="I8">
            <v>92.879433570000003</v>
          </cell>
          <cell r="J8">
            <v>632.73889748000011</v>
          </cell>
          <cell r="K8">
            <v>66.169675309999988</v>
          </cell>
          <cell r="L8">
            <v>74.304881480000006</v>
          </cell>
          <cell r="M8">
            <v>46.235971079999999</v>
          </cell>
          <cell r="N8">
            <v>186.71052786999999</v>
          </cell>
          <cell r="O8">
            <v>5.21187135</v>
          </cell>
          <cell r="P8">
            <v>5.2475017600000005</v>
          </cell>
          <cell r="Q8">
            <v>3.9289853700000004</v>
          </cell>
          <cell r="R8">
            <v>14.388358480000001</v>
          </cell>
          <cell r="S8">
            <v>0.54514458999999993</v>
          </cell>
          <cell r="T8">
            <v>1.8764152700000001</v>
          </cell>
          <cell r="U8">
            <v>0.67528633999999998</v>
          </cell>
          <cell r="V8">
            <v>3.0968461999999999</v>
          </cell>
          <cell r="W8">
            <v>493.8430858700001</v>
          </cell>
          <cell r="X8">
            <v>268.62928525000001</v>
          </cell>
          <cell r="Y8">
            <v>145.34956212</v>
          </cell>
          <cell r="Z8">
            <v>907.82193324000013</v>
          </cell>
        </row>
        <row r="9">
          <cell r="B9" t="str">
            <v xml:space="preserve">Agrario </v>
          </cell>
          <cell r="C9">
            <v>21.934655300000003</v>
          </cell>
          <cell r="D9">
            <v>7.2960895900000002</v>
          </cell>
          <cell r="E9">
            <v>1.55051966</v>
          </cell>
          <cell r="F9">
            <v>30.781264550000003</v>
          </cell>
          <cell r="G9">
            <v>97.52539345000001</v>
          </cell>
          <cell r="H9">
            <v>60.508569050000013</v>
          </cell>
          <cell r="I9">
            <v>30.017236430000008</v>
          </cell>
          <cell r="J9">
            <v>188.05119893000003</v>
          </cell>
          <cell r="K9">
            <v>19.798805720000011</v>
          </cell>
          <cell r="L9">
            <v>34.881032900000008</v>
          </cell>
          <cell r="M9">
            <v>32.024476019999994</v>
          </cell>
          <cell r="N9">
            <v>86.704314640000007</v>
          </cell>
          <cell r="O9">
            <v>1.6859543700000001</v>
          </cell>
          <cell r="P9">
            <v>3.3029241699999998</v>
          </cell>
          <cell r="Q9">
            <v>2.4937005299999999</v>
          </cell>
          <cell r="R9">
            <v>7.4825790699999999</v>
          </cell>
          <cell r="S9">
            <v>0.18139898999999998</v>
          </cell>
          <cell r="T9">
            <v>0.71443946999999997</v>
          </cell>
          <cell r="U9">
            <v>0.22765007999999998</v>
          </cell>
          <cell r="V9">
            <v>1.1234885399999999</v>
          </cell>
          <cell r="W9">
            <v>141.12620783</v>
          </cell>
          <cell r="X9">
            <v>106.70305518000002</v>
          </cell>
          <cell r="Y9">
            <v>66.313582719999999</v>
          </cell>
          <cell r="Z9">
            <v>314.14284572999998</v>
          </cell>
        </row>
        <row r="10">
          <cell r="B10" t="str">
            <v>Trabajadores del mar</v>
          </cell>
          <cell r="C10">
            <v>5.2125813799999996</v>
          </cell>
          <cell r="D10">
            <v>1.84250823</v>
          </cell>
          <cell r="E10">
            <v>5.2782000000000003E-2</v>
          </cell>
          <cell r="F10">
            <v>7.1078716099999992</v>
          </cell>
          <cell r="G10">
            <v>45.875123469999991</v>
          </cell>
          <cell r="H10">
            <v>21.891778719999994</v>
          </cell>
          <cell r="I10">
            <v>2.2505095499999999</v>
          </cell>
          <cell r="J10">
            <v>70.017411739999986</v>
          </cell>
          <cell r="K10">
            <v>8.7887594700000005</v>
          </cell>
          <cell r="L10">
            <v>11.768412110000002</v>
          </cell>
          <cell r="M10">
            <v>3.3490957400000001</v>
          </cell>
          <cell r="N10">
            <v>23.906267320000001</v>
          </cell>
          <cell r="O10">
            <v>0.64587008000000001</v>
          </cell>
          <cell r="P10">
            <v>0.76455097999999999</v>
          </cell>
          <cell r="Q10">
            <v>0.28445908000000003</v>
          </cell>
          <cell r="R10">
            <v>1.69488014</v>
          </cell>
          <cell r="S10">
            <v>0.11437414000000001</v>
          </cell>
          <cell r="T10">
            <v>0.25176014000000002</v>
          </cell>
          <cell r="U10">
            <v>4.3932430000000001E-2</v>
          </cell>
          <cell r="V10">
            <v>0.41006671000000006</v>
          </cell>
          <cell r="W10">
            <v>60.636708540000001</v>
          </cell>
          <cell r="X10">
            <v>36.519010180000002</v>
          </cell>
          <cell r="Y10">
            <v>5.9807788000000004</v>
          </cell>
          <cell r="Z10">
            <v>103.13649751999998</v>
          </cell>
        </row>
        <row r="11">
          <cell r="B11" t="str">
            <v>Minería del carbón</v>
          </cell>
          <cell r="C11">
            <v>3.3101390799999999</v>
          </cell>
          <cell r="D11">
            <v>1.96515376</v>
          </cell>
          <cell r="E11">
            <v>3.3306899999999999E-3</v>
          </cell>
          <cell r="F11">
            <v>5.27862353</v>
          </cell>
          <cell r="G11">
            <v>43.118485230000012</v>
          </cell>
          <cell r="H11">
            <v>22.203359460000001</v>
          </cell>
          <cell r="I11">
            <v>0.17828994000000001</v>
          </cell>
          <cell r="J11">
            <v>65.500134630000005</v>
          </cell>
          <cell r="K11">
            <v>6.2388595100000011</v>
          </cell>
          <cell r="L11">
            <v>9.0643156400000038</v>
          </cell>
          <cell r="M11">
            <v>0.78197069999999991</v>
          </cell>
          <cell r="N11">
            <v>16.085145850000004</v>
          </cell>
          <cell r="O11">
            <v>0.39560142000000004</v>
          </cell>
          <cell r="P11">
            <v>0.54448101000000004</v>
          </cell>
          <cell r="Q11">
            <v>6.9922129999999999E-2</v>
          </cell>
          <cell r="R11">
            <v>1.0100045600000001</v>
          </cell>
          <cell r="S11">
            <v>0.11116330000000001</v>
          </cell>
          <cell r="T11">
            <v>0.22433507</v>
          </cell>
          <cell r="U11">
            <v>6.9689799999999996E-3</v>
          </cell>
          <cell r="V11">
            <v>0.34246735</v>
          </cell>
          <cell r="W11">
            <v>53.174248540000015</v>
          </cell>
          <cell r="X11">
            <v>34.001644940000006</v>
          </cell>
          <cell r="Y11">
            <v>1.0404824399999997</v>
          </cell>
          <cell r="Z11">
            <v>88.216375920000019</v>
          </cell>
        </row>
        <row r="12">
          <cell r="B12" t="str">
            <v>Empleados de hogar</v>
          </cell>
          <cell r="C12">
            <v>3.79842419</v>
          </cell>
          <cell r="D12">
            <v>1.56072641</v>
          </cell>
          <cell r="E12">
            <v>0.83235690000000007</v>
          </cell>
          <cell r="F12">
            <v>6.1915074999999993</v>
          </cell>
          <cell r="G12">
            <v>30.60824646</v>
          </cell>
          <cell r="H12">
            <v>23.143798399999998</v>
          </cell>
          <cell r="I12">
            <v>21.011307780000003</v>
          </cell>
          <cell r="J12">
            <v>74.763352639999994</v>
          </cell>
          <cell r="K12">
            <v>1.2743595999999999</v>
          </cell>
          <cell r="L12">
            <v>1.22662246</v>
          </cell>
          <cell r="M12">
            <v>0.18263989000000003</v>
          </cell>
          <cell r="N12">
            <v>2.68362195</v>
          </cell>
          <cell r="O12">
            <v>0.18780441</v>
          </cell>
          <cell r="P12">
            <v>0.25150211</v>
          </cell>
          <cell r="Q12">
            <v>0.18796188</v>
          </cell>
          <cell r="R12">
            <v>0.62726840000000006</v>
          </cell>
          <cell r="S12">
            <v>5.6447730000000002E-2</v>
          </cell>
          <cell r="T12">
            <v>0.11839431</v>
          </cell>
          <cell r="U12">
            <v>3.0480520000000001E-2</v>
          </cell>
          <cell r="V12">
            <v>0.20532256000000002</v>
          </cell>
          <cell r="W12">
            <v>35.92528239</v>
          </cell>
          <cell r="X12">
            <v>26.30104369</v>
          </cell>
          <cell r="Y12">
            <v>22.244746970000005</v>
          </cell>
          <cell r="Z12">
            <v>84.471073050000001</v>
          </cell>
        </row>
        <row r="13">
          <cell r="B13" t="str">
            <v>Accidentes de trabajo</v>
          </cell>
          <cell r="C13">
            <v>57.976023539999993</v>
          </cell>
          <cell r="D13">
            <v>20.376518180000005</v>
          </cell>
          <cell r="E13">
            <v>0.19334613</v>
          </cell>
          <cell r="F13">
            <v>78.54588785</v>
          </cell>
          <cell r="G13">
            <v>16.712386089999999</v>
          </cell>
          <cell r="H13">
            <v>15.951013780000004</v>
          </cell>
          <cell r="I13">
            <v>1.7784886100000001</v>
          </cell>
          <cell r="J13">
            <v>34.441888480000003</v>
          </cell>
          <cell r="K13">
            <v>19.429830030000005</v>
          </cell>
          <cell r="L13">
            <v>18.449205589999998</v>
          </cell>
          <cell r="M13">
            <v>3.6933397100000001</v>
          </cell>
          <cell r="N13">
            <v>41.57237533</v>
          </cell>
          <cell r="O13">
            <v>3.3047803999999998</v>
          </cell>
          <cell r="P13">
            <v>1.29378215</v>
          </cell>
          <cell r="Q13">
            <v>0.20668194000000001</v>
          </cell>
          <cell r="R13">
            <v>4.8052444899999998</v>
          </cell>
          <cell r="S13">
            <v>0.49201876</v>
          </cell>
          <cell r="T13">
            <v>0.39633384999999999</v>
          </cell>
          <cell r="U13">
            <v>1.2589649999999999E-2</v>
          </cell>
          <cell r="V13">
            <v>0.90094225999999999</v>
          </cell>
          <cell r="W13">
            <v>97.915038819999992</v>
          </cell>
          <cell r="X13">
            <v>56.466853550000003</v>
          </cell>
          <cell r="Y13">
            <v>5.8844460400000003</v>
          </cell>
          <cell r="Z13">
            <v>160.26633841</v>
          </cell>
        </row>
        <row r="14">
          <cell r="B14" t="str">
            <v>Enfermedades profesionales</v>
          </cell>
          <cell r="C14">
            <v>10.755577389999999</v>
          </cell>
          <cell r="D14">
            <v>3.5858723299999999</v>
          </cell>
          <cell r="E14">
            <v>8.5962699999999996E-3</v>
          </cell>
          <cell r="F14">
            <v>14.35004599</v>
          </cell>
          <cell r="G14">
            <v>11.481745999999998</v>
          </cell>
          <cell r="H14">
            <v>6.5740671999999991</v>
          </cell>
          <cell r="I14">
            <v>0.17898502999999999</v>
          </cell>
          <cell r="J14">
            <v>18.234798229999996</v>
          </cell>
          <cell r="K14">
            <v>4.4045927499999999</v>
          </cell>
          <cell r="L14">
            <v>6.3109830800000006</v>
          </cell>
          <cell r="M14">
            <v>1.0810623100000001</v>
          </cell>
          <cell r="N14">
            <v>11.796638140000001</v>
          </cell>
          <cell r="O14">
            <v>0.17026107000000001</v>
          </cell>
          <cell r="P14">
            <v>0.3227776</v>
          </cell>
          <cell r="Q14">
            <v>7.0656979999999994E-2</v>
          </cell>
          <cell r="R14">
            <v>0.56369564999999999</v>
          </cell>
          <cell r="S14">
            <v>7.4361869999999997E-2</v>
          </cell>
          <cell r="T14">
            <v>0.11536262</v>
          </cell>
          <cell r="U14">
            <v>2.2427800000000002E-3</v>
          </cell>
          <cell r="V14">
            <v>0.19196727</v>
          </cell>
          <cell r="W14">
            <v>26.886539079999995</v>
          </cell>
          <cell r="X14">
            <v>16.909062829999996</v>
          </cell>
          <cell r="Y14">
            <v>1.3415433700000001</v>
          </cell>
          <cell r="Z14">
            <v>45.137145279999991</v>
          </cell>
        </row>
        <row r="15">
          <cell r="B15" t="str">
            <v>Sovi</v>
          </cell>
          <cell r="C15">
            <v>0.19217394000000002</v>
          </cell>
          <cell r="D15">
            <v>10.258715040000002</v>
          </cell>
          <cell r="E15">
            <v>0</v>
          </cell>
          <cell r="F15">
            <v>10.450888980000002</v>
          </cell>
          <cell r="G15">
            <v>2.3560147300000001</v>
          </cell>
          <cell r="H15">
            <v>119.24713989000001</v>
          </cell>
          <cell r="I15">
            <v>0</v>
          </cell>
          <cell r="J15">
            <v>121.60315462000001</v>
          </cell>
          <cell r="K15">
            <v>0.16128255</v>
          </cell>
          <cell r="L15">
            <v>11.667249580000002</v>
          </cell>
          <cell r="M15">
            <v>0</v>
          </cell>
          <cell r="N15">
            <v>11.828532130000001</v>
          </cell>
          <cell r="W15">
            <v>2.7094712200000002</v>
          </cell>
          <cell r="X15">
            <v>141.17310451000003</v>
          </cell>
          <cell r="Y15">
            <v>0</v>
          </cell>
          <cell r="Z15">
            <v>143.88257573000001</v>
          </cell>
        </row>
        <row r="17">
          <cell r="B17" t="str">
            <v>Total sistema</v>
          </cell>
          <cell r="C17">
            <v>552.75608103000002</v>
          </cell>
          <cell r="D17">
            <v>161.79760857000002</v>
          </cell>
          <cell r="E17">
            <v>7.1499765599999998</v>
          </cell>
          <cell r="F17">
            <v>721.70366616000001</v>
          </cell>
          <cell r="G17">
            <v>2560.5065723299999</v>
          </cell>
          <cell r="H17">
            <v>1194.3364105299997</v>
          </cell>
          <cell r="I17">
            <v>245.93262399000002</v>
          </cell>
          <cell r="J17">
            <v>4000.7756068499998</v>
          </cell>
          <cell r="K17">
            <v>495.92744046000013</v>
          </cell>
          <cell r="L17">
            <v>537.04663288999996</v>
          </cell>
          <cell r="M17">
            <v>153.26412957999997</v>
          </cell>
          <cell r="N17">
            <v>1186.2382029299999</v>
          </cell>
          <cell r="O17">
            <v>39.998345689999994</v>
          </cell>
          <cell r="P17">
            <v>31.640593209999999</v>
          </cell>
          <cell r="Q17">
            <v>12.435190899999998</v>
          </cell>
          <cell r="R17">
            <v>84.07412979999998</v>
          </cell>
          <cell r="S17">
            <v>4.9798577699999997</v>
          </cell>
          <cell r="T17">
            <v>9.2358891499999984</v>
          </cell>
          <cell r="U17">
            <v>1.9392271599999997</v>
          </cell>
          <cell r="V17">
            <v>16.154974080000002</v>
          </cell>
          <cell r="W17">
            <v>3654.1682972799999</v>
          </cell>
          <cell r="X17">
            <v>1934.0571343499996</v>
          </cell>
          <cell r="Y17">
            <v>420.72114818999995</v>
          </cell>
          <cell r="Z17">
            <v>6008.9465798199999</v>
          </cell>
        </row>
        <row r="18">
          <cell r="B18" t="str">
            <v xml:space="preserve">(*) Con motivo de la entrada en vigor de la Ley 18/2007, de 4 de julio, los trabajadores por cuenta propia del Régimen Especial Agrario quedan integrados en el Régimen Especial de Trabajadores Autónomos </v>
          </cell>
        </row>
      </sheetData>
      <sheetData sheetId="1">
        <row r="2">
          <cell r="B2" t="str">
            <v>I.8.2. Distribución porcentual del importe mensual de las pensiones en vigor por clases, conceptos y regímenes</v>
          </cell>
        </row>
        <row r="3">
          <cell r="B3" t="str">
            <v>Datos a 1 de mayo de 2008</v>
          </cell>
        </row>
        <row r="4">
          <cell r="B4" t="str">
            <v>regímenes</v>
          </cell>
          <cell r="C4" t="str">
            <v>Incapacidad permenante</v>
          </cell>
          <cell r="G4" t="str">
            <v>Jubilación</v>
          </cell>
          <cell r="K4" t="str">
            <v>Viudedad</v>
          </cell>
          <cell r="O4" t="str">
            <v>Orfandad</v>
          </cell>
          <cell r="S4" t="str">
            <v>Favor de familiares</v>
          </cell>
          <cell r="W4" t="str">
            <v>Total pensiones</v>
          </cell>
        </row>
        <row r="5">
          <cell r="C5" t="str">
            <v>P. Inicial</v>
          </cell>
          <cell r="D5" t="str">
            <v>Reval.</v>
          </cell>
          <cell r="E5" t="str">
            <v>Mínimo</v>
          </cell>
          <cell r="F5" t="str">
            <v>Total</v>
          </cell>
          <cell r="G5" t="str">
            <v>P. Inicial</v>
          </cell>
          <cell r="H5" t="str">
            <v>Reval.</v>
          </cell>
          <cell r="I5" t="str">
            <v>Mínimo</v>
          </cell>
          <cell r="J5" t="str">
            <v>Total</v>
          </cell>
          <cell r="K5" t="str">
            <v>P. Inicial</v>
          </cell>
          <cell r="L5" t="str">
            <v>Reval.</v>
          </cell>
          <cell r="M5" t="str">
            <v>Mínimo</v>
          </cell>
          <cell r="N5" t="str">
            <v>Total</v>
          </cell>
          <cell r="O5" t="str">
            <v>P. Inicial</v>
          </cell>
          <cell r="P5" t="str">
            <v>Reval.</v>
          </cell>
          <cell r="Q5" t="str">
            <v>Mínimo</v>
          </cell>
          <cell r="R5" t="str">
            <v>Total</v>
          </cell>
          <cell r="S5" t="str">
            <v>P. Inicial</v>
          </cell>
          <cell r="T5" t="str">
            <v>Reval.</v>
          </cell>
          <cell r="U5" t="str">
            <v>Mínimo</v>
          </cell>
          <cell r="V5" t="str">
            <v>Total</v>
          </cell>
          <cell r="W5" t="str">
            <v>P. Inicial</v>
          </cell>
          <cell r="X5" t="str">
            <v>Reval.</v>
          </cell>
          <cell r="Y5" t="str">
            <v>Mínimo</v>
          </cell>
          <cell r="Z5" t="str">
            <v>Total</v>
          </cell>
        </row>
        <row r="7">
          <cell r="B7" t="str">
            <v>General</v>
          </cell>
          <cell r="C7">
            <v>78.797977831964687</v>
          </cell>
          <cell r="D7">
            <v>20.624005751508442</v>
          </cell>
          <cell r="E7">
            <v>0.57801641652686997</v>
          </cell>
          <cell r="F7">
            <v>99.999999999999986</v>
          </cell>
          <cell r="G7">
            <v>69.684882486403509</v>
          </cell>
          <cell r="H7">
            <v>26.822325501293228</v>
          </cell>
          <cell r="I7">
            <v>3.4927920123032754</v>
          </cell>
          <cell r="J7">
            <v>100.00000000000001</v>
          </cell>
          <cell r="K7">
            <v>45.923463252966904</v>
          </cell>
          <cell r="L7">
            <v>45.887765980879387</v>
          </cell>
          <cell r="M7">
            <v>8.1887707661537146</v>
          </cell>
          <cell r="N7">
            <v>100</v>
          </cell>
          <cell r="O7">
            <v>53.074931853968017</v>
          </cell>
          <cell r="P7">
            <v>37.21923774668744</v>
          </cell>
          <cell r="Q7">
            <v>9.7058303993445509</v>
          </cell>
          <cell r="R7">
            <v>100.00000000000001</v>
          </cell>
          <cell r="S7">
            <v>34.449535364789526</v>
          </cell>
          <cell r="T7">
            <v>56.039250135300449</v>
          </cell>
          <cell r="U7">
            <v>9.5112144999100305</v>
          </cell>
          <cell r="V7">
            <v>100</v>
          </cell>
          <cell r="W7">
            <v>65.882656893075449</v>
          </cell>
          <cell r="X7">
            <v>29.970987470986781</v>
          </cell>
          <cell r="Y7">
            <v>4.1463556359377911</v>
          </cell>
          <cell r="Z7">
            <v>100.00000000000003</v>
          </cell>
        </row>
        <row r="8">
          <cell r="B8" t="str">
            <v>Trabajadores autónomos(*)</v>
          </cell>
          <cell r="C8">
            <v>80.516088460744825</v>
          </cell>
          <cell r="D8">
            <v>17.184648221011077</v>
          </cell>
          <cell r="E8">
            <v>2.2992633182440962</v>
          </cell>
          <cell r="F8">
            <v>100</v>
          </cell>
          <cell r="G8">
            <v>57.660547235683751</v>
          </cell>
          <cell r="H8">
            <v>27.660501629826236</v>
          </cell>
          <cell r="I8">
            <v>14.678951134490001</v>
          </cell>
          <cell r="J8">
            <v>100</v>
          </cell>
          <cell r="K8">
            <v>35.439713049320716</v>
          </cell>
          <cell r="L8">
            <v>39.796835415588291</v>
          </cell>
          <cell r="M8">
            <v>24.763451535090987</v>
          </cell>
          <cell r="N8">
            <v>100</v>
          </cell>
          <cell r="O8">
            <v>36.222834990138502</v>
          </cell>
          <cell r="P8">
            <v>36.470468589548233</v>
          </cell>
          <cell r="Q8">
            <v>27.306696420313266</v>
          </cell>
          <cell r="R8">
            <v>100</v>
          </cell>
          <cell r="S8">
            <v>17.603218073923077</v>
          </cell>
          <cell r="T8">
            <v>60.591167556206052</v>
          </cell>
          <cell r="U8">
            <v>21.80561436987087</v>
          </cell>
          <cell r="V8">
            <v>100</v>
          </cell>
          <cell r="W8">
            <v>54.398673108445728</v>
          </cell>
          <cell r="X8">
            <v>29.590526006710029</v>
          </cell>
          <cell r="Y8">
            <v>16.010800884844237</v>
          </cell>
          <cell r="Z8">
            <v>100</v>
          </cell>
        </row>
        <row r="9">
          <cell r="B9" t="str">
            <v xml:space="preserve">Agrario </v>
          </cell>
          <cell r="C9">
            <v>71.259760184218948</v>
          </cell>
          <cell r="D9">
            <v>23.703020966368971</v>
          </cell>
          <cell r="E9">
            <v>5.037218849412084</v>
          </cell>
          <cell r="F9">
            <v>100</v>
          </cell>
          <cell r="G9">
            <v>51.861085706931739</v>
          </cell>
          <cell r="H9">
            <v>32.176646250749862</v>
          </cell>
          <cell r="I9">
            <v>15.962268042318406</v>
          </cell>
          <cell r="J9">
            <v>100</v>
          </cell>
          <cell r="K9">
            <v>22.834856376185538</v>
          </cell>
          <cell r="L9">
            <v>40.22986981077878</v>
          </cell>
          <cell r="M9">
            <v>36.935273813035693</v>
          </cell>
          <cell r="N9">
            <v>100.00000000000001</v>
          </cell>
          <cell r="O9">
            <v>22.531728087705996</v>
          </cell>
          <cell r="P9">
            <v>44.141520445035539</v>
          </cell>
          <cell r="Q9">
            <v>33.326751467258468</v>
          </cell>
          <cell r="R9">
            <v>100</v>
          </cell>
          <cell r="S9">
            <v>16.146047204006194</v>
          </cell>
          <cell r="T9">
            <v>63.591166670912372</v>
          </cell>
          <cell r="U9">
            <v>20.262786125081437</v>
          </cell>
          <cell r="V9">
            <v>100</v>
          </cell>
          <cell r="W9">
            <v>44.924215129602345</v>
          </cell>
          <cell r="X9">
            <v>33.966412614632439</v>
          </cell>
          <cell r="Y9">
            <v>21.109372255765233</v>
          </cell>
          <cell r="Z9">
            <v>100.00000000000003</v>
          </cell>
        </row>
        <row r="10">
          <cell r="B10" t="str">
            <v>Trabajadores del mar</v>
          </cell>
        </row>
        <row r="11">
          <cell r="B11" t="str">
            <v>Minería del carbón</v>
          </cell>
          <cell r="C11">
            <v>73.335333922836568</v>
          </cell>
          <cell r="D11">
            <v>25.922080913895407</v>
          </cell>
          <cell r="E11">
            <v>0.74258516326802371</v>
          </cell>
          <cell r="F11">
            <v>100</v>
          </cell>
          <cell r="G11">
            <v>65.519593383929902</v>
          </cell>
          <cell r="H11">
            <v>31.266192474083585</v>
          </cell>
          <cell r="I11">
            <v>3.2142141419865062</v>
          </cell>
          <cell r="J11">
            <v>99.999999999999986</v>
          </cell>
          <cell r="K11">
            <v>36.763411670910735</v>
          </cell>
          <cell r="L11">
            <v>49.227309108831641</v>
          </cell>
          <cell r="M11">
            <v>14.009279220257627</v>
          </cell>
          <cell r="N11">
            <v>100</v>
          </cell>
          <cell r="O11">
            <v>38.107124200534912</v>
          </cell>
          <cell r="P11">
            <v>45.109442370361357</v>
          </cell>
          <cell r="Q11">
            <v>16.783433429103727</v>
          </cell>
          <cell r="R11">
            <v>100</v>
          </cell>
          <cell r="S11">
            <v>27.891593540963125</v>
          </cell>
          <cell r="T11">
            <v>61.394922791952553</v>
          </cell>
          <cell r="U11">
            <v>10.713483667084313</v>
          </cell>
          <cell r="V11">
            <v>100</v>
          </cell>
          <cell r="W11">
            <v>58.792677663153604</v>
          </cell>
          <cell r="X11">
            <v>35.408425783431632</v>
          </cell>
          <cell r="Y11">
            <v>5.7988965534147816</v>
          </cell>
          <cell r="Z11">
            <v>100.00000000000001</v>
          </cell>
        </row>
        <row r="12">
          <cell r="B12" t="str">
            <v>Empleados de hogar</v>
          </cell>
          <cell r="C12">
            <v>62.708375795081565</v>
          </cell>
          <cell r="D12">
            <v>37.228526505658948</v>
          </cell>
          <cell r="E12">
            <v>6.3097699259488577E-2</v>
          </cell>
          <cell r="F12">
            <v>100</v>
          </cell>
          <cell r="G12">
            <v>65.829613135254732</v>
          </cell>
          <cell r="H12">
            <v>33.898189042546704</v>
          </cell>
          <cell r="I12">
            <v>0.27219782219858318</v>
          </cell>
          <cell r="J12">
            <v>100.00000000000001</v>
          </cell>
          <cell r="K12">
            <v>38.786465277838929</v>
          </cell>
          <cell r="L12">
            <v>56.352088594832374</v>
          </cell>
          <cell r="M12">
            <v>4.8614461273287102</v>
          </cell>
          <cell r="N12">
            <v>100.00000000000001</v>
          </cell>
          <cell r="O12">
            <v>39.168280586772802</v>
          </cell>
          <cell r="P12">
            <v>53.90876750101009</v>
          </cell>
          <cell r="Q12">
            <v>6.9229519122171084</v>
          </cell>
          <cell r="R12">
            <v>100</v>
          </cell>
          <cell r="S12">
            <v>32.459532273660543</v>
          </cell>
          <cell r="T12">
            <v>65.505535053195572</v>
          </cell>
          <cell r="U12">
            <v>2.0349326731438779</v>
          </cell>
          <cell r="V12">
            <v>100</v>
          </cell>
          <cell r="W12">
            <v>60.277072125726022</v>
          </cell>
          <cell r="X12">
            <v>38.54346155733576</v>
          </cell>
          <cell r="Y12">
            <v>1.1794663169382207</v>
          </cell>
          <cell r="Z12">
            <v>100</v>
          </cell>
        </row>
        <row r="13">
          <cell r="B13" t="str">
            <v>Accidentes de trabajo</v>
          </cell>
          <cell r="C13">
            <v>61.348939494945306</v>
          </cell>
          <cell r="D13">
            <v>25.207534837032828</v>
          </cell>
          <cell r="E13">
            <v>13.443525668021886</v>
          </cell>
          <cell r="F13">
            <v>100.00000000000003</v>
          </cell>
          <cell r="G13">
            <v>40.940173733760481</v>
          </cell>
          <cell r="H13">
            <v>30.956073507620587</v>
          </cell>
          <cell r="I13">
            <v>28.103752758618938</v>
          </cell>
          <cell r="J13">
            <v>100.00000000000001</v>
          </cell>
          <cell r="K13">
            <v>47.48655450519027</v>
          </cell>
          <cell r="L13">
            <v>45.707721983716816</v>
          </cell>
          <cell r="M13">
            <v>6.8057235110929097</v>
          </cell>
          <cell r="N13">
            <v>100</v>
          </cell>
          <cell r="O13">
            <v>29.940040021145649</v>
          </cell>
          <cell r="P13">
            <v>40.094815871483398</v>
          </cell>
          <cell r="Q13">
            <v>29.965144107370943</v>
          </cell>
          <cell r="R13">
            <v>100</v>
          </cell>
          <cell r="S13">
            <v>27.492220046350482</v>
          </cell>
          <cell r="T13">
            <v>57.66259197235803</v>
          </cell>
          <cell r="U13">
            <v>14.845187981291486</v>
          </cell>
          <cell r="V13">
            <v>100</v>
          </cell>
          <cell r="W13">
            <v>42.52968630898669</v>
          </cell>
          <cell r="X13">
            <v>31.136154354795426</v>
          </cell>
          <cell r="Y13">
            <v>26.334159336217887</v>
          </cell>
          <cell r="Z13">
            <v>100</v>
          </cell>
        </row>
        <row r="14">
          <cell r="B14" t="str">
            <v>Enfermedades profesionales</v>
          </cell>
          <cell r="C14">
            <v>73.811659816892629</v>
          </cell>
          <cell r="D14">
            <v>25.942183273697637</v>
          </cell>
          <cell r="E14">
            <v>0.24615690940973942</v>
          </cell>
          <cell r="F14">
            <v>100</v>
          </cell>
          <cell r="G14">
            <v>48.523431285438036</v>
          </cell>
          <cell r="H14">
            <v>46.312831508244876</v>
          </cell>
          <cell r="I14">
            <v>5.1637372063170908</v>
          </cell>
          <cell r="J14">
            <v>100.00000000000001</v>
          </cell>
          <cell r="K14">
            <v>46.737358343772094</v>
          </cell>
          <cell r="L14">
            <v>44.378521659036508</v>
          </cell>
          <cell r="M14">
            <v>8.884119997191414</v>
          </cell>
          <cell r="N14">
            <v>100.00000000000003</v>
          </cell>
          <cell r="O14">
            <v>68.774448560888928</v>
          </cell>
          <cell r="P14">
            <v>26.924377161088007</v>
          </cell>
          <cell r="Q14">
            <v>4.3011742780230522</v>
          </cell>
          <cell r="R14">
            <v>99.999999999999986</v>
          </cell>
          <cell r="S14">
            <v>54.611575219037896</v>
          </cell>
          <cell r="T14">
            <v>43.991037783042827</v>
          </cell>
          <cell r="U14">
            <v>1.3973869979192672</v>
          </cell>
          <cell r="V14">
            <v>99.999999999999986</v>
          </cell>
          <cell r="W14">
            <v>61.095199273542818</v>
          </cell>
          <cell r="X14">
            <v>35.23313386342187</v>
          </cell>
          <cell r="Y14">
            <v>3.6716668630353095</v>
          </cell>
          <cell r="Z14">
            <v>100</v>
          </cell>
        </row>
        <row r="15">
          <cell r="B15" t="str">
            <v>Sovi</v>
          </cell>
          <cell r="C15">
            <v>74.9515186048543</v>
          </cell>
          <cell r="D15">
            <v>24.988577266573621</v>
          </cell>
          <cell r="E15">
            <v>5.9904128572064591E-2</v>
          </cell>
          <cell r="F15">
            <v>100</v>
          </cell>
          <cell r="G15">
            <v>62.966125839057341</v>
          </cell>
          <cell r="H15">
            <v>36.052316658948854</v>
          </cell>
          <cell r="I15">
            <v>0.98155750199381298</v>
          </cell>
          <cell r="J15">
            <v>100.00000000000001</v>
          </cell>
          <cell r="K15">
            <v>37.337694839217981</v>
          </cell>
          <cell r="L15">
            <v>53.498149261701442</v>
          </cell>
          <cell r="M15">
            <v>9.1641558990805834</v>
          </cell>
          <cell r="N15">
            <v>100</v>
          </cell>
          <cell r="O15">
            <v>30.204432125740201</v>
          </cell>
          <cell r="P15">
            <v>57.260970525495452</v>
          </cell>
          <cell r="Q15">
            <v>12.534597348764354</v>
          </cell>
          <cell r="R15">
            <v>100</v>
          </cell>
          <cell r="S15">
            <v>38.736744029333749</v>
          </cell>
          <cell r="T15">
            <v>60.094942226349318</v>
          </cell>
          <cell r="U15">
            <v>1.1683137443169351</v>
          </cell>
          <cell r="V15">
            <v>100</v>
          </cell>
          <cell r="W15">
            <v>59.566325945547256</v>
          </cell>
          <cell r="X15">
            <v>37.461524704559245</v>
          </cell>
          <cell r="Y15">
            <v>2.9721493498934901</v>
          </cell>
          <cell r="Z15">
            <v>99.999999999999986</v>
          </cell>
        </row>
        <row r="17">
          <cell r="B17" t="str">
            <v>Total sistema</v>
          </cell>
          <cell r="C17">
            <v>76.590449369763249</v>
          </cell>
          <cell r="D17">
            <v>22.418842546676199</v>
          </cell>
          <cell r="E17">
            <v>0.99070808356055473</v>
          </cell>
          <cell r="F17">
            <v>100</v>
          </cell>
          <cell r="G17">
            <v>64.000254549292464</v>
          </cell>
          <cell r="H17">
            <v>29.852621788762537</v>
          </cell>
          <cell r="I17">
            <v>6.1471236619450007</v>
          </cell>
          <cell r="J17">
            <v>100</v>
          </cell>
          <cell r="K17">
            <v>41.806733186898121</v>
          </cell>
          <cell r="L17">
            <v>45.273085250795212</v>
          </cell>
          <cell r="M17">
            <v>12.920181562306682</v>
          </cell>
          <cell r="N17">
            <v>100.00000000000001</v>
          </cell>
          <cell r="O17">
            <v>47.575093295821425</v>
          </cell>
          <cell r="P17">
            <v>37.634160811736415</v>
          </cell>
          <cell r="Q17">
            <v>14.790745892442173</v>
          </cell>
          <cell r="R17">
            <v>100.00000000000001</v>
          </cell>
          <cell r="S17">
            <v>30.825538594736013</v>
          </cell>
          <cell r="T17">
            <v>57.17056000377066</v>
          </cell>
          <cell r="U17">
            <v>12.003901401493302</v>
          </cell>
          <cell r="V17">
            <v>99.999999999999972</v>
          </cell>
          <cell r="W17">
            <v>60.812128194846785</v>
          </cell>
          <cell r="X17">
            <v>32.186292699708687</v>
          </cell>
          <cell r="Y17">
            <v>7.0015791054445158</v>
          </cell>
          <cell r="Z17">
            <v>99.999999999999986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04"/>
      <sheetName val="Données"/>
      <sheetName val="Macro1"/>
    </sheetNames>
    <sheetDataSet>
      <sheetData sheetId="0" refreshError="1"/>
      <sheetData sheetId="1"/>
      <sheetData sheetId="2">
        <row r="23">
          <cell r="C23">
            <v>1487</v>
          </cell>
        </row>
        <row r="26">
          <cell r="C26">
            <v>514</v>
          </cell>
        </row>
        <row r="29">
          <cell r="C29">
            <v>8347</v>
          </cell>
        </row>
        <row r="31">
          <cell r="C31">
            <v>13687</v>
          </cell>
        </row>
        <row r="34">
          <cell r="C34">
            <v>30037</v>
          </cell>
        </row>
        <row r="36">
          <cell r="C36">
            <v>15330</v>
          </cell>
        </row>
        <row r="39">
          <cell r="C39">
            <v>2180</v>
          </cell>
        </row>
        <row r="41">
          <cell r="C41">
            <v>1172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04 Ensemble"/>
      <sheetName val="Graph 04 Hommes"/>
      <sheetName val="Graph 04 Femmes"/>
      <sheetName val="Données Ensemble"/>
      <sheetName val="Données Hommes"/>
      <sheetName val="Données Femm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8">
          <cell r="C88">
            <v>18</v>
          </cell>
        </row>
        <row r="91">
          <cell r="C91">
            <v>153</v>
          </cell>
        </row>
        <row r="94">
          <cell r="C94">
            <v>4828</v>
          </cell>
        </row>
        <row r="96">
          <cell r="C96">
            <v>7030</v>
          </cell>
        </row>
        <row r="99">
          <cell r="C99">
            <v>11836</v>
          </cell>
        </row>
        <row r="101">
          <cell r="C101">
            <v>7105</v>
          </cell>
        </row>
        <row r="104">
          <cell r="C104">
            <v>1154</v>
          </cell>
        </row>
        <row r="106">
          <cell r="C106">
            <v>801</v>
          </cell>
        </row>
        <row r="153">
          <cell r="C153">
            <v>1469</v>
          </cell>
        </row>
        <row r="156">
          <cell r="C156">
            <v>361</v>
          </cell>
        </row>
        <row r="159">
          <cell r="C159">
            <v>3519</v>
          </cell>
        </row>
        <row r="161">
          <cell r="C161">
            <v>6657</v>
          </cell>
        </row>
        <row r="164">
          <cell r="C164">
            <v>18201</v>
          </cell>
        </row>
        <row r="166">
          <cell r="C166">
            <v>8225</v>
          </cell>
        </row>
        <row r="169">
          <cell r="C169">
            <v>1026</v>
          </cell>
        </row>
        <row r="171">
          <cell r="C171">
            <v>371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4"/>
      <sheetName val="Données"/>
      <sheetName val="Macro1"/>
    </sheetNames>
    <sheetDataSet>
      <sheetData sheetId="0" refreshError="1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 V5-07"/>
      <sheetName val="PERSONALv152008"/>
      <sheetName val="PRIM"/>
      <sheetName val="H. Gener"/>
      <sheetName val="H.Com"/>
      <sheetName val="H.MYL"/>
      <sheetName val="PSQI"/>
      <sheetName val="SUPR"/>
      <sheetName val="resumen PERS"/>
      <sheetName val="evolutPERS"/>
      <sheetName val="FARMACIA"/>
      <sheetName val="PRÓTESIS"/>
      <sheetName val="MAT SAN sin prot "/>
      <sheetName val="MAT SAN total"/>
      <sheetName val="OTROS APROV"/>
      <sheetName val="VAR EXIST"/>
      <sheetName val="PROV EXIST"/>
      <sheetName val="PROV TRAFICO"/>
      <sheetName val="OSATEK"/>
      <sheetName val="CONVENIO"/>
      <sheetName val="OTR GTO EXT sinOTK"/>
      <sheetName val="Limpieza"/>
      <sheetName val="tot OTR GTO EXT"/>
      <sheetName val="SERV EXTER"/>
      <sheetName val="OTROS EXPLOT"/>
      <sheetName val="TOTAL FUNC "/>
      <sheetName val="ING TERC"/>
      <sheetName val="lagunaro"/>
      <sheetName val="OTR NO PUBL"/>
      <sheetName val="TOT ING NO PUBL"/>
      <sheetName val="RDO FINANC"/>
      <sheetName val="mensual"/>
      <sheetName val="RDO EXTR"/>
      <sheetName val="TRASPASOS"/>
      <sheetName val="NEC.FINAN"/>
      <sheetName val="RESUMEN 08"/>
      <sheetName val="ENCAJE PRES"/>
      <sheetName val="PREVISION 200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général"/>
      <sheetName val="Impact détail AGIRC ARRCO"/>
      <sheetName val="Impact détail AGIRC"/>
      <sheetName val="Impact détail ARRCO"/>
      <sheetName val="Recap V3"/>
      <sheetName val="Recap V1 "/>
      <sheetName val="Recap V2"/>
      <sheetName val="Situation avant réforme"/>
      <sheetName val="RecapRUm0m7"/>
      <sheetName val="RecapAGIRCm0m7"/>
      <sheetName val="RecapARRCOm0m7"/>
      <sheetName val="Sitinihorsmensu"/>
      <sheetName val="Impact alignement"/>
      <sheetName val="Impact Plaf majo"/>
      <sheetName val="m0"/>
      <sheetName val="m1"/>
      <sheetName val="m2"/>
      <sheetName val="m3"/>
      <sheetName val="m4"/>
      <sheetName val="m5"/>
      <sheetName val="m6"/>
      <sheetName val="m7"/>
      <sheetName val="Mesu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A9">
            <v>2009</v>
          </cell>
          <cell r="D9">
            <v>51590</v>
          </cell>
          <cell r="I9">
            <v>51590</v>
          </cell>
          <cell r="J9">
            <v>0</v>
          </cell>
          <cell r="O9">
            <v>51590</v>
          </cell>
          <cell r="P9">
            <v>0</v>
          </cell>
          <cell r="U9">
            <v>51590</v>
          </cell>
          <cell r="V9">
            <v>0</v>
          </cell>
          <cell r="AA9">
            <v>51590</v>
          </cell>
          <cell r="AB9">
            <v>0</v>
          </cell>
          <cell r="AG9">
            <v>51590</v>
          </cell>
          <cell r="AH9">
            <v>0</v>
          </cell>
          <cell r="AM9">
            <v>51590</v>
          </cell>
          <cell r="AN9">
            <v>0</v>
          </cell>
          <cell r="AS9">
            <v>51590</v>
          </cell>
          <cell r="AT9">
            <v>0</v>
          </cell>
          <cell r="AY9">
            <v>51590</v>
          </cell>
          <cell r="AZ9">
            <v>0</v>
          </cell>
        </row>
        <row r="10">
          <cell r="A10">
            <v>2010</v>
          </cell>
          <cell r="B10">
            <v>-1967.2669037849755</v>
          </cell>
          <cell r="C10">
            <v>-1967.2669037849755</v>
          </cell>
          <cell r="D10">
            <v>49633.556759887913</v>
          </cell>
          <cell r="E10">
            <v>-1967.2669037849755</v>
          </cell>
          <cell r="F10">
            <v>0</v>
          </cell>
          <cell r="G10">
            <v>-1967.2669037849755</v>
          </cell>
          <cell r="H10">
            <v>0</v>
          </cell>
          <cell r="I10">
            <v>49633.556759887913</v>
          </cell>
          <cell r="J10">
            <v>0</v>
          </cell>
          <cell r="K10">
            <v>-1967.2669037849757</v>
          </cell>
          <cell r="L10">
            <v>0</v>
          </cell>
          <cell r="M10">
            <v>-1967.2669037849757</v>
          </cell>
          <cell r="N10">
            <v>0</v>
          </cell>
          <cell r="O10">
            <v>49633.556759887906</v>
          </cell>
          <cell r="P10">
            <v>0</v>
          </cell>
          <cell r="Q10">
            <v>-1967.2669037849757</v>
          </cell>
          <cell r="R10">
            <v>0</v>
          </cell>
          <cell r="S10">
            <v>-1967.2669037849757</v>
          </cell>
          <cell r="T10">
            <v>0</v>
          </cell>
          <cell r="U10">
            <v>49633.556759887906</v>
          </cell>
          <cell r="V10">
            <v>0</v>
          </cell>
          <cell r="W10">
            <v>-1967.2669037849757</v>
          </cell>
          <cell r="X10">
            <v>0</v>
          </cell>
          <cell r="Y10">
            <v>-1967.2669037849757</v>
          </cell>
          <cell r="Z10">
            <v>0</v>
          </cell>
          <cell r="AA10">
            <v>49633.556759887906</v>
          </cell>
          <cell r="AB10">
            <v>0</v>
          </cell>
          <cell r="AC10">
            <v>-1967.2669037849757</v>
          </cell>
          <cell r="AD10">
            <v>0</v>
          </cell>
          <cell r="AE10">
            <v>-1967.2669037849757</v>
          </cell>
          <cell r="AF10">
            <v>0</v>
          </cell>
          <cell r="AG10">
            <v>49633.556759887906</v>
          </cell>
          <cell r="AH10">
            <v>0</v>
          </cell>
          <cell r="AI10">
            <v>-1967.2669037849757</v>
          </cell>
          <cell r="AJ10">
            <v>0</v>
          </cell>
          <cell r="AK10">
            <v>-1967.2669037849757</v>
          </cell>
          <cell r="AL10">
            <v>0</v>
          </cell>
          <cell r="AM10">
            <v>49633.556759887906</v>
          </cell>
          <cell r="AN10">
            <v>0</v>
          </cell>
          <cell r="AO10">
            <v>-1967.2669037849757</v>
          </cell>
          <cell r="AP10">
            <v>0</v>
          </cell>
          <cell r="AQ10">
            <v>-1967.2669037849757</v>
          </cell>
          <cell r="AR10">
            <v>0</v>
          </cell>
          <cell r="AS10">
            <v>49633.556759887906</v>
          </cell>
          <cell r="AT10">
            <v>0</v>
          </cell>
          <cell r="AU10">
            <v>-1967.2669037849757</v>
          </cell>
          <cell r="AV10">
            <v>0</v>
          </cell>
          <cell r="AW10">
            <v>-1967.2669037849757</v>
          </cell>
          <cell r="AX10">
            <v>0</v>
          </cell>
          <cell r="AY10">
            <v>49633.556759887906</v>
          </cell>
          <cell r="AZ10">
            <v>0</v>
          </cell>
        </row>
        <row r="11">
          <cell r="A11">
            <v>2011</v>
          </cell>
          <cell r="B11">
            <v>-2833.6250462658991</v>
          </cell>
          <cell r="C11">
            <v>-4800.8919500508746</v>
          </cell>
          <cell r="D11">
            <v>46596.771711187263</v>
          </cell>
          <cell r="E11">
            <v>-2948.9779624464481</v>
          </cell>
          <cell r="F11">
            <v>-115.35291618054907</v>
          </cell>
          <cell r="G11">
            <v>-4916.2448662314237</v>
          </cell>
          <cell r="H11">
            <v>-115.35291618054907</v>
          </cell>
          <cell r="I11">
            <v>46467.994696049122</v>
          </cell>
          <cell r="J11">
            <v>-128.777015138141</v>
          </cell>
          <cell r="K11">
            <v>-2948.9779624464486</v>
          </cell>
          <cell r="L11">
            <v>0</v>
          </cell>
          <cell r="M11">
            <v>-4916.2448662314246</v>
          </cell>
          <cell r="N11">
            <v>0</v>
          </cell>
          <cell r="O11">
            <v>46467.994696049122</v>
          </cell>
          <cell r="P11">
            <v>0</v>
          </cell>
          <cell r="Q11">
            <v>-2948.9779624464486</v>
          </cell>
          <cell r="R11">
            <v>0</v>
          </cell>
          <cell r="S11">
            <v>-4916.2448662314246</v>
          </cell>
          <cell r="T11">
            <v>0</v>
          </cell>
          <cell r="U11">
            <v>46467.994696049114</v>
          </cell>
          <cell r="V11">
            <v>0</v>
          </cell>
          <cell r="W11">
            <v>-2656.5671582979726</v>
          </cell>
          <cell r="X11">
            <v>292.41080414847602</v>
          </cell>
          <cell r="Y11">
            <v>-4623.8340620829485</v>
          </cell>
          <cell r="Z11">
            <v>292.41080414847602</v>
          </cell>
          <cell r="AA11">
            <v>46830.343729915767</v>
          </cell>
          <cell r="AB11">
            <v>362.34903386665246</v>
          </cell>
          <cell r="AC11">
            <v>-2656.5671582979726</v>
          </cell>
          <cell r="AD11">
            <v>0</v>
          </cell>
          <cell r="AE11">
            <v>-4623.8340620829485</v>
          </cell>
          <cell r="AF11">
            <v>0</v>
          </cell>
          <cell r="AG11">
            <v>46830.343729915767</v>
          </cell>
          <cell r="AH11">
            <v>0</v>
          </cell>
          <cell r="AI11">
            <v>-2656.5671582979726</v>
          </cell>
          <cell r="AJ11">
            <v>0</v>
          </cell>
          <cell r="AK11">
            <v>-4623.8340620829485</v>
          </cell>
          <cell r="AL11">
            <v>0</v>
          </cell>
          <cell r="AM11">
            <v>46830.343729915767</v>
          </cell>
          <cell r="AN11">
            <v>0</v>
          </cell>
          <cell r="AO11">
            <v>-2656.5671582979726</v>
          </cell>
          <cell r="AP11">
            <v>0</v>
          </cell>
          <cell r="AQ11">
            <v>-4623.8340620829485</v>
          </cell>
          <cell r="AR11">
            <v>0</v>
          </cell>
          <cell r="AS11">
            <v>46830.343729915767</v>
          </cell>
          <cell r="AT11">
            <v>0</v>
          </cell>
          <cell r="AU11">
            <v>-2656.5671582979726</v>
          </cell>
          <cell r="AV11">
            <v>0</v>
          </cell>
          <cell r="AW11">
            <v>-4623.8340620829485</v>
          </cell>
          <cell r="AX11">
            <v>0</v>
          </cell>
          <cell r="AY11">
            <v>46830.343729915767</v>
          </cell>
          <cell r="AZ11">
            <v>0</v>
          </cell>
        </row>
        <row r="12">
          <cell r="A12">
            <v>2012</v>
          </cell>
          <cell r="B12">
            <v>-2296.7373093981423</v>
          </cell>
          <cell r="C12">
            <v>-7097.6292594490169</v>
          </cell>
          <cell r="D12">
            <v>43948.540805543686</v>
          </cell>
          <cell r="E12">
            <v>-2629.3161512512324</v>
          </cell>
          <cell r="F12">
            <v>-332.57884185309013</v>
          </cell>
          <cell r="G12">
            <v>-7545.5610174826561</v>
          </cell>
          <cell r="H12">
            <v>-447.9317580336392</v>
          </cell>
          <cell r="I12">
            <v>43459.346744048504</v>
          </cell>
          <cell r="J12">
            <v>-489.19406149518181</v>
          </cell>
          <cell r="K12">
            <v>-2629.3161512512329</v>
          </cell>
          <cell r="L12">
            <v>0</v>
          </cell>
          <cell r="M12">
            <v>-7545.5610174826579</v>
          </cell>
          <cell r="N12">
            <v>0</v>
          </cell>
          <cell r="O12">
            <v>43459.346744048504</v>
          </cell>
          <cell r="P12">
            <v>0</v>
          </cell>
          <cell r="Q12">
            <v>-2648.8376990356301</v>
          </cell>
          <cell r="R12">
            <v>-19.521547784397171</v>
          </cell>
          <cell r="S12">
            <v>-7565.0825652670546</v>
          </cell>
          <cell r="T12">
            <v>-19.521547784396716</v>
          </cell>
          <cell r="U12">
            <v>43441.379546462806</v>
          </cell>
          <cell r="V12">
            <v>-17.967197585698159</v>
          </cell>
          <cell r="W12">
            <v>-2417.7855696723818</v>
          </cell>
          <cell r="X12">
            <v>231.05212936324824</v>
          </cell>
          <cell r="Y12">
            <v>-7041.6196317553304</v>
          </cell>
          <cell r="Z12">
            <v>523.46293351172426</v>
          </cell>
          <cell r="AA12">
            <v>44025.75837628499</v>
          </cell>
          <cell r="AB12">
            <v>584.37882982218434</v>
          </cell>
          <cell r="AC12">
            <v>-2404.4055732890738</v>
          </cell>
          <cell r="AD12">
            <v>13.379996383308026</v>
          </cell>
          <cell r="AE12">
            <v>-7028.2396353720223</v>
          </cell>
          <cell r="AF12">
            <v>13.379996383308026</v>
          </cell>
          <cell r="AG12">
            <v>44042.333502577261</v>
          </cell>
          <cell r="AH12">
            <v>16.575126292271307</v>
          </cell>
          <cell r="AI12">
            <v>-2412.7549691574882</v>
          </cell>
          <cell r="AJ12">
            <v>-8.3493958684143763</v>
          </cell>
          <cell r="AK12">
            <v>-7036.5890312404372</v>
          </cell>
          <cell r="AL12">
            <v>-8.3493958684148311</v>
          </cell>
          <cell r="AM12">
            <v>44031.987114949414</v>
          </cell>
          <cell r="AN12">
            <v>-10.346387627847434</v>
          </cell>
          <cell r="AO12">
            <v>-2412.7549691574882</v>
          </cell>
          <cell r="AP12">
            <v>0</v>
          </cell>
          <cell r="AQ12">
            <v>-7036.5890312404372</v>
          </cell>
          <cell r="AR12">
            <v>0</v>
          </cell>
          <cell r="AS12">
            <v>44031.987114949414</v>
          </cell>
          <cell r="AT12">
            <v>0</v>
          </cell>
          <cell r="AU12">
            <v>-2407.5407633576124</v>
          </cell>
          <cell r="AV12">
            <v>5.2142057998757991</v>
          </cell>
          <cell r="AW12">
            <v>-7031.3748254405609</v>
          </cell>
          <cell r="AX12">
            <v>5.2142057998762539</v>
          </cell>
          <cell r="AY12">
            <v>44037.201320749293</v>
          </cell>
          <cell r="AZ12">
            <v>5.2142057998789824</v>
          </cell>
        </row>
        <row r="13">
          <cell r="A13">
            <v>2013</v>
          </cell>
          <cell r="B13">
            <v>-1689.5082125928188</v>
          </cell>
          <cell r="C13">
            <v>-8787.1374720418353</v>
          </cell>
          <cell r="D13">
            <v>41850.07918681531</v>
          </cell>
          <cell r="E13">
            <v>-2238.0510551552675</v>
          </cell>
          <cell r="F13">
            <v>-548.54284256244864</v>
          </cell>
          <cell r="G13">
            <v>-9783.6120726379231</v>
          </cell>
          <cell r="H13">
            <v>-996.47460059608784</v>
          </cell>
          <cell r="I13">
            <v>40778.242302222367</v>
          </cell>
          <cell r="J13">
            <v>-1071.8368845929435</v>
          </cell>
          <cell r="K13">
            <v>-2238.0510551552675</v>
          </cell>
          <cell r="L13">
            <v>0</v>
          </cell>
          <cell r="M13">
            <v>-9783.6120726379249</v>
          </cell>
          <cell r="N13">
            <v>0</v>
          </cell>
          <cell r="O13">
            <v>50113.122160799729</v>
          </cell>
          <cell r="P13">
            <v>9334.879858577362</v>
          </cell>
          <cell r="Q13">
            <v>-2283.5219436672141</v>
          </cell>
          <cell r="R13">
            <v>-45.470888511946669</v>
          </cell>
          <cell r="S13">
            <v>-9848.6045089342697</v>
          </cell>
          <cell r="T13">
            <v>-64.992436296344749</v>
          </cell>
          <cell r="U13">
            <v>50052.739324025868</v>
          </cell>
          <cell r="V13">
            <v>-60.382836773860618</v>
          </cell>
          <cell r="W13">
            <v>-2049.2946894325378</v>
          </cell>
          <cell r="X13">
            <v>234.22725423467637</v>
          </cell>
          <cell r="Y13">
            <v>-9090.9143211878691</v>
          </cell>
          <cell r="Z13">
            <v>757.69018774640062</v>
          </cell>
          <cell r="AA13">
            <v>50861.830852862418</v>
          </cell>
          <cell r="AB13">
            <v>809.09152883655042</v>
          </cell>
          <cell r="AC13">
            <v>-2022.7907149948389</v>
          </cell>
          <cell r="AD13">
            <v>26.503974437698844</v>
          </cell>
          <cell r="AE13">
            <v>-9051.030350366862</v>
          </cell>
          <cell r="AF13">
            <v>39.883970821007097</v>
          </cell>
          <cell r="AG13">
            <v>50905.319906452089</v>
          </cell>
          <cell r="AH13">
            <v>43.48905358967022</v>
          </cell>
          <cell r="AI13">
            <v>-2039.764858287283</v>
          </cell>
          <cell r="AJ13">
            <v>-16.974143292444069</v>
          </cell>
          <cell r="AK13">
            <v>-9076.3538895277197</v>
          </cell>
          <cell r="AL13">
            <v>-25.323539160857763</v>
          </cell>
          <cell r="AM13">
            <v>50877.709745442044</v>
          </cell>
          <cell r="AN13">
            <v>-27.610161010044976</v>
          </cell>
          <cell r="AO13">
            <v>-2007.5392654019051</v>
          </cell>
          <cell r="AP13">
            <v>32.225592885377864</v>
          </cell>
          <cell r="AQ13">
            <v>-9044.1282966423423</v>
          </cell>
          <cell r="AR13">
            <v>32.225592885377409</v>
          </cell>
          <cell r="AS13">
            <v>50909.935338327421</v>
          </cell>
          <cell r="AT13">
            <v>32.225592885377409</v>
          </cell>
          <cell r="AU13">
            <v>-1997.1879110307307</v>
          </cell>
          <cell r="AV13">
            <v>10.351354371174466</v>
          </cell>
          <cell r="AW13">
            <v>-9028.5627364712909</v>
          </cell>
          <cell r="AX13">
            <v>15.565560171051402</v>
          </cell>
          <cell r="AY13">
            <v>50925.588450921576</v>
          </cell>
          <cell r="AZ13">
            <v>15.653112594154663</v>
          </cell>
        </row>
        <row r="14">
          <cell r="A14">
            <v>2014</v>
          </cell>
          <cell r="B14">
            <v>-1333.1982355227358</v>
          </cell>
          <cell r="C14">
            <v>-10120.335707564571</v>
          </cell>
          <cell r="D14">
            <v>40014.426015488651</v>
          </cell>
          <cell r="E14">
            <v>-2097.7817351431422</v>
          </cell>
          <cell r="F14">
            <v>-764.58349962040643</v>
          </cell>
          <cell r="G14">
            <v>-11881.393807781065</v>
          </cell>
          <cell r="H14">
            <v>-1761.0581002164945</v>
          </cell>
          <cell r="I14">
            <v>38133.766698556989</v>
          </cell>
          <cell r="J14">
            <v>-1880.659316931662</v>
          </cell>
          <cell r="K14">
            <v>-2097.7817351431422</v>
          </cell>
          <cell r="L14">
            <v>0</v>
          </cell>
          <cell r="M14">
            <v>-11881.393807781067</v>
          </cell>
          <cell r="N14">
            <v>0</v>
          </cell>
          <cell r="O14">
            <v>48049.054419091437</v>
          </cell>
          <cell r="P14">
            <v>9915.2877205344485</v>
          </cell>
          <cell r="Q14">
            <v>-2176.1205288373967</v>
          </cell>
          <cell r="R14">
            <v>-78.338793694254491</v>
          </cell>
          <cell r="S14">
            <v>-12024.725037771666</v>
          </cell>
          <cell r="T14">
            <v>-143.33122999059924</v>
          </cell>
          <cell r="U14">
            <v>47911.798503893486</v>
          </cell>
          <cell r="V14">
            <v>-137.25591519795125</v>
          </cell>
          <cell r="W14">
            <v>-1938.204382029666</v>
          </cell>
          <cell r="X14">
            <v>237.91614680773068</v>
          </cell>
          <cell r="Y14">
            <v>-11029.118703217535</v>
          </cell>
          <cell r="Z14">
            <v>995.60633455413154</v>
          </cell>
          <cell r="AA14">
            <v>48972.582353318765</v>
          </cell>
          <cell r="AB14">
            <v>1060.7838494252792</v>
          </cell>
          <cell r="AC14">
            <v>-1899.5635836794602</v>
          </cell>
          <cell r="AD14">
            <v>38.640798350205841</v>
          </cell>
          <cell r="AE14">
            <v>-10950.593934046323</v>
          </cell>
          <cell r="AF14">
            <v>78.524769171212029</v>
          </cell>
          <cell r="AG14">
            <v>49056.75164859974</v>
          </cell>
          <cell r="AH14">
            <v>84.169295280975348</v>
          </cell>
          <cell r="AI14">
            <v>-1924.755791483034</v>
          </cell>
          <cell r="AJ14">
            <v>-25.192207803573865</v>
          </cell>
          <cell r="AK14">
            <v>-11001.109681010754</v>
          </cell>
          <cell r="AL14">
            <v>-50.515746964430946</v>
          </cell>
          <cell r="AM14">
            <v>49002.618062307942</v>
          </cell>
          <cell r="AN14">
            <v>-54.133586291798565</v>
          </cell>
          <cell r="AO14">
            <v>-1860.3046057122829</v>
          </cell>
          <cell r="AP14">
            <v>64.451185770751181</v>
          </cell>
          <cell r="AQ14">
            <v>-10904.432902354625</v>
          </cell>
          <cell r="AR14">
            <v>96.67677865612859</v>
          </cell>
          <cell r="AS14">
            <v>49099.835945180377</v>
          </cell>
          <cell r="AT14">
            <v>97.217882872435439</v>
          </cell>
          <cell r="AU14">
            <v>-1844.8920212215983</v>
          </cell>
          <cell r="AV14">
            <v>15.412584490684594</v>
          </cell>
          <cell r="AW14">
            <v>-10873.454757692889</v>
          </cell>
          <cell r="AX14">
            <v>30.978144661736223</v>
          </cell>
          <cell r="AY14">
            <v>49131.164475760728</v>
          </cell>
          <cell r="AZ14">
            <v>31.328530580351071</v>
          </cell>
        </row>
        <row r="15">
          <cell r="A15">
            <v>2015</v>
          </cell>
          <cell r="B15">
            <v>-1091.4735268494937</v>
          </cell>
          <cell r="C15">
            <v>-11211.809234414064</v>
          </cell>
          <cell r="D15">
            <v>38384.062678089795</v>
          </cell>
          <cell r="E15">
            <v>-2072.1571224718741</v>
          </cell>
          <cell r="F15">
            <v>-980.68359562238038</v>
          </cell>
          <cell r="G15">
            <v>-13953.550930252939</v>
          </cell>
          <cell r="H15">
            <v>-2741.7416958388749</v>
          </cell>
          <cell r="I15">
            <v>35464.540221661744</v>
          </cell>
          <cell r="J15">
            <v>-2919.5224564280506</v>
          </cell>
          <cell r="K15">
            <v>-2072.1571224718741</v>
          </cell>
          <cell r="L15">
            <v>0</v>
          </cell>
          <cell r="M15">
            <v>-13953.550930252941</v>
          </cell>
          <cell r="N15">
            <v>0</v>
          </cell>
          <cell r="O15">
            <v>45977.376329198247</v>
          </cell>
          <cell r="P15">
            <v>10512.836107536503</v>
          </cell>
          <cell r="Q15">
            <v>-2193.3616724505973</v>
          </cell>
          <cell r="R15">
            <v>-121.20454997872321</v>
          </cell>
          <cell r="S15">
            <v>-14218.086710222264</v>
          </cell>
          <cell r="T15">
            <v>-264.5357799693229</v>
          </cell>
          <cell r="U15">
            <v>45718.655834811078</v>
          </cell>
          <cell r="V15">
            <v>-258.72049438716931</v>
          </cell>
          <cell r="W15">
            <v>-1951.4028467859462</v>
          </cell>
          <cell r="X15">
            <v>241.95882566465116</v>
          </cell>
          <cell r="Y15">
            <v>-12980.521550003481</v>
          </cell>
          <cell r="Z15">
            <v>1237.5651602187827</v>
          </cell>
          <cell r="AA15">
            <v>47039.480030483377</v>
          </cell>
          <cell r="AB15">
            <v>1320.8241956722995</v>
          </cell>
          <cell r="AC15">
            <v>-1901.2110312947379</v>
          </cell>
          <cell r="AD15">
            <v>50.191815491208217</v>
          </cell>
          <cell r="AE15">
            <v>-12851.80496534106</v>
          </cell>
          <cell r="AF15">
            <v>128.71658466242116</v>
          </cell>
          <cell r="AG15">
            <v>47176.467730224511</v>
          </cell>
          <cell r="AH15">
            <v>136.98769974113384</v>
          </cell>
          <cell r="AI15">
            <v>-1934.0165117664851</v>
          </cell>
          <cell r="AJ15">
            <v>-32.80548047174716</v>
          </cell>
          <cell r="AK15">
            <v>-12935.126192777239</v>
          </cell>
          <cell r="AL15">
            <v>-83.32122743617947</v>
          </cell>
          <cell r="AM15">
            <v>47087.839961483274</v>
          </cell>
          <cell r="AN15">
            <v>-88.62776874123665</v>
          </cell>
          <cell r="AO15">
            <v>-1837.3397331103536</v>
          </cell>
          <cell r="AP15">
            <v>96.676778656131546</v>
          </cell>
          <cell r="AQ15">
            <v>-12741.772635464979</v>
          </cell>
          <cell r="AR15">
            <v>193.35355731226082</v>
          </cell>
          <cell r="AS15">
            <v>47283.367021413607</v>
          </cell>
          <cell r="AT15">
            <v>195.52705993033305</v>
          </cell>
          <cell r="AU15">
            <v>-1816.940715004386</v>
          </cell>
          <cell r="AV15">
            <v>20.399018105967571</v>
          </cell>
          <cell r="AW15">
            <v>-12690.395472697275</v>
          </cell>
          <cell r="AX15">
            <v>51.377162767703339</v>
          </cell>
          <cell r="AY15">
            <v>47335.620611623744</v>
          </cell>
          <cell r="AZ15">
            <v>52.25359021013719</v>
          </cell>
        </row>
        <row r="16">
          <cell r="A16">
            <v>2016</v>
          </cell>
          <cell r="B16">
            <v>-648.7302685695538</v>
          </cell>
          <cell r="C16">
            <v>-11860.539502983618</v>
          </cell>
          <cell r="D16">
            <v>37188.626121986315</v>
          </cell>
          <cell r="E16">
            <v>-1845.4912473130244</v>
          </cell>
          <cell r="F16">
            <v>-1196.7609787434706</v>
          </cell>
          <cell r="G16">
            <v>-15799.042177565963</v>
          </cell>
          <cell r="H16">
            <v>-3938.5026745823452</v>
          </cell>
          <cell r="I16">
            <v>32996.340448861825</v>
          </cell>
          <cell r="J16">
            <v>-4192.2856731244901</v>
          </cell>
          <cell r="K16">
            <v>-1845.4912473130241</v>
          </cell>
          <cell r="L16">
            <v>0</v>
          </cell>
          <cell r="M16">
            <v>-15799.042177565965</v>
          </cell>
          <cell r="N16">
            <v>0</v>
          </cell>
          <cell r="O16">
            <v>44095.486307970983</v>
          </cell>
          <cell r="P16">
            <v>11099.145859109158</v>
          </cell>
          <cell r="Q16">
            <v>-1991.0941492905413</v>
          </cell>
          <cell r="R16">
            <v>-145.60290197751715</v>
          </cell>
          <cell r="S16">
            <v>-16209.180859512806</v>
          </cell>
          <cell r="T16">
            <v>-410.13868194684073</v>
          </cell>
          <cell r="U16">
            <v>43685.614630828575</v>
          </cell>
          <cell r="V16">
            <v>-409.87167714240786</v>
          </cell>
          <cell r="W16">
            <v>-1746.6231909511464</v>
          </cell>
          <cell r="X16">
            <v>244.47095833939488</v>
          </cell>
          <cell r="Y16">
            <v>-14727.144740954627</v>
          </cell>
          <cell r="Z16">
            <v>1482.0361185581787</v>
          </cell>
          <cell r="AA16">
            <v>45273.215022893586</v>
          </cell>
          <cell r="AB16">
            <v>1587.600392065011</v>
          </cell>
          <cell r="AC16">
            <v>-1685.569892263472</v>
          </cell>
          <cell r="AD16">
            <v>61.053298687674442</v>
          </cell>
          <cell r="AE16">
            <v>-14537.374857604533</v>
          </cell>
          <cell r="AF16">
            <v>189.76988335009446</v>
          </cell>
          <cell r="AG16">
            <v>45474.666577773743</v>
          </cell>
          <cell r="AH16">
            <v>201.45155488015735</v>
          </cell>
          <cell r="AI16">
            <v>-1725.2138788803998</v>
          </cell>
          <cell r="AJ16">
            <v>-39.643986616927805</v>
          </cell>
          <cell r="AK16">
            <v>-14660.34007165764</v>
          </cell>
          <cell r="AL16">
            <v>-122.96521405310705</v>
          </cell>
          <cell r="AM16">
            <v>45344.224608165889</v>
          </cell>
          <cell r="AN16">
            <v>-130.44196960785484</v>
          </cell>
          <cell r="AO16">
            <v>-1628.5371002242675</v>
          </cell>
          <cell r="AP16">
            <v>96.676778656132228</v>
          </cell>
          <cell r="AQ16">
            <v>-14370.309735689247</v>
          </cell>
          <cell r="AR16">
            <v>290.03033596839305</v>
          </cell>
          <cell r="AS16">
            <v>45639.711567621707</v>
          </cell>
          <cell r="AT16">
            <v>295.48695945581858</v>
          </cell>
          <cell r="AU16">
            <v>-1603.2253396401893</v>
          </cell>
          <cell r="AV16">
            <v>25.311760584078229</v>
          </cell>
          <cell r="AW16">
            <v>-14293.620812337464</v>
          </cell>
          <cell r="AX16">
            <v>76.68892335178316</v>
          </cell>
          <cell r="AY16">
            <v>45718.154315399122</v>
          </cell>
          <cell r="AZ16">
            <v>78.442747777415207</v>
          </cell>
        </row>
        <row r="17">
          <cell r="A17">
            <v>2017</v>
          </cell>
          <cell r="B17">
            <v>390.64746469165038</v>
          </cell>
          <cell r="C17">
            <v>-11469.892038291968</v>
          </cell>
          <cell r="D17">
            <v>37005.297215263963</v>
          </cell>
          <cell r="E17">
            <v>-1022.2250944521948</v>
          </cell>
          <cell r="F17">
            <v>-1412.8725591438451</v>
          </cell>
          <cell r="G17">
            <v>-16821.267272018158</v>
          </cell>
          <cell r="H17">
            <v>-5351.3752337261903</v>
          </cell>
          <cell r="I17">
            <v>31302.400135033451</v>
          </cell>
          <cell r="J17">
            <v>-5702.8970802305121</v>
          </cell>
          <cell r="K17">
            <v>-1022.2250944521946</v>
          </cell>
          <cell r="L17">
            <v>0</v>
          </cell>
          <cell r="M17">
            <v>-16821.267272018158</v>
          </cell>
          <cell r="N17">
            <v>0</v>
          </cell>
          <cell r="O17">
            <v>42946.209626567012</v>
          </cell>
          <cell r="P17">
            <v>11643.809491533561</v>
          </cell>
          <cell r="Q17">
            <v>-1192.5229012325028</v>
          </cell>
          <cell r="R17">
            <v>-170.29780678030818</v>
          </cell>
          <cell r="S17">
            <v>-17401.703760745309</v>
          </cell>
          <cell r="T17">
            <v>-580.4364887271513</v>
          </cell>
          <cell r="U17">
            <v>42358.014083782284</v>
          </cell>
          <cell r="V17">
            <v>-588.19554278472788</v>
          </cell>
          <cell r="W17">
            <v>-946.74675358278819</v>
          </cell>
          <cell r="X17">
            <v>245.77614764971463</v>
          </cell>
          <cell r="Y17">
            <v>-15673.891494537416</v>
          </cell>
          <cell r="Z17">
            <v>1727.8122662078931</v>
          </cell>
          <cell r="AA17">
            <v>44218.124076112632</v>
          </cell>
          <cell r="AB17">
            <v>1860.1099923303482</v>
          </cell>
          <cell r="AC17">
            <v>-875.35863365962905</v>
          </cell>
          <cell r="AD17">
            <v>71.388119923159138</v>
          </cell>
          <cell r="AE17">
            <v>-15412.733491264162</v>
          </cell>
          <cell r="AF17">
            <v>261.15800327325451</v>
          </cell>
          <cell r="AG17">
            <v>44495.377637782149</v>
          </cell>
          <cell r="AH17">
            <v>277.25356166951678</v>
          </cell>
          <cell r="AI17">
            <v>-920.76143285305079</v>
          </cell>
          <cell r="AJ17">
            <v>-45.402799193421743</v>
          </cell>
          <cell r="AK17">
            <v>-15581.101504510691</v>
          </cell>
          <cell r="AL17">
            <v>-168.36801324652879</v>
          </cell>
          <cell r="AM17">
            <v>44316.780070993576</v>
          </cell>
          <cell r="AN17">
            <v>-178.59756678857229</v>
          </cell>
          <cell r="AO17">
            <v>-824.08465419691856</v>
          </cell>
          <cell r="AP17">
            <v>96.676778656132228</v>
          </cell>
          <cell r="AQ17">
            <v>-15194.394389886165</v>
          </cell>
          <cell r="AR17">
            <v>386.70711462452527</v>
          </cell>
          <cell r="AS17">
            <v>44713.905369942979</v>
          </cell>
          <cell r="AT17">
            <v>397.12529894940235</v>
          </cell>
          <cell r="AU17">
            <v>-793.93275324032209</v>
          </cell>
          <cell r="AV17">
            <v>30.151900956596478</v>
          </cell>
          <cell r="AW17">
            <v>-15087.553565577786</v>
          </cell>
          <cell r="AX17">
            <v>106.84082430837952</v>
          </cell>
          <cell r="AY17">
            <v>44823.817161288192</v>
          </cell>
          <cell r="AZ17">
            <v>109.91179134521371</v>
          </cell>
        </row>
        <row r="18">
          <cell r="A18">
            <v>2018</v>
          </cell>
          <cell r="B18">
            <v>1079.1019725622864</v>
          </cell>
          <cell r="C18">
            <v>-10390.790065729681</v>
          </cell>
          <cell r="D18">
            <v>37456.804087217759</v>
          </cell>
          <cell r="E18">
            <v>-306.87496316743272</v>
          </cell>
          <cell r="F18">
            <v>-1385.9769357297191</v>
          </cell>
          <cell r="G18">
            <v>-17128.142235185591</v>
          </cell>
          <cell r="H18">
            <v>-6737.3521694559095</v>
          </cell>
          <cell r="I18">
            <v>30272.89918434812</v>
          </cell>
          <cell r="J18">
            <v>-7183.904902869639</v>
          </cell>
          <cell r="K18">
            <v>-306.87496316743278</v>
          </cell>
          <cell r="L18">
            <v>0</v>
          </cell>
          <cell r="M18">
            <v>-17128.142235185591</v>
          </cell>
          <cell r="N18">
            <v>0</v>
          </cell>
          <cell r="O18">
            <v>42484.586257463088</v>
          </cell>
          <cell r="P18">
            <v>12211.687073114968</v>
          </cell>
          <cell r="Q18">
            <v>-513.41425190227164</v>
          </cell>
          <cell r="R18">
            <v>-206.53928873483886</v>
          </cell>
          <cell r="S18">
            <v>-17915.118012647581</v>
          </cell>
          <cell r="T18">
            <v>-786.97577746199022</v>
          </cell>
          <cell r="U18">
            <v>41677.764903773001</v>
          </cell>
          <cell r="V18">
            <v>-806.82135369008756</v>
          </cell>
          <cell r="W18">
            <v>-265.62309107121746</v>
          </cell>
          <cell r="X18">
            <v>247.79116083105419</v>
          </cell>
          <cell r="Y18">
            <v>-15939.514585608635</v>
          </cell>
          <cell r="Z18">
            <v>1975.6034270389464</v>
          </cell>
          <cell r="AA18">
            <v>43817.060807727241</v>
          </cell>
          <cell r="AB18">
            <v>2139.2959039542402</v>
          </cell>
          <cell r="AC18">
            <v>-185.35180893029792</v>
          </cell>
          <cell r="AD18">
            <v>80.271282140919539</v>
          </cell>
          <cell r="AE18">
            <v>-15598.08530019446</v>
          </cell>
          <cell r="AF18">
            <v>341.42928541417496</v>
          </cell>
          <cell r="AG18">
            <v>44180.10576021819</v>
          </cell>
          <cell r="AH18">
            <v>363.04495249094907</v>
          </cell>
          <cell r="AI18">
            <v>-235.00939051733758</v>
          </cell>
          <cell r="AJ18">
            <v>-49.657581587039658</v>
          </cell>
          <cell r="AK18">
            <v>-15816.110895028029</v>
          </cell>
          <cell r="AL18">
            <v>-218.0255948335689</v>
          </cell>
          <cell r="AM18">
            <v>43948.44771814315</v>
          </cell>
          <cell r="AN18">
            <v>-231.6580420750397</v>
          </cell>
          <cell r="AO18">
            <v>-138.33261186120535</v>
          </cell>
          <cell r="AP18">
            <v>96.676778656132228</v>
          </cell>
          <cell r="AQ18">
            <v>-15332.727001747371</v>
          </cell>
          <cell r="AR18">
            <v>483.3838932806575</v>
          </cell>
          <cell r="AS18">
            <v>44448.917979462945</v>
          </cell>
          <cell r="AT18">
            <v>500.4702613197951</v>
          </cell>
          <cell r="AU18">
            <v>-103.41209970015188</v>
          </cell>
          <cell r="AV18">
            <v>34.920512161053466</v>
          </cell>
          <cell r="AW18">
            <v>-15190.965665277938</v>
          </cell>
          <cell r="AX18">
            <v>141.76133646943345</v>
          </cell>
          <cell r="AY18">
            <v>44595.595826476521</v>
          </cell>
          <cell r="AZ18">
            <v>146.67784701357596</v>
          </cell>
        </row>
        <row r="19">
          <cell r="A19">
            <v>2019</v>
          </cell>
          <cell r="B19">
            <v>776.75401337088078</v>
          </cell>
          <cell r="C19">
            <v>-9614.0360523588006</v>
          </cell>
          <cell r="D19">
            <v>37527.441532082259</v>
          </cell>
          <cell r="E19">
            <v>-614.00708532700628</v>
          </cell>
          <cell r="F19">
            <v>-1390.7610986978871</v>
          </cell>
          <cell r="G19">
            <v>-17742.149320512595</v>
          </cell>
          <cell r="H19">
            <v>-8128.1132681537947</v>
          </cell>
          <cell r="I19">
            <v>28829.019831779413</v>
          </cell>
          <cell r="J19">
            <v>-8698.4217003028461</v>
          </cell>
          <cell r="K19">
            <v>-614.00708532700628</v>
          </cell>
          <cell r="L19">
            <v>0</v>
          </cell>
          <cell r="M19">
            <v>-17742.149320512595</v>
          </cell>
          <cell r="N19">
            <v>0</v>
          </cell>
          <cell r="O19">
            <v>41726.498243230446</v>
          </cell>
          <cell r="P19">
            <v>12897.478411451033</v>
          </cell>
          <cell r="Q19">
            <v>-863.5982824195404</v>
          </cell>
          <cell r="R19">
            <v>-249.59119709253412</v>
          </cell>
          <cell r="S19">
            <v>-18778.716295067123</v>
          </cell>
          <cell r="T19">
            <v>-1036.5669745545274</v>
          </cell>
          <cell r="U19">
            <v>40653.601171005226</v>
          </cell>
          <cell r="V19">
            <v>-1072.8970722252197</v>
          </cell>
          <cell r="W19">
            <v>-611.62736501714608</v>
          </cell>
          <cell r="X19">
            <v>251.97091740239432</v>
          </cell>
          <cell r="Y19">
            <v>-16551.141950625781</v>
          </cell>
          <cell r="Z19">
            <v>2227.574344441342</v>
          </cell>
          <cell r="AA19">
            <v>43081.152292198967</v>
          </cell>
          <cell r="AB19">
            <v>2427.551121193741</v>
          </cell>
          <cell r="AC19">
            <v>-524.13253996757521</v>
          </cell>
          <cell r="AD19">
            <v>87.494825049570863</v>
          </cell>
          <cell r="AE19">
            <v>-16122.217840162035</v>
          </cell>
          <cell r="AF19">
            <v>428.92411046374582</v>
          </cell>
          <cell r="AG19">
            <v>43538.466697936754</v>
          </cell>
          <cell r="AH19">
            <v>457.31440573778673</v>
          </cell>
          <cell r="AI19">
            <v>-576.79239558300753</v>
          </cell>
          <cell r="AJ19">
            <v>-52.659855615432321</v>
          </cell>
          <cell r="AK19">
            <v>-16392.903290611037</v>
          </cell>
          <cell r="AL19">
            <v>-270.68545044900202</v>
          </cell>
          <cell r="AM19">
            <v>43249.984440990767</v>
          </cell>
          <cell r="AN19">
            <v>-288.48225694598659</v>
          </cell>
          <cell r="AO19">
            <v>-480.11561692687519</v>
          </cell>
          <cell r="AP19">
            <v>96.676778656132342</v>
          </cell>
          <cell r="AQ19">
            <v>-15812.842618674247</v>
          </cell>
          <cell r="AR19">
            <v>580.06067193678973</v>
          </cell>
          <cell r="AS19">
            <v>43855.534943689527</v>
          </cell>
          <cell r="AT19">
            <v>605.55050269875937</v>
          </cell>
          <cell r="AU19">
            <v>-440.49696564813257</v>
          </cell>
          <cell r="AV19">
            <v>39.618651278742618</v>
          </cell>
          <cell r="AW19">
            <v>-15631.462630926071</v>
          </cell>
          <cell r="AX19">
            <v>181.37998774817606</v>
          </cell>
          <cell r="AY19">
            <v>44044.294329219927</v>
          </cell>
          <cell r="AZ19">
            <v>188.75938553040032</v>
          </cell>
        </row>
        <row r="20">
          <cell r="A20">
            <v>2020</v>
          </cell>
          <cell r="B20">
            <v>527.66772135400879</v>
          </cell>
          <cell r="C20">
            <v>-9086.3683310047927</v>
          </cell>
          <cell r="D20">
            <v>37343.654059465734</v>
          </cell>
          <cell r="E20">
            <v>-911.7494587551746</v>
          </cell>
          <cell r="F20">
            <v>-1439.4171801091834</v>
          </cell>
          <cell r="G20">
            <v>-18653.898779267769</v>
          </cell>
          <cell r="H20">
            <v>-9567.5304482629763</v>
          </cell>
          <cell r="I20">
            <v>27051.281052967228</v>
          </cell>
          <cell r="J20">
            <v>-10292.373006498507</v>
          </cell>
          <cell r="K20">
            <v>-911.7494587551746</v>
          </cell>
          <cell r="L20">
            <v>0</v>
          </cell>
          <cell r="M20">
            <v>-18653.898779267769</v>
          </cell>
          <cell r="N20">
            <v>0</v>
          </cell>
          <cell r="O20">
            <v>40653.427877036796</v>
          </cell>
          <cell r="P20">
            <v>13602.146824069569</v>
          </cell>
          <cell r="Q20">
            <v>-1211.3305325255906</v>
          </cell>
          <cell r="R20">
            <v>-299.58107377041597</v>
          </cell>
          <cell r="S20">
            <v>-19990.046827592712</v>
          </cell>
          <cell r="T20">
            <v>-1336.1480483249434</v>
          </cell>
          <cell r="U20">
            <v>39259.397664551558</v>
          </cell>
          <cell r="V20">
            <v>-1394.0302124852387</v>
          </cell>
          <cell r="W20">
            <v>-955.29607160839896</v>
          </cell>
          <cell r="X20">
            <v>256.03446091719161</v>
          </cell>
          <cell r="Y20">
            <v>-17506.438022234179</v>
          </cell>
          <cell r="Z20">
            <v>2483.6088053585336</v>
          </cell>
          <cell r="AA20">
            <v>41984.08749239707</v>
          </cell>
          <cell r="AB20">
            <v>2724.6898278455119</v>
          </cell>
          <cell r="AC20">
            <v>-861.55309799426857</v>
          </cell>
          <cell r="AD20">
            <v>93.742973614130392</v>
          </cell>
          <cell r="AE20">
            <v>-16983.770938156304</v>
          </cell>
          <cell r="AF20">
            <v>522.66708407787519</v>
          </cell>
          <cell r="AG20">
            <v>42543.376577319934</v>
          </cell>
          <cell r="AH20">
            <v>559.28908492286428</v>
          </cell>
          <cell r="AI20">
            <v>-916.04250342786236</v>
          </cell>
          <cell r="AJ20">
            <v>-54.489405433593788</v>
          </cell>
          <cell r="AK20">
            <v>-17308.9457940389</v>
          </cell>
          <cell r="AL20">
            <v>-325.1748558825966</v>
          </cell>
          <cell r="AM20">
            <v>42195.402439026337</v>
          </cell>
          <cell r="AN20">
            <v>-347.97413829359721</v>
          </cell>
          <cell r="AO20">
            <v>-819.3657247717299</v>
          </cell>
          <cell r="AP20">
            <v>96.676778656132456</v>
          </cell>
          <cell r="AQ20">
            <v>-16632.208343445978</v>
          </cell>
          <cell r="AR20">
            <v>676.73745059292196</v>
          </cell>
          <cell r="AS20">
            <v>42907.79759941325</v>
          </cell>
          <cell r="AT20">
            <v>712.39516038691363</v>
          </cell>
          <cell r="AU20">
            <v>-775.1183650026569</v>
          </cell>
          <cell r="AV20">
            <v>44.247359769073</v>
          </cell>
          <cell r="AW20">
            <v>-16406.580995928729</v>
          </cell>
          <cell r="AX20">
            <v>225.62734751724929</v>
          </cell>
          <cell r="AY20">
            <v>43143.973828661088</v>
          </cell>
          <cell r="AZ20">
            <v>236.17622924783791</v>
          </cell>
        </row>
        <row r="21">
          <cell r="A21">
            <v>2021</v>
          </cell>
          <cell r="B21">
            <v>471.74263957052244</v>
          </cell>
          <cell r="C21">
            <v>-8614.6256914342703</v>
          </cell>
          <cell r="D21">
            <v>37098.19577891424</v>
          </cell>
          <cell r="E21">
            <v>-628.25736042947756</v>
          </cell>
          <cell r="F21">
            <v>-1100</v>
          </cell>
          <cell r="G21">
            <v>-19282.156139697247</v>
          </cell>
          <cell r="H21">
            <v>-10667.530448262976</v>
          </cell>
          <cell r="I21">
            <v>25525.369014545955</v>
          </cell>
          <cell r="J21">
            <v>-11572.826764368285</v>
          </cell>
          <cell r="K21">
            <v>-628.25736042947756</v>
          </cell>
          <cell r="L21">
            <v>0</v>
          </cell>
          <cell r="M21">
            <v>-19282.156139697247</v>
          </cell>
          <cell r="N21">
            <v>0</v>
          </cell>
          <cell r="O21">
            <v>39794.737354063378</v>
          </cell>
          <cell r="P21">
            <v>14269.368339517423</v>
          </cell>
          <cell r="Q21">
            <v>-987.38275119786158</v>
          </cell>
          <cell r="R21">
            <v>-359.12539076838402</v>
          </cell>
          <cell r="S21">
            <v>-20977.429578790572</v>
          </cell>
          <cell r="T21">
            <v>-1695.2734390933256</v>
          </cell>
          <cell r="U21">
            <v>38013.876330149593</v>
          </cell>
          <cell r="V21">
            <v>-1780.8610239137852</v>
          </cell>
          <cell r="W21">
            <v>-727.45860757053879</v>
          </cell>
          <cell r="X21">
            <v>259.92414362732279</v>
          </cell>
          <cell r="Y21">
            <v>-18233.896629804716</v>
          </cell>
          <cell r="Z21">
            <v>2743.5329489858559</v>
          </cell>
          <cell r="AA21">
            <v>41044.5714188774</v>
          </cell>
          <cell r="AB21">
            <v>3030.6950887278072</v>
          </cell>
          <cell r="AC21">
            <v>-628.284569653424</v>
          </cell>
          <cell r="AD21">
            <v>99.174037917114788</v>
          </cell>
          <cell r="AE21">
            <v>-17612.055507809728</v>
          </cell>
          <cell r="AF21">
            <v>621.8411219949885</v>
          </cell>
          <cell r="AG21">
            <v>41712.875764359167</v>
          </cell>
          <cell r="AH21">
            <v>668.30434548176709</v>
          </cell>
          <cell r="AI21">
            <v>-683.16066565210485</v>
          </cell>
          <cell r="AJ21">
            <v>-54.876095998680853</v>
          </cell>
          <cell r="AK21">
            <v>-17992.106459691004</v>
          </cell>
          <cell r="AL21">
            <v>-380.05095188127598</v>
          </cell>
          <cell r="AM21">
            <v>41304.156823820995</v>
          </cell>
          <cell r="AN21">
            <v>-408.71894053817232</v>
          </cell>
          <cell r="AO21">
            <v>-586.48388699597308</v>
          </cell>
          <cell r="AP21">
            <v>96.676778656131773</v>
          </cell>
          <cell r="AQ21">
            <v>-17218.69223044195</v>
          </cell>
          <cell r="AR21">
            <v>773.41422924905419</v>
          </cell>
          <cell r="AS21">
            <v>42125.190684754169</v>
          </cell>
          <cell r="AT21">
            <v>821.03386093317386</v>
          </cell>
          <cell r="AU21">
            <v>-537.67622329553524</v>
          </cell>
          <cell r="AV21">
            <v>48.807663700437843</v>
          </cell>
          <cell r="AW21">
            <v>-16944.257219224266</v>
          </cell>
          <cell r="AX21">
            <v>274.4350112176835</v>
          </cell>
          <cell r="AY21">
            <v>42414.140244180344</v>
          </cell>
          <cell r="AZ21">
            <v>288.94955942617526</v>
          </cell>
        </row>
        <row r="22">
          <cell r="A22">
            <v>2022</v>
          </cell>
          <cell r="B22">
            <v>42.952930469787646</v>
          </cell>
          <cell r="C22">
            <v>-8571.6727609644822</v>
          </cell>
          <cell r="D22">
            <v>36460.905507380594</v>
          </cell>
          <cell r="E22">
            <v>-1057.0470695302122</v>
          </cell>
          <cell r="F22">
            <v>-1099.9999999999998</v>
          </cell>
          <cell r="G22">
            <v>-20339.20320922746</v>
          </cell>
          <cell r="H22">
            <v>-11767.530448262978</v>
          </cell>
          <cell r="I22">
            <v>23590.224014364027</v>
          </cell>
          <cell r="J22">
            <v>-12870.681493016567</v>
          </cell>
          <cell r="K22">
            <v>-1057.0470695302122</v>
          </cell>
          <cell r="L22">
            <v>0</v>
          </cell>
          <cell r="M22">
            <v>-20339.20320922746</v>
          </cell>
          <cell r="N22">
            <v>0</v>
          </cell>
          <cell r="O22">
            <v>38581.914218336045</v>
          </cell>
          <cell r="P22">
            <v>14991.690203972019</v>
          </cell>
          <cell r="Q22">
            <v>-1486.5201127987361</v>
          </cell>
          <cell r="R22">
            <v>-429.47304326852395</v>
          </cell>
          <cell r="S22">
            <v>-22463.949691589307</v>
          </cell>
          <cell r="T22">
            <v>-2124.7464823618466</v>
          </cell>
          <cell r="U22">
            <v>36335.905798767722</v>
          </cell>
          <cell r="V22">
            <v>-2246.008419568323</v>
          </cell>
          <cell r="W22">
            <v>-1222.7972217579645</v>
          </cell>
          <cell r="X22">
            <v>263.72289104077163</v>
          </cell>
          <cell r="Y22">
            <v>-19456.693851562683</v>
          </cell>
          <cell r="Z22">
            <v>3007.2558400266244</v>
          </cell>
          <cell r="AA22">
            <v>39682.138273810378</v>
          </cell>
          <cell r="AB22">
            <v>3346.232475042656</v>
          </cell>
          <cell r="AC22">
            <v>-1119.258955247589</v>
          </cell>
          <cell r="AD22">
            <v>103.53826651037548</v>
          </cell>
          <cell r="AE22">
            <v>-18731.314463057315</v>
          </cell>
          <cell r="AF22">
            <v>725.37938850536739</v>
          </cell>
          <cell r="AG22">
            <v>40465.547541404834</v>
          </cell>
          <cell r="AH22">
            <v>783.40926759445574</v>
          </cell>
          <cell r="AI22">
            <v>-1173.4461940492874</v>
          </cell>
          <cell r="AJ22">
            <v>-54.187238801698413</v>
          </cell>
          <cell r="AK22">
            <v>-19165.552653740291</v>
          </cell>
          <cell r="AL22">
            <v>-434.23819068297598</v>
          </cell>
          <cell r="AM22">
            <v>39995.840783306863</v>
          </cell>
          <cell r="AN22">
            <v>-469.70675809797103</v>
          </cell>
          <cell r="AO22">
            <v>-1076.7694153931552</v>
          </cell>
          <cell r="AP22">
            <v>96.676778656132228</v>
          </cell>
          <cell r="AQ22">
            <v>-18295.461645835105</v>
          </cell>
          <cell r="AR22">
            <v>870.09100790518642</v>
          </cell>
          <cell r="AS22">
            <v>40927.337511656631</v>
          </cell>
          <cell r="AT22">
            <v>931.49672834976809</v>
          </cell>
          <cell r="AU22">
            <v>-1023.46884141551</v>
          </cell>
          <cell r="AV22">
            <v>53.300573977645172</v>
          </cell>
          <cell r="AW22">
            <v>-17967.726060639776</v>
          </cell>
          <cell r="AX22">
            <v>327.73558519532889</v>
          </cell>
          <cell r="AY22">
            <v>41274.439435544504</v>
          </cell>
          <cell r="AZ22">
            <v>347.10192388787254</v>
          </cell>
        </row>
        <row r="23">
          <cell r="A23">
            <v>2023</v>
          </cell>
          <cell r="B23">
            <v>-445.63960274408458</v>
          </cell>
          <cell r="C23">
            <v>-9017.3123637085664</v>
          </cell>
          <cell r="D23">
            <v>35294.920486838528</v>
          </cell>
          <cell r="E23">
            <v>-1545.6396027440846</v>
          </cell>
          <cell r="F23">
            <v>-1100</v>
          </cell>
          <cell r="G23">
            <v>-21884.842811971546</v>
          </cell>
          <cell r="H23">
            <v>-12867.53044826298</v>
          </cell>
          <cell r="I23">
            <v>21104.479493121664</v>
          </cell>
          <cell r="J23">
            <v>-14190.440993716864</v>
          </cell>
          <cell r="K23">
            <v>-1545.6396027440846</v>
          </cell>
          <cell r="L23">
            <v>0</v>
          </cell>
          <cell r="M23">
            <v>-21884.842811971546</v>
          </cell>
          <cell r="N23">
            <v>0</v>
          </cell>
          <cell r="O23">
            <v>36835.841480959447</v>
          </cell>
          <cell r="P23">
            <v>15731.361987837783</v>
          </cell>
          <cell r="Q23">
            <v>-2052.5648975693475</v>
          </cell>
          <cell r="R23">
            <v>-506.92529482526288</v>
          </cell>
          <cell r="S23">
            <v>-24516.514589158654</v>
          </cell>
          <cell r="T23">
            <v>-2631.6717771871081</v>
          </cell>
          <cell r="U23">
            <v>34038.135495782946</v>
          </cell>
          <cell r="V23">
            <v>-2797.7059851765007</v>
          </cell>
          <cell r="W23">
            <v>-1784.9619695510282</v>
          </cell>
          <cell r="X23">
            <v>267.60292801831929</v>
          </cell>
          <cell r="Y23">
            <v>-21241.655821113709</v>
          </cell>
          <cell r="Z23">
            <v>3274.8587680449455</v>
          </cell>
          <cell r="AA23">
            <v>37710.062309830035</v>
          </cell>
          <cell r="AB23">
            <v>3671.9268140470886</v>
          </cell>
          <cell r="AC23">
            <v>-1678.3135551854994</v>
          </cell>
          <cell r="AD23">
            <v>106.64841436552888</v>
          </cell>
          <cell r="AE23">
            <v>-20409.628018242816</v>
          </cell>
          <cell r="AF23">
            <v>832.02780287089263</v>
          </cell>
          <cell r="AG23">
            <v>38613.531351321617</v>
          </cell>
          <cell r="AH23">
            <v>903.46904149158217</v>
          </cell>
          <cell r="AI23">
            <v>-1731.8795457130418</v>
          </cell>
          <cell r="AJ23">
            <v>-53.565990527542453</v>
          </cell>
          <cell r="AK23">
            <v>-20897.432199453331</v>
          </cell>
          <cell r="AL23">
            <v>-487.8041812105148</v>
          </cell>
          <cell r="AM23">
            <v>38082.407473572515</v>
          </cell>
          <cell r="AN23">
            <v>-531.12387774910167</v>
          </cell>
          <cell r="AO23">
            <v>-1635.2027670569091</v>
          </cell>
          <cell r="AP23">
            <v>96.676778656132683</v>
          </cell>
          <cell r="AQ23">
            <v>-19930.664412892012</v>
          </cell>
          <cell r="AR23">
            <v>966.76778656131864</v>
          </cell>
          <cell r="AS23">
            <v>39126.221866037798</v>
          </cell>
          <cell r="AT23">
            <v>1043.8143924652832</v>
          </cell>
          <cell r="AU23">
            <v>-1577.4756804908845</v>
          </cell>
          <cell r="AV23">
            <v>57.727086566024582</v>
          </cell>
          <cell r="AW23">
            <v>-19545.201741130659</v>
          </cell>
          <cell r="AX23">
            <v>385.4626717613537</v>
          </cell>
          <cell r="AY23">
            <v>39536.879111061964</v>
          </cell>
          <cell r="AZ23">
            <v>410.6572450241656</v>
          </cell>
        </row>
        <row r="24">
          <cell r="A24">
            <v>2024</v>
          </cell>
          <cell r="B24">
            <v>-1003.337317136873</v>
          </cell>
          <cell r="C24">
            <v>-10020.649680845439</v>
          </cell>
          <cell r="D24">
            <v>33539.049748122823</v>
          </cell>
          <cell r="E24">
            <v>-2103.337317136873</v>
          </cell>
          <cell r="F24">
            <v>-1100</v>
          </cell>
          <cell r="G24">
            <v>-23988.180129108419</v>
          </cell>
          <cell r="H24">
            <v>-13967.53044826298</v>
          </cell>
          <cell r="I24">
            <v>18006.574683818817</v>
          </cell>
          <cell r="J24">
            <v>-15532.475064304006</v>
          </cell>
          <cell r="K24">
            <v>-2103.337317136873</v>
          </cell>
          <cell r="L24">
            <v>0</v>
          </cell>
          <cell r="M24">
            <v>-23988.180129108419</v>
          </cell>
          <cell r="N24">
            <v>0</v>
          </cell>
          <cell r="O24">
            <v>34489.530759848836</v>
          </cell>
          <cell r="P24">
            <v>16482.956076030019</v>
          </cell>
          <cell r="Q24">
            <v>-2697.5727583779249</v>
          </cell>
          <cell r="R24">
            <v>-594.23544124105183</v>
          </cell>
          <cell r="S24">
            <v>-27214.087347536581</v>
          </cell>
          <cell r="T24">
            <v>-3225.9072184281613</v>
          </cell>
          <cell r="U24">
            <v>31042.44297921511</v>
          </cell>
          <cell r="V24">
            <v>-3447.0877806337267</v>
          </cell>
          <cell r="W24">
            <v>-2426.1938444047805</v>
          </cell>
          <cell r="X24">
            <v>271.37891397314434</v>
          </cell>
          <cell r="Y24">
            <v>-23667.84966551849</v>
          </cell>
          <cell r="Z24">
            <v>3546.2376820180907</v>
          </cell>
          <cell r="AA24">
            <v>35050.330979322804</v>
          </cell>
          <cell r="AB24">
            <v>4007.8880001076941</v>
          </cell>
          <cell r="AC24">
            <v>-2317.5473675293038</v>
          </cell>
          <cell r="AD24">
            <v>108.64647687547676</v>
          </cell>
          <cell r="AE24">
            <v>-22727.17538577212</v>
          </cell>
          <cell r="AF24">
            <v>940.6742797463703</v>
          </cell>
          <cell r="AG24">
            <v>36077.770495099387</v>
          </cell>
          <cell r="AH24">
            <v>1027.439515776583</v>
          </cell>
          <cell r="AI24">
            <v>-2370.6338943221544</v>
          </cell>
          <cell r="AJ24">
            <v>-53.086526792850691</v>
          </cell>
          <cell r="AK24">
            <v>-23268.066093775487</v>
          </cell>
          <cell r="AL24">
            <v>-540.89070800336776</v>
          </cell>
          <cell r="AM24">
            <v>35484.657817281652</v>
          </cell>
          <cell r="AN24">
            <v>-593.11267781773495</v>
          </cell>
          <cell r="AO24">
            <v>-2273.9571156660218</v>
          </cell>
          <cell r="AP24">
            <v>96.676778656132683</v>
          </cell>
          <cell r="AQ24">
            <v>-22204.621528558033</v>
          </cell>
          <cell r="AR24">
            <v>1063.4445652174545</v>
          </cell>
          <cell r="AS24">
            <v>36642.675814699411</v>
          </cell>
          <cell r="AT24">
            <v>1158.017997417759</v>
          </cell>
          <cell r="AU24">
            <v>-2211.8689329538079</v>
          </cell>
          <cell r="AV24">
            <v>62.088182712213893</v>
          </cell>
          <cell r="AW24">
            <v>-21757.070674084465</v>
          </cell>
          <cell r="AX24">
            <v>447.5508544735676</v>
          </cell>
          <cell r="AY24">
            <v>37122.316642856436</v>
          </cell>
          <cell r="AZ24">
            <v>479.64082815702568</v>
          </cell>
        </row>
        <row r="25">
          <cell r="A25">
            <v>2025</v>
          </cell>
          <cell r="B25">
            <v>-1406.1060329606644</v>
          </cell>
          <cell r="C25">
            <v>-11426.755713806104</v>
          </cell>
          <cell r="D25">
            <v>31326.277334239414</v>
          </cell>
          <cell r="E25">
            <v>-2506.1060329606648</v>
          </cell>
          <cell r="F25">
            <v>-1100.0000000000005</v>
          </cell>
          <cell r="G25">
            <v>-26494.286162069086</v>
          </cell>
          <cell r="H25">
            <v>-15067.530448262982</v>
          </cell>
          <cell r="I25">
            <v>14429.117586977707</v>
          </cell>
          <cell r="J25">
            <v>-16897.159747261707</v>
          </cell>
          <cell r="K25">
            <v>-2506.1060329606648</v>
          </cell>
          <cell r="L25">
            <v>0</v>
          </cell>
          <cell r="M25">
            <v>-26494.286162069086</v>
          </cell>
          <cell r="N25">
            <v>0</v>
          </cell>
          <cell r="O25">
            <v>31652.661532690599</v>
          </cell>
          <cell r="P25">
            <v>17223.543945712892</v>
          </cell>
          <cell r="Q25">
            <v>-3198.4500127108772</v>
          </cell>
          <cell r="R25">
            <v>-692.34397975021238</v>
          </cell>
          <cell r="S25">
            <v>-30412.537360247457</v>
          </cell>
          <cell r="T25">
            <v>-3918.2511981783719</v>
          </cell>
          <cell r="U25">
            <v>27445.807763821776</v>
          </cell>
          <cell r="V25">
            <v>-4206.853768868823</v>
          </cell>
          <cell r="W25">
            <v>-2923.3012768858916</v>
          </cell>
          <cell r="X25">
            <v>275.14873582498558</v>
          </cell>
          <cell r="Y25">
            <v>-26591.150942404383</v>
          </cell>
          <cell r="Z25">
            <v>3821.386417843074</v>
          </cell>
          <cell r="AA25">
            <v>31800.664330448748</v>
          </cell>
          <cell r="AB25">
            <v>4354.8565666269715</v>
          </cell>
          <cell r="AC25">
            <v>-2813.7187495875569</v>
          </cell>
          <cell r="AD25">
            <v>109.58252729833475</v>
          </cell>
          <cell r="AE25">
            <v>-25540.894135359675</v>
          </cell>
          <cell r="AF25">
            <v>1050.2568070447087</v>
          </cell>
          <cell r="AG25">
            <v>32955.161568734111</v>
          </cell>
          <cell r="AH25">
            <v>1154.497238285363</v>
          </cell>
          <cell r="AI25">
            <v>-2866.5902503160391</v>
          </cell>
          <cell r="AJ25">
            <v>-52.87150072848226</v>
          </cell>
          <cell r="AK25">
            <v>-26134.656344091527</v>
          </cell>
          <cell r="AL25">
            <v>-593.7622087318523</v>
          </cell>
          <cell r="AM25">
            <v>32299.158805543037</v>
          </cell>
          <cell r="AN25">
            <v>-656.00276319107434</v>
          </cell>
          <cell r="AO25">
            <v>-2769.9134716599069</v>
          </cell>
          <cell r="AP25">
            <v>96.676778656132228</v>
          </cell>
          <cell r="AQ25">
            <v>-24974.53500021794</v>
          </cell>
          <cell r="AR25">
            <v>1160.1213438735867</v>
          </cell>
          <cell r="AS25">
            <v>33573.29801583368</v>
          </cell>
          <cell r="AT25">
            <v>1274.1392102906429</v>
          </cell>
          <cell r="AU25">
            <v>-2703.5286424982473</v>
          </cell>
          <cell r="AV25">
            <v>66.384829161659582</v>
          </cell>
          <cell r="AW25">
            <v>-24460.599316582713</v>
          </cell>
          <cell r="AX25">
            <v>513.93568363522718</v>
          </cell>
          <cell r="AY25">
            <v>34127.377386092536</v>
          </cell>
          <cell r="AZ25">
            <v>554.07937025885622</v>
          </cell>
        </row>
        <row r="26">
          <cell r="A26">
            <v>2026</v>
          </cell>
          <cell r="B26">
            <v>-1908.9383622204589</v>
          </cell>
          <cell r="C26">
            <v>-13335.694076026562</v>
          </cell>
          <cell r="D26">
            <v>28567.234310125543</v>
          </cell>
          <cell r="E26">
            <v>-3008.9383622204591</v>
          </cell>
          <cell r="F26">
            <v>-1100.0000000000002</v>
          </cell>
          <cell r="G26">
            <v>-29503.224524289544</v>
          </cell>
          <cell r="H26">
            <v>-16167.530448262982</v>
          </cell>
          <cell r="I26">
            <v>10282.356874921867</v>
          </cell>
          <cell r="J26">
            <v>-18284.877435203678</v>
          </cell>
          <cell r="K26">
            <v>-3008.9383622204587</v>
          </cell>
          <cell r="L26">
            <v>0</v>
          </cell>
          <cell r="M26">
            <v>-29503.224524289544</v>
          </cell>
          <cell r="N26">
            <v>0</v>
          </cell>
          <cell r="O26">
            <v>28269.493265319074</v>
          </cell>
          <cell r="P26">
            <v>17987.136390397209</v>
          </cell>
          <cell r="Q26">
            <v>-3808.7529023822826</v>
          </cell>
          <cell r="R26">
            <v>-799.81454016182397</v>
          </cell>
          <cell r="S26">
            <v>-34221.290262629744</v>
          </cell>
          <cell r="T26">
            <v>-4718.0657383401995</v>
          </cell>
          <cell r="U26">
            <v>23181.274516162499</v>
          </cell>
          <cell r="V26">
            <v>-5088.2187491565746</v>
          </cell>
          <cell r="W26">
            <v>-3529.641161179205</v>
          </cell>
          <cell r="X26">
            <v>279.1117412030776</v>
          </cell>
          <cell r="Y26">
            <v>-30120.79210358359</v>
          </cell>
          <cell r="Z26">
            <v>4100.4981590461539</v>
          </cell>
          <cell r="AA26">
            <v>27894.208389417439</v>
          </cell>
          <cell r="AB26">
            <v>4712.9338732549404</v>
          </cell>
          <cell r="AC26">
            <v>-3420.2334466975321</v>
          </cell>
          <cell r="AD26">
            <v>109.40771448167288</v>
          </cell>
          <cell r="AE26">
            <v>-28961.127582057208</v>
          </cell>
          <cell r="AF26">
            <v>1159.6645215263816</v>
          </cell>
          <cell r="AG26">
            <v>29177.632156594114</v>
          </cell>
          <cell r="AH26">
            <v>1283.423767176675</v>
          </cell>
          <cell r="AI26">
            <v>-3473.1324616711499</v>
          </cell>
          <cell r="AJ26">
            <v>-52.899014973617795</v>
          </cell>
          <cell r="AK26">
            <v>-29607.788805762677</v>
          </cell>
          <cell r="AL26">
            <v>-646.66122370546873</v>
          </cell>
          <cell r="AM26">
            <v>28457.634635689952</v>
          </cell>
          <cell r="AN26">
            <v>-719.99752090416223</v>
          </cell>
          <cell r="AO26">
            <v>-3376.4556830150177</v>
          </cell>
          <cell r="AP26">
            <v>96.676778656132228</v>
          </cell>
          <cell r="AQ26">
            <v>-28350.990683232958</v>
          </cell>
          <cell r="AR26">
            <v>1256.798122529719</v>
          </cell>
          <cell r="AS26">
            <v>29849.844865583509</v>
          </cell>
          <cell r="AT26">
            <v>1392.210229893557</v>
          </cell>
          <cell r="AU26">
            <v>-3305.8377046420833</v>
          </cell>
          <cell r="AV26">
            <v>70.617978372934431</v>
          </cell>
          <cell r="AW26">
            <v>-27766.437021224796</v>
          </cell>
          <cell r="AX26">
            <v>584.55366200816206</v>
          </cell>
          <cell r="AY26">
            <v>30483.845834616593</v>
          </cell>
          <cell r="AZ26">
            <v>634.0009690330844</v>
          </cell>
        </row>
        <row r="27">
          <cell r="A27">
            <v>2027</v>
          </cell>
          <cell r="B27">
            <v>-2362.8103088909229</v>
          </cell>
          <cell r="C27">
            <v>-15698.504384917485</v>
          </cell>
          <cell r="D27">
            <v>25291.387184142499</v>
          </cell>
          <cell r="E27">
            <v>-3462.8103088909229</v>
          </cell>
          <cell r="F27">
            <v>-1100</v>
          </cell>
          <cell r="G27">
            <v>-32966.034833180471</v>
          </cell>
          <cell r="H27">
            <v>-17267.530448262987</v>
          </cell>
          <cell r="I27">
            <v>5595.3702060054147</v>
          </cell>
          <cell r="J27">
            <v>-19696.016978137086</v>
          </cell>
          <cell r="K27">
            <v>-3462.8103088909229</v>
          </cell>
          <cell r="L27">
            <v>0</v>
          </cell>
          <cell r="M27">
            <v>-32966.034833180471</v>
          </cell>
          <cell r="N27">
            <v>0</v>
          </cell>
          <cell r="O27">
            <v>24360.551972102097</v>
          </cell>
          <cell r="P27">
            <v>18765.181766096684</v>
          </cell>
          <cell r="Q27">
            <v>-4379.2619090149983</v>
          </cell>
          <cell r="R27">
            <v>-916.45160012407541</v>
          </cell>
          <cell r="S27">
            <v>-38600.55217164474</v>
          </cell>
          <cell r="T27">
            <v>-5634.5173384642694</v>
          </cell>
          <cell r="U27">
            <v>18258.306771610511</v>
          </cell>
          <cell r="V27">
            <v>-6102.2452004915867</v>
          </cell>
          <cell r="W27">
            <v>-4096.0765693100466</v>
          </cell>
          <cell r="X27">
            <v>283.18533970495173</v>
          </cell>
          <cell r="Y27">
            <v>-34216.868672893637</v>
          </cell>
          <cell r="Z27">
            <v>4383.6834987511029</v>
          </cell>
          <cell r="AA27">
            <v>23339.845603964095</v>
          </cell>
          <cell r="AB27">
            <v>5081.5388323535844</v>
          </cell>
          <cell r="AC27">
            <v>-3987.9426158192664</v>
          </cell>
          <cell r="AD27">
            <v>108.13395349078019</v>
          </cell>
          <cell r="AE27">
            <v>-32949.070197876477</v>
          </cell>
          <cell r="AF27">
            <v>1267.7984750171599</v>
          </cell>
          <cell r="AG27">
            <v>24753.944825737857</v>
          </cell>
          <cell r="AH27">
            <v>1414.0992217737621</v>
          </cell>
          <cell r="AI27">
            <v>-4040.9124094713743</v>
          </cell>
          <cell r="AJ27">
            <v>-52.96979365210791</v>
          </cell>
          <cell r="AK27">
            <v>-33648.701215234054</v>
          </cell>
          <cell r="AL27">
            <v>-699.63101735757664</v>
          </cell>
          <cell r="AM27">
            <v>23968.702233947457</v>
          </cell>
          <cell r="AN27">
            <v>-785.24259179040018</v>
          </cell>
          <cell r="AO27">
            <v>-3944.2356308152416</v>
          </cell>
          <cell r="AP27">
            <v>96.676778656132683</v>
          </cell>
          <cell r="AQ27">
            <v>-32295.226314048199</v>
          </cell>
          <cell r="AR27">
            <v>1353.4749011858548</v>
          </cell>
          <cell r="AS27">
            <v>25481.067008741546</v>
          </cell>
          <cell r="AT27">
            <v>1512.3647747940886</v>
          </cell>
          <cell r="AU27">
            <v>-3869.4470620863726</v>
          </cell>
          <cell r="AV27">
            <v>74.788568728868995</v>
          </cell>
          <cell r="AW27">
            <v>-31635.884083311168</v>
          </cell>
          <cell r="AX27">
            <v>659.34223073703106</v>
          </cell>
          <cell r="AY27">
            <v>26200.502141099794</v>
          </cell>
          <cell r="AZ27">
            <v>719.43513235824867</v>
          </cell>
        </row>
        <row r="28">
          <cell r="A28">
            <v>2028</v>
          </cell>
          <cell r="B28">
            <v>-2823.5487051263772</v>
          </cell>
          <cell r="C28">
            <v>-18522.053090043861</v>
          </cell>
          <cell r="D28">
            <v>21504.546695972145</v>
          </cell>
          <cell r="E28">
            <v>-3923.5487051263776</v>
          </cell>
          <cell r="F28">
            <v>-1100.0000000000005</v>
          </cell>
          <cell r="G28">
            <v>-36889.583538306848</v>
          </cell>
          <cell r="H28">
            <v>-18367.530448262987</v>
          </cell>
          <cell r="I28">
            <v>373.57290343377281</v>
          </cell>
          <cell r="J28">
            <v>-21130.973792538374</v>
          </cell>
          <cell r="K28">
            <v>-3923.5487051263772</v>
          </cell>
          <cell r="L28">
            <v>0</v>
          </cell>
          <cell r="M28">
            <v>-36889.583538306848</v>
          </cell>
          <cell r="N28">
            <v>0</v>
          </cell>
          <cell r="O28">
            <v>19929.470131635549</v>
          </cell>
          <cell r="P28">
            <v>19555.897228201778</v>
          </cell>
          <cell r="Q28">
            <v>-4965.3784063407111</v>
          </cell>
          <cell r="R28">
            <v>-1041.8297012143339</v>
          </cell>
          <cell r="S28">
            <v>-43565.930577985448</v>
          </cell>
          <cell r="T28">
            <v>-6676.3470396785997</v>
          </cell>
          <cell r="U28">
            <v>12669.524420779671</v>
          </cell>
          <cell r="V28">
            <v>-7259.9457108558781</v>
          </cell>
          <cell r="W28">
            <v>-4678.0903503355621</v>
          </cell>
          <cell r="X28">
            <v>287.28805600514897</v>
          </cell>
          <cell r="Y28">
            <v>-38894.959023229196</v>
          </cell>
          <cell r="Z28">
            <v>4670.9715547562519</v>
          </cell>
          <cell r="AA28">
            <v>18130.401321289377</v>
          </cell>
          <cell r="AB28">
            <v>5460.8769005097056</v>
          </cell>
          <cell r="AC28">
            <v>-4572.2081298120638</v>
          </cell>
          <cell r="AD28">
            <v>105.88222052349829</v>
          </cell>
          <cell r="AE28">
            <v>-37521.278327688538</v>
          </cell>
          <cell r="AF28">
            <v>1373.6806955406573</v>
          </cell>
          <cell r="AG28">
            <v>19675.702728564414</v>
          </cell>
          <cell r="AH28">
            <v>1545.3014072750375</v>
          </cell>
          <cell r="AI28">
            <v>-4625.2941907371023</v>
          </cell>
          <cell r="AJ28">
            <v>-53.08606092503851</v>
          </cell>
          <cell r="AK28">
            <v>-38273.99540597116</v>
          </cell>
          <cell r="AL28">
            <v>-752.71707828262151</v>
          </cell>
          <cell r="AM28">
            <v>18823.470813791188</v>
          </cell>
          <cell r="AN28">
            <v>-852.23191477322689</v>
          </cell>
          <cell r="AO28">
            <v>-4528.6174120809701</v>
          </cell>
          <cell r="AP28">
            <v>96.676778656132228</v>
          </cell>
          <cell r="AQ28">
            <v>-36823.843726129169</v>
          </cell>
          <cell r="AR28">
            <v>1450.1516798419907</v>
          </cell>
          <cell r="AS28">
            <v>20458.161558564243</v>
          </cell>
          <cell r="AT28">
            <v>1634.6907447730555</v>
          </cell>
          <cell r="AU28">
            <v>-4449.7198873363959</v>
          </cell>
          <cell r="AV28">
            <v>78.897524744574184</v>
          </cell>
          <cell r="AW28">
            <v>-36085.603970647564</v>
          </cell>
          <cell r="AX28">
            <v>738.23975548160524</v>
          </cell>
          <cell r="AY28">
            <v>21268.716301138335</v>
          </cell>
          <cell r="AZ28">
            <v>810.55474257409151</v>
          </cell>
        </row>
        <row r="29">
          <cell r="A29">
            <v>2029</v>
          </cell>
          <cell r="B29">
            <v>-3130.6581074739224</v>
          </cell>
          <cell r="C29">
            <v>-21652.711197517783</v>
          </cell>
          <cell r="D29">
            <v>17329.640844092246</v>
          </cell>
          <cell r="E29">
            <v>-4230.6581074739152</v>
          </cell>
          <cell r="F29">
            <v>-1099.9999999999927</v>
          </cell>
          <cell r="G29">
            <v>-41120.241645780763</v>
          </cell>
          <cell r="H29">
            <v>-19467.53044826298</v>
          </cell>
          <cell r="I29">
            <v>-5260.5091281797922</v>
          </cell>
          <cell r="J29">
            <v>-22590.14997227204</v>
          </cell>
          <cell r="K29">
            <v>-4230.6581074739152</v>
          </cell>
          <cell r="L29">
            <v>0</v>
          </cell>
          <cell r="M29">
            <v>-41120.241645780763</v>
          </cell>
          <cell r="N29">
            <v>0</v>
          </cell>
          <cell r="O29">
            <v>15092.469903714533</v>
          </cell>
          <cell r="P29">
            <v>20352.979031894327</v>
          </cell>
          <cell r="Q29">
            <v>-5406.3035410768198</v>
          </cell>
          <cell r="R29">
            <v>-1175.6454336029046</v>
          </cell>
          <cell r="S29">
            <v>-48972.234119062268</v>
          </cell>
          <cell r="T29">
            <v>-7851.9924732815052</v>
          </cell>
          <cell r="U29">
            <v>6520.3381439990408</v>
          </cell>
          <cell r="V29">
            <v>-8572.1317597154921</v>
          </cell>
          <cell r="W29">
            <v>-5115.0740713485548</v>
          </cell>
          <cell r="X29">
            <v>291.22946972826503</v>
          </cell>
          <cell r="Y29">
            <v>-44010.033094577753</v>
          </cell>
          <cell r="Z29">
            <v>4962.2010244845151</v>
          </cell>
          <cell r="AA29">
            <v>12371.312474631439</v>
          </cell>
          <cell r="AB29">
            <v>5850.9743306323981</v>
          </cell>
          <cell r="AC29">
            <v>-5012.4744120570267</v>
          </cell>
          <cell r="AD29">
            <v>102.59965929152804</v>
          </cell>
          <cell r="AE29">
            <v>-42533.752739745563</v>
          </cell>
          <cell r="AF29">
            <v>1476.2803548321899</v>
          </cell>
          <cell r="AG29">
            <v>14046.853351667456</v>
          </cell>
          <cell r="AH29">
            <v>1675.5408770360173</v>
          </cell>
          <cell r="AI29">
            <v>-5065.6201946285055</v>
          </cell>
          <cell r="AJ29">
            <v>-53.145782571478776</v>
          </cell>
          <cell r="AK29">
            <v>-43339.615600599667</v>
          </cell>
          <cell r="AL29">
            <v>-805.86286085410393</v>
          </cell>
          <cell r="AM29">
            <v>13126.398102151201</v>
          </cell>
          <cell r="AN29">
            <v>-920.45524951625521</v>
          </cell>
          <cell r="AO29">
            <v>-4968.9434159723742</v>
          </cell>
          <cell r="AP29">
            <v>96.676778656131319</v>
          </cell>
          <cell r="AQ29">
            <v>-41792.787142101544</v>
          </cell>
          <cell r="AR29">
            <v>1546.8284584981229</v>
          </cell>
          <cell r="AS29">
            <v>14885.489616035571</v>
          </cell>
          <cell r="AT29">
            <v>1759.0915138843702</v>
          </cell>
          <cell r="AU29">
            <v>-4885.9976587000156</v>
          </cell>
          <cell r="AV29">
            <v>82.945757272358605</v>
          </cell>
          <cell r="AW29">
            <v>-40971.601629347577</v>
          </cell>
          <cell r="AX29">
            <v>821.18551275396749</v>
          </cell>
          <cell r="AY29">
            <v>15792.760287680518</v>
          </cell>
          <cell r="AZ29">
            <v>907.27067164494656</v>
          </cell>
        </row>
        <row r="30">
          <cell r="A30">
            <v>2030</v>
          </cell>
          <cell r="B30">
            <v>-3374.9302653705813</v>
          </cell>
          <cell r="C30">
            <v>-25027.641462888365</v>
          </cell>
          <cell r="D30">
            <v>12840.710077538699</v>
          </cell>
          <cell r="E30">
            <v>-4474.9302653705818</v>
          </cell>
          <cell r="F30">
            <v>-1100.0000000000005</v>
          </cell>
          <cell r="G30">
            <v>-45595.171911151345</v>
          </cell>
          <cell r="H30">
            <v>-20567.53044826298</v>
          </cell>
          <cell r="I30">
            <v>-11233.24432384497</v>
          </cell>
          <cell r="J30">
            <v>-24073.954401383671</v>
          </cell>
          <cell r="K30">
            <v>-4474.9302653705809</v>
          </cell>
          <cell r="L30">
            <v>0</v>
          </cell>
          <cell r="M30">
            <v>-45595.171911151345</v>
          </cell>
          <cell r="N30">
            <v>0</v>
          </cell>
          <cell r="O30">
            <v>9925.0588146079517</v>
          </cell>
          <cell r="P30">
            <v>21158.303138452924</v>
          </cell>
          <cell r="Q30">
            <v>-5792.9043377839689</v>
          </cell>
          <cell r="R30">
            <v>-1317.9740724133881</v>
          </cell>
          <cell r="S30">
            <v>-54765.138456846238</v>
          </cell>
          <cell r="T30">
            <v>-9169.9665456948933</v>
          </cell>
          <cell r="U30">
            <v>-124.94463602327238</v>
          </cell>
          <cell r="V30">
            <v>-10050.003450631224</v>
          </cell>
          <cell r="W30">
            <v>-5497.8831794736871</v>
          </cell>
          <cell r="X30">
            <v>295.02115831028186</v>
          </cell>
          <cell r="Y30">
            <v>-49507.916274051444</v>
          </cell>
          <cell r="Z30">
            <v>5257.2221827947942</v>
          </cell>
          <cell r="AA30">
            <v>6126.9258866854743</v>
          </cell>
          <cell r="AB30">
            <v>6251.8705227087466</v>
          </cell>
          <cell r="AC30">
            <v>-5399.6930260964982</v>
          </cell>
          <cell r="AD30">
            <v>98.190153377188835</v>
          </cell>
          <cell r="AE30">
            <v>-47933.445765842058</v>
          </cell>
          <cell r="AF30">
            <v>1574.470508209386</v>
          </cell>
          <cell r="AG30">
            <v>7930.6033013379774</v>
          </cell>
          <cell r="AH30">
            <v>1803.6774146525031</v>
          </cell>
          <cell r="AI30">
            <v>-5452.9304528996599</v>
          </cell>
          <cell r="AJ30">
            <v>-53.237426803161725</v>
          </cell>
          <cell r="AK30">
            <v>-48792.546053499325</v>
          </cell>
          <cell r="AL30">
            <v>-859.10028765726747</v>
          </cell>
          <cell r="AM30">
            <v>6940.6295311301647</v>
          </cell>
          <cell r="AN30">
            <v>-989.97377020781278</v>
          </cell>
          <cell r="AO30">
            <v>-5356.2536742435277</v>
          </cell>
          <cell r="AP30">
            <v>96.676778656132228</v>
          </cell>
          <cell r="AQ30">
            <v>-47149.04081634507</v>
          </cell>
          <cell r="AR30">
            <v>1643.5052371542552</v>
          </cell>
          <cell r="AS30">
            <v>8826.2318204863986</v>
          </cell>
          <cell r="AT30">
            <v>1885.602289356234</v>
          </cell>
          <cell r="AU30">
            <v>-5269.3195105398536</v>
          </cell>
          <cell r="AV30">
            <v>86.93416370367413</v>
          </cell>
          <cell r="AW30">
            <v>-46240.921139887432</v>
          </cell>
          <cell r="AX30">
            <v>908.11967645763798</v>
          </cell>
          <cell r="AY30">
            <v>9835.8500019753064</v>
          </cell>
          <cell r="AZ30">
            <v>1009.6181814889078</v>
          </cell>
        </row>
        <row r="31">
          <cell r="A31">
            <v>2031</v>
          </cell>
          <cell r="B31">
            <v>-3523.1847706230146</v>
          </cell>
          <cell r="C31">
            <v>-28550.82623351138</v>
          </cell>
          <cell r="D31">
            <v>8119.4258085614092</v>
          </cell>
          <cell r="E31">
            <v>-4623.1847706230155</v>
          </cell>
          <cell r="F31">
            <v>-1100.0000000000009</v>
          </cell>
          <cell r="G31">
            <v>-50218.356681774363</v>
          </cell>
          <cell r="H31">
            <v>-21667.530448262984</v>
          </cell>
          <cell r="I31">
            <v>-17463.377060237322</v>
          </cell>
          <cell r="J31">
            <v>-25582.802868798732</v>
          </cell>
          <cell r="K31">
            <v>-4623.1847706230155</v>
          </cell>
          <cell r="L31">
            <v>0</v>
          </cell>
          <cell r="M31">
            <v>-50218.356681774363</v>
          </cell>
          <cell r="N31">
            <v>0</v>
          </cell>
          <cell r="O31">
            <v>4508.8923284874299</v>
          </cell>
          <cell r="P31">
            <v>21972.269388724751</v>
          </cell>
          <cell r="Q31">
            <v>-6092.9153928342157</v>
          </cell>
          <cell r="R31">
            <v>-1469.7306222112002</v>
          </cell>
          <cell r="S31">
            <v>-60858.053849680451</v>
          </cell>
          <cell r="T31">
            <v>-10639.697167906088</v>
          </cell>
          <cell r="U31">
            <v>-7197.0189104909832</v>
          </cell>
          <cell r="V31">
            <v>-11705.911238978413</v>
          </cell>
          <cell r="W31">
            <v>-5794.1711605944029</v>
          </cell>
          <cell r="X31">
            <v>298.74423223981285</v>
          </cell>
          <cell r="Y31">
            <v>-55302.087434645844</v>
          </cell>
          <cell r="Z31">
            <v>5555.9664150346071</v>
          </cell>
          <cell r="AA31">
            <v>-533.32012297783524</v>
          </cell>
          <cell r="AB31">
            <v>6663.6987875131481</v>
          </cell>
          <cell r="AC31">
            <v>-5701.5659602377327</v>
          </cell>
          <cell r="AD31">
            <v>92.605200356670139</v>
          </cell>
          <cell r="AE31">
            <v>-53635.011726079792</v>
          </cell>
          <cell r="AF31">
            <v>1667.0757085660516</v>
          </cell>
          <cell r="AG31">
            <v>1395.1875121035068</v>
          </cell>
          <cell r="AH31">
            <v>1928.507635081342</v>
          </cell>
          <cell r="AI31">
            <v>-5754.7898204182484</v>
          </cell>
          <cell r="AJ31">
            <v>-53.223860180515658</v>
          </cell>
          <cell r="AK31">
            <v>-54547.335873917575</v>
          </cell>
          <cell r="AL31">
            <v>-912.32414783778222</v>
          </cell>
          <cell r="AM31">
            <v>334.4945529298252</v>
          </cell>
          <cell r="AN31">
            <v>-1060.6929591736816</v>
          </cell>
          <cell r="AO31">
            <v>-5658.1130417621162</v>
          </cell>
          <cell r="AP31">
            <v>96.676778656132228</v>
          </cell>
          <cell r="AQ31">
            <v>-52807.153858107187</v>
          </cell>
          <cell r="AR31">
            <v>1740.1820158103874</v>
          </cell>
          <cell r="AS31">
            <v>2348.7534290597619</v>
          </cell>
          <cell r="AT31">
            <v>2014.2588761299367</v>
          </cell>
          <cell r="AU31">
            <v>-5567.249413594096</v>
          </cell>
          <cell r="AV31">
            <v>90.863628168020114</v>
          </cell>
          <cell r="AW31">
            <v>-51808.170553481526</v>
          </cell>
          <cell r="AX31">
            <v>998.98330462566082</v>
          </cell>
          <cell r="AY31">
            <v>3466.3874473493497</v>
          </cell>
          <cell r="AZ31">
            <v>1117.6340182895879</v>
          </cell>
        </row>
        <row r="32">
          <cell r="A32">
            <v>2032</v>
          </cell>
          <cell r="B32">
            <v>-3605.2955118473751</v>
          </cell>
          <cell r="C32">
            <v>-32156.121745358756</v>
          </cell>
          <cell r="D32">
            <v>3234.2042901628611</v>
          </cell>
          <cell r="E32">
            <v>-4705.2955118473747</v>
          </cell>
          <cell r="F32">
            <v>-1099.9999999999995</v>
          </cell>
          <cell r="G32">
            <v>-54923.65219362174</v>
          </cell>
          <cell r="H32">
            <v>-22767.530448262984</v>
          </cell>
          <cell r="I32">
            <v>-23884.079902880738</v>
          </cell>
          <cell r="J32">
            <v>-27118.284193043597</v>
          </cell>
          <cell r="K32">
            <v>-4705.2955118473747</v>
          </cell>
          <cell r="L32">
            <v>0</v>
          </cell>
          <cell r="M32">
            <v>-54923.65219362174</v>
          </cell>
          <cell r="N32">
            <v>0</v>
          </cell>
          <cell r="O32">
            <v>-1087.593783198301</v>
          </cell>
          <cell r="P32">
            <v>22796.486119682435</v>
          </cell>
          <cell r="Q32">
            <v>-6360.1696346843</v>
          </cell>
          <cell r="R32">
            <v>-1654.8741228369254</v>
          </cell>
          <cell r="S32">
            <v>-67218.223484364746</v>
          </cell>
          <cell r="T32">
            <v>-12294.571290743006</v>
          </cell>
          <cell r="U32">
            <v>-14666.033500540523</v>
          </cell>
          <cell r="V32">
            <v>-13578.439717342222</v>
          </cell>
          <cell r="W32">
            <v>-6057.7707580911328</v>
          </cell>
          <cell r="X32">
            <v>302.39887659316719</v>
          </cell>
          <cell r="Y32">
            <v>-61359.858192736974</v>
          </cell>
          <cell r="Z32">
            <v>5858.3652916277715</v>
          </cell>
          <cell r="AA32">
            <v>-7579.4451836559147</v>
          </cell>
          <cell r="AB32">
            <v>7086.5883168846085</v>
          </cell>
          <cell r="AC32">
            <v>-5971.938952123779</v>
          </cell>
          <cell r="AD32">
            <v>85.83180596735383</v>
          </cell>
          <cell r="AE32">
            <v>-59606.950678203575</v>
          </cell>
          <cell r="AF32">
            <v>1752.9075145333991</v>
          </cell>
          <cell r="AG32">
            <v>-5530.6471080196034</v>
          </cell>
          <cell r="AH32">
            <v>2048.7980756363113</v>
          </cell>
          <cell r="AI32">
            <v>-6025.1749275422007</v>
          </cell>
          <cell r="AJ32">
            <v>-53.235975418421731</v>
          </cell>
          <cell r="AK32">
            <v>-60572.510801459779</v>
          </cell>
          <cell r="AL32">
            <v>-965.56012325620395</v>
          </cell>
          <cell r="AM32">
            <v>-6663.3182023140716</v>
          </cell>
          <cell r="AN32">
            <v>-1132.6710942944683</v>
          </cell>
          <cell r="AO32">
            <v>-5928.4981488860703</v>
          </cell>
          <cell r="AP32">
            <v>96.676778656130409</v>
          </cell>
          <cell r="AQ32">
            <v>-58735.652006993259</v>
          </cell>
          <cell r="AR32">
            <v>1836.8587944665196</v>
          </cell>
          <cell r="AS32">
            <v>-4518.2205153018767</v>
          </cell>
          <cell r="AT32">
            <v>2145.0976870121949</v>
          </cell>
          <cell r="AU32">
            <v>-5833.7631271571117</v>
          </cell>
          <cell r="AV32">
            <v>94.7350217289586</v>
          </cell>
          <cell r="AW32">
            <v>-57641.933680638642</v>
          </cell>
          <cell r="AX32">
            <v>1093.7183263546176</v>
          </cell>
          <cell r="AY32">
            <v>-3286.8640906320161</v>
          </cell>
          <cell r="AZ32">
            <v>1231.3564246698606</v>
          </cell>
        </row>
        <row r="33">
          <cell r="A33">
            <v>2033</v>
          </cell>
          <cell r="B33">
            <v>-3603.6585252541313</v>
          </cell>
          <cell r="C33">
            <v>-35759.780270612886</v>
          </cell>
          <cell r="D33">
            <v>-1744.9335605207743</v>
          </cell>
          <cell r="E33">
            <v>-4703.6585252541308</v>
          </cell>
          <cell r="F33">
            <v>-1099.9999999999995</v>
          </cell>
          <cell r="G33">
            <v>-59627.310718875873</v>
          </cell>
          <cell r="H33">
            <v>-23867.530448262987</v>
          </cell>
          <cell r="I33">
            <v>-30429.668588632332</v>
          </cell>
          <cell r="J33">
            <v>-28684.735028111558</v>
          </cell>
          <cell r="K33">
            <v>-4703.6585252541308</v>
          </cell>
          <cell r="L33">
            <v>0</v>
          </cell>
          <cell r="M33">
            <v>-59627.310718875873</v>
          </cell>
          <cell r="N33">
            <v>0</v>
          </cell>
          <cell r="O33">
            <v>-6792.6091601924682</v>
          </cell>
          <cell r="P33">
            <v>23637.059428439865</v>
          </cell>
          <cell r="Q33">
            <v>-6579.8288397103433</v>
          </cell>
          <cell r="R33">
            <v>-1876.1703144562125</v>
          </cell>
          <cell r="S33">
            <v>-73798.052324075092</v>
          </cell>
          <cell r="T33">
            <v>-14170.741605199219</v>
          </cell>
          <cell r="U33">
            <v>-22500.34111225255</v>
          </cell>
          <cell r="V33">
            <v>-15707.731952060083</v>
          </cell>
          <cell r="W33">
            <v>-6273.6212014848361</v>
          </cell>
          <cell r="X33">
            <v>306.20763822550725</v>
          </cell>
          <cell r="Y33">
            <v>-67633.479394221809</v>
          </cell>
          <cell r="Z33">
            <v>6164.5729298532824</v>
          </cell>
          <cell r="AA33">
            <v>-14979.86623319719</v>
          </cell>
          <cell r="AB33">
            <v>7520.4748790553604</v>
          </cell>
          <cell r="AC33">
            <v>-6195.8086681599689</v>
          </cell>
          <cell r="AD33">
            <v>77.812533324867218</v>
          </cell>
          <cell r="AE33">
            <v>-65802.759346363542</v>
          </cell>
          <cell r="AF33">
            <v>1830.7200478582672</v>
          </cell>
          <cell r="AG33">
            <v>-12817.532964525108</v>
          </cell>
          <cell r="AH33">
            <v>2162.3332686720823</v>
          </cell>
          <cell r="AI33">
            <v>-6248.9769314033756</v>
          </cell>
          <cell r="AJ33">
            <v>-53.168263243406727</v>
          </cell>
          <cell r="AK33">
            <v>-66821.487732863156</v>
          </cell>
          <cell r="AL33">
            <v>-1018.7283864996134</v>
          </cell>
          <cell r="AM33">
            <v>-14023.532598347343</v>
          </cell>
          <cell r="AN33">
            <v>-1205.9996338222354</v>
          </cell>
          <cell r="AO33">
            <v>-6152.3001527472434</v>
          </cell>
          <cell r="AP33">
            <v>96.676778656132228</v>
          </cell>
          <cell r="AQ33">
            <v>-64887.952159740504</v>
          </cell>
          <cell r="AR33">
            <v>1933.5355731226518</v>
          </cell>
          <cell r="AS33">
            <v>-11743.879913817475</v>
          </cell>
          <cell r="AT33">
            <v>2279.6526845298686</v>
          </cell>
          <cell r="AU33">
            <v>-6053.750950170077</v>
          </cell>
          <cell r="AV33">
            <v>98.549202577166398</v>
          </cell>
          <cell r="AW33">
            <v>-63695.684630808719</v>
          </cell>
          <cell r="AX33">
            <v>1192.2675289317849</v>
          </cell>
          <cell r="AY33">
            <v>-10393.054761551366</v>
          </cell>
          <cell r="AZ33">
            <v>1350.8251522661085</v>
          </cell>
        </row>
        <row r="34">
          <cell r="A34">
            <v>2034</v>
          </cell>
          <cell r="B34">
            <v>-3531.102171772905</v>
          </cell>
          <cell r="C34">
            <v>-39290.882442385788</v>
          </cell>
          <cell r="D34">
            <v>-6740.4175039707807</v>
          </cell>
          <cell r="E34">
            <v>-4631.1021717729054</v>
          </cell>
          <cell r="F34">
            <v>-1100.0000000000005</v>
          </cell>
          <cell r="G34">
            <v>-64258.412890648775</v>
          </cell>
          <cell r="H34">
            <v>-24967.530448262987</v>
          </cell>
          <cell r="I34">
            <v>-37023.320077370452</v>
          </cell>
          <cell r="J34">
            <v>-30282.902573399671</v>
          </cell>
          <cell r="K34">
            <v>-4631.1021717729045</v>
          </cell>
          <cell r="L34">
            <v>0</v>
          </cell>
          <cell r="M34">
            <v>-64258.412890648775</v>
          </cell>
          <cell r="N34">
            <v>0</v>
          </cell>
          <cell r="O34">
            <v>-12530.532889517213</v>
          </cell>
          <cell r="P34">
            <v>24492.787187853239</v>
          </cell>
          <cell r="Q34">
            <v>-6708.7318823734513</v>
          </cell>
          <cell r="R34">
            <v>-2077.6297106005468</v>
          </cell>
          <cell r="S34">
            <v>-80506.784206448545</v>
          </cell>
          <cell r="T34">
            <v>-16248.37131579977</v>
          </cell>
          <cell r="U34">
            <v>-30608.931300138414</v>
          </cell>
          <cell r="V34">
            <v>-18078.398410621201</v>
          </cell>
          <cell r="W34">
            <v>-6398.8188884802457</v>
          </cell>
          <cell r="X34">
            <v>309.91299389320557</v>
          </cell>
          <cell r="Y34">
            <v>-74032.298282702061</v>
          </cell>
          <cell r="Z34">
            <v>6474.4859237464843</v>
          </cell>
          <cell r="AA34">
            <v>-22644.194582767454</v>
          </cell>
          <cell r="AB34">
            <v>7964.7367173709608</v>
          </cell>
          <cell r="AC34">
            <v>-6330.36852031538</v>
          </cell>
          <cell r="AD34">
            <v>68.450368164865722</v>
          </cell>
          <cell r="AE34">
            <v>-72133.127866678929</v>
          </cell>
          <cell r="AF34">
            <v>1899.1704160231311</v>
          </cell>
          <cell r="AG34">
            <v>-20375.805754109264</v>
          </cell>
          <cell r="AH34">
            <v>2268.3888286581896</v>
          </cell>
          <cell r="AI34">
            <v>-6383.3309953197686</v>
          </cell>
          <cell r="AJ34">
            <v>-52.96247500438858</v>
          </cell>
          <cell r="AK34">
            <v>-73204.81872818293</v>
          </cell>
          <cell r="AL34">
            <v>-1071.6908615040011</v>
          </cell>
          <cell r="AM34">
            <v>-21656.216296518942</v>
          </cell>
          <cell r="AN34">
            <v>-1280.4105424096779</v>
          </cell>
          <cell r="AO34">
            <v>-6286.6542166636364</v>
          </cell>
          <cell r="AP34">
            <v>96.676778656132228</v>
          </cell>
          <cell r="AQ34">
            <v>-71174.606376404146</v>
          </cell>
          <cell r="AR34">
            <v>2030.2123517787841</v>
          </cell>
          <cell r="AS34">
            <v>-19239.459495085121</v>
          </cell>
          <cell r="AT34">
            <v>2416.7568014338212</v>
          </cell>
          <cell r="AU34">
            <v>-6184.3472004429068</v>
          </cell>
          <cell r="AV34">
            <v>102.30701622072957</v>
          </cell>
          <cell r="AW34">
            <v>-69880.031831251632</v>
          </cell>
          <cell r="AX34">
            <v>1294.5745451525145</v>
          </cell>
          <cell r="AY34">
            <v>-17762.371806656622</v>
          </cell>
          <cell r="AZ34">
            <v>1477.087688428499</v>
          </cell>
        </row>
        <row r="35">
          <cell r="A35">
            <v>2035</v>
          </cell>
          <cell r="B35">
            <v>-3320.9806015674803</v>
          </cell>
          <cell r="C35">
            <v>-42611.863043953272</v>
          </cell>
          <cell r="D35">
            <v>-11609.334716471665</v>
          </cell>
          <cell r="E35">
            <v>-4420.9806015674803</v>
          </cell>
          <cell r="F35">
            <v>-1100</v>
          </cell>
          <cell r="G35">
            <v>-68679.393492216259</v>
          </cell>
          <cell r="H35">
            <v>-26067.530448262987</v>
          </cell>
          <cell r="I35">
            <v>-43522.859873751804</v>
          </cell>
          <cell r="J35">
            <v>-31913.525157280139</v>
          </cell>
          <cell r="K35">
            <v>-4420.9806015674803</v>
          </cell>
          <cell r="L35">
            <v>0</v>
          </cell>
          <cell r="M35">
            <v>-68679.393492216259</v>
          </cell>
          <cell r="N35">
            <v>0</v>
          </cell>
          <cell r="O35">
            <v>-18166.145745779373</v>
          </cell>
          <cell r="P35">
            <v>25356.714127972431</v>
          </cell>
          <cell r="Q35">
            <v>-6758.8671718580154</v>
          </cell>
          <cell r="R35">
            <v>-2337.886570290535</v>
          </cell>
          <cell r="S35">
            <v>-87265.65137830656</v>
          </cell>
          <cell r="T35">
            <v>-18586.257886090301</v>
          </cell>
          <cell r="U35">
            <v>-38927.613440385889</v>
          </cell>
          <cell r="V35">
            <v>-20761.467694606516</v>
          </cell>
          <cell r="W35">
            <v>-6445.1867119635053</v>
          </cell>
          <cell r="X35">
            <v>313.68045989451002</v>
          </cell>
          <cell r="Y35">
            <v>-80477.484994665559</v>
          </cell>
          <cell r="Z35">
            <v>6788.1663836410007</v>
          </cell>
          <cell r="AA35">
            <v>-30506.955288860427</v>
          </cell>
          <cell r="AB35">
            <v>8420.658151525462</v>
          </cell>
          <cell r="AC35">
            <v>-6387.3531203626071</v>
          </cell>
          <cell r="AD35">
            <v>57.833591600898217</v>
          </cell>
          <cell r="AE35">
            <v>-78520.480987041534</v>
          </cell>
          <cell r="AF35">
            <v>1957.0040076240257</v>
          </cell>
          <cell r="AG35">
            <v>-28141.371386845967</v>
          </cell>
          <cell r="AH35">
            <v>2365.5839020144595</v>
          </cell>
          <cell r="AI35">
            <v>-6440.1430515389429</v>
          </cell>
          <cell r="AJ35">
            <v>-52.789931176335813</v>
          </cell>
          <cell r="AK35">
            <v>-79644.961779721867</v>
          </cell>
          <cell r="AL35">
            <v>-1124.4807926803333</v>
          </cell>
          <cell r="AM35">
            <v>-29497.342709045173</v>
          </cell>
          <cell r="AN35">
            <v>-1355.971322199206</v>
          </cell>
          <cell r="AO35">
            <v>-6343.4662728828116</v>
          </cell>
          <cell r="AP35">
            <v>96.676778656131319</v>
          </cell>
          <cell r="AQ35">
            <v>-77518.072649286958</v>
          </cell>
          <cell r="AR35">
            <v>2126.889130434909</v>
          </cell>
          <cell r="AS35">
            <v>-26941.050387649007</v>
          </cell>
          <cell r="AT35">
            <v>2556.2923213961658</v>
          </cell>
          <cell r="AU35">
            <v>-6237.4569772102986</v>
          </cell>
          <cell r="AV35">
            <v>106.00929567251296</v>
          </cell>
          <cell r="AW35">
            <v>-76117.488808461931</v>
          </cell>
          <cell r="AX35">
            <v>1400.5838408250274</v>
          </cell>
          <cell r="AY35">
            <v>-25331.758745033992</v>
          </cell>
          <cell r="AZ35">
            <v>1609.291642615015</v>
          </cell>
        </row>
        <row r="36">
          <cell r="A36">
            <v>2036</v>
          </cell>
          <cell r="B36">
            <v>-3032.9645358496964</v>
          </cell>
          <cell r="C36">
            <v>-45644.827579802964</v>
          </cell>
          <cell r="D36">
            <v>-16227.108490340854</v>
          </cell>
          <cell r="E36">
            <v>-4132.9645358496964</v>
          </cell>
          <cell r="F36">
            <v>-1100</v>
          </cell>
          <cell r="G36">
            <v>-72812.358028065952</v>
          </cell>
          <cell r="H36">
            <v>-27167.530448262987</v>
          </cell>
          <cell r="I36">
            <v>-49804.422697840942</v>
          </cell>
          <cell r="J36">
            <v>-33577.314207500087</v>
          </cell>
          <cell r="K36">
            <v>-4132.9645358496964</v>
          </cell>
          <cell r="L36">
            <v>0</v>
          </cell>
          <cell r="M36">
            <v>-72812.358028065952</v>
          </cell>
          <cell r="N36">
            <v>0</v>
          </cell>
          <cell r="O36">
            <v>-23589.603345908185</v>
          </cell>
          <cell r="P36">
            <v>26214.819351932758</v>
          </cell>
          <cell r="Q36">
            <v>-6707.2689699076691</v>
          </cell>
          <cell r="R36">
            <v>-2574.3044340579727</v>
          </cell>
          <cell r="S36">
            <v>-93972.920348214233</v>
          </cell>
          <cell r="T36">
            <v>-21160.562320148281</v>
          </cell>
          <cell r="U36">
            <v>-47316.507062653262</v>
          </cell>
          <cell r="V36">
            <v>-23726.903716745077</v>
          </cell>
          <cell r="W36">
            <v>-6390.2227633042667</v>
          </cell>
          <cell r="X36">
            <v>317.04620660340242</v>
          </cell>
          <cell r="Y36">
            <v>-86867.707757969823</v>
          </cell>
          <cell r="Z36">
            <v>7105.2125902444095</v>
          </cell>
          <cell r="AA36">
            <v>-38428.506092066149</v>
          </cell>
          <cell r="AB36">
            <v>8888.0009705871125</v>
          </cell>
          <cell r="AC36">
            <v>-6343.8976776555528</v>
          </cell>
          <cell r="AD36">
            <v>46.325085648713866</v>
          </cell>
          <cell r="AE36">
            <v>-84864.378664697084</v>
          </cell>
          <cell r="AF36">
            <v>2003.3290932727396</v>
          </cell>
          <cell r="AG36">
            <v>-35975.605743481894</v>
          </cell>
          <cell r="AH36">
            <v>2452.900348584255</v>
          </cell>
          <cell r="AI36">
            <v>-6396.1379152511372</v>
          </cell>
          <cell r="AJ36">
            <v>-52.240237595584404</v>
          </cell>
          <cell r="AK36">
            <v>-86041.099694973003</v>
          </cell>
          <cell r="AL36">
            <v>-1176.7210302759195</v>
          </cell>
          <cell r="AM36">
            <v>-37407.894427344188</v>
          </cell>
          <cell r="AN36">
            <v>-1432.2886838622944</v>
          </cell>
          <cell r="AO36">
            <v>-6299.4611365950041</v>
          </cell>
          <cell r="AP36">
            <v>96.676778656133138</v>
          </cell>
          <cell r="AQ36">
            <v>-83817.533785881969</v>
          </cell>
          <cell r="AR36">
            <v>2223.565909091034</v>
          </cell>
          <cell r="AS36">
            <v>-34709.592064449396</v>
          </cell>
          <cell r="AT36">
            <v>2698.3023628947922</v>
          </cell>
          <cell r="AU36">
            <v>-6189.8042749601436</v>
          </cell>
          <cell r="AV36">
            <v>109.65686163486043</v>
          </cell>
          <cell r="AW36">
            <v>-82307.293083422075</v>
          </cell>
          <cell r="AX36">
            <v>1510.2407024598942</v>
          </cell>
          <cell r="AY36">
            <v>-32962.104398064475</v>
          </cell>
          <cell r="AZ36">
            <v>1747.4876663849209</v>
          </cell>
        </row>
        <row r="37">
          <cell r="A37">
            <v>2037</v>
          </cell>
          <cell r="B37">
            <v>-2471.1409116203681</v>
          </cell>
          <cell r="C37">
            <v>-48115.968491423329</v>
          </cell>
          <cell r="D37">
            <v>-20340.624308786941</v>
          </cell>
          <cell r="E37">
            <v>-3571.1409116203695</v>
          </cell>
          <cell r="F37">
            <v>-1100.0000000000014</v>
          </cell>
          <cell r="G37">
            <v>-76383.498939686324</v>
          </cell>
          <cell r="H37">
            <v>-28267.530448262994</v>
          </cell>
          <cell r="I37">
            <v>-55615.567549764928</v>
          </cell>
          <cell r="J37">
            <v>-35274.943240977984</v>
          </cell>
          <cell r="K37">
            <v>-3571.140911620369</v>
          </cell>
          <cell r="L37">
            <v>0</v>
          </cell>
          <cell r="M37">
            <v>-76383.498939686324</v>
          </cell>
          <cell r="N37">
            <v>0</v>
          </cell>
          <cell r="O37">
            <v>-28556.830021553062</v>
          </cell>
          <cell r="P37">
            <v>27058.737528211866</v>
          </cell>
          <cell r="Q37">
            <v>-6383.4531067832531</v>
          </cell>
          <cell r="R37">
            <v>-2812.3121951628841</v>
          </cell>
          <cell r="S37">
            <v>-100356.37345499749</v>
          </cell>
          <cell r="T37">
            <v>-23972.874515311167</v>
          </cell>
          <cell r="U37">
            <v>-55540.155573561722</v>
          </cell>
          <cell r="V37">
            <v>-26983.32555200866</v>
          </cell>
          <cell r="W37">
            <v>-6063.4758576802269</v>
          </cell>
          <cell r="X37">
            <v>319.97724910302622</v>
          </cell>
          <cell r="Y37">
            <v>-92931.18361565005</v>
          </cell>
          <cell r="Z37">
            <v>7425.1898393474403</v>
          </cell>
          <cell r="AA37">
            <v>-46173.619915046358</v>
          </cell>
          <cell r="AB37">
            <v>9366.535658515364</v>
          </cell>
          <cell r="AC37">
            <v>-6029.3655963541814</v>
          </cell>
          <cell r="AD37">
            <v>34.110261326045475</v>
          </cell>
          <cell r="AE37">
            <v>-90893.744261051266</v>
          </cell>
          <cell r="AF37">
            <v>2037.4393545987841</v>
          </cell>
          <cell r="AG37">
            <v>-43644.147315927694</v>
          </cell>
          <cell r="AH37">
            <v>2529.4725991186642</v>
          </cell>
          <cell r="AI37">
            <v>-6081.2457292467097</v>
          </cell>
          <cell r="AJ37">
            <v>-51.880132892528309</v>
          </cell>
          <cell r="AK37">
            <v>-92122.345424219719</v>
          </cell>
          <cell r="AL37">
            <v>-1228.6011631684523</v>
          </cell>
          <cell r="AM37">
            <v>-45153.762979857689</v>
          </cell>
          <cell r="AN37">
            <v>-1509.6156639299952</v>
          </cell>
          <cell r="AO37">
            <v>-5984.5689505905757</v>
          </cell>
          <cell r="AP37">
            <v>96.676778656134047</v>
          </cell>
          <cell r="AQ37">
            <v>-89802.102736472545</v>
          </cell>
          <cell r="AR37">
            <v>2320.2426877471735</v>
          </cell>
          <cell r="AS37">
            <v>-42310.932170787433</v>
          </cell>
          <cell r="AT37">
            <v>2842.8308090702558</v>
          </cell>
          <cell r="AU37">
            <v>-5871.3184279090683</v>
          </cell>
          <cell r="AV37">
            <v>113.25052268150739</v>
          </cell>
          <cell r="AW37">
            <v>-88178.611511331139</v>
          </cell>
          <cell r="AX37">
            <v>1623.4912251414062</v>
          </cell>
          <cell r="AY37">
            <v>-40419.20405266196</v>
          </cell>
          <cell r="AZ37">
            <v>1891.728118125473</v>
          </cell>
        </row>
        <row r="38">
          <cell r="A38">
            <v>2038</v>
          </cell>
          <cell r="B38">
            <v>-1763.5737131985491</v>
          </cell>
          <cell r="C38">
            <v>-49879.542204621881</v>
          </cell>
          <cell r="D38">
            <v>-23779.444824526749</v>
          </cell>
          <cell r="E38">
            <v>-2863.5737131985488</v>
          </cell>
          <cell r="F38">
            <v>-1099.9999999999998</v>
          </cell>
          <cell r="G38">
            <v>-79247.072652884875</v>
          </cell>
          <cell r="H38">
            <v>-29367.530448262994</v>
          </cell>
          <cell r="I38">
            <v>-60782.485478851668</v>
          </cell>
          <cell r="J38">
            <v>-37003.040654324919</v>
          </cell>
          <cell r="K38">
            <v>-2863.5737131985488</v>
          </cell>
          <cell r="L38">
            <v>0</v>
          </cell>
          <cell r="M38">
            <v>-79247.072652884875</v>
          </cell>
          <cell r="N38">
            <v>0</v>
          </cell>
          <cell r="O38">
            <v>-32889.557139740078</v>
          </cell>
          <cell r="P38">
            <v>27892.92833911159</v>
          </cell>
          <cell r="Q38">
            <v>-5943.0554506418039</v>
          </cell>
          <cell r="R38">
            <v>-3079.481737443255</v>
          </cell>
          <cell r="S38">
            <v>-106299.42890563929</v>
          </cell>
          <cell r="T38">
            <v>-27052.356252754413</v>
          </cell>
          <cell r="U38">
            <v>-63457.161375644457</v>
          </cell>
          <cell r="V38">
            <v>-30567.604235904379</v>
          </cell>
          <cell r="W38">
            <v>-5620.5029101897171</v>
          </cell>
          <cell r="X38">
            <v>322.55254045208676</v>
          </cell>
          <cell r="Y38">
            <v>-98551.686525839774</v>
          </cell>
          <cell r="Z38">
            <v>7747.7423797995143</v>
          </cell>
          <cell r="AA38">
            <v>-53601.063756934935</v>
          </cell>
          <cell r="AB38">
            <v>9856.0976187095221</v>
          </cell>
          <cell r="AC38">
            <v>-5599.449570931778</v>
          </cell>
          <cell r="AD38">
            <v>21.053339257939115</v>
          </cell>
          <cell r="AE38">
            <v>-96493.193831983051</v>
          </cell>
          <cell r="AF38">
            <v>2058.4926938567223</v>
          </cell>
          <cell r="AG38">
            <v>-51006.809520418428</v>
          </cell>
          <cell r="AH38">
            <v>2594.2542365165064</v>
          </cell>
          <cell r="AI38">
            <v>-5650.7884362341865</v>
          </cell>
          <cell r="AJ38">
            <v>-51.338865302408522</v>
          </cell>
          <cell r="AK38">
            <v>-97773.133860453905</v>
          </cell>
          <cell r="AL38">
            <v>-1279.9400284708536</v>
          </cell>
          <cell r="AM38">
            <v>-52594.565453328483</v>
          </cell>
          <cell r="AN38">
            <v>-1587.755932910055</v>
          </cell>
          <cell r="AO38">
            <v>-5554.1116575780543</v>
          </cell>
          <cell r="AP38">
            <v>96.676778656132228</v>
          </cell>
          <cell r="AQ38">
            <v>-95356.214394050592</v>
          </cell>
          <cell r="AR38">
            <v>2416.919466403313</v>
          </cell>
          <cell r="AS38">
            <v>-49604.643132042242</v>
          </cell>
          <cell r="AT38">
            <v>2989.9223212862416</v>
          </cell>
          <cell r="AU38">
            <v>-5437.3205821412266</v>
          </cell>
          <cell r="AV38">
            <v>116.79107543682767</v>
          </cell>
          <cell r="AW38">
            <v>-93615.932093472366</v>
          </cell>
          <cell r="AX38">
            <v>1740.2823005782266</v>
          </cell>
          <cell r="AY38">
            <v>-47562.576050670817</v>
          </cell>
          <cell r="AZ38">
            <v>2042.0670813714241</v>
          </cell>
        </row>
        <row r="39">
          <cell r="A39">
            <v>2039</v>
          </cell>
          <cell r="B39">
            <v>-914.91101661067705</v>
          </cell>
          <cell r="C39">
            <v>-50794.453221232558</v>
          </cell>
          <cell r="D39">
            <v>-26411.317346639262</v>
          </cell>
          <cell r="E39">
            <v>-2014.9110166106775</v>
          </cell>
          <cell r="F39">
            <v>-1100.0000000000005</v>
          </cell>
          <cell r="G39">
            <v>-81261.983669495559</v>
          </cell>
          <cell r="H39">
            <v>-30467.530448263002</v>
          </cell>
          <cell r="I39">
            <v>-65173.101476813797</v>
          </cell>
          <cell r="J39">
            <v>-38761.784130174536</v>
          </cell>
          <cell r="K39">
            <v>-2014.9110166106771</v>
          </cell>
          <cell r="L39">
            <v>0</v>
          </cell>
          <cell r="M39">
            <v>-81261.983669495559</v>
          </cell>
          <cell r="N39">
            <v>0</v>
          </cell>
          <cell r="O39">
            <v>-36449.718050233925</v>
          </cell>
          <cell r="P39">
            <v>28723.383426579872</v>
          </cell>
          <cell r="Q39">
            <v>-5420.9701331558117</v>
          </cell>
          <cell r="R39">
            <v>-3406.0591165451347</v>
          </cell>
          <cell r="S39">
            <v>-111720.39903879511</v>
          </cell>
          <cell r="T39">
            <v>-30458.415369299546</v>
          </cell>
          <cell r="U39">
            <v>-70997.38811514822</v>
          </cell>
          <cell r="V39">
            <v>-34547.670064914295</v>
          </cell>
          <cell r="W39">
            <v>-5095.9864467768157</v>
          </cell>
          <cell r="X39">
            <v>324.98368637899603</v>
          </cell>
          <cell r="Y39">
            <v>-103647.67297261659</v>
          </cell>
          <cell r="Z39">
            <v>8072.7260661785112</v>
          </cell>
          <cell r="AA39">
            <v>-60640.62269113338</v>
          </cell>
          <cell r="AB39">
            <v>10356.76542401484</v>
          </cell>
          <cell r="AC39">
            <v>-5089.0344513065329</v>
          </cell>
          <cell r="AD39">
            <v>6.9519954702827818</v>
          </cell>
          <cell r="AE39">
            <v>-101582.22828328959</v>
          </cell>
          <cell r="AF39">
            <v>2065.4446893270069</v>
          </cell>
          <cell r="AG39">
            <v>-57994.649803170621</v>
          </cell>
          <cell r="AH39">
            <v>2645.9728879627583</v>
          </cell>
          <cell r="AI39">
            <v>-5139.7368177277212</v>
          </cell>
          <cell r="AJ39">
            <v>-50.702366421188344</v>
          </cell>
          <cell r="AK39">
            <v>-102912.87067818163</v>
          </cell>
          <cell r="AL39">
            <v>-1330.6423948920419</v>
          </cell>
          <cell r="AM39">
            <v>-59661.286165166261</v>
          </cell>
          <cell r="AN39">
            <v>-1666.6363619956392</v>
          </cell>
          <cell r="AO39">
            <v>-5043.060039071589</v>
          </cell>
          <cell r="AP39">
            <v>96.676778656132228</v>
          </cell>
          <cell r="AQ39">
            <v>-100399.27443312218</v>
          </cell>
          <cell r="AR39">
            <v>2513.5962450594525</v>
          </cell>
          <cell r="AS39">
            <v>-56521.663812235536</v>
          </cell>
          <cell r="AT39">
            <v>3139.6223529307244</v>
          </cell>
          <cell r="AU39">
            <v>-4922.7807343191789</v>
          </cell>
          <cell r="AV39">
            <v>120.2793047524101</v>
          </cell>
          <cell r="AW39">
            <v>-98538.712827791547</v>
          </cell>
          <cell r="AX39">
            <v>1860.5616053306294</v>
          </cell>
          <cell r="AY39">
            <v>-54323.10342860956</v>
          </cell>
          <cell r="AZ39">
            <v>2198.5603836259761</v>
          </cell>
        </row>
        <row r="40">
          <cell r="A40">
            <v>2040</v>
          </cell>
          <cell r="B40">
            <v>109.57166912136108</v>
          </cell>
          <cell r="C40">
            <v>-50684.881552111197</v>
          </cell>
          <cell r="D40">
            <v>-28049.15191200791</v>
          </cell>
          <cell r="E40">
            <v>-990.42833087863937</v>
          </cell>
          <cell r="F40">
            <v>-1100.0000000000005</v>
          </cell>
          <cell r="G40">
            <v>-82252.412000374199</v>
          </cell>
          <cell r="H40">
            <v>-31567.530448263002</v>
          </cell>
          <cell r="I40">
            <v>-68600.869057505275</v>
          </cell>
          <cell r="J40">
            <v>-40551.717145497365</v>
          </cell>
          <cell r="K40">
            <v>-990.42833087863914</v>
          </cell>
          <cell r="L40">
            <v>0</v>
          </cell>
          <cell r="M40">
            <v>-82252.412000374199</v>
          </cell>
          <cell r="N40">
            <v>0</v>
          </cell>
          <cell r="O40">
            <v>-39052.730873519416</v>
          </cell>
          <cell r="P40">
            <v>29548.138183985859</v>
          </cell>
          <cell r="Q40">
            <v>-4783.1233582060304</v>
          </cell>
          <cell r="R40">
            <v>-3792.6950273273915</v>
          </cell>
          <cell r="S40">
            <v>-116503.52239700113</v>
          </cell>
          <cell r="T40">
            <v>-34251.110396626929</v>
          </cell>
          <cell r="U40">
            <v>-78043.467771416763</v>
          </cell>
          <cell r="V40">
            <v>-38990.736897897346</v>
          </cell>
          <cell r="W40">
            <v>-4455.8622260941411</v>
          </cell>
          <cell r="X40">
            <v>327.26113211188931</v>
          </cell>
          <cell r="Y40">
            <v>-108103.53519871074</v>
          </cell>
          <cell r="Z40">
            <v>8399.987198290386</v>
          </cell>
          <cell r="AA40">
            <v>-67174.88683947247</v>
          </cell>
          <cell r="AB40">
            <v>10868.580931944292</v>
          </cell>
          <cell r="AC40">
            <v>-4463.9279638457301</v>
          </cell>
          <cell r="AD40">
            <v>-8.0657377515890403</v>
          </cell>
          <cell r="AE40">
            <v>-106046.15624713531</v>
          </cell>
          <cell r="AF40">
            <v>2057.3789515754324</v>
          </cell>
          <cell r="AG40">
            <v>-64491.396216004614</v>
          </cell>
          <cell r="AH40">
            <v>2683.4906234678565</v>
          </cell>
          <cell r="AI40">
            <v>-4513.9370239340114</v>
          </cell>
          <cell r="AJ40">
            <v>-50.009060088281331</v>
          </cell>
          <cell r="AK40">
            <v>-107426.80770211564</v>
          </cell>
          <cell r="AL40">
            <v>-1380.6514549803251</v>
          </cell>
          <cell r="AM40">
            <v>-66237.612771728061</v>
          </cell>
          <cell r="AN40">
            <v>-1746.2165557234475</v>
          </cell>
          <cell r="AO40">
            <v>-4417.2602452778792</v>
          </cell>
          <cell r="AP40">
            <v>96.676778656132228</v>
          </cell>
          <cell r="AQ40">
            <v>-104816.53467840006</v>
          </cell>
          <cell r="AR40">
            <v>2610.2730237155774</v>
          </cell>
          <cell r="AS40">
            <v>-62945.635608266573</v>
          </cell>
          <cell r="AT40">
            <v>3291.9771634614881</v>
          </cell>
          <cell r="AU40">
            <v>-4293.5442613968125</v>
          </cell>
          <cell r="AV40">
            <v>123.71598388106668</v>
          </cell>
          <cell r="AW40">
            <v>-102832.25708918837</v>
          </cell>
          <cell r="AX40">
            <v>1984.2775892116915</v>
          </cell>
          <cell r="AY40">
            <v>-60584.369992576991</v>
          </cell>
          <cell r="AZ40">
            <v>2361.2656156895828</v>
          </cell>
        </row>
        <row r="41">
          <cell r="A41">
            <v>2041</v>
          </cell>
          <cell r="B41">
            <v>1375.6928204664687</v>
          </cell>
          <cell r="C41">
            <v>-49309.188731644732</v>
          </cell>
          <cell r="D41">
            <v>-28440.381335767961</v>
          </cell>
          <cell r="E41">
            <v>275.69282046646867</v>
          </cell>
          <cell r="F41">
            <v>-1100</v>
          </cell>
          <cell r="G41">
            <v>-81976.719179907726</v>
          </cell>
          <cell r="H41">
            <v>-32667.530448262994</v>
          </cell>
          <cell r="I41">
            <v>-70813.774151047081</v>
          </cell>
          <cell r="J41">
            <v>-42373.39281527912</v>
          </cell>
          <cell r="K41">
            <v>275.69282046646896</v>
          </cell>
          <cell r="L41">
            <v>0</v>
          </cell>
          <cell r="M41">
            <v>-81976.719179907726</v>
          </cell>
          <cell r="N41">
            <v>0</v>
          </cell>
          <cell r="O41">
            <v>-40450.56738208449</v>
          </cell>
          <cell r="P41">
            <v>30363.206768962591</v>
          </cell>
          <cell r="Q41">
            <v>-3855.5444379446276</v>
          </cell>
          <cell r="R41">
            <v>-4131.2372584110963</v>
          </cell>
          <cell r="S41">
            <v>-120359.06683494576</v>
          </cell>
          <cell r="T41">
            <v>-38382.347655038029</v>
          </cell>
          <cell r="U41">
            <v>-84297.840469730581</v>
          </cell>
          <cell r="V41">
            <v>-43847.273087646092</v>
          </cell>
          <cell r="W41">
            <v>-3526.6398872912505</v>
          </cell>
          <cell r="X41">
            <v>328.9045506533771</v>
          </cell>
          <cell r="Y41">
            <v>-111630.175086002</v>
          </cell>
          <cell r="Z41">
            <v>8728.891748943759</v>
          </cell>
          <cell r="AA41">
            <v>-72906.771096586424</v>
          </cell>
          <cell r="AB41">
            <v>11391.069373144157</v>
          </cell>
          <cell r="AC41">
            <v>-3550.5173250165708</v>
          </cell>
          <cell r="AD41">
            <v>-23.877437725320306</v>
          </cell>
          <cell r="AE41">
            <v>-109596.67357215188</v>
          </cell>
          <cell r="AF41">
            <v>2033.5015138501185</v>
          </cell>
          <cell r="AG41">
            <v>-70200.999467900387</v>
          </cell>
          <cell r="AH41">
            <v>2705.7716286860377</v>
          </cell>
          <cell r="AI41">
            <v>-3599.6864153372035</v>
          </cell>
          <cell r="AJ41">
            <v>-49.169090320632677</v>
          </cell>
          <cell r="AK41">
            <v>-111026.49411745284</v>
          </cell>
          <cell r="AL41">
            <v>-1429.8205453009577</v>
          </cell>
          <cell r="AM41">
            <v>-72027.353805536361</v>
          </cell>
          <cell r="AN41">
            <v>-1826.3543376359739</v>
          </cell>
          <cell r="AO41">
            <v>-3503.0096366810717</v>
          </cell>
          <cell r="AP41">
            <v>96.676778656131773</v>
          </cell>
          <cell r="AQ41">
            <v>-108319.54431508113</v>
          </cell>
          <cell r="AR41">
            <v>2706.9498023717024</v>
          </cell>
          <cell r="AS41">
            <v>-68580.31997283519</v>
          </cell>
          <cell r="AT41">
            <v>3447.0338327011705</v>
          </cell>
          <cell r="AU41">
            <v>-3375.9077620328635</v>
          </cell>
          <cell r="AV41">
            <v>127.1018746482082</v>
          </cell>
          <cell r="AW41">
            <v>-106208.16485122123</v>
          </cell>
          <cell r="AX41">
            <v>2111.3794638599065</v>
          </cell>
          <cell r="AY41">
            <v>-66050.077821332452</v>
          </cell>
          <cell r="AZ41">
            <v>2530.2421515027381</v>
          </cell>
        </row>
        <row r="42">
          <cell r="A42">
            <v>2042</v>
          </cell>
          <cell r="B42">
            <v>2761.4623179683354</v>
          </cell>
          <cell r="C42">
            <v>-46547.726413676399</v>
          </cell>
          <cell r="D42">
            <v>-27443.615140090275</v>
          </cell>
          <cell r="E42">
            <v>1661.4623179683354</v>
          </cell>
          <cell r="F42">
            <v>-1100</v>
          </cell>
          <cell r="G42">
            <v>-80315.256861939386</v>
          </cell>
          <cell r="H42">
            <v>-33767.530448262987</v>
          </cell>
          <cell r="I42">
            <v>-71670.989203531513</v>
          </cell>
          <cell r="J42">
            <v>-44227.374063441239</v>
          </cell>
          <cell r="K42">
            <v>1661.4623179683354</v>
          </cell>
          <cell r="L42">
            <v>0</v>
          </cell>
          <cell r="M42">
            <v>-80315.256861939386</v>
          </cell>
          <cell r="N42">
            <v>0</v>
          </cell>
          <cell r="O42">
            <v>-40492.313625298106</v>
          </cell>
          <cell r="P42">
            <v>31178.675578233408</v>
          </cell>
          <cell r="Q42">
            <v>-2766.5476499783613</v>
          </cell>
          <cell r="R42">
            <v>-4428.0099679466966</v>
          </cell>
          <cell r="S42">
            <v>-123125.61448492411</v>
          </cell>
          <cell r="T42">
            <v>-42810.357622984724</v>
          </cell>
          <cell r="U42">
            <v>-89575.698818427263</v>
          </cell>
          <cell r="V42">
            <v>-49083.385193129157</v>
          </cell>
          <cell r="W42">
            <v>-2436.7154271893814</v>
          </cell>
          <cell r="X42">
            <v>329.83222278897983</v>
          </cell>
          <cell r="Y42">
            <v>-114066.89051319138</v>
          </cell>
          <cell r="Z42">
            <v>9058.723971732732</v>
          </cell>
          <cell r="AA42">
            <v>-77652.010267690741</v>
          </cell>
          <cell r="AB42">
            <v>11923.688550736522</v>
          </cell>
          <cell r="AC42">
            <v>-2477.6009743615568</v>
          </cell>
          <cell r="AD42">
            <v>-40.885547172175393</v>
          </cell>
          <cell r="AE42">
            <v>-112074.27454651344</v>
          </cell>
          <cell r="AF42">
            <v>1992.6159666779422</v>
          </cell>
          <cell r="AG42">
            <v>-74942.45305190004</v>
          </cell>
          <cell r="AH42">
            <v>2709.5572157907009</v>
          </cell>
          <cell r="AI42">
            <v>-2525.9911225020337</v>
          </cell>
          <cell r="AJ42">
            <v>-48.390148140476867</v>
          </cell>
          <cell r="AK42">
            <v>-113552.48523995487</v>
          </cell>
          <cell r="AL42">
            <v>-1478.2106934414332</v>
          </cell>
          <cell r="AM42">
            <v>-76848.12687512541</v>
          </cell>
          <cell r="AN42">
            <v>-1905.6738232253701</v>
          </cell>
          <cell r="AO42">
            <v>-2429.3143438459092</v>
          </cell>
          <cell r="AP42">
            <v>96.676778656124498</v>
          </cell>
          <cell r="AQ42">
            <v>-110748.85865892704</v>
          </cell>
          <cell r="AR42">
            <v>2803.6265810278273</v>
          </cell>
          <cell r="AS42">
            <v>-73243.868859339796</v>
          </cell>
          <cell r="AT42">
            <v>3604.2580157856137</v>
          </cell>
          <cell r="AU42">
            <v>-2298.8766162251395</v>
          </cell>
          <cell r="AV42">
            <v>130.43772762076969</v>
          </cell>
          <cell r="AW42">
            <v>-108507.04146744637</v>
          </cell>
          <cell r="AX42">
            <v>2241.8171914806735</v>
          </cell>
          <cell r="AY42">
            <v>-70538.81795919071</v>
          </cell>
          <cell r="AZ42">
            <v>2705.0509001490864</v>
          </cell>
        </row>
        <row r="43">
          <cell r="A43">
            <v>2043</v>
          </cell>
          <cell r="B43">
            <v>4198.9588263713213</v>
          </cell>
          <cell r="C43">
            <v>-42348.767587305076</v>
          </cell>
          <cell r="D43">
            <v>-24993.144939751408</v>
          </cell>
          <cell r="E43">
            <v>3098.9588263713208</v>
          </cell>
          <cell r="F43">
            <v>-1100.0000000000005</v>
          </cell>
          <cell r="G43">
            <v>-77216.298035568063</v>
          </cell>
          <cell r="H43">
            <v>-34867.530448262987</v>
          </cell>
          <cell r="I43">
            <v>-71107.378736543833</v>
          </cell>
          <cell r="J43">
            <v>-46114.233796792425</v>
          </cell>
          <cell r="K43">
            <v>3098.9588263713213</v>
          </cell>
          <cell r="L43">
            <v>0</v>
          </cell>
          <cell r="M43">
            <v>-77216.298035568063</v>
          </cell>
          <cell r="N43">
            <v>0</v>
          </cell>
          <cell r="O43">
            <v>-39104.199128388638</v>
          </cell>
          <cell r="P43">
            <v>32003.179608155195</v>
          </cell>
          <cell r="Q43">
            <v>-1590.5168760868521</v>
          </cell>
          <cell r="R43">
            <v>-4689.4757024581731</v>
          </cell>
          <cell r="S43">
            <v>-124716.13136101096</v>
          </cell>
          <cell r="T43">
            <v>-47499.833325442902</v>
          </cell>
          <cell r="U43">
            <v>-93775.219662634787</v>
          </cell>
          <cell r="V43">
            <v>-54671.020534246149</v>
          </cell>
          <cell r="W43">
            <v>-1260.2467863346226</v>
          </cell>
          <cell r="X43">
            <v>330.27008975222952</v>
          </cell>
          <cell r="Y43">
            <v>-115327.137299526</v>
          </cell>
          <cell r="Z43">
            <v>9388.994061484962</v>
          </cell>
          <cell r="AA43">
            <v>-81309.07045135746</v>
          </cell>
          <cell r="AB43">
            <v>12466.149211277327</v>
          </cell>
          <cell r="AC43">
            <v>-1319.6472144520969</v>
          </cell>
          <cell r="AD43">
            <v>-59.400428117474348</v>
          </cell>
          <cell r="AE43">
            <v>-113393.92176096553</v>
          </cell>
          <cell r="AF43">
            <v>1933.215538560471</v>
          </cell>
          <cell r="AG43">
            <v>-78616.894968978653</v>
          </cell>
          <cell r="AH43">
            <v>2692.1754823788069</v>
          </cell>
          <cell r="AI43">
            <v>-1367.2772609763633</v>
          </cell>
          <cell r="AJ43">
            <v>-47.63004652426639</v>
          </cell>
          <cell r="AK43">
            <v>-114919.76250093123</v>
          </cell>
          <cell r="AL43">
            <v>-1525.8407399657008</v>
          </cell>
          <cell r="AM43">
            <v>-80602.472504997204</v>
          </cell>
          <cell r="AN43">
            <v>-1985.5775360185507</v>
          </cell>
          <cell r="AO43">
            <v>-1270.6004823202384</v>
          </cell>
          <cell r="AP43">
            <v>96.676778656124952</v>
          </cell>
          <cell r="AQ43">
            <v>-112019.45914124728</v>
          </cell>
          <cell r="AR43">
            <v>2900.3033596839523</v>
          </cell>
          <cell r="AS43">
            <v>-76838.228158392711</v>
          </cell>
          <cell r="AT43">
            <v>3764.2443466044933</v>
          </cell>
          <cell r="AU43">
            <v>-1136.8762000467143</v>
          </cell>
          <cell r="AV43">
            <v>133.72428227352407</v>
          </cell>
          <cell r="AW43">
            <v>-109643.91766749308</v>
          </cell>
          <cell r="AX43">
            <v>2375.5414737542014</v>
          </cell>
          <cell r="AY43">
            <v>-73952.016035295077</v>
          </cell>
          <cell r="AZ43">
            <v>2886.2121230976336</v>
          </cell>
        </row>
        <row r="44">
          <cell r="A44">
            <v>2044</v>
          </cell>
          <cell r="B44">
            <v>5681.5874153553959</v>
          </cell>
          <cell r="C44">
            <v>-36667.18017194968</v>
          </cell>
          <cell r="D44">
            <v>-21006.588373491282</v>
          </cell>
          <cell r="E44">
            <v>4581.5874153553959</v>
          </cell>
          <cell r="F44">
            <v>-1100</v>
          </cell>
          <cell r="G44">
            <v>-72634.71062021266</v>
          </cell>
          <cell r="H44">
            <v>-35967.53044826298</v>
          </cell>
          <cell r="I44">
            <v>-69041.143455556419</v>
          </cell>
          <cell r="J44">
            <v>-48034.555082065141</v>
          </cell>
          <cell r="K44">
            <v>4581.5874153553959</v>
          </cell>
          <cell r="L44">
            <v>0</v>
          </cell>
          <cell r="M44">
            <v>-72634.71062021266</v>
          </cell>
          <cell r="N44">
            <v>0</v>
          </cell>
          <cell r="O44">
            <v>-36209.413071455376</v>
          </cell>
          <cell r="P44">
            <v>32831.730384101043</v>
          </cell>
          <cell r="Q44">
            <v>-354.17197695645535</v>
          </cell>
          <cell r="R44">
            <v>-4935.7593923118511</v>
          </cell>
          <cell r="S44">
            <v>-125070.30333796742</v>
          </cell>
          <cell r="T44">
            <v>-52435.592717754756</v>
          </cell>
          <cell r="U44">
            <v>-96809.714588535295</v>
          </cell>
          <cell r="V44">
            <v>-60600.301517079919</v>
          </cell>
          <cell r="W44">
            <v>-24.137068907581366</v>
          </cell>
          <cell r="X44">
            <v>330.034908048874</v>
          </cell>
          <cell r="Y44">
            <v>-115351.27436843359</v>
          </cell>
          <cell r="Z44">
            <v>9719.0289695338288</v>
          </cell>
          <cell r="AA44">
            <v>-83792.45784284416</v>
          </cell>
          <cell r="AB44">
            <v>13017.256745691135</v>
          </cell>
          <cell r="AC44">
            <v>-103.47494535379549</v>
          </cell>
          <cell r="AD44">
            <v>-79.337876446214125</v>
          </cell>
          <cell r="AE44">
            <v>-113497.39670631933</v>
          </cell>
          <cell r="AF44">
            <v>1853.8776621142606</v>
          </cell>
          <cell r="AG44">
            <v>-81140.243914283099</v>
          </cell>
          <cell r="AH44">
            <v>2652.213928561061</v>
          </cell>
          <cell r="AI44">
            <v>-150.34675033085557</v>
          </cell>
          <cell r="AJ44">
            <v>-46.87180497706008</v>
          </cell>
          <cell r="AK44">
            <v>-115070.10925126208</v>
          </cell>
          <cell r="AL44">
            <v>-1572.7125449427549</v>
          </cell>
          <cell r="AM44">
            <v>-83206.319361831454</v>
          </cell>
          <cell r="AN44">
            <v>-2066.0754475483554</v>
          </cell>
          <cell r="AO44">
            <v>-53.669971674730895</v>
          </cell>
          <cell r="AP44">
            <v>96.676778656124668</v>
          </cell>
          <cell r="AQ44">
            <v>-112073.129112922</v>
          </cell>
          <cell r="AR44">
            <v>2996.9801383400772</v>
          </cell>
          <cell r="AS44">
            <v>-79279.277990423405</v>
          </cell>
          <cell r="AT44">
            <v>3927.0413714080496</v>
          </cell>
          <cell r="AU44">
            <v>83.292295478379728</v>
          </cell>
          <cell r="AV44">
            <v>136.96226715311062</v>
          </cell>
          <cell r="AW44">
            <v>-109560.62537201469</v>
          </cell>
          <cell r="AX44">
            <v>2512.503740907312</v>
          </cell>
          <cell r="AY44">
            <v>-76205.489306806048</v>
          </cell>
          <cell r="AZ44">
            <v>3073.7886836173566</v>
          </cell>
        </row>
        <row r="45">
          <cell r="A45">
            <v>2045</v>
          </cell>
          <cell r="B45">
            <v>7377.5654121885982</v>
          </cell>
          <cell r="C45">
            <v>-29289.614759761083</v>
          </cell>
          <cell r="D45">
            <v>-15259.042292736434</v>
          </cell>
          <cell r="E45">
            <v>6277.5654121885982</v>
          </cell>
          <cell r="F45">
            <v>-1100</v>
          </cell>
          <cell r="G45">
            <v>-66357.145208024056</v>
          </cell>
          <cell r="H45">
            <v>-37067.530448262973</v>
          </cell>
          <cell r="I45">
            <v>-65245.767890727053</v>
          </cell>
          <cell r="J45">
            <v>-49986.725597990619</v>
          </cell>
          <cell r="K45">
            <v>6277.5654121885982</v>
          </cell>
          <cell r="L45">
            <v>0</v>
          </cell>
          <cell r="M45">
            <v>-66357.145208024056</v>
          </cell>
          <cell r="N45">
            <v>0</v>
          </cell>
          <cell r="O45">
            <v>-31592.690426479501</v>
          </cell>
          <cell r="P45">
            <v>33653.077464247552</v>
          </cell>
          <cell r="Q45">
            <v>1042.2289666137838</v>
          </cell>
          <cell r="R45">
            <v>-5235.3364455748142</v>
          </cell>
          <cell r="S45">
            <v>-124028.07437135364</v>
          </cell>
          <cell r="T45">
            <v>-57670.92916332958</v>
          </cell>
          <cell r="U45">
            <v>-98528.286074692165</v>
          </cell>
          <cell r="V45">
            <v>-66935.595648212664</v>
          </cell>
          <cell r="W45">
            <v>1371.2410030277063</v>
          </cell>
          <cell r="X45">
            <v>329.01203641392249</v>
          </cell>
          <cell r="Y45">
            <v>-113980.03336540588</v>
          </cell>
          <cell r="Z45">
            <v>10048.041005947758</v>
          </cell>
          <cell r="AA45">
            <v>-84953.92215142725</v>
          </cell>
          <cell r="AB45">
            <v>13574.363923264915</v>
          </cell>
          <cell r="AC45">
            <v>1270.8497205899837</v>
          </cell>
          <cell r="AD45">
            <v>-100.39128243772257</v>
          </cell>
          <cell r="AE45">
            <v>-112226.54698572935</v>
          </cell>
          <cell r="AF45">
            <v>1753.4863796765276</v>
          </cell>
          <cell r="AG45">
            <v>-82363.946944461117</v>
          </cell>
          <cell r="AH45">
            <v>2589.9752069661336</v>
          </cell>
          <cell r="AI45">
            <v>1224.7386684562589</v>
          </cell>
          <cell r="AJ45">
            <v>-46.111052133724797</v>
          </cell>
          <cell r="AK45">
            <v>-113845.37058280583</v>
          </cell>
          <cell r="AL45">
            <v>-1618.8235970764799</v>
          </cell>
          <cell r="AM45">
            <v>-84511.12213663767</v>
          </cell>
          <cell r="AN45">
            <v>-2147.1751921765535</v>
          </cell>
          <cell r="AO45">
            <v>1321.4154471123834</v>
          </cell>
          <cell r="AP45">
            <v>96.676778656124498</v>
          </cell>
          <cell r="AQ45">
            <v>-110751.71366580963</v>
          </cell>
          <cell r="AR45">
            <v>3093.6569169962022</v>
          </cell>
          <cell r="AS45">
            <v>-80418.423646621057</v>
          </cell>
          <cell r="AT45">
            <v>4092.6984900166135</v>
          </cell>
          <cell r="AU45">
            <v>1461.567847151771</v>
          </cell>
          <cell r="AV45">
            <v>140.15240003938766</v>
          </cell>
          <cell r="AW45">
            <v>-108099.05752486292</v>
          </cell>
          <cell r="AX45">
            <v>2652.6561409467104</v>
          </cell>
          <cell r="AY45">
            <v>-77150.578379977364</v>
          </cell>
          <cell r="AZ45">
            <v>3267.8452666436933</v>
          </cell>
        </row>
        <row r="46">
          <cell r="A46">
            <v>2046</v>
          </cell>
          <cell r="B46">
            <v>9186.7133275920787</v>
          </cell>
          <cell r="C46">
            <v>-20102.901432169005</v>
          </cell>
          <cell r="D46">
            <v>-7607.7644108657514</v>
          </cell>
          <cell r="E46">
            <v>8086.7133275920814</v>
          </cell>
          <cell r="F46">
            <v>-1099.9999999999973</v>
          </cell>
          <cell r="G46">
            <v>-58270.431880431977</v>
          </cell>
          <cell r="H46">
            <v>-38167.530448262973</v>
          </cell>
          <cell r="I46">
            <v>-59579.16205568509</v>
          </cell>
          <cell r="J46">
            <v>-51971.397644819343</v>
          </cell>
          <cell r="K46">
            <v>8086.7133275920805</v>
          </cell>
          <cell r="L46">
            <v>0</v>
          </cell>
          <cell r="M46">
            <v>-58270.431880431977</v>
          </cell>
          <cell r="N46">
            <v>0</v>
          </cell>
          <cell r="O46">
            <v>-25101.558426010932</v>
          </cell>
          <cell r="P46">
            <v>34477.603629674159</v>
          </cell>
          <cell r="Q46">
            <v>2552.7234108919724</v>
          </cell>
          <cell r="R46">
            <v>-5533.9899167001076</v>
          </cell>
          <cell r="S46">
            <v>-121475.35096046167</v>
          </cell>
          <cell r="T46">
            <v>-63204.919080029693</v>
          </cell>
          <cell r="U46">
            <v>-98779.689743624418</v>
          </cell>
          <cell r="V46">
            <v>-73678.131317613486</v>
          </cell>
          <cell r="W46">
            <v>2879.8959044869466</v>
          </cell>
          <cell r="X46">
            <v>327.17249359497418</v>
          </cell>
          <cell r="Y46">
            <v>-111100.13746091894</v>
          </cell>
          <cell r="Z46">
            <v>10375.213499542733</v>
          </cell>
          <cell r="AA46">
            <v>-84643.211277315539</v>
          </cell>
          <cell r="AB46">
            <v>14136.478466308879</v>
          </cell>
          <cell r="AC46">
            <v>2757.1654538094085</v>
          </cell>
          <cell r="AD46">
            <v>-122.7304506775381</v>
          </cell>
          <cell r="AE46">
            <v>-109469.38153191993</v>
          </cell>
          <cell r="AF46">
            <v>1630.7559289990022</v>
          </cell>
          <cell r="AG46">
            <v>-82139.459820242701</v>
          </cell>
          <cell r="AH46">
            <v>2503.7514570728381</v>
          </cell>
          <cell r="AI46">
            <v>2711.8971166795905</v>
          </cell>
          <cell r="AJ46">
            <v>-45.268337129818065</v>
          </cell>
          <cell r="AK46">
            <v>-111133.47346612623</v>
          </cell>
          <cell r="AL46">
            <v>-1664.0919342062989</v>
          </cell>
          <cell r="AM46">
            <v>-84368.257161592672</v>
          </cell>
          <cell r="AN46">
            <v>-2228.7973413499712</v>
          </cell>
          <cell r="AO46">
            <v>2808.5738953357145</v>
          </cell>
          <cell r="AP46">
            <v>96.676778656124043</v>
          </cell>
          <cell r="AQ46">
            <v>-107943.13977047391</v>
          </cell>
          <cell r="AR46">
            <v>3190.3336956523272</v>
          </cell>
          <cell r="AS46">
            <v>-80106.991190758272</v>
          </cell>
          <cell r="AT46">
            <v>4261.2659708343999</v>
          </cell>
          <cell r="AU46">
            <v>2951.8692834403923</v>
          </cell>
          <cell r="AV46">
            <v>143.29538810467784</v>
          </cell>
          <cell r="AW46">
            <v>-105147.18824142253</v>
          </cell>
          <cell r="AX46">
            <v>2795.9515290513809</v>
          </cell>
          <cell r="AY46">
            <v>-76638.542790606822</v>
          </cell>
          <cell r="AZ46">
            <v>3468.4484001514502</v>
          </cell>
        </row>
        <row r="47">
          <cell r="A47">
            <v>2047</v>
          </cell>
          <cell r="B47">
            <v>10939.744362216425</v>
          </cell>
          <cell r="C47">
            <v>-9163.1570699525801</v>
          </cell>
          <cell r="D47">
            <v>1914.1648930679439</v>
          </cell>
          <cell r="E47">
            <v>9839.7443622164246</v>
          </cell>
          <cell r="F47">
            <v>-1100</v>
          </cell>
          <cell r="G47">
            <v>-48430.687518215549</v>
          </cell>
          <cell r="H47">
            <v>-39267.530448262973</v>
          </cell>
          <cell r="I47">
            <v>-52076.933796423647</v>
          </cell>
          <cell r="J47">
            <v>-53991.098689491591</v>
          </cell>
          <cell r="K47">
            <v>9839.7443622164228</v>
          </cell>
          <cell r="L47">
            <v>0</v>
          </cell>
          <cell r="M47">
            <v>-48430.687518215556</v>
          </cell>
          <cell r="N47">
            <v>0</v>
          </cell>
          <cell r="O47">
            <v>-16753.755575927244</v>
          </cell>
          <cell r="P47">
            <v>35323.178220496404</v>
          </cell>
          <cell r="Q47">
            <v>4033.933187546611</v>
          </cell>
          <cell r="R47">
            <v>-5805.8111746698123</v>
          </cell>
          <cell r="S47">
            <v>-117441.41777291505</v>
          </cell>
          <cell r="T47">
            <v>-69010.730254699505</v>
          </cell>
          <cell r="U47">
            <v>-97559.376693933751</v>
          </cell>
          <cell r="V47">
            <v>-80805.6211180065</v>
          </cell>
          <cell r="W47">
            <v>4358.9009099747936</v>
          </cell>
          <cell r="X47">
            <v>324.9677224281827</v>
          </cell>
          <cell r="Y47">
            <v>-106741.23655094414</v>
          </cell>
          <cell r="Z47">
            <v>10700.18122197091</v>
          </cell>
          <cell r="AA47">
            <v>-82856.213997473416</v>
          </cell>
          <cell r="AB47">
            <v>14703.162696460335</v>
          </cell>
          <cell r="AC47">
            <v>4212.2504954443066</v>
          </cell>
          <cell r="AD47">
            <v>-146.65041453048707</v>
          </cell>
          <cell r="AE47">
            <v>-105257.13103647562</v>
          </cell>
          <cell r="AF47">
            <v>1484.1055144685233</v>
          </cell>
          <cell r="AG47">
            <v>-80464.714869938936</v>
          </cell>
          <cell r="AH47">
            <v>2391.4991275344801</v>
          </cell>
          <cell r="AI47">
            <v>4167.9598808419414</v>
          </cell>
          <cell r="AJ47">
            <v>-44.290614602365167</v>
          </cell>
          <cell r="AK47">
            <v>-106965.51358528429</v>
          </cell>
          <cell r="AL47">
            <v>-1708.3825488086732</v>
          </cell>
          <cell r="AM47">
            <v>-82775.526050863831</v>
          </cell>
          <cell r="AN47">
            <v>-2310.8111809248949</v>
          </cell>
          <cell r="AO47">
            <v>4264.6366594980655</v>
          </cell>
          <cell r="AP47">
            <v>96.676778656124043</v>
          </cell>
          <cell r="AQ47">
            <v>-103678.50311097584</v>
          </cell>
          <cell r="AR47">
            <v>3287.0104743084521</v>
          </cell>
          <cell r="AS47">
            <v>-78342.731084736326</v>
          </cell>
          <cell r="AT47">
            <v>4432.7949661275052</v>
          </cell>
          <cell r="AU47">
            <v>4411.0285875685586</v>
          </cell>
          <cell r="AV47">
            <v>146.39192807049312</v>
          </cell>
          <cell r="AW47">
            <v>-100736.15965385397</v>
          </cell>
          <cell r="AX47">
            <v>2942.3434571218677</v>
          </cell>
          <cell r="AY47">
            <v>-74667.06460767657</v>
          </cell>
          <cell r="AZ47">
            <v>3675.6664770597563</v>
          </cell>
        </row>
        <row r="48">
          <cell r="A48">
            <v>2048</v>
          </cell>
          <cell r="B48">
            <v>12669.120751296172</v>
          </cell>
          <cell r="C48">
            <v>3505.9636813435918</v>
          </cell>
          <cell r="D48">
            <v>13314.28870625293</v>
          </cell>
          <cell r="E48">
            <v>11569.120751296174</v>
          </cell>
          <cell r="F48">
            <v>-1099.9999999999982</v>
          </cell>
          <cell r="G48">
            <v>-36861.566766919379</v>
          </cell>
          <cell r="H48">
            <v>-40367.530448262973</v>
          </cell>
          <cell r="I48">
            <v>-42732.158422907043</v>
          </cell>
          <cell r="J48">
            <v>-56046.447129159977</v>
          </cell>
          <cell r="K48">
            <v>11569.120751296172</v>
          </cell>
          <cell r="L48">
            <v>0</v>
          </cell>
          <cell r="M48">
            <v>-36861.566766919386</v>
          </cell>
          <cell r="N48">
            <v>0</v>
          </cell>
          <cell r="O48">
            <v>-6543.9986504672333</v>
          </cell>
          <cell r="P48">
            <v>36188.159772439809</v>
          </cell>
          <cell r="Q48">
            <v>5488.4659131644266</v>
          </cell>
          <cell r="R48">
            <v>-6080.6548381317452</v>
          </cell>
          <cell r="S48">
            <v>-111952.95185975062</v>
          </cell>
          <cell r="T48">
            <v>-75091.385092831246</v>
          </cell>
          <cell r="U48">
            <v>-94874.289459627966</v>
          </cell>
          <cell r="V48">
            <v>-88330.290809160739</v>
          </cell>
          <cell r="W48">
            <v>5811.076155139338</v>
          </cell>
          <cell r="X48">
            <v>322.61024197491133</v>
          </cell>
          <cell r="Y48">
            <v>-100930.16039580481</v>
          </cell>
          <cell r="Z48">
            <v>11022.791463945818</v>
          </cell>
          <cell r="AA48">
            <v>-79600.098953537949</v>
          </cell>
          <cell r="AB48">
            <v>15274.190506090017</v>
          </cell>
          <cell r="AC48">
            <v>5639.2732797274739</v>
          </cell>
          <cell r="AD48">
            <v>-171.80287541186408</v>
          </cell>
          <cell r="AE48">
            <v>-99617.857756748141</v>
          </cell>
          <cell r="AF48">
            <v>1312.3026390566665</v>
          </cell>
          <cell r="AG48">
            <v>-77348.555709156048</v>
          </cell>
          <cell r="AH48">
            <v>2251.5432443819009</v>
          </cell>
          <cell r="AI48">
            <v>5595.9245086284191</v>
          </cell>
          <cell r="AJ48">
            <v>-43.348771099054829</v>
          </cell>
          <cell r="AK48">
            <v>-101369.58907665587</v>
          </cell>
          <cell r="AL48">
            <v>-1751.7313199077325</v>
          </cell>
          <cell r="AM48">
            <v>-79741.829811504344</v>
          </cell>
          <cell r="AN48">
            <v>-2393.2741023482959</v>
          </cell>
          <cell r="AO48">
            <v>5692.601287284544</v>
          </cell>
          <cell r="AP48">
            <v>96.676778656124952</v>
          </cell>
          <cell r="AQ48">
            <v>-97985.901823691296</v>
          </cell>
          <cell r="AR48">
            <v>3383.6872529645771</v>
          </cell>
          <cell r="AS48">
            <v>-75134.492283933607</v>
          </cell>
          <cell r="AT48">
            <v>4607.3375275707367</v>
          </cell>
          <cell r="AU48">
            <v>5842.0439936464882</v>
          </cell>
          <cell r="AV48">
            <v>149.44270636194415</v>
          </cell>
          <cell r="AW48">
            <v>-94894.115660207492</v>
          </cell>
          <cell r="AX48">
            <v>3091.7861634838046</v>
          </cell>
          <cell r="AY48">
            <v>-71244.92250625696</v>
          </cell>
          <cell r="AZ48">
            <v>3889.5697776766465</v>
          </cell>
        </row>
        <row r="49">
          <cell r="A49">
            <v>2049</v>
          </cell>
          <cell r="B49">
            <v>14445.872524626549</v>
          </cell>
          <cell r="C49">
            <v>17951.836205970139</v>
          </cell>
          <cell r="D49">
            <v>26677.89437007844</v>
          </cell>
          <cell r="E49">
            <v>13345.872524626549</v>
          </cell>
          <cell r="F49">
            <v>-1100</v>
          </cell>
          <cell r="G49">
            <v>-23515.69424229283</v>
          </cell>
          <cell r="H49">
            <v>-41467.530448262973</v>
          </cell>
          <cell r="I49">
            <v>-31460.177910419097</v>
          </cell>
          <cell r="J49">
            <v>-58138.072280497538</v>
          </cell>
          <cell r="K49">
            <v>13345.872524626551</v>
          </cell>
          <cell r="L49">
            <v>0</v>
          </cell>
          <cell r="M49">
            <v>-23515.694242292833</v>
          </cell>
          <cell r="N49">
            <v>0</v>
          </cell>
          <cell r="O49">
            <v>5605.545245381586</v>
          </cell>
          <cell r="P49">
            <v>37065.723155800682</v>
          </cell>
          <cell r="Q49">
            <v>7174.0214843082495</v>
          </cell>
          <cell r="R49">
            <v>-6171.8510403183018</v>
          </cell>
          <cell r="S49">
            <v>-104778.93037544237</v>
          </cell>
          <cell r="T49">
            <v>-81263.236133149534</v>
          </cell>
          <cell r="U49">
            <v>-90453.056773129225</v>
          </cell>
          <cell r="V49">
            <v>-96058.602018510806</v>
          </cell>
          <cell r="W49">
            <v>7493.5774576776366</v>
          </cell>
          <cell r="X49">
            <v>319.55597336938717</v>
          </cell>
          <cell r="Y49">
            <v>-93436.582938127176</v>
          </cell>
          <cell r="Z49">
            <v>11342.347437315198</v>
          </cell>
          <cell r="AA49">
            <v>-74604.300623547708</v>
          </cell>
          <cell r="AB49">
            <v>15848.756149581517</v>
          </cell>
          <cell r="AC49">
            <v>7295.8727084375769</v>
          </cell>
          <cell r="AD49">
            <v>-197.70474924005975</v>
          </cell>
          <cell r="AE49">
            <v>-92321.985048310569</v>
          </cell>
          <cell r="AF49">
            <v>1114.5978898166068</v>
          </cell>
          <cell r="AG49">
            <v>-72521.626819045894</v>
          </cell>
          <cell r="AH49">
            <v>2082.6738045018137</v>
          </cell>
          <cell r="AI49">
            <v>7253.3872393609163</v>
          </cell>
          <cell r="AJ49">
            <v>-42.485469076660593</v>
          </cell>
          <cell r="AK49">
            <v>-94116.201837294953</v>
          </cell>
          <cell r="AL49">
            <v>-1794.216788984384</v>
          </cell>
          <cell r="AM49">
            <v>-74997.902528598657</v>
          </cell>
          <cell r="AN49">
            <v>-2476.2757095527631</v>
          </cell>
          <cell r="AO49">
            <v>7350.0640180170403</v>
          </cell>
          <cell r="AP49">
            <v>96.676778656124043</v>
          </cell>
          <cell r="AQ49">
            <v>-90635.837805674251</v>
          </cell>
          <cell r="AR49">
            <v>3480.364031620702</v>
          </cell>
          <cell r="AS49">
            <v>-70212.955906530682</v>
          </cell>
          <cell r="AT49">
            <v>4784.9466220679751</v>
          </cell>
          <cell r="AU49">
            <v>7502.5124172769474</v>
          </cell>
          <cell r="AV49">
            <v>152.44839925990709</v>
          </cell>
          <cell r="AW49">
            <v>-87391.603242930549</v>
          </cell>
          <cell r="AX49">
            <v>3244.2345627437026</v>
          </cell>
          <cell r="AY49">
            <v>-66102.72541384038</v>
          </cell>
          <cell r="AZ49">
            <v>4110.2304926903016</v>
          </cell>
        </row>
        <row r="50">
          <cell r="A50">
            <v>2050</v>
          </cell>
          <cell r="B50">
            <v>16333.460782923179</v>
          </cell>
          <cell r="C50">
            <v>34285.296988893315</v>
          </cell>
          <cell r="D50">
            <v>42143.617321861515</v>
          </cell>
          <cell r="E50">
            <v>15233.460782923179</v>
          </cell>
          <cell r="F50">
            <v>-1100</v>
          </cell>
          <cell r="G50">
            <v>-8282.2334593696505</v>
          </cell>
          <cell r="H50">
            <v>-42567.530448262965</v>
          </cell>
          <cell r="I50">
            <v>-18122.9972506917</v>
          </cell>
          <cell r="J50">
            <v>-60266.614572553211</v>
          </cell>
          <cell r="K50">
            <v>15233.460782923177</v>
          </cell>
          <cell r="L50">
            <v>0</v>
          </cell>
          <cell r="M50">
            <v>-8282.233459369656</v>
          </cell>
          <cell r="N50">
            <v>0</v>
          </cell>
          <cell r="O50">
            <v>19830.277951066262</v>
          </cell>
          <cell r="P50">
            <v>37953.275201757962</v>
          </cell>
          <cell r="Q50">
            <v>8972.0058662273077</v>
          </cell>
          <cell r="R50">
            <v>-6261.4549166958695</v>
          </cell>
          <cell r="S50">
            <v>-95806.924509215067</v>
          </cell>
          <cell r="T50">
            <v>-87524.691049845409</v>
          </cell>
          <cell r="U50">
            <v>-84179.36780126825</v>
          </cell>
          <cell r="V50">
            <v>-104009.64575233452</v>
          </cell>
          <cell r="W50">
            <v>9288.1769205316778</v>
          </cell>
          <cell r="X50">
            <v>316.17105430437005</v>
          </cell>
          <cell r="Y50">
            <v>-84148.406017595495</v>
          </cell>
          <cell r="Z50">
            <v>11658.518491619572</v>
          </cell>
          <cell r="AA50">
            <v>-67751.697104358085</v>
          </cell>
          <cell r="AB50">
            <v>16427.670696910165</v>
          </cell>
          <cell r="AC50">
            <v>9063.9365804223107</v>
          </cell>
          <cell r="AD50">
            <v>-224.24034010936703</v>
          </cell>
          <cell r="AE50">
            <v>-83258.048467888264</v>
          </cell>
          <cell r="AF50">
            <v>890.35754970723065</v>
          </cell>
          <cell r="AG50">
            <v>-65867.953609431352</v>
          </cell>
          <cell r="AH50">
            <v>1883.7434949267335</v>
          </cell>
          <cell r="AI50">
            <v>9021.9045326880259</v>
          </cell>
          <cell r="AJ50">
            <v>-42.032047734284788</v>
          </cell>
          <cell r="AK50">
            <v>-85094.297304606924</v>
          </cell>
          <cell r="AL50">
            <v>-1836.2488367186597</v>
          </cell>
          <cell r="AM50">
            <v>-68428.218078705933</v>
          </cell>
          <cell r="AN50">
            <v>-2560.2644692745816</v>
          </cell>
          <cell r="AO50">
            <v>9118.5813113441491</v>
          </cell>
          <cell r="AP50">
            <v>96.676778656123133</v>
          </cell>
          <cell r="AQ50">
            <v>-81517.256494330097</v>
          </cell>
          <cell r="AR50">
            <v>3577.040810276827</v>
          </cell>
          <cell r="AS50">
            <v>-63462.541930854954</v>
          </cell>
          <cell r="AT50">
            <v>4965.6761478509798</v>
          </cell>
          <cell r="AU50">
            <v>9273.9909843951664</v>
          </cell>
          <cell r="AV50">
            <v>155.40967305101731</v>
          </cell>
          <cell r="AW50">
            <v>-78117.612258535388</v>
          </cell>
          <cell r="AX50">
            <v>3399.6442357947089</v>
          </cell>
          <cell r="AY50">
            <v>-59124.819184140673</v>
          </cell>
          <cell r="AZ50">
            <v>4337.7227467142802</v>
          </cell>
        </row>
      </sheetData>
      <sheetData sheetId="9">
        <row r="9">
          <cell r="A9">
            <v>2009</v>
          </cell>
          <cell r="D9">
            <v>9550</v>
          </cell>
          <cell r="I9">
            <v>9550</v>
          </cell>
          <cell r="J9">
            <v>0</v>
          </cell>
          <cell r="O9">
            <v>9550</v>
          </cell>
          <cell r="P9">
            <v>0</v>
          </cell>
          <cell r="U9">
            <v>9550</v>
          </cell>
          <cell r="V9">
            <v>0</v>
          </cell>
          <cell r="AA9">
            <v>9550</v>
          </cell>
          <cell r="AB9">
            <v>0</v>
          </cell>
          <cell r="AG9">
            <v>9550</v>
          </cell>
          <cell r="AH9">
            <v>0</v>
          </cell>
          <cell r="AM9">
            <v>9550</v>
          </cell>
          <cell r="AN9">
            <v>0</v>
          </cell>
          <cell r="AS9">
            <v>9550</v>
          </cell>
          <cell r="AT9">
            <v>0</v>
          </cell>
          <cell r="AY9">
            <v>9550</v>
          </cell>
          <cell r="AZ9">
            <v>0</v>
          </cell>
        </row>
        <row r="10">
          <cell r="A10">
            <v>2010</v>
          </cell>
          <cell r="B10">
            <v>-1261.4024568070529</v>
          </cell>
          <cell r="C10">
            <v>-1261.4024568070529</v>
          </cell>
          <cell r="D10">
            <v>8168.4968824517018</v>
          </cell>
          <cell r="E10">
            <v>-1261.4024568070529</v>
          </cell>
          <cell r="F10">
            <v>0</v>
          </cell>
          <cell r="G10">
            <v>-1261.4024568070529</v>
          </cell>
          <cell r="H10">
            <v>0</v>
          </cell>
          <cell r="I10">
            <v>8168.4968824517018</v>
          </cell>
          <cell r="J10">
            <v>0</v>
          </cell>
          <cell r="K10">
            <v>-1261.4024568070529</v>
          </cell>
          <cell r="L10">
            <v>0</v>
          </cell>
          <cell r="M10">
            <v>-1261.4024568070529</v>
          </cell>
          <cell r="N10">
            <v>0</v>
          </cell>
          <cell r="O10">
            <v>8168.4968824517018</v>
          </cell>
          <cell r="P10">
            <v>0</v>
          </cell>
          <cell r="Q10">
            <v>-1261.4024568070529</v>
          </cell>
          <cell r="R10">
            <v>0</v>
          </cell>
          <cell r="S10">
            <v>-1261.4024568070529</v>
          </cell>
          <cell r="T10">
            <v>0</v>
          </cell>
          <cell r="U10">
            <v>8168.4968824517018</v>
          </cell>
          <cell r="V10">
            <v>0</v>
          </cell>
          <cell r="W10">
            <v>-1261.4024568070527</v>
          </cell>
          <cell r="X10">
            <v>0</v>
          </cell>
          <cell r="Y10">
            <v>-1261.4024568070527</v>
          </cell>
          <cell r="Z10">
            <v>0</v>
          </cell>
          <cell r="AA10">
            <v>8168.4968824517018</v>
          </cell>
          <cell r="AB10">
            <v>0</v>
          </cell>
          <cell r="AC10">
            <v>-1261.4024568070527</v>
          </cell>
          <cell r="AD10">
            <v>0</v>
          </cell>
          <cell r="AE10">
            <v>-1261.4024568070527</v>
          </cell>
          <cell r="AF10">
            <v>0</v>
          </cell>
          <cell r="AG10">
            <v>8168.4968824517018</v>
          </cell>
          <cell r="AH10">
            <v>0</v>
          </cell>
          <cell r="AI10">
            <v>-1261.4024568070527</v>
          </cell>
          <cell r="AJ10">
            <v>0</v>
          </cell>
          <cell r="AK10">
            <v>-1261.4024568070527</v>
          </cell>
          <cell r="AL10">
            <v>0</v>
          </cell>
          <cell r="AM10">
            <v>8168.4968824517018</v>
          </cell>
          <cell r="AN10">
            <v>0</v>
          </cell>
          <cell r="AO10">
            <v>-1261.4024568070527</v>
          </cell>
          <cell r="AP10">
            <v>0</v>
          </cell>
          <cell r="AQ10">
            <v>-1261.4024568070527</v>
          </cell>
          <cell r="AR10">
            <v>0</v>
          </cell>
          <cell r="AS10">
            <v>8168.4968824517018</v>
          </cell>
          <cell r="AT10">
            <v>0</v>
          </cell>
          <cell r="AU10">
            <v>-1261.4024568070527</v>
          </cell>
          <cell r="AV10">
            <v>0</v>
          </cell>
          <cell r="AW10">
            <v>-1261.4024568070527</v>
          </cell>
          <cell r="AX10">
            <v>0</v>
          </cell>
          <cell r="AY10">
            <v>8168.4968824517018</v>
          </cell>
          <cell r="AZ10">
            <v>0</v>
          </cell>
        </row>
        <row r="11">
          <cell r="A11">
            <v>2011</v>
          </cell>
          <cell r="B11">
            <v>-1516.182092583294</v>
          </cell>
          <cell r="C11">
            <v>-2777.5845493903471</v>
          </cell>
          <cell r="D11">
            <v>6463.1386165492622</v>
          </cell>
          <cell r="E11">
            <v>-1525.0281844938434</v>
          </cell>
          <cell r="F11">
            <v>-8.8460919105493758</v>
          </cell>
          <cell r="G11">
            <v>-2786.4306413008962</v>
          </cell>
          <cell r="H11">
            <v>-8.8460919105491485</v>
          </cell>
          <cell r="I11">
            <v>6452.8759001435919</v>
          </cell>
          <cell r="J11">
            <v>-10.26271640567029</v>
          </cell>
          <cell r="K11">
            <v>-1525.0281844938434</v>
          </cell>
          <cell r="L11">
            <v>0</v>
          </cell>
          <cell r="M11">
            <v>-2786.4306413008962</v>
          </cell>
          <cell r="N11">
            <v>0</v>
          </cell>
          <cell r="O11">
            <v>6452.8759001435919</v>
          </cell>
          <cell r="P11">
            <v>0</v>
          </cell>
          <cell r="Q11">
            <v>-1520.140264442233</v>
          </cell>
          <cell r="R11">
            <v>4.8879200516103083</v>
          </cell>
          <cell r="S11">
            <v>-2781.5427212492859</v>
          </cell>
          <cell r="T11">
            <v>4.8879200516103083</v>
          </cell>
          <cell r="U11">
            <v>6457.7638201952022</v>
          </cell>
          <cell r="V11">
            <v>4.8879200516103083</v>
          </cell>
          <cell r="W11">
            <v>-1274.8100962812916</v>
          </cell>
          <cell r="X11">
            <v>245.33016816094141</v>
          </cell>
          <cell r="Y11">
            <v>-2536.2125530883441</v>
          </cell>
          <cell r="Z11">
            <v>245.33016816094187</v>
          </cell>
          <cell r="AA11">
            <v>6773.0322180743196</v>
          </cell>
          <cell r="AB11">
            <v>315.2683978791174</v>
          </cell>
          <cell r="AC11">
            <v>-1274.8100962812916</v>
          </cell>
          <cell r="AD11">
            <v>0</v>
          </cell>
          <cell r="AE11">
            <v>-2536.2125530883441</v>
          </cell>
          <cell r="AF11">
            <v>0</v>
          </cell>
          <cell r="AG11">
            <v>6773.0322180743196</v>
          </cell>
          <cell r="AH11">
            <v>0</v>
          </cell>
          <cell r="AI11">
            <v>-1274.8100962812916</v>
          </cell>
          <cell r="AJ11">
            <v>0</v>
          </cell>
          <cell r="AK11">
            <v>-2536.2125530883441</v>
          </cell>
          <cell r="AL11">
            <v>0</v>
          </cell>
          <cell r="AM11">
            <v>6773.0322180743196</v>
          </cell>
          <cell r="AN11">
            <v>0</v>
          </cell>
          <cell r="AO11">
            <v>-1274.8100962812916</v>
          </cell>
          <cell r="AP11">
            <v>0</v>
          </cell>
          <cell r="AQ11">
            <v>-2536.2125530883441</v>
          </cell>
          <cell r="AR11">
            <v>0</v>
          </cell>
          <cell r="AS11">
            <v>6773.0322180743196</v>
          </cell>
          <cell r="AT11">
            <v>0</v>
          </cell>
          <cell r="AU11">
            <v>-1274.8100962812916</v>
          </cell>
          <cell r="AV11">
            <v>0</v>
          </cell>
          <cell r="AW11">
            <v>-2536.2125530883441</v>
          </cell>
          <cell r="AX11">
            <v>0</v>
          </cell>
          <cell r="AY11">
            <v>6773.0322180743196</v>
          </cell>
          <cell r="AZ11">
            <v>0</v>
          </cell>
        </row>
        <row r="12">
          <cell r="A12">
            <v>2012</v>
          </cell>
          <cell r="B12">
            <v>-1170.171841957145</v>
          </cell>
          <cell r="C12">
            <v>-3947.7563913474924</v>
          </cell>
          <cell r="D12">
            <v>5012.5499455996978</v>
          </cell>
          <cell r="E12">
            <v>-1200.8095541335649</v>
          </cell>
          <cell r="F12">
            <v>-30.637712176419882</v>
          </cell>
          <cell r="G12">
            <v>-3987.2401954344614</v>
          </cell>
          <cell r="H12">
            <v>-39.48380408696903</v>
          </cell>
          <cell r="I12">
            <v>4968.0118233233743</v>
          </cell>
          <cell r="J12">
            <v>-44.53812227632352</v>
          </cell>
          <cell r="K12">
            <v>-1200.8095541335649</v>
          </cell>
          <cell r="L12">
            <v>0</v>
          </cell>
          <cell r="M12">
            <v>-3987.2401954344614</v>
          </cell>
          <cell r="N12">
            <v>0</v>
          </cell>
          <cell r="O12">
            <v>4968.0118233233743</v>
          </cell>
          <cell r="P12">
            <v>0</v>
          </cell>
          <cell r="Q12">
            <v>-1212.3244221467664</v>
          </cell>
          <cell r="R12">
            <v>-11.514868013201522</v>
          </cell>
          <cell r="S12">
            <v>-3993.8671433960526</v>
          </cell>
          <cell r="T12">
            <v>-6.6269479615912132</v>
          </cell>
          <cell r="U12">
            <v>4964.0929221182505</v>
          </cell>
          <cell r="V12">
            <v>-3.9189012051238024</v>
          </cell>
          <cell r="W12">
            <v>-938.26792190520882</v>
          </cell>
          <cell r="X12">
            <v>274.05650024155761</v>
          </cell>
          <cell r="Y12">
            <v>-3474.4804749935529</v>
          </cell>
          <cell r="Z12">
            <v>519.38666840249971</v>
          </cell>
          <cell r="AA12">
            <v>5569.2672604172749</v>
          </cell>
          <cell r="AB12">
            <v>605.17433829902438</v>
          </cell>
          <cell r="AC12">
            <v>-926.77278568128111</v>
          </cell>
          <cell r="AD12">
            <v>11.495136223927716</v>
          </cell>
          <cell r="AE12">
            <v>-3462.9853387696253</v>
          </cell>
          <cell r="AF12">
            <v>11.495136223927602</v>
          </cell>
          <cell r="AG12">
            <v>5584.0463810634401</v>
          </cell>
          <cell r="AH12">
            <v>14.779120646165211</v>
          </cell>
          <cell r="AI12">
            <v>-933.77252079969696</v>
          </cell>
          <cell r="AJ12">
            <v>-6.999735118415856</v>
          </cell>
          <cell r="AK12">
            <v>-3469.9850738880409</v>
          </cell>
          <cell r="AL12">
            <v>-6.9997351184156287</v>
          </cell>
          <cell r="AM12">
            <v>5575.0496541855946</v>
          </cell>
          <cell r="AN12">
            <v>-8.9967268778455036</v>
          </cell>
          <cell r="AO12">
            <v>-933.77252079969696</v>
          </cell>
          <cell r="AP12">
            <v>0</v>
          </cell>
          <cell r="AQ12">
            <v>-3469.9850738880409</v>
          </cell>
          <cell r="AR12">
            <v>0</v>
          </cell>
          <cell r="AS12">
            <v>5575.0496541855946</v>
          </cell>
          <cell r="AT12">
            <v>0</v>
          </cell>
          <cell r="AU12">
            <v>-932.68016461594789</v>
          </cell>
          <cell r="AV12">
            <v>1.0923561837490752</v>
          </cell>
          <cell r="AW12">
            <v>-3468.892717704292</v>
          </cell>
          <cell r="AX12">
            <v>1.0923561837489615</v>
          </cell>
          <cell r="AY12">
            <v>5576.1420103693436</v>
          </cell>
          <cell r="AZ12">
            <v>1.0923561837489615</v>
          </cell>
        </row>
        <row r="13">
          <cell r="A13">
            <v>2013</v>
          </cell>
          <cell r="B13">
            <v>-964.75661544209731</v>
          </cell>
          <cell r="C13">
            <v>-4912.5130067895898</v>
          </cell>
          <cell r="D13">
            <v>3778.78241733709</v>
          </cell>
          <cell r="E13">
            <v>-1017.0365144062132</v>
          </cell>
          <cell r="F13">
            <v>-52.279898964115887</v>
          </cell>
          <cell r="G13">
            <v>-5004.2767098406748</v>
          </cell>
          <cell r="H13">
            <v>-91.763703051085031</v>
          </cell>
          <cell r="I13">
            <v>3677.7414047287411</v>
          </cell>
          <cell r="J13">
            <v>-101.04101260834886</v>
          </cell>
          <cell r="K13">
            <v>-1017.0365144062132</v>
          </cell>
          <cell r="L13">
            <v>0</v>
          </cell>
          <cell r="M13">
            <v>-5004.2767098406748</v>
          </cell>
          <cell r="N13">
            <v>0</v>
          </cell>
          <cell r="O13">
            <v>6173.1385132412433</v>
          </cell>
          <cell r="P13">
            <v>2495.3971085125022</v>
          </cell>
          <cell r="Q13">
            <v>-1042.0800689587206</v>
          </cell>
          <cell r="R13">
            <v>-25.04355455250743</v>
          </cell>
          <cell r="S13">
            <v>-5035.947212354773</v>
          </cell>
          <cell r="T13">
            <v>-31.670502514098189</v>
          </cell>
          <cell r="U13">
            <v>6147.6513150188321</v>
          </cell>
          <cell r="V13">
            <v>-25.48719822241128</v>
          </cell>
          <cell r="W13">
            <v>-763.52159357668461</v>
          </cell>
          <cell r="X13">
            <v>278.55847538203602</v>
          </cell>
          <cell r="Y13">
            <v>-4238.0020685702375</v>
          </cell>
          <cell r="Z13">
            <v>797.9451437845355</v>
          </cell>
          <cell r="AA13">
            <v>7007.6639083361415</v>
          </cell>
          <cell r="AB13">
            <v>860.01259331730944</v>
          </cell>
          <cell r="AC13">
            <v>-740.21990297122693</v>
          </cell>
          <cell r="AD13">
            <v>23.301690605457679</v>
          </cell>
          <cell r="AE13">
            <v>-4203.2052417408522</v>
          </cell>
          <cell r="AF13">
            <v>34.796826829385282</v>
          </cell>
          <cell r="AG13">
            <v>7046.1786585378441</v>
          </cell>
          <cell r="AH13">
            <v>38.514750201702554</v>
          </cell>
          <cell r="AI13">
            <v>-754.44837716317363</v>
          </cell>
          <cell r="AJ13">
            <v>-14.228474191946702</v>
          </cell>
          <cell r="AK13">
            <v>-4224.4334510512144</v>
          </cell>
          <cell r="AL13">
            <v>-21.228209310362217</v>
          </cell>
          <cell r="AM13">
            <v>7022.6864897114601</v>
          </cell>
          <cell r="AN13">
            <v>-23.492168826383931</v>
          </cell>
          <cell r="AO13">
            <v>-748.69014145716801</v>
          </cell>
          <cell r="AP13">
            <v>5.7582357060056211</v>
          </cell>
          <cell r="AQ13">
            <v>-4218.6752153452089</v>
          </cell>
          <cell r="AR13">
            <v>5.7582357060055074</v>
          </cell>
          <cell r="AS13">
            <v>7028.4447254174656</v>
          </cell>
          <cell r="AT13">
            <v>5.7582357060055074</v>
          </cell>
          <cell r="AU13">
            <v>-746.52391246973002</v>
          </cell>
          <cell r="AV13">
            <v>2.1662289874379894</v>
          </cell>
          <cell r="AW13">
            <v>-4215.4166301740224</v>
          </cell>
          <cell r="AX13">
            <v>3.2585851711864962</v>
          </cell>
          <cell r="AY13">
            <v>7031.7216524866244</v>
          </cell>
          <cell r="AZ13">
            <v>3.2769270691587735</v>
          </cell>
        </row>
        <row r="14">
          <cell r="A14">
            <v>2014</v>
          </cell>
          <cell r="B14">
            <v>-863.01487087432145</v>
          </cell>
          <cell r="C14">
            <v>-5775.5278776639116</v>
          </cell>
          <cell r="D14">
            <v>2607.5253459274254</v>
          </cell>
          <cell r="E14">
            <v>-937.01361297472567</v>
          </cell>
          <cell r="F14">
            <v>-73.998742100404229</v>
          </cell>
          <cell r="G14">
            <v>-5941.2903228154009</v>
          </cell>
          <cell r="H14">
            <v>-165.76244515148937</v>
          </cell>
          <cell r="I14">
            <v>2427.2818916309602</v>
          </cell>
          <cell r="J14">
            <v>-180.24345429646519</v>
          </cell>
          <cell r="K14">
            <v>-937.01361297472567</v>
          </cell>
          <cell r="L14">
            <v>0</v>
          </cell>
          <cell r="M14">
            <v>-5941.2903228154009</v>
          </cell>
          <cell r="N14">
            <v>0</v>
          </cell>
          <cell r="O14">
            <v>5108.7840413711028</v>
          </cell>
          <cell r="P14">
            <v>2681.5021497401426</v>
          </cell>
          <cell r="Q14">
            <v>-978.47645147972059</v>
          </cell>
          <cell r="R14">
            <v>-41.46283850499492</v>
          </cell>
          <cell r="S14">
            <v>-6014.4236638344937</v>
          </cell>
          <cell r="T14">
            <v>-73.133341019092768</v>
          </cell>
          <cell r="U14">
            <v>5044.9580766999952</v>
          </cell>
          <cell r="V14">
            <v>-63.825964671107613</v>
          </cell>
          <cell r="W14">
            <v>-694.08656662622718</v>
          </cell>
          <cell r="X14">
            <v>284.38988485349341</v>
          </cell>
          <cell r="Y14">
            <v>-4932.0886351964646</v>
          </cell>
          <cell r="Z14">
            <v>1082.3350286380291</v>
          </cell>
          <cell r="AA14">
            <v>6204.4285945243719</v>
          </cell>
          <cell r="AB14">
            <v>1159.4705178243767</v>
          </cell>
          <cell r="AC14">
            <v>-659.04007880477275</v>
          </cell>
          <cell r="AD14">
            <v>35.046487821454434</v>
          </cell>
          <cell r="AE14">
            <v>-4862.245320545625</v>
          </cell>
          <cell r="AF14">
            <v>69.843314650839602</v>
          </cell>
          <cell r="AG14">
            <v>6280.1189668494362</v>
          </cell>
          <cell r="AH14">
            <v>75.690372325064345</v>
          </cell>
          <cell r="AI14">
            <v>-680.19452301038882</v>
          </cell>
          <cell r="AJ14">
            <v>-21.154444205616073</v>
          </cell>
          <cell r="AK14">
            <v>-4904.6279740616028</v>
          </cell>
          <cell r="AL14">
            <v>-42.382653515977836</v>
          </cell>
          <cell r="AM14">
            <v>6234.2102820937353</v>
          </cell>
          <cell r="AN14">
            <v>-45.908684755700961</v>
          </cell>
          <cell r="AO14">
            <v>-668.67805159837462</v>
          </cell>
          <cell r="AP14">
            <v>11.516471412014198</v>
          </cell>
          <cell r="AQ14">
            <v>-4887.3532669435835</v>
          </cell>
          <cell r="AR14">
            <v>17.274707118019251</v>
          </cell>
          <cell r="AS14">
            <v>6251.5816765133668</v>
          </cell>
          <cell r="AT14">
            <v>17.371394419631542</v>
          </cell>
          <cell r="AU14">
            <v>-665.4526584664377</v>
          </cell>
          <cell r="AV14">
            <v>3.2253931319369258</v>
          </cell>
          <cell r="AW14">
            <v>-4880.8692886404606</v>
          </cell>
          <cell r="AX14">
            <v>6.4839783031229672</v>
          </cell>
          <cell r="AY14">
            <v>6258.1390200327278</v>
          </cell>
          <cell r="AZ14">
            <v>6.5573435193609839</v>
          </cell>
        </row>
        <row r="15">
          <cell r="A15">
            <v>2015</v>
          </cell>
          <cell r="B15">
            <v>-810.57191592693823</v>
          </cell>
          <cell r="C15">
            <v>-6586.0997935908499</v>
          </cell>
          <cell r="D15">
            <v>1467.457239864555</v>
          </cell>
          <cell r="E15">
            <v>-906.34894010766106</v>
          </cell>
          <cell r="F15">
            <v>-95.777024180722833</v>
          </cell>
          <cell r="G15">
            <v>-6847.6392629230622</v>
          </cell>
          <cell r="H15">
            <v>-261.53946933221232</v>
          </cell>
          <cell r="I15">
            <v>1184.8673553229617</v>
          </cell>
          <cell r="J15">
            <v>-282.58988454159339</v>
          </cell>
          <cell r="K15">
            <v>-906.34894010766106</v>
          </cell>
          <cell r="L15">
            <v>0</v>
          </cell>
          <cell r="M15">
            <v>-6847.6392629230622</v>
          </cell>
          <cell r="N15">
            <v>0</v>
          </cell>
          <cell r="O15">
            <v>4057.5496955267577</v>
          </cell>
          <cell r="P15">
            <v>2872.6823402037962</v>
          </cell>
          <cell r="Q15">
            <v>-967.92042369069304</v>
          </cell>
          <cell r="R15">
            <v>-61.571483583031977</v>
          </cell>
          <cell r="S15">
            <v>-6982.3440875251872</v>
          </cell>
          <cell r="T15">
            <v>-134.70482460212497</v>
          </cell>
          <cell r="U15">
            <v>3934.7414528512668</v>
          </cell>
          <cell r="V15">
            <v>-122.80824267549087</v>
          </cell>
          <cell r="W15">
            <v>-677.22954505718906</v>
          </cell>
          <cell r="X15">
            <v>290.69087863350398</v>
          </cell>
          <cell r="Y15">
            <v>-5609.3181802536537</v>
          </cell>
          <cell r="Z15">
            <v>1373.0259072715335</v>
          </cell>
          <cell r="AA15">
            <v>5405.0859447167204</v>
          </cell>
          <cell r="AB15">
            <v>1470.3444918654536</v>
          </cell>
          <cell r="AC15">
            <v>-630.29323968348001</v>
          </cell>
          <cell r="AD15">
            <v>46.936305373709047</v>
          </cell>
          <cell r="AE15">
            <v>-5492.5385602291053</v>
          </cell>
          <cell r="AF15">
            <v>116.77962002454842</v>
          </cell>
          <cell r="AG15">
            <v>5530.4372826290819</v>
          </cell>
          <cell r="AH15">
            <v>125.35133791236149</v>
          </cell>
          <cell r="AI15">
            <v>-657.90054830231156</v>
          </cell>
          <cell r="AJ15">
            <v>-27.607308618831553</v>
          </cell>
          <cell r="AK15">
            <v>-5562.5285223639148</v>
          </cell>
          <cell r="AL15">
            <v>-69.989962134809502</v>
          </cell>
          <cell r="AM15">
            <v>5455.370692692496</v>
          </cell>
          <cell r="AN15">
            <v>-75.066589936585842</v>
          </cell>
          <cell r="AO15">
            <v>-640.62584118428833</v>
          </cell>
          <cell r="AP15">
            <v>17.27470711802323</v>
          </cell>
          <cell r="AQ15">
            <v>-5527.9791081278718</v>
          </cell>
          <cell r="AR15">
            <v>34.549414236043049</v>
          </cell>
          <cell r="AS15">
            <v>5490.308479624332</v>
          </cell>
          <cell r="AT15">
            <v>34.937786931835944</v>
          </cell>
          <cell r="AU15">
            <v>-636.35693657993363</v>
          </cell>
          <cell r="AV15">
            <v>4.2689046043547023</v>
          </cell>
          <cell r="AW15">
            <v>-5517.2262252203946</v>
          </cell>
          <cell r="AX15">
            <v>10.752882907477215</v>
          </cell>
          <cell r="AY15">
            <v>5501.2448329752397</v>
          </cell>
          <cell r="AZ15">
            <v>10.936353350907666</v>
          </cell>
        </row>
        <row r="16">
          <cell r="A16">
            <v>2016</v>
          </cell>
          <cell r="B16">
            <v>-691.13755931070546</v>
          </cell>
          <cell r="C16">
            <v>-7277.2373529015549</v>
          </cell>
          <cell r="D16">
            <v>469.26541403718016</v>
          </cell>
          <cell r="E16">
            <v>-808.67015269084152</v>
          </cell>
          <cell r="F16">
            <v>-117.53259338013606</v>
          </cell>
          <cell r="G16">
            <v>-7656.3094156139041</v>
          </cell>
          <cell r="H16">
            <v>-379.07206271234918</v>
          </cell>
          <cell r="I16">
            <v>60.79977097136544</v>
          </cell>
          <cell r="J16">
            <v>-408.46564306581473</v>
          </cell>
          <cell r="K16">
            <v>-808.67015269084152</v>
          </cell>
          <cell r="L16">
            <v>0</v>
          </cell>
          <cell r="M16">
            <v>-7656.3094156139041</v>
          </cell>
          <cell r="N16">
            <v>0</v>
          </cell>
          <cell r="O16">
            <v>3112.8442988764587</v>
          </cell>
          <cell r="P16">
            <v>3052.0445279050932</v>
          </cell>
          <cell r="Q16">
            <v>-878.84336149625199</v>
          </cell>
          <cell r="R16">
            <v>-70.173208805410468</v>
          </cell>
          <cell r="S16">
            <v>-7861.1874490214395</v>
          </cell>
          <cell r="T16">
            <v>-204.87803340753544</v>
          </cell>
          <cell r="U16">
            <v>2917.9819737951279</v>
          </cell>
          <cell r="V16">
            <v>-194.86232508133071</v>
          </cell>
          <cell r="W16">
            <v>-583.68096882001805</v>
          </cell>
          <cell r="X16">
            <v>295.16239267623394</v>
          </cell>
          <cell r="Y16">
            <v>-6192.999149073672</v>
          </cell>
          <cell r="Z16">
            <v>1668.1882999477675</v>
          </cell>
          <cell r="AA16">
            <v>4708.74596453095</v>
          </cell>
          <cell r="AB16">
            <v>1790.7639907358221</v>
          </cell>
          <cell r="AC16">
            <v>-525.03821785411174</v>
          </cell>
          <cell r="AD16">
            <v>58.642750965906316</v>
          </cell>
          <cell r="AE16">
            <v>-6017.5767780832175</v>
          </cell>
          <cell r="AF16">
            <v>175.42237099045451</v>
          </cell>
          <cell r="AG16">
            <v>4896.2478198845029</v>
          </cell>
          <cell r="AH16">
            <v>187.50185535355286</v>
          </cell>
          <cell r="AI16">
            <v>-558.42334578468729</v>
          </cell>
          <cell r="AJ16">
            <v>-33.38512793057555</v>
          </cell>
          <cell r="AK16">
            <v>-6120.9518681486024</v>
          </cell>
          <cell r="AL16">
            <v>-103.37509006538494</v>
          </cell>
          <cell r="AM16">
            <v>4785.853595324661</v>
          </cell>
          <cell r="AN16">
            <v>-110.39422455984186</v>
          </cell>
          <cell r="AO16">
            <v>-541.14863866666383</v>
          </cell>
          <cell r="AP16">
            <v>17.274707118023457</v>
          </cell>
          <cell r="AQ16">
            <v>-6069.1277467945356</v>
          </cell>
          <cell r="AR16">
            <v>51.824121354066847</v>
          </cell>
          <cell r="AS16">
            <v>4838.6527344017895</v>
          </cell>
          <cell r="AT16">
            <v>52.79913907712853</v>
          </cell>
          <cell r="AU16">
            <v>-535.85164394170488</v>
          </cell>
          <cell r="AV16">
            <v>5.2969947249589495</v>
          </cell>
          <cell r="AW16">
            <v>-6053.0778691620999</v>
          </cell>
          <cell r="AX16">
            <v>16.04987763243571</v>
          </cell>
          <cell r="AY16">
            <v>4855.0697162413608</v>
          </cell>
          <cell r="AZ16">
            <v>16.416981839571235</v>
          </cell>
        </row>
        <row r="17">
          <cell r="A17">
            <v>2017</v>
          </cell>
          <cell r="B17">
            <v>-331.95526327294874</v>
          </cell>
          <cell r="C17">
            <v>-7609.1926161745032</v>
          </cell>
          <cell r="D17">
            <v>-199.50045973780669</v>
          </cell>
          <cell r="E17">
            <v>-471.2776231317826</v>
          </cell>
          <cell r="F17">
            <v>-139.32235985883386</v>
          </cell>
          <cell r="G17">
            <v>-8127.5870387456871</v>
          </cell>
          <cell r="H17">
            <v>-518.3944225711839</v>
          </cell>
          <cell r="I17">
            <v>-757.78693959097313</v>
          </cell>
          <cell r="J17">
            <v>-558.28647985316638</v>
          </cell>
          <cell r="K17">
            <v>-471.2776231317826</v>
          </cell>
          <cell r="L17">
            <v>0</v>
          </cell>
          <cell r="M17">
            <v>-8127.5870387456871</v>
          </cell>
          <cell r="N17">
            <v>0</v>
          </cell>
          <cell r="O17">
            <v>2454.9851996333382</v>
          </cell>
          <cell r="P17">
            <v>3212.7721392243111</v>
          </cell>
          <cell r="Q17">
            <v>-550.16534958890441</v>
          </cell>
          <cell r="R17">
            <v>-78.887726457121801</v>
          </cell>
          <cell r="S17">
            <v>-8411.3527986103436</v>
          </cell>
          <cell r="T17">
            <v>-283.7657598646565</v>
          </cell>
          <cell r="U17">
            <v>2178.237461678541</v>
          </cell>
          <cell r="V17">
            <v>-276.74773795479723</v>
          </cell>
          <cell r="W17">
            <v>-252.16732224000043</v>
          </cell>
          <cell r="X17">
            <v>297.99802734890397</v>
          </cell>
          <cell r="Y17">
            <v>-6445.1664713136724</v>
          </cell>
          <cell r="Z17">
            <v>1966.1863272966712</v>
          </cell>
          <cell r="AA17">
            <v>4297.553713879528</v>
          </cell>
          <cell r="AB17">
            <v>2119.316252200987</v>
          </cell>
          <cell r="AC17">
            <v>-181.98683506321228</v>
          </cell>
          <cell r="AD17">
            <v>70.180487176788148</v>
          </cell>
          <cell r="AE17">
            <v>-6199.5636131464298</v>
          </cell>
          <cell r="AF17">
            <v>245.60285816724263</v>
          </cell>
          <cell r="AG17">
            <v>4559.7485311915498</v>
          </cell>
          <cell r="AH17">
            <v>262.19481731202177</v>
          </cell>
          <cell r="AI17">
            <v>-220.2155290761857</v>
          </cell>
          <cell r="AJ17">
            <v>-38.228694012973421</v>
          </cell>
          <cell r="AK17">
            <v>-6341.1673972247881</v>
          </cell>
          <cell r="AL17">
            <v>-141.60378407835833</v>
          </cell>
          <cell r="AM17">
            <v>4408.7094389850063</v>
          </cell>
          <cell r="AN17">
            <v>-151.0390922065435</v>
          </cell>
          <cell r="AO17">
            <v>-202.94082195816236</v>
          </cell>
          <cell r="AP17">
            <v>17.274707118023343</v>
          </cell>
          <cell r="AQ17">
            <v>-6272.0685687526984</v>
          </cell>
          <cell r="AR17">
            <v>69.098828472089735</v>
          </cell>
          <cell r="AS17">
            <v>4479.6698425469476</v>
          </cell>
          <cell r="AT17">
            <v>70.960403561941348</v>
          </cell>
          <cell r="AU17">
            <v>-196.63093056265689</v>
          </cell>
          <cell r="AV17">
            <v>6.3098913955054741</v>
          </cell>
          <cell r="AW17">
            <v>-6249.7087997247563</v>
          </cell>
          <cell r="AX17">
            <v>22.359769027942093</v>
          </cell>
          <cell r="AY17">
            <v>4502.6723755076328</v>
          </cell>
          <cell r="AZ17">
            <v>23.00253296068513</v>
          </cell>
        </row>
        <row r="18">
          <cell r="A18">
            <v>2018</v>
          </cell>
          <cell r="B18">
            <v>-103.94081627697052</v>
          </cell>
          <cell r="C18">
            <v>-7713.1334324514737</v>
          </cell>
          <cell r="D18">
            <v>-667.30575862515582</v>
          </cell>
          <cell r="E18">
            <v>-228.91487869002052</v>
          </cell>
          <cell r="F18">
            <v>-124.97406241304999</v>
          </cell>
          <cell r="G18">
            <v>-8356.5019174357076</v>
          </cell>
          <cell r="H18">
            <v>-643.36848498423387</v>
          </cell>
          <cell r="I18">
            <v>-1358.5060660080385</v>
          </cell>
          <cell r="J18">
            <v>-691.20030738288267</v>
          </cell>
          <cell r="K18">
            <v>-228.91487869002052</v>
          </cell>
          <cell r="L18">
            <v>0</v>
          </cell>
          <cell r="M18">
            <v>-8356.5019174357076</v>
          </cell>
          <cell r="N18">
            <v>0</v>
          </cell>
          <cell r="O18">
            <v>2025.397111257485</v>
          </cell>
          <cell r="P18">
            <v>3383.9031772655235</v>
          </cell>
          <cell r="Q18">
            <v>-320.01952228276565</v>
          </cell>
          <cell r="R18">
            <v>-91.104643592745134</v>
          </cell>
          <cell r="S18">
            <v>-8731.3723208931096</v>
          </cell>
          <cell r="T18">
            <v>-374.87040345740206</v>
          </cell>
          <cell r="U18">
            <v>1652.8280873444605</v>
          </cell>
          <cell r="V18">
            <v>-372.56902391302447</v>
          </cell>
          <cell r="W18">
            <v>-18.046796010786693</v>
          </cell>
          <cell r="X18">
            <v>301.97272627197896</v>
          </cell>
          <cell r="Y18">
            <v>-6463.2132673244596</v>
          </cell>
          <cell r="Z18">
            <v>2268.1590535686501</v>
          </cell>
          <cell r="AA18">
            <v>4110.2839059562912</v>
          </cell>
          <cell r="AB18">
            <v>2457.4558186118306</v>
          </cell>
          <cell r="AC18">
            <v>63.504899811000541</v>
          </cell>
          <cell r="AD18">
            <v>81.551695821787234</v>
          </cell>
          <cell r="AE18">
            <v>-6136.0587133354293</v>
          </cell>
          <cell r="AF18">
            <v>327.15455398903032</v>
          </cell>
          <cell r="AG18">
            <v>4459.7404754075151</v>
          </cell>
          <cell r="AH18">
            <v>349.45656945122391</v>
          </cell>
          <cell r="AI18">
            <v>21.641743336235781</v>
          </cell>
          <cell r="AJ18">
            <v>-41.863156474764764</v>
          </cell>
          <cell r="AK18">
            <v>-6319.5256538885524</v>
          </cell>
          <cell r="AL18">
            <v>-183.4669405531231</v>
          </cell>
          <cell r="AM18">
            <v>4263.8980710388823</v>
          </cell>
          <cell r="AN18">
            <v>-195.84240436863274</v>
          </cell>
          <cell r="AO18">
            <v>38.916450454259127</v>
          </cell>
          <cell r="AP18">
            <v>17.274707118023347</v>
          </cell>
          <cell r="AQ18">
            <v>-6233.1521182984388</v>
          </cell>
          <cell r="AR18">
            <v>86.373535590113534</v>
          </cell>
          <cell r="AS18">
            <v>4353.3246872931386</v>
          </cell>
          <cell r="AT18">
            <v>89.42661625425626</v>
          </cell>
          <cell r="AU18">
            <v>46.224269604001627</v>
          </cell>
          <cell r="AV18">
            <v>7.3078191497424996</v>
          </cell>
          <cell r="AW18">
            <v>-6203.4845301207542</v>
          </cell>
          <cell r="AX18">
            <v>29.667588177684593</v>
          </cell>
          <cell r="AY18">
            <v>4384.0212779939584</v>
          </cell>
          <cell r="AZ18">
            <v>30.696590700819797</v>
          </cell>
        </row>
        <row r="19">
          <cell r="A19">
            <v>2019</v>
          </cell>
          <cell r="B19">
            <v>-257.19303415424207</v>
          </cell>
          <cell r="C19">
            <v>-7970.3264666057157</v>
          </cell>
          <cell r="D19">
            <v>-1323.4142868919234</v>
          </cell>
          <cell r="E19">
            <v>-372.5079200187966</v>
          </cell>
          <cell r="F19">
            <v>-115.31488586455453</v>
          </cell>
          <cell r="G19">
            <v>-8729.009837454505</v>
          </cell>
          <cell r="H19">
            <v>-758.68337084878931</v>
          </cell>
          <cell r="I19">
            <v>-2140.9360354872792</v>
          </cell>
          <cell r="J19">
            <v>-817.5217485953558</v>
          </cell>
          <cell r="K19">
            <v>-372.5079200187966</v>
          </cell>
          <cell r="L19">
            <v>0</v>
          </cell>
          <cell r="M19">
            <v>-8729.009837454505</v>
          </cell>
          <cell r="N19">
            <v>0</v>
          </cell>
          <cell r="O19">
            <v>1451.6579462944617</v>
          </cell>
          <cell r="P19">
            <v>3592.5939817817407</v>
          </cell>
          <cell r="Q19">
            <v>-477.73637031393906</v>
          </cell>
          <cell r="R19">
            <v>-105.22845029514247</v>
          </cell>
          <cell r="S19">
            <v>-9209.1086912070496</v>
          </cell>
          <cell r="T19">
            <v>-480.09885375254453</v>
          </cell>
          <cell r="U19">
            <v>967.27708750736042</v>
          </cell>
          <cell r="V19">
            <v>-484.38085878710126</v>
          </cell>
          <cell r="W19">
            <v>-168.21987438661472</v>
          </cell>
          <cell r="X19">
            <v>309.51649592732434</v>
          </cell>
          <cell r="Y19">
            <v>-6631.4331417110743</v>
          </cell>
          <cell r="Z19">
            <v>2577.6755494959752</v>
          </cell>
          <cell r="AA19">
            <v>3776.3837155130632</v>
          </cell>
          <cell r="AB19">
            <v>2809.106628005703</v>
          </cell>
          <cell r="AC19">
            <v>-75.016722970754927</v>
          </cell>
          <cell r="AD19">
            <v>93.203151415859793</v>
          </cell>
          <cell r="AE19">
            <v>-6211.0754363061842</v>
          </cell>
          <cell r="AF19">
            <v>420.35770540489011</v>
          </cell>
          <cell r="AG19">
            <v>4226.1923619609206</v>
          </cell>
          <cell r="AH19">
            <v>449.80864644785743</v>
          </cell>
          <cell r="AI19">
            <v>-119.58810630928338</v>
          </cell>
          <cell r="AJ19">
            <v>-44.571383338528449</v>
          </cell>
          <cell r="AK19">
            <v>-6439.1137601978353</v>
          </cell>
          <cell r="AL19">
            <v>-228.03832389165109</v>
          </cell>
          <cell r="AM19">
            <v>3982.215600134637</v>
          </cell>
          <cell r="AN19">
            <v>-243.97676182628356</v>
          </cell>
          <cell r="AO19">
            <v>-102.31339919126003</v>
          </cell>
          <cell r="AP19">
            <v>17.274707118023343</v>
          </cell>
          <cell r="AQ19">
            <v>-6335.4655174896989</v>
          </cell>
          <cell r="AR19">
            <v>103.64824270813642</v>
          </cell>
          <cell r="AS19">
            <v>4090.4184977146233</v>
          </cell>
          <cell r="AT19">
            <v>108.20289757998626</v>
          </cell>
          <cell r="AU19">
            <v>-94.022399988085908</v>
          </cell>
          <cell r="AV19">
            <v>8.290999203174124</v>
          </cell>
          <cell r="AW19">
            <v>-6297.5069301088406</v>
          </cell>
          <cell r="AX19">
            <v>37.958587380858262</v>
          </cell>
          <cell r="AY19">
            <v>4129.9215181558729</v>
          </cell>
          <cell r="AZ19">
            <v>39.503020441249646</v>
          </cell>
        </row>
        <row r="20">
          <cell r="A20">
            <v>2020</v>
          </cell>
          <cell r="B20">
            <v>-337.44224847508121</v>
          </cell>
          <cell r="C20">
            <v>-8307.7687150807978</v>
          </cell>
          <cell r="D20">
            <v>-2072.857549598371</v>
          </cell>
          <cell r="E20">
            <v>-449.62963728426439</v>
          </cell>
          <cell r="F20">
            <v>-112.18738880918318</v>
          </cell>
          <cell r="G20">
            <v>-9178.6394747387694</v>
          </cell>
          <cell r="H20">
            <v>-870.87075965797158</v>
          </cell>
          <cell r="I20">
            <v>-3016.8085311198602</v>
          </cell>
          <cell r="J20">
            <v>-943.95098152148921</v>
          </cell>
          <cell r="K20">
            <v>-449.62963728426439</v>
          </cell>
          <cell r="L20">
            <v>0</v>
          </cell>
          <cell r="M20">
            <v>-9178.6394747387694</v>
          </cell>
          <cell r="N20">
            <v>0</v>
          </cell>
          <cell r="O20">
            <v>789.72195258067336</v>
          </cell>
          <cell r="P20">
            <v>3806.5304837005333</v>
          </cell>
          <cell r="Q20">
            <v>-571.05051736719906</v>
          </cell>
          <cell r="R20">
            <v>-121.42088008293467</v>
          </cell>
          <cell r="S20">
            <v>-9780.1592085742486</v>
          </cell>
          <cell r="T20">
            <v>-601.5197338354792</v>
          </cell>
          <cell r="U20">
            <v>175.32488122208829</v>
          </cell>
          <cell r="V20">
            <v>-614.39707135858509</v>
          </cell>
          <cell r="W20">
            <v>-254.27803305858649</v>
          </cell>
          <cell r="X20">
            <v>316.77248430861255</v>
          </cell>
          <cell r="Y20">
            <v>-6885.7111747696608</v>
          </cell>
          <cell r="Z20">
            <v>2894.4480338045878</v>
          </cell>
          <cell r="AA20">
            <v>3349.2311351294316</v>
          </cell>
          <cell r="AB20">
            <v>3173.9062539073434</v>
          </cell>
          <cell r="AC20">
            <v>-149.52183130623962</v>
          </cell>
          <cell r="AD20">
            <v>104.75620175234687</v>
          </cell>
          <cell r="AE20">
            <v>-6360.5972676124238</v>
          </cell>
          <cell r="AF20">
            <v>525.11390715723701</v>
          </cell>
          <cell r="AG20">
            <v>3912.5914880994528</v>
          </cell>
          <cell r="AH20">
            <v>563.36035297002127</v>
          </cell>
          <cell r="AI20">
            <v>-195.79180953428067</v>
          </cell>
          <cell r="AJ20">
            <v>-46.269978228041055</v>
          </cell>
          <cell r="AK20">
            <v>-6634.9055697321164</v>
          </cell>
          <cell r="AL20">
            <v>-274.3083021196926</v>
          </cell>
          <cell r="AM20">
            <v>3618.0895698191148</v>
          </cell>
          <cell r="AN20">
            <v>-294.50191828033803</v>
          </cell>
          <cell r="AO20">
            <v>-178.5171024162571</v>
          </cell>
          <cell r="AP20">
            <v>17.274707118023571</v>
          </cell>
          <cell r="AQ20">
            <v>-6513.9826199059562</v>
          </cell>
          <cell r="AR20">
            <v>120.92294982616022</v>
          </cell>
          <cell r="AS20">
            <v>3745.3840237619097</v>
          </cell>
          <cell r="AT20">
            <v>127.29445394279492</v>
          </cell>
          <cell r="AU20">
            <v>-169.25745291413568</v>
          </cell>
          <cell r="AV20">
            <v>9.2596495021214196</v>
          </cell>
          <cell r="AW20">
            <v>-6466.7643830229763</v>
          </cell>
          <cell r="AX20">
            <v>47.218236882979909</v>
          </cell>
          <cell r="AY20">
            <v>3794.8099941756063</v>
          </cell>
          <cell r="AZ20">
            <v>49.425970413696632</v>
          </cell>
        </row>
        <row r="21">
          <cell r="A21">
            <v>2021</v>
          </cell>
          <cell r="B21">
            <v>-305.67919145745009</v>
          </cell>
          <cell r="C21">
            <v>-8613.4479065382475</v>
          </cell>
          <cell r="D21">
            <v>-2793.1125258734287</v>
          </cell>
          <cell r="E21">
            <v>-405.67919145745003</v>
          </cell>
          <cell r="F21">
            <v>-99.999999999999943</v>
          </cell>
          <cell r="G21">
            <v>-9584.3186661962191</v>
          </cell>
          <cell r="H21">
            <v>-970.87075965797158</v>
          </cell>
          <cell r="I21">
            <v>-3855.7737832951539</v>
          </cell>
          <cell r="J21">
            <v>-1062.6612574217252</v>
          </cell>
          <cell r="K21">
            <v>-405.67919145745003</v>
          </cell>
          <cell r="L21">
            <v>0</v>
          </cell>
          <cell r="M21">
            <v>-9584.3186661962191</v>
          </cell>
          <cell r="N21">
            <v>0</v>
          </cell>
          <cell r="O21">
            <v>161.57875111290653</v>
          </cell>
          <cell r="P21">
            <v>4017.3525344080604</v>
          </cell>
          <cell r="Q21">
            <v>-546.41940630477529</v>
          </cell>
          <cell r="R21">
            <v>-140.74021484732526</v>
          </cell>
          <cell r="S21">
            <v>-10326.578614879025</v>
          </cell>
          <cell r="T21">
            <v>-742.25994868280577</v>
          </cell>
          <cell r="U21">
            <v>-604.49423854957047</v>
          </cell>
          <cell r="V21">
            <v>-766.07298966247697</v>
          </cell>
          <cell r="W21">
            <v>-223.6610002637799</v>
          </cell>
          <cell r="X21">
            <v>322.7584060409954</v>
          </cell>
          <cell r="Y21">
            <v>-7109.3721750334407</v>
          </cell>
          <cell r="Z21">
            <v>3217.2064398455841</v>
          </cell>
          <cell r="AA21">
            <v>2946.2693814330719</v>
          </cell>
          <cell r="AB21">
            <v>3550.7636199826425</v>
          </cell>
          <cell r="AC21">
            <v>-107.5848684393245</v>
          </cell>
          <cell r="AD21">
            <v>116.0761318244554</v>
          </cell>
          <cell r="AE21">
            <v>-6468.1821360517479</v>
          </cell>
          <cell r="AF21">
            <v>641.19003898169285</v>
          </cell>
          <cell r="AG21">
            <v>3636.3843015037014</v>
          </cell>
          <cell r="AH21">
            <v>690.11492007062952</v>
          </cell>
          <cell r="AI21">
            <v>-154.24855891971356</v>
          </cell>
          <cell r="AJ21">
            <v>-46.663690480389064</v>
          </cell>
          <cell r="AK21">
            <v>-6789.1541286518295</v>
          </cell>
          <cell r="AL21">
            <v>-320.97199260008165</v>
          </cell>
          <cell r="AM21">
            <v>3290.247845655394</v>
          </cell>
          <cell r="AN21">
            <v>-346.13645584830738</v>
          </cell>
          <cell r="AO21">
            <v>-136.97385180169022</v>
          </cell>
          <cell r="AP21">
            <v>17.274707118023343</v>
          </cell>
          <cell r="AQ21">
            <v>-6650.9564717076464</v>
          </cell>
          <cell r="AR21">
            <v>138.19765694418311</v>
          </cell>
          <cell r="AS21">
            <v>3436.9544248231546</v>
          </cell>
          <cell r="AT21">
            <v>146.70657916776054</v>
          </cell>
          <cell r="AU21">
            <v>-126.75986702966838</v>
          </cell>
          <cell r="AV21">
            <v>10.213984772021831</v>
          </cell>
          <cell r="AW21">
            <v>-6593.5242500526447</v>
          </cell>
          <cell r="AX21">
            <v>57.43222165500174</v>
          </cell>
          <cell r="AY21">
            <v>3497.424298051988</v>
          </cell>
          <cell r="AZ21">
            <v>60.469873228833421</v>
          </cell>
        </row>
        <row r="22">
          <cell r="A22">
            <v>2022</v>
          </cell>
          <cell r="B22">
            <v>-403.20623058544192</v>
          </cell>
          <cell r="C22">
            <v>-9016.654137123689</v>
          </cell>
          <cell r="D22">
            <v>-3601.5453824668398</v>
          </cell>
          <cell r="E22">
            <v>-503.20623058544192</v>
          </cell>
          <cell r="F22">
            <v>-100</v>
          </cell>
          <cell r="G22">
            <v>-10087.524896781661</v>
          </cell>
          <cell r="H22">
            <v>-1070.8707596579716</v>
          </cell>
          <cell r="I22">
            <v>-4783.334636171362</v>
          </cell>
          <cell r="J22">
            <v>-1181.7892537045223</v>
          </cell>
          <cell r="K22">
            <v>-503.20623058544192</v>
          </cell>
          <cell r="L22">
            <v>0</v>
          </cell>
          <cell r="M22">
            <v>-10087.524896781661</v>
          </cell>
          <cell r="N22">
            <v>0</v>
          </cell>
          <cell r="O22">
            <v>-547.19812160428364</v>
          </cell>
          <cell r="P22">
            <v>4236.1365145670788</v>
          </cell>
          <cell r="Q22">
            <v>-666.47847784771557</v>
          </cell>
          <cell r="R22">
            <v>-163.27224726227365</v>
          </cell>
          <cell r="S22">
            <v>-10993.05709272674</v>
          </cell>
          <cell r="T22">
            <v>-905.53219594507937</v>
          </cell>
          <cell r="U22">
            <v>-1490.7793950089645</v>
          </cell>
          <cell r="V22">
            <v>-943.58127340468081</v>
          </cell>
          <cell r="W22">
            <v>-337.40693015839724</v>
          </cell>
          <cell r="X22">
            <v>329.07154768931832</v>
          </cell>
          <cell r="Y22">
            <v>-7446.7791051918375</v>
          </cell>
          <cell r="Z22">
            <v>3546.2779875349024</v>
          </cell>
          <cell r="AA22">
            <v>2450.1167362676538</v>
          </cell>
          <cell r="AB22">
            <v>3940.8961312766182</v>
          </cell>
          <cell r="AC22">
            <v>-210.01646174747839</v>
          </cell>
          <cell r="AD22">
            <v>127.39046841091886</v>
          </cell>
          <cell r="AE22">
            <v>-6678.1985977992263</v>
          </cell>
          <cell r="AF22">
            <v>768.58050739261125</v>
          </cell>
          <cell r="AG22">
            <v>3280.4302373743285</v>
          </cell>
          <cell r="AH22">
            <v>830.31350110667472</v>
          </cell>
          <cell r="AI22">
            <v>-256.15976324779558</v>
          </cell>
          <cell r="AJ22">
            <v>-46.143301500317193</v>
          </cell>
          <cell r="AK22">
            <v>-7045.3138918996247</v>
          </cell>
          <cell r="AL22">
            <v>-367.11529410039839</v>
          </cell>
          <cell r="AM22">
            <v>2882.4007320918067</v>
          </cell>
          <cell r="AN22">
            <v>-398.02950528252177</v>
          </cell>
          <cell r="AO22">
            <v>-238.88505612977221</v>
          </cell>
          <cell r="AP22">
            <v>17.274707118023372</v>
          </cell>
          <cell r="AQ22">
            <v>-6889.8415278374187</v>
          </cell>
          <cell r="AR22">
            <v>155.472364062206</v>
          </cell>
          <cell r="AS22">
            <v>3048.845388061095</v>
          </cell>
          <cell r="AT22">
            <v>166.44465596928831</v>
          </cell>
          <cell r="AU22">
            <v>-227.73083956474579</v>
          </cell>
          <cell r="AV22">
            <v>11.154216565026417</v>
          </cell>
          <cell r="AW22">
            <v>-6821.2550896173907</v>
          </cell>
          <cell r="AX22">
            <v>68.586438220027958</v>
          </cell>
          <cell r="AY22">
            <v>3121.4848355391314</v>
          </cell>
          <cell r="AZ22">
            <v>72.639447478036345</v>
          </cell>
        </row>
        <row r="23">
          <cell r="A23">
            <v>2023</v>
          </cell>
          <cell r="B23">
            <v>-505.26120781766753</v>
          </cell>
          <cell r="C23">
            <v>-9521.915344941357</v>
          </cell>
          <cell r="D23">
            <v>-4541.3427653024064</v>
          </cell>
          <cell r="E23">
            <v>-605.26120781766758</v>
          </cell>
          <cell r="F23">
            <v>-100.00000000000006</v>
          </cell>
          <cell r="G23">
            <v>-10692.786104599329</v>
          </cell>
          <cell r="H23">
            <v>-1170.8707596579716</v>
          </cell>
          <cell r="I23">
            <v>-5844.3726300021308</v>
          </cell>
          <cell r="J23">
            <v>-1303.0298646997244</v>
          </cell>
          <cell r="K23">
            <v>-605.26120781766758</v>
          </cell>
          <cell r="L23">
            <v>0</v>
          </cell>
          <cell r="M23">
            <v>-10692.786104599329</v>
          </cell>
          <cell r="N23">
            <v>0</v>
          </cell>
          <cell r="O23">
            <v>-1392.1404413846287</v>
          </cell>
          <cell r="P23">
            <v>4452.2321886175023</v>
          </cell>
          <cell r="Q23">
            <v>-792.64807007807121</v>
          </cell>
          <cell r="R23">
            <v>-187.38686226040363</v>
          </cell>
          <cell r="S23">
            <v>-11785.70516280481</v>
          </cell>
          <cell r="T23">
            <v>-1092.9190582054816</v>
          </cell>
          <cell r="U23">
            <v>-2541.0518580886433</v>
          </cell>
          <cell r="V23">
            <v>-1148.9114167040145</v>
          </cell>
          <cell r="W23">
            <v>-456.82062134298866</v>
          </cell>
          <cell r="X23">
            <v>335.82744873508256</v>
          </cell>
          <cell r="Y23">
            <v>-7903.599726534826</v>
          </cell>
          <cell r="Z23">
            <v>3882.1054362699842</v>
          </cell>
          <cell r="AA23">
            <v>1804.27778953657</v>
          </cell>
          <cell r="AB23">
            <v>4345.3296476252135</v>
          </cell>
          <cell r="AC23">
            <v>-318.10994189172061</v>
          </cell>
          <cell r="AD23">
            <v>138.71067945126805</v>
          </cell>
          <cell r="AE23">
            <v>-6996.3085396909464</v>
          </cell>
          <cell r="AF23">
            <v>907.29118684387959</v>
          </cell>
          <cell r="AG23">
            <v>2788.491361038265</v>
          </cell>
          <cell r="AH23">
            <v>984.21357150169501</v>
          </cell>
          <cell r="AI23">
            <v>-363.8167055534152</v>
          </cell>
          <cell r="AJ23">
            <v>-45.706763661694595</v>
          </cell>
          <cell r="AK23">
            <v>-7409.1305974530396</v>
          </cell>
          <cell r="AL23">
            <v>-412.82205776209321</v>
          </cell>
          <cell r="AM23">
            <v>2338.1075052559154</v>
          </cell>
          <cell r="AN23">
            <v>-450.38385578234966</v>
          </cell>
          <cell r="AO23">
            <v>-346.54199843539163</v>
          </cell>
          <cell r="AP23">
            <v>17.274707118023571</v>
          </cell>
          <cell r="AQ23">
            <v>-7236.3835262728098</v>
          </cell>
          <cell r="AR23">
            <v>172.7470711802298</v>
          </cell>
          <cell r="AS23">
            <v>2524.6216626995661</v>
          </cell>
          <cell r="AT23">
            <v>186.51415744365067</v>
          </cell>
          <cell r="AU23">
            <v>-334.46144512848787</v>
          </cell>
          <cell r="AV23">
            <v>12.080553306903766</v>
          </cell>
          <cell r="AW23">
            <v>-7155.7165347458786</v>
          </cell>
          <cell r="AX23">
            <v>80.66699152693127</v>
          </cell>
          <cell r="AY23">
            <v>2610.5613621085145</v>
          </cell>
          <cell r="AZ23">
            <v>85.9396994089484</v>
          </cell>
        </row>
        <row r="24">
          <cell r="A24">
            <v>2024</v>
          </cell>
          <cell r="B24">
            <v>-682.69610673190027</v>
          </cell>
          <cell r="C24">
            <v>-10204.611451673258</v>
          </cell>
          <cell r="D24">
            <v>-5677.0974760303279</v>
          </cell>
          <cell r="E24">
            <v>-782.69610673190027</v>
          </cell>
          <cell r="F24">
            <v>-100</v>
          </cell>
          <cell r="G24">
            <v>-11475.482211331229</v>
          </cell>
          <cell r="H24">
            <v>-1270.8707596579716</v>
          </cell>
          <cell r="I24">
            <v>-7103.5180315261541</v>
          </cell>
          <cell r="J24">
            <v>-1426.4205554958262</v>
          </cell>
          <cell r="K24">
            <v>-782.69610673190027</v>
          </cell>
          <cell r="L24">
            <v>0</v>
          </cell>
          <cell r="M24">
            <v>-11475.482211331229</v>
          </cell>
          <cell r="N24">
            <v>0</v>
          </cell>
          <cell r="O24">
            <v>-2434.4779798280488</v>
          </cell>
          <cell r="P24">
            <v>4669.0400516981053</v>
          </cell>
          <cell r="Q24">
            <v>-997.02643736796983</v>
          </cell>
          <cell r="R24">
            <v>-214.33033063606956</v>
          </cell>
          <cell r="S24">
            <v>-12782.73160017278</v>
          </cell>
          <cell r="T24">
            <v>-1307.2493888415502</v>
          </cell>
          <cell r="U24">
            <v>-3819.5319333119496</v>
          </cell>
          <cell r="V24">
            <v>-1385.0539534839008</v>
          </cell>
          <cell r="W24">
            <v>-654.62835907681551</v>
          </cell>
          <cell r="X24">
            <v>342.39807829115432</v>
          </cell>
          <cell r="Y24">
            <v>-8558.2280856116413</v>
          </cell>
          <cell r="Z24">
            <v>4224.5035145611382</v>
          </cell>
          <cell r="AA24">
            <v>944.62064536626019</v>
          </cell>
          <cell r="AB24">
            <v>4764.1525786782095</v>
          </cell>
          <cell r="AC24">
            <v>-504.75356966068972</v>
          </cell>
          <cell r="AD24">
            <v>149.87478941612579</v>
          </cell>
          <cell r="AE24">
            <v>-7501.0621093516365</v>
          </cell>
          <cell r="AF24">
            <v>1057.1659762600048</v>
          </cell>
          <cell r="AG24">
            <v>2096.4807093357576</v>
          </cell>
          <cell r="AH24">
            <v>1151.8600639694973</v>
          </cell>
          <cell r="AI24">
            <v>-550.12800645018274</v>
          </cell>
          <cell r="AJ24">
            <v>-45.374436789493018</v>
          </cell>
          <cell r="AK24">
            <v>-7959.2586039032221</v>
          </cell>
          <cell r="AL24">
            <v>-458.1964945515856</v>
          </cell>
          <cell r="AM24">
            <v>1593.1758599358027</v>
          </cell>
          <cell r="AN24">
            <v>-503.30484939995495</v>
          </cell>
          <cell r="AO24">
            <v>-532.85329933215928</v>
          </cell>
          <cell r="AP24">
            <v>17.274707118023457</v>
          </cell>
          <cell r="AQ24">
            <v>-7769.2368256049695</v>
          </cell>
          <cell r="AR24">
            <v>190.02177829825268</v>
          </cell>
          <cell r="AS24">
            <v>1800.096508522415</v>
          </cell>
          <cell r="AT24">
            <v>206.92064858661229</v>
          </cell>
          <cell r="AU24">
            <v>-519.86009898892212</v>
          </cell>
          <cell r="AV24">
            <v>12.993200343237163</v>
          </cell>
          <cell r="AW24">
            <v>-7675.5766337348005</v>
          </cell>
          <cell r="AX24">
            <v>93.660191870169001</v>
          </cell>
          <cell r="AY24">
            <v>1900.4724331977795</v>
          </cell>
          <cell r="AZ24">
            <v>100.37592467536456</v>
          </cell>
        </row>
        <row r="25">
          <cell r="A25">
            <v>2025</v>
          </cell>
          <cell r="B25">
            <v>-703.12986089685364</v>
          </cell>
          <cell r="C25">
            <v>-10907.741312570111</v>
          </cell>
          <cell r="D25">
            <v>-6862.4070592613116</v>
          </cell>
          <cell r="E25">
            <v>-803.12986089685376</v>
          </cell>
          <cell r="F25">
            <v>-100.00000000000011</v>
          </cell>
          <cell r="G25">
            <v>-12278.612072228083</v>
          </cell>
          <cell r="H25">
            <v>-1370.8707596579716</v>
          </cell>
          <cell r="I25">
            <v>-8414.4065148481459</v>
          </cell>
          <cell r="J25">
            <v>-1551.9994555868343</v>
          </cell>
          <cell r="K25">
            <v>-803.12986089685376</v>
          </cell>
          <cell r="L25">
            <v>0</v>
          </cell>
          <cell r="M25">
            <v>-12278.612072228083</v>
          </cell>
          <cell r="N25">
            <v>0</v>
          </cell>
          <cell r="O25">
            <v>-3551.744604606406</v>
          </cell>
          <cell r="P25">
            <v>4862.6619102417399</v>
          </cell>
          <cell r="Q25">
            <v>-1047.5540217311295</v>
          </cell>
          <cell r="R25">
            <v>-244.42416083427577</v>
          </cell>
          <cell r="S25">
            <v>-13830.285621903909</v>
          </cell>
          <cell r="T25">
            <v>-1551.6735496758265</v>
          </cell>
          <cell r="U25">
            <v>-5207.6188760324058</v>
          </cell>
          <cell r="V25">
            <v>-1655.8742714259997</v>
          </cell>
          <cell r="W25">
            <v>-698.82385950680566</v>
          </cell>
          <cell r="X25">
            <v>348.73016222432386</v>
          </cell>
          <cell r="Y25">
            <v>-9257.0519451184464</v>
          </cell>
          <cell r="Z25">
            <v>4573.2336767854631</v>
          </cell>
          <cell r="AA25">
            <v>-9.6748180887357211</v>
          </cell>
          <cell r="AB25">
            <v>5197.9440579436696</v>
          </cell>
          <cell r="AC25">
            <v>-537.94400905961243</v>
          </cell>
          <cell r="AD25">
            <v>160.87985044719323</v>
          </cell>
          <cell r="AE25">
            <v>-8039.0061184112492</v>
          </cell>
          <cell r="AF25">
            <v>1218.0458267071972</v>
          </cell>
          <cell r="AG25">
            <v>1323.828389440054</v>
          </cell>
          <cell r="AH25">
            <v>1333.5032075287897</v>
          </cell>
          <cell r="AI25">
            <v>-583.18091352376746</v>
          </cell>
          <cell r="AJ25">
            <v>-45.236904464155032</v>
          </cell>
          <cell r="AK25">
            <v>-8542.4395174269903</v>
          </cell>
          <cell r="AL25">
            <v>-503.43339901574109</v>
          </cell>
          <cell r="AM25">
            <v>766.77602612293765</v>
          </cell>
          <cell r="AN25">
            <v>-557.05236331711637</v>
          </cell>
          <cell r="AO25">
            <v>-565.90620640574389</v>
          </cell>
          <cell r="AP25">
            <v>17.274707118023571</v>
          </cell>
          <cell r="AQ25">
            <v>-8335.1430320107138</v>
          </cell>
          <cell r="AR25">
            <v>207.29648541627648</v>
          </cell>
          <cell r="AS25">
            <v>994.44581395945681</v>
          </cell>
          <cell r="AT25">
            <v>227.66978783651916</v>
          </cell>
          <cell r="AU25">
            <v>-552.01384642080075</v>
          </cell>
          <cell r="AV25">
            <v>13.892359984943141</v>
          </cell>
          <cell r="AW25">
            <v>-8227.5904801556007</v>
          </cell>
          <cell r="AX25">
            <v>107.55255185511305</v>
          </cell>
          <cell r="AY25">
            <v>1110.3995241214807</v>
          </cell>
          <cell r="AZ25">
            <v>115.95371016202387</v>
          </cell>
        </row>
        <row r="26">
          <cell r="A26">
            <v>2026</v>
          </cell>
          <cell r="B26">
            <v>-723.19785219321966</v>
          </cell>
          <cell r="C26">
            <v>-11630.939164763331</v>
          </cell>
          <cell r="D26">
            <v>-8090.1167340253405</v>
          </cell>
          <cell r="E26">
            <v>-823.19785219321977</v>
          </cell>
          <cell r="F26">
            <v>-100.00000000000011</v>
          </cell>
          <cell r="G26">
            <v>-13101.809924421303</v>
          </cell>
          <cell r="H26">
            <v>-1470.8707596579716</v>
          </cell>
          <cell r="I26">
            <v>-9769.9221046801667</v>
          </cell>
          <cell r="J26">
            <v>-1679.8053706548262</v>
          </cell>
          <cell r="K26">
            <v>-823.19785219321977</v>
          </cell>
          <cell r="L26">
            <v>0</v>
          </cell>
          <cell r="M26">
            <v>-13101.809924421303</v>
          </cell>
          <cell r="N26">
            <v>0</v>
          </cell>
          <cell r="O26">
            <v>-4706.6120935541594</v>
          </cell>
          <cell r="P26">
            <v>5063.3100111260073</v>
          </cell>
          <cell r="Q26">
            <v>-1100.123871590951</v>
          </cell>
          <cell r="R26">
            <v>-276.92601939773124</v>
          </cell>
          <cell r="S26">
            <v>-14930.409493494861</v>
          </cell>
          <cell r="T26">
            <v>-1828.5995690735581</v>
          </cell>
          <cell r="U26">
            <v>-6671.0160693420594</v>
          </cell>
          <cell r="V26">
            <v>-1964.4039757879</v>
          </cell>
          <cell r="W26">
            <v>-745.11908395436285</v>
          </cell>
          <cell r="X26">
            <v>355.00478763658816</v>
          </cell>
          <cell r="Y26">
            <v>-10002.17102907281</v>
          </cell>
          <cell r="Z26">
            <v>4928.238464422051</v>
          </cell>
          <cell r="AA26">
            <v>-1024.3929338468154</v>
          </cell>
          <cell r="AB26">
            <v>5646.6231354952442</v>
          </cell>
          <cell r="AC26">
            <v>-573.40489754720602</v>
          </cell>
          <cell r="AD26">
            <v>171.71418640715683</v>
          </cell>
          <cell r="AE26">
            <v>-8612.4110159584561</v>
          </cell>
          <cell r="AF26">
            <v>1389.7600131143536</v>
          </cell>
          <cell r="AG26">
            <v>504.66353067618309</v>
          </cell>
          <cell r="AH26">
            <v>1529.0564645229983</v>
          </cell>
          <cell r="AI26">
            <v>-618.68086059299208</v>
          </cell>
          <cell r="AJ26">
            <v>-45.275963045786057</v>
          </cell>
          <cell r="AK26">
            <v>-9161.120378019983</v>
          </cell>
          <cell r="AL26">
            <v>-548.70936206152692</v>
          </cell>
          <cell r="AM26">
            <v>-107.09904910101081</v>
          </cell>
          <cell r="AN26">
            <v>-611.76257977719388</v>
          </cell>
          <cell r="AO26">
            <v>-601.40615347496862</v>
          </cell>
          <cell r="AP26">
            <v>17.274707118023457</v>
          </cell>
          <cell r="AQ26">
            <v>-8936.5491854856828</v>
          </cell>
          <cell r="AR26">
            <v>224.57119253430028</v>
          </cell>
          <cell r="AS26">
            <v>141.66827954229811</v>
          </cell>
          <cell r="AT26">
            <v>248.76732864330893</v>
          </cell>
          <cell r="AU26">
            <v>-586.62792192184111</v>
          </cell>
          <cell r="AV26">
            <v>14.778231553127512</v>
          </cell>
          <cell r="AW26">
            <v>-8814.2184020774421</v>
          </cell>
          <cell r="AX26">
            <v>122.33078340824068</v>
          </cell>
          <cell r="AY26">
            <v>274.34721542719478</v>
          </cell>
          <cell r="AZ26">
            <v>132.67893588489667</v>
          </cell>
        </row>
        <row r="27">
          <cell r="A27">
            <v>2027</v>
          </cell>
          <cell r="B27">
            <v>-708.15487411247932</v>
          </cell>
          <cell r="C27">
            <v>-12339.09403887581</v>
          </cell>
          <cell r="D27">
            <v>-9329.6972832272368</v>
          </cell>
          <cell r="E27">
            <v>-808.15487411247921</v>
          </cell>
          <cell r="F27">
            <v>-99.999999999999886</v>
          </cell>
          <cell r="G27">
            <v>-13909.964798533782</v>
          </cell>
          <cell r="H27">
            <v>-1570.8707596579716</v>
          </cell>
          <cell r="I27">
            <v>-11139.575077788699</v>
          </cell>
          <cell r="J27">
            <v>-1809.877794561462</v>
          </cell>
          <cell r="K27">
            <v>-808.15487411247921</v>
          </cell>
          <cell r="L27">
            <v>0</v>
          </cell>
          <cell r="M27">
            <v>-13909.964798533782</v>
          </cell>
          <cell r="N27">
            <v>0</v>
          </cell>
          <cell r="O27">
            <v>-5870.8065966662944</v>
          </cell>
          <cell r="P27">
            <v>5268.7684811224044</v>
          </cell>
          <cell r="Q27">
            <v>-1120.2440092651041</v>
          </cell>
          <cell r="R27">
            <v>-312.08913515262486</v>
          </cell>
          <cell r="S27">
            <v>-16050.653502759964</v>
          </cell>
          <cell r="T27">
            <v>-2140.6887042261824</v>
          </cell>
          <cell r="U27">
            <v>-8184.6336490397844</v>
          </cell>
          <cell r="V27">
            <v>-2313.82705237349</v>
          </cell>
          <cell r="W27">
            <v>-759.15269923768619</v>
          </cell>
          <cell r="X27">
            <v>361.09131002741788</v>
          </cell>
          <cell r="Y27">
            <v>-10761.323728310495</v>
          </cell>
          <cell r="Z27">
            <v>5289.3297744494685</v>
          </cell>
          <cell r="AA27">
            <v>-2075.2660206376127</v>
          </cell>
          <cell r="AB27">
            <v>6109.3676284021712</v>
          </cell>
          <cell r="AC27">
            <v>-576.90881631646243</v>
          </cell>
          <cell r="AD27">
            <v>182.24388292122376</v>
          </cell>
          <cell r="AE27">
            <v>-9189.3198322749195</v>
          </cell>
          <cell r="AF27">
            <v>1572.003896035576</v>
          </cell>
          <cell r="AG27">
            <v>-335.88135428618665</v>
          </cell>
          <cell r="AH27">
            <v>1739.3846663514259</v>
          </cell>
          <cell r="AI27">
            <v>-622.23207938035875</v>
          </cell>
          <cell r="AJ27">
            <v>-45.32326306389632</v>
          </cell>
          <cell r="AK27">
            <v>-9783.3524574003422</v>
          </cell>
          <cell r="AL27">
            <v>-594.03262512542278</v>
          </cell>
          <cell r="AM27">
            <v>-1003.4250870691631</v>
          </cell>
          <cell r="AN27">
            <v>-667.54373278297635</v>
          </cell>
          <cell r="AO27">
            <v>-604.95737226233541</v>
          </cell>
          <cell r="AP27">
            <v>17.274707118023343</v>
          </cell>
          <cell r="AQ27">
            <v>-9541.5065577480182</v>
          </cell>
          <cell r="AR27">
            <v>241.84589965232408</v>
          </cell>
          <cell r="AS27">
            <v>-733.10498690186296</v>
          </cell>
          <cell r="AT27">
            <v>270.3201001673001</v>
          </cell>
          <cell r="AU27">
            <v>-589.30636083907962</v>
          </cell>
          <cell r="AV27">
            <v>15.651011423255795</v>
          </cell>
          <cell r="AW27">
            <v>-9403.5247629165224</v>
          </cell>
          <cell r="AX27">
            <v>137.98179483149579</v>
          </cell>
          <cell r="AY27">
            <v>-582.54720993431499</v>
          </cell>
          <cell r="AZ27">
            <v>150.55777696754797</v>
          </cell>
        </row>
        <row r="28">
          <cell r="A28">
            <v>2028</v>
          </cell>
          <cell r="B28">
            <v>-681.74279475702588</v>
          </cell>
          <cell r="C28">
            <v>-13020.836833632835</v>
          </cell>
          <cell r="D28">
            <v>-10562.385382651457</v>
          </cell>
          <cell r="E28">
            <v>-781.74279475702588</v>
          </cell>
          <cell r="F28">
            <v>-100</v>
          </cell>
          <cell r="G28">
            <v>-14691.707593290808</v>
          </cell>
          <cell r="H28">
            <v>-1670.8707596579734</v>
          </cell>
          <cell r="I28">
            <v>-12504.642304203613</v>
          </cell>
          <cell r="J28">
            <v>-1942.2569215521562</v>
          </cell>
          <cell r="K28">
            <v>-781.74279475702588</v>
          </cell>
          <cell r="L28">
            <v>0</v>
          </cell>
          <cell r="M28">
            <v>-14691.707593290808</v>
          </cell>
          <cell r="N28">
            <v>0</v>
          </cell>
          <cell r="O28">
            <v>-7025.9922614162388</v>
          </cell>
          <cell r="P28">
            <v>5478.6500427873743</v>
          </cell>
          <cell r="Q28">
            <v>-1131.4936771729044</v>
          </cell>
          <cell r="R28">
            <v>-349.75088241587855</v>
          </cell>
          <cell r="S28">
            <v>-17182.147179932868</v>
          </cell>
          <cell r="T28">
            <v>-2490.43958664206</v>
          </cell>
          <cell r="U28">
            <v>-9733.3767018840972</v>
          </cell>
          <cell r="V28">
            <v>-2707.3844404678584</v>
          </cell>
          <cell r="W28">
            <v>-764.50620043626293</v>
          </cell>
          <cell r="X28">
            <v>366.9874767366415</v>
          </cell>
          <cell r="Y28">
            <v>-11525.829928746758</v>
          </cell>
          <cell r="Z28">
            <v>5656.3172511861103</v>
          </cell>
          <cell r="AA28">
            <v>-3147.1577418621</v>
          </cell>
          <cell r="AB28">
            <v>6586.2189600219972</v>
          </cell>
          <cell r="AC28">
            <v>-571.9846611476496</v>
          </cell>
          <cell r="AD28">
            <v>192.52153928861333</v>
          </cell>
          <cell r="AE28">
            <v>-9761.3044934225691</v>
          </cell>
          <cell r="AF28">
            <v>1764.5254353241889</v>
          </cell>
          <cell r="AG28">
            <v>-1182.9547057225777</v>
          </cell>
          <cell r="AH28">
            <v>1964.2030361395223</v>
          </cell>
          <cell r="AI28">
            <v>-617.37692334333497</v>
          </cell>
          <cell r="AJ28">
            <v>-45.392262195685362</v>
          </cell>
          <cell r="AK28">
            <v>-10400.729380743676</v>
          </cell>
          <cell r="AL28">
            <v>-639.42488732110724</v>
          </cell>
          <cell r="AM28">
            <v>-1907.8176655629059</v>
          </cell>
          <cell r="AN28">
            <v>-724.86295984032813</v>
          </cell>
          <cell r="AO28">
            <v>-600.10221622531162</v>
          </cell>
          <cell r="AP28">
            <v>17.274707118023343</v>
          </cell>
          <cell r="AQ28">
            <v>-10141.60877397333</v>
          </cell>
          <cell r="AR28">
            <v>259.12060677034606</v>
          </cell>
          <cell r="AS28">
            <v>-1615.4290042844677</v>
          </cell>
          <cell r="AT28">
            <v>292.38866127843812</v>
          </cell>
          <cell r="AU28">
            <v>-583.59132315660327</v>
          </cell>
          <cell r="AV28">
            <v>16.510893068708356</v>
          </cell>
          <cell r="AW28">
            <v>-9987.1160860731252</v>
          </cell>
          <cell r="AX28">
            <v>154.49268790020506</v>
          </cell>
          <cell r="AY28">
            <v>-1445.6903441147967</v>
          </cell>
          <cell r="AZ28">
            <v>169.73866016967099</v>
          </cell>
        </row>
        <row r="29">
          <cell r="A29">
            <v>2029</v>
          </cell>
          <cell r="B29">
            <v>-597.64996623449315</v>
          </cell>
          <cell r="C29">
            <v>-13618.486799867329</v>
          </cell>
          <cell r="D29">
            <v>-11738.299849555111</v>
          </cell>
          <cell r="E29">
            <v>-697.64996623449315</v>
          </cell>
          <cell r="F29">
            <v>-100</v>
          </cell>
          <cell r="G29">
            <v>-15389.357559525302</v>
          </cell>
          <cell r="H29">
            <v>-1770.8707596579734</v>
          </cell>
          <cell r="I29">
            <v>-13815.283508231785</v>
          </cell>
          <cell r="J29">
            <v>-2076.9836586766742</v>
          </cell>
          <cell r="K29">
            <v>-697.64996623449315</v>
          </cell>
          <cell r="L29">
            <v>0</v>
          </cell>
          <cell r="M29">
            <v>-15389.357559525302</v>
          </cell>
          <cell r="N29">
            <v>0</v>
          </cell>
          <cell r="O29">
            <v>-8125.7597834578555</v>
          </cell>
          <cell r="P29">
            <v>5689.5237247739296</v>
          </cell>
          <cell r="Q29">
            <v>-1087.5685813020789</v>
          </cell>
          <cell r="R29">
            <v>-389.91861506758573</v>
          </cell>
          <cell r="S29">
            <v>-18269.715761234947</v>
          </cell>
          <cell r="T29">
            <v>-2880.3582017096451</v>
          </cell>
          <cell r="U29">
            <v>-11274.059945624829</v>
          </cell>
          <cell r="V29">
            <v>-3148.3001621669737</v>
          </cell>
          <cell r="W29">
            <v>-714.94335800707915</v>
          </cell>
          <cell r="X29">
            <v>372.62522329499973</v>
          </cell>
          <cell r="Y29">
            <v>-12240.773286753838</v>
          </cell>
          <cell r="Z29">
            <v>6028.9424744811095</v>
          </cell>
          <cell r="AA29">
            <v>-4196.8977995462837</v>
          </cell>
          <cell r="AB29">
            <v>7077.1621460785454</v>
          </cell>
          <cell r="AC29">
            <v>-512.4420764789229</v>
          </cell>
          <cell r="AD29">
            <v>202.50128152815626</v>
          </cell>
          <cell r="AE29">
            <v>-10273.746569901492</v>
          </cell>
          <cell r="AF29">
            <v>1967.026716852346</v>
          </cell>
          <cell r="AG29">
            <v>-1993.9130812460494</v>
          </cell>
          <cell r="AH29">
            <v>2202.9847183002344</v>
          </cell>
          <cell r="AI29">
            <v>-557.85089553592491</v>
          </cell>
          <cell r="AJ29">
            <v>-45.408819057002006</v>
          </cell>
          <cell r="AK29">
            <v>-10958.580276279601</v>
          </cell>
          <cell r="AL29">
            <v>-684.83370637810913</v>
          </cell>
          <cell r="AM29">
            <v>-2777.1237432519524</v>
          </cell>
          <cell r="AN29">
            <v>-783.21066200590303</v>
          </cell>
          <cell r="AO29">
            <v>-540.57618841790099</v>
          </cell>
          <cell r="AP29">
            <v>17.274707118023912</v>
          </cell>
          <cell r="AQ29">
            <v>-10682.184962391231</v>
          </cell>
          <cell r="AR29">
            <v>276.39531388836986</v>
          </cell>
          <cell r="AS29">
            <v>-2462.275157217055</v>
          </cell>
          <cell r="AT29">
            <v>314.84858603489738</v>
          </cell>
          <cell r="AU29">
            <v>-523.21812131426759</v>
          </cell>
          <cell r="AV29">
            <v>17.358067103633402</v>
          </cell>
          <cell r="AW29">
            <v>-10510.334207387394</v>
          </cell>
          <cell r="AX29">
            <v>171.85075500383755</v>
          </cell>
          <cell r="AY29">
            <v>-2272.1682862166035</v>
          </cell>
          <cell r="AZ29">
            <v>190.10687100045152</v>
          </cell>
        </row>
        <row r="30">
          <cell r="A30">
            <v>2030</v>
          </cell>
          <cell r="B30">
            <v>-509.3855335724852</v>
          </cell>
          <cell r="C30">
            <v>-14127.872333439815</v>
          </cell>
          <cell r="D30">
            <v>-12846.730759798838</v>
          </cell>
          <cell r="E30">
            <v>-609.3855335724852</v>
          </cell>
          <cell r="F30">
            <v>-100</v>
          </cell>
          <cell r="G30">
            <v>-15998.743093097788</v>
          </cell>
          <cell r="H30">
            <v>-1870.8707596579734</v>
          </cell>
          <cell r="I30">
            <v>-15060.830398228838</v>
          </cell>
          <cell r="J30">
            <v>-2214.0996384299997</v>
          </cell>
          <cell r="K30">
            <v>-609.3855335724852</v>
          </cell>
          <cell r="L30">
            <v>0</v>
          </cell>
          <cell r="M30">
            <v>-15998.743093097788</v>
          </cell>
          <cell r="N30">
            <v>0</v>
          </cell>
          <cell r="O30">
            <v>-9158.6543626981857</v>
          </cell>
          <cell r="P30">
            <v>5902.1760355306524</v>
          </cell>
          <cell r="Q30">
            <v>-1041.9088096254563</v>
          </cell>
          <cell r="R30">
            <v>-432.52327605297114</v>
          </cell>
          <cell r="S30">
            <v>-19311.624570860404</v>
          </cell>
          <cell r="T30">
            <v>-3312.8814777626158</v>
          </cell>
          <cell r="U30">
            <v>-12798.534619453458</v>
          </cell>
          <cell r="V30">
            <v>-3639.8802567552721</v>
          </cell>
          <cell r="W30">
            <v>-663.66465900891308</v>
          </cell>
          <cell r="X30">
            <v>378.24415061654327</v>
          </cell>
          <cell r="Y30">
            <v>-12904.437945762751</v>
          </cell>
          <cell r="Z30">
            <v>6407.1866250976527</v>
          </cell>
          <cell r="AA30">
            <v>-5216.1121326288794</v>
          </cell>
          <cell r="AB30">
            <v>7582.4224868245783</v>
          </cell>
          <cell r="AC30">
            <v>-451.38685796261501</v>
          </cell>
          <cell r="AD30">
            <v>212.27780104629807</v>
          </cell>
          <cell r="AE30">
            <v>-10725.133427864106</v>
          </cell>
          <cell r="AF30">
            <v>2179.3045178986449</v>
          </cell>
          <cell r="AG30">
            <v>-2760.3431663939682</v>
          </cell>
          <cell r="AH30">
            <v>2455.7689662349112</v>
          </cell>
          <cell r="AI30">
            <v>-496.85851142336145</v>
          </cell>
          <cell r="AJ30">
            <v>-45.471653460746438</v>
          </cell>
          <cell r="AK30">
            <v>-11455.438787702962</v>
          </cell>
          <cell r="AL30">
            <v>-730.30535983885602</v>
          </cell>
          <cell r="AM30">
            <v>-3603.0020836259218</v>
          </cell>
          <cell r="AN30">
            <v>-842.65891723195364</v>
          </cell>
          <cell r="AO30">
            <v>-479.58380430533816</v>
          </cell>
          <cell r="AP30">
            <v>17.274707118023287</v>
          </cell>
          <cell r="AQ30">
            <v>-11161.768766696568</v>
          </cell>
          <cell r="AR30">
            <v>293.67002100639365</v>
          </cell>
          <cell r="AS30">
            <v>-3265.2952687502143</v>
          </cell>
          <cell r="AT30">
            <v>337.70681487570755</v>
          </cell>
          <cell r="AU30">
            <v>-461.39108298010342</v>
          </cell>
          <cell r="AV30">
            <v>18.192721325234743</v>
          </cell>
          <cell r="AW30">
            <v>-10971.725290367496</v>
          </cell>
          <cell r="AX30">
            <v>190.04347632907229</v>
          </cell>
          <cell r="AY30">
            <v>-3053.62432304718</v>
          </cell>
          <cell r="AZ30">
            <v>211.67094570303425</v>
          </cell>
        </row>
        <row r="31">
          <cell r="A31">
            <v>2031</v>
          </cell>
          <cell r="B31">
            <v>-406.16595412182414</v>
          </cell>
          <cell r="C31">
            <v>-14534.038287561638</v>
          </cell>
          <cell r="D31">
            <v>-13873.0545878343</v>
          </cell>
          <cell r="E31">
            <v>-506.16595412182409</v>
          </cell>
          <cell r="F31">
            <v>-99.999999999999943</v>
          </cell>
          <cell r="G31">
            <v>-16504.909047219611</v>
          </cell>
          <cell r="H31">
            <v>-1970.8707596579734</v>
          </cell>
          <cell r="I31">
            <v>-16226.701819451682</v>
          </cell>
          <cell r="J31">
            <v>-2353.6472316173822</v>
          </cell>
          <cell r="K31">
            <v>-506.16595412182409</v>
          </cell>
          <cell r="L31">
            <v>0</v>
          </cell>
          <cell r="M31">
            <v>-16504.909047219611</v>
          </cell>
          <cell r="N31">
            <v>0</v>
          </cell>
          <cell r="O31">
            <v>-10109.320169574205</v>
          </cell>
          <cell r="P31">
            <v>6117.3816498774777</v>
          </cell>
          <cell r="Q31">
            <v>-984.00896204007574</v>
          </cell>
          <cell r="R31">
            <v>-477.84300791825166</v>
          </cell>
          <cell r="S31">
            <v>-20295.63353290048</v>
          </cell>
          <cell r="T31">
            <v>-3790.7244856808684</v>
          </cell>
          <cell r="U31">
            <v>-14295.089276830984</v>
          </cell>
          <cell r="V31">
            <v>-4185.7691072567795</v>
          </cell>
          <cell r="W31">
            <v>-600.24143667063754</v>
          </cell>
          <cell r="X31">
            <v>383.7675253694382</v>
          </cell>
          <cell r="Y31">
            <v>-13504.679382433389</v>
          </cell>
          <cell r="Z31">
            <v>6790.9541504670906</v>
          </cell>
          <cell r="AA31">
            <v>-6192.9229170105173</v>
          </cell>
          <cell r="AB31">
            <v>8102.1663598204668</v>
          </cell>
          <cell r="AC31">
            <v>-378.46654102150291</v>
          </cell>
          <cell r="AD31">
            <v>221.77489564913463</v>
          </cell>
          <cell r="AE31">
            <v>-11103.599968885608</v>
          </cell>
          <cell r="AF31">
            <v>2401.0794135477809</v>
          </cell>
          <cell r="AG31">
            <v>-3470.3977032532434</v>
          </cell>
          <cell r="AH31">
            <v>2722.5252137572738</v>
          </cell>
          <cell r="AI31">
            <v>-423.91373315431747</v>
          </cell>
          <cell r="AJ31">
            <v>-45.447192132814564</v>
          </cell>
          <cell r="AK31">
            <v>-11879.352520857279</v>
          </cell>
          <cell r="AL31">
            <v>-775.75255197167098</v>
          </cell>
          <cell r="AM31">
            <v>-4373.5255581134488</v>
          </cell>
          <cell r="AN31">
            <v>-903.12785486020539</v>
          </cell>
          <cell r="AO31">
            <v>-406.63902603629401</v>
          </cell>
          <cell r="AP31">
            <v>17.274707118023457</v>
          </cell>
          <cell r="AQ31">
            <v>-11568.407792732862</v>
          </cell>
          <cell r="AR31">
            <v>310.94472812441745</v>
          </cell>
          <cell r="AS31">
            <v>-4012.5551467918722</v>
          </cell>
          <cell r="AT31">
            <v>360.97041132157665</v>
          </cell>
          <cell r="AU31">
            <v>-387.62398528090853</v>
          </cell>
          <cell r="AV31">
            <v>19.015040755385485</v>
          </cell>
          <cell r="AW31">
            <v>-11359.349275648405</v>
          </cell>
          <cell r="AX31">
            <v>209.05851708445698</v>
          </cell>
          <cell r="AY31">
            <v>-3778.1153898677826</v>
          </cell>
          <cell r="AZ31">
            <v>234.43975692408958</v>
          </cell>
        </row>
        <row r="32">
          <cell r="A32">
            <v>2032</v>
          </cell>
          <cell r="B32">
            <v>-280.66525809990208</v>
          </cell>
          <cell r="C32">
            <v>-14814.703545661539</v>
          </cell>
          <cell r="D32">
            <v>-14792.351708086482</v>
          </cell>
          <cell r="E32">
            <v>-380.66525809990202</v>
          </cell>
          <cell r="F32">
            <v>-99.999999999999943</v>
          </cell>
          <cell r="G32">
            <v>-16885.574305319515</v>
          </cell>
          <cell r="H32">
            <v>-2070.8707596579752</v>
          </cell>
          <cell r="I32">
            <v>-17288.021268533976</v>
          </cell>
          <cell r="J32">
            <v>-2495.6695604474935</v>
          </cell>
          <cell r="K32">
            <v>-380.66525809990202</v>
          </cell>
          <cell r="L32">
            <v>0</v>
          </cell>
          <cell r="M32">
            <v>-16885.574305319515</v>
          </cell>
          <cell r="N32">
            <v>0</v>
          </cell>
          <cell r="O32">
            <v>-10953.46502172958</v>
          </cell>
          <cell r="P32">
            <v>6334.5562468043954</v>
          </cell>
          <cell r="Q32">
            <v>-913.52856198081736</v>
          </cell>
          <cell r="R32">
            <v>-532.86330388091528</v>
          </cell>
          <cell r="S32">
            <v>-21209.162094881296</v>
          </cell>
          <cell r="T32">
            <v>-4323.5877895617814</v>
          </cell>
          <cell r="U32">
            <v>-15750.749847263403</v>
          </cell>
          <cell r="V32">
            <v>-4797.2848255338231</v>
          </cell>
          <cell r="W32">
            <v>-524.31821556222121</v>
          </cell>
          <cell r="X32">
            <v>389.21034641859615</v>
          </cell>
          <cell r="Y32">
            <v>-14028.997597995611</v>
          </cell>
          <cell r="Z32">
            <v>7180.1644968856854</v>
          </cell>
          <cell r="AA32">
            <v>-7114.1756942375032</v>
          </cell>
          <cell r="AB32">
            <v>8636.5741530259002</v>
          </cell>
          <cell r="AC32">
            <v>-293.36347327470412</v>
          </cell>
          <cell r="AD32">
            <v>230.95474228751709</v>
          </cell>
          <cell r="AE32">
            <v>-11396.963442160311</v>
          </cell>
          <cell r="AF32">
            <v>2632.0341558352993</v>
          </cell>
          <cell r="AG32">
            <v>-4110.9946594011435</v>
          </cell>
          <cell r="AH32">
            <v>3003.1810348363597</v>
          </cell>
          <cell r="AI32">
            <v>-338.8080453548514</v>
          </cell>
          <cell r="AJ32">
            <v>-45.444572080147282</v>
          </cell>
          <cell r="AK32">
            <v>-12218.160566212131</v>
          </cell>
          <cell r="AL32">
            <v>-821.19712405181963</v>
          </cell>
          <cell r="AM32">
            <v>-5075.6635494203974</v>
          </cell>
          <cell r="AN32">
            <v>-964.66889001925392</v>
          </cell>
          <cell r="AO32">
            <v>-321.53333823682806</v>
          </cell>
          <cell r="AP32">
            <v>17.274707118023343</v>
          </cell>
          <cell r="AQ32">
            <v>-11889.94113096969</v>
          </cell>
          <cell r="AR32">
            <v>328.21943524244125</v>
          </cell>
          <cell r="AS32">
            <v>-4691.0169852627796</v>
          </cell>
          <cell r="AT32">
            <v>384.64656415761783</v>
          </cell>
          <cell r="AU32">
            <v>-301.70813055518823</v>
          </cell>
          <cell r="AV32">
            <v>19.825207681639824</v>
          </cell>
          <cell r="AW32">
            <v>-11661.057406203592</v>
          </cell>
          <cell r="AX32">
            <v>228.88372476609766</v>
          </cell>
          <cell r="AY32">
            <v>-4432.5944683175103</v>
          </cell>
          <cell r="AZ32">
            <v>258.42251694526931</v>
          </cell>
        </row>
        <row r="33">
          <cell r="A33">
            <v>2033</v>
          </cell>
          <cell r="B33">
            <v>-144.22407057745113</v>
          </cell>
          <cell r="C33">
            <v>-14958.927616238991</v>
          </cell>
          <cell r="D33">
            <v>-15595.5795877947</v>
          </cell>
          <cell r="E33">
            <v>-244.2240705774511</v>
          </cell>
          <cell r="F33">
            <v>-99.999999999999972</v>
          </cell>
          <cell r="G33">
            <v>-17129.798375896964</v>
          </cell>
          <cell r="H33">
            <v>-2170.8707596579734</v>
          </cell>
          <cell r="I33">
            <v>-18235.790099652539</v>
          </cell>
          <cell r="J33">
            <v>-2640.2105118578384</v>
          </cell>
          <cell r="K33">
            <v>-244.2240705774511</v>
          </cell>
          <cell r="L33">
            <v>0</v>
          </cell>
          <cell r="M33">
            <v>-17129.798375896964</v>
          </cell>
          <cell r="N33">
            <v>0</v>
          </cell>
          <cell r="O33">
            <v>-11679.87090127696</v>
          </cell>
          <cell r="P33">
            <v>6555.9191983755791</v>
          </cell>
          <cell r="Q33">
            <v>-842.71816249189294</v>
          </cell>
          <cell r="R33">
            <v>-598.49409191444181</v>
          </cell>
          <cell r="S33">
            <v>-22051.880257373188</v>
          </cell>
          <cell r="T33">
            <v>-4922.0818814762242</v>
          </cell>
          <cell r="U33">
            <v>-17166.167800014558</v>
          </cell>
          <cell r="V33">
            <v>-5486.2968987375989</v>
          </cell>
          <cell r="W33">
            <v>-447.95362375114064</v>
          </cell>
          <cell r="X33">
            <v>394.7645387407523</v>
          </cell>
          <cell r="Y33">
            <v>-14476.951221746751</v>
          </cell>
          <cell r="Z33">
            <v>7574.9290356264373</v>
          </cell>
          <cell r="AA33">
            <v>-7980.1281903131048</v>
          </cell>
          <cell r="AB33">
            <v>9186.0396097014527</v>
          </cell>
          <cell r="AC33">
            <v>-208.16598552847972</v>
          </cell>
          <cell r="AD33">
            <v>239.78763822266092</v>
          </cell>
          <cell r="AE33">
            <v>-11605.129427688791</v>
          </cell>
          <cell r="AF33">
            <v>2871.8217940579598</v>
          </cell>
          <cell r="AG33">
            <v>-4682.4949706765419</v>
          </cell>
          <cell r="AH33">
            <v>3297.6332196365629</v>
          </cell>
          <cell r="AI33">
            <v>-253.53937524578851</v>
          </cell>
          <cell r="AJ33">
            <v>-45.373389717308783</v>
          </cell>
          <cell r="AK33">
            <v>-12471.699941457919</v>
          </cell>
          <cell r="AL33">
            <v>-866.5705137691275</v>
          </cell>
          <cell r="AM33">
            <v>-5709.7181772620415</v>
          </cell>
          <cell r="AN33">
            <v>-1027.2232065854996</v>
          </cell>
          <cell r="AO33">
            <v>-236.26466812776516</v>
          </cell>
          <cell r="AP33">
            <v>17.274707118023343</v>
          </cell>
          <cell r="AQ33">
            <v>-12126.205799097455</v>
          </cell>
          <cell r="AR33">
            <v>345.49414236046323</v>
          </cell>
          <cell r="AS33">
            <v>-5300.9755876072504</v>
          </cell>
          <cell r="AT33">
            <v>408.74258965479112</v>
          </cell>
          <cell r="AU33">
            <v>-215.6412664301092</v>
          </cell>
          <cell r="AV33">
            <v>20.623401697655964</v>
          </cell>
          <cell r="AW33">
            <v>-11876.698672633702</v>
          </cell>
          <cell r="AX33">
            <v>249.50712646375359</v>
          </cell>
          <cell r="AY33">
            <v>-5017.3468065948518</v>
          </cell>
          <cell r="AZ33">
            <v>283.62878101239858</v>
          </cell>
        </row>
        <row r="34">
          <cell r="A34">
            <v>2034</v>
          </cell>
          <cell r="B34">
            <v>42.41154677628947</v>
          </cell>
          <cell r="C34">
            <v>-14916.516069462701</v>
          </cell>
          <cell r="D34">
            <v>-16228.630557299304</v>
          </cell>
          <cell r="E34">
            <v>-57.588453223710523</v>
          </cell>
          <cell r="F34">
            <v>-100</v>
          </cell>
          <cell r="G34">
            <v>-17187.386829120675</v>
          </cell>
          <cell r="H34">
            <v>-2270.8707596579734</v>
          </cell>
          <cell r="I34">
            <v>-19015.945308375754</v>
          </cell>
          <cell r="J34">
            <v>-2787.3147510764502</v>
          </cell>
          <cell r="K34">
            <v>-57.588453223710523</v>
          </cell>
          <cell r="L34">
            <v>0</v>
          </cell>
          <cell r="M34">
            <v>-17187.386829120675</v>
          </cell>
          <cell r="N34">
            <v>0</v>
          </cell>
          <cell r="O34">
            <v>-12235.47059077391</v>
          </cell>
          <cell r="P34">
            <v>6780.4747176018445</v>
          </cell>
          <cell r="Q34">
            <v>-715.86366251809341</v>
          </cell>
          <cell r="R34">
            <v>-658.27520929438288</v>
          </cell>
          <cell r="S34">
            <v>-22767.743919891283</v>
          </cell>
          <cell r="T34">
            <v>-5580.3570907706089</v>
          </cell>
          <cell r="U34">
            <v>-18482.277841874402</v>
          </cell>
          <cell r="V34">
            <v>-6246.8072511004921</v>
          </cell>
          <cell r="W34">
            <v>-315.98205462715799</v>
          </cell>
          <cell r="X34">
            <v>399.88160789093541</v>
          </cell>
          <cell r="Y34">
            <v>-14792.933276373909</v>
          </cell>
          <cell r="Z34">
            <v>7974.810643517374</v>
          </cell>
          <cell r="AA34">
            <v>-8731.9192437979236</v>
          </cell>
          <cell r="AB34">
            <v>9750.3585980764783</v>
          </cell>
          <cell r="AC34">
            <v>-67.995629242313939</v>
          </cell>
          <cell r="AD34">
            <v>247.98642538484404</v>
          </cell>
          <cell r="AE34">
            <v>-11673.125056931105</v>
          </cell>
          <cell r="AF34">
            <v>3119.8082194428043</v>
          </cell>
          <cell r="AG34">
            <v>-5126.4379111273975</v>
          </cell>
          <cell r="AH34">
            <v>3605.4813326705262</v>
          </cell>
          <cell r="AI34">
            <v>-113.15534227509079</v>
          </cell>
          <cell r="AJ34">
            <v>-45.15971303277685</v>
          </cell>
          <cell r="AK34">
            <v>-12584.85528373301</v>
          </cell>
          <cell r="AL34">
            <v>-911.73022680190479</v>
          </cell>
          <cell r="AM34">
            <v>-6217.0988449294564</v>
          </cell>
          <cell r="AN34">
            <v>-1090.6609338020589</v>
          </cell>
          <cell r="AO34">
            <v>-95.880635157067431</v>
          </cell>
          <cell r="AP34">
            <v>17.274707118023358</v>
          </cell>
          <cell r="AQ34">
            <v>-12222.086434254523</v>
          </cell>
          <cell r="AR34">
            <v>362.76884947848703</v>
          </cell>
          <cell r="AS34">
            <v>-5783.8329110987252</v>
          </cell>
          <cell r="AT34">
            <v>433.26593383073123</v>
          </cell>
          <cell r="AU34">
            <v>-74.470835414074813</v>
          </cell>
          <cell r="AV34">
            <v>21.409799742992618</v>
          </cell>
          <cell r="AW34">
            <v>-11951.169508047777</v>
          </cell>
          <cell r="AX34">
            <v>270.91692620674621</v>
          </cell>
          <cell r="AY34">
            <v>-5473.7644603352319</v>
          </cell>
          <cell r="AZ34">
            <v>310.06845076349327</v>
          </cell>
        </row>
        <row r="35">
          <cell r="A35">
            <v>2035</v>
          </cell>
          <cell r="B35">
            <v>324.4466902754229</v>
          </cell>
          <cell r="C35">
            <v>-14592.069379187278</v>
          </cell>
          <cell r="D35">
            <v>-16591.009812929831</v>
          </cell>
          <cell r="E35">
            <v>224.44669027542295</v>
          </cell>
          <cell r="F35">
            <v>-99.999999999999943</v>
          </cell>
          <cell r="G35">
            <v>-16962.940138845253</v>
          </cell>
          <cell r="H35">
            <v>-2370.8707596579752</v>
          </cell>
          <cell r="I35">
            <v>-19528.037548353892</v>
          </cell>
          <cell r="J35">
            <v>-2937.0277354240607</v>
          </cell>
          <cell r="K35">
            <v>224.44669027542295</v>
          </cell>
          <cell r="L35">
            <v>0</v>
          </cell>
          <cell r="M35">
            <v>-16962.940138845253</v>
          </cell>
          <cell r="N35">
            <v>0</v>
          </cell>
          <cell r="O35">
            <v>-12521.225920703375</v>
          </cell>
          <cell r="P35">
            <v>7006.811627650517</v>
          </cell>
          <cell r="Q35">
            <v>-511.00250173952918</v>
          </cell>
          <cell r="R35">
            <v>-735.44919201495213</v>
          </cell>
          <cell r="S35">
            <v>-23278.746421630814</v>
          </cell>
          <cell r="T35">
            <v>-6315.8062827855611</v>
          </cell>
          <cell r="U35">
            <v>-19620.848215699847</v>
          </cell>
          <cell r="V35">
            <v>-7099.6222949964722</v>
          </cell>
          <cell r="W35">
            <v>-106.40716521159173</v>
          </cell>
          <cell r="X35">
            <v>404.59533652793743</v>
          </cell>
          <cell r="Y35">
            <v>-14899.3404415855</v>
          </cell>
          <cell r="Z35">
            <v>8379.4059800453142</v>
          </cell>
          <cell r="AA35">
            <v>-9291.436477549245</v>
          </cell>
          <cell r="AB35">
            <v>10329.411738150602</v>
          </cell>
          <cell r="AC35">
            <v>148.89261806769628</v>
          </cell>
          <cell r="AD35">
            <v>255.29978327928802</v>
          </cell>
          <cell r="AE35">
            <v>-11524.232438863408</v>
          </cell>
          <cell r="AF35">
            <v>3375.1080027220924</v>
          </cell>
          <cell r="AG35">
            <v>-5365.3716954825604</v>
          </cell>
          <cell r="AH35">
            <v>3926.0647820666845</v>
          </cell>
          <cell r="AI35">
            <v>103.95543939213529</v>
          </cell>
          <cell r="AJ35">
            <v>-44.937178675560986</v>
          </cell>
          <cell r="AK35">
            <v>-12480.899844340875</v>
          </cell>
          <cell r="AL35">
            <v>-956.66740547746667</v>
          </cell>
          <cell r="AM35">
            <v>-6520.3756388837755</v>
          </cell>
          <cell r="AN35">
            <v>-1155.0039434012151</v>
          </cell>
          <cell r="AO35">
            <v>121.23014651015865</v>
          </cell>
          <cell r="AP35">
            <v>17.274707118023358</v>
          </cell>
          <cell r="AQ35">
            <v>-12100.856287744364</v>
          </cell>
          <cell r="AR35">
            <v>380.04355659651083</v>
          </cell>
          <cell r="AS35">
            <v>-6062.1514641330978</v>
          </cell>
          <cell r="AT35">
            <v>458.22417475067778</v>
          </cell>
          <cell r="AU35">
            <v>143.41472265249331</v>
          </cell>
          <cell r="AV35">
            <v>22.184576142334663</v>
          </cell>
          <cell r="AW35">
            <v>-11807.754785395284</v>
          </cell>
          <cell r="AX35">
            <v>293.10150234907996</v>
          </cell>
          <cell r="AY35">
            <v>-5724.3996863762904</v>
          </cell>
          <cell r="AZ35">
            <v>337.75177775680731</v>
          </cell>
        </row>
        <row r="36">
          <cell r="A36">
            <v>2036</v>
          </cell>
          <cell r="B36">
            <v>665.94694711891862</v>
          </cell>
          <cell r="C36">
            <v>-13926.12243206836</v>
          </cell>
          <cell r="D36">
            <v>-16611.730187794707</v>
          </cell>
          <cell r="E36">
            <v>565.94694711891862</v>
          </cell>
          <cell r="F36">
            <v>-100</v>
          </cell>
          <cell r="G36">
            <v>-16396.993191726335</v>
          </cell>
          <cell r="H36">
            <v>-2470.8707596579752</v>
          </cell>
          <cell r="I36">
            <v>-19701.125916155794</v>
          </cell>
          <cell r="J36">
            <v>-3089.3957283610871</v>
          </cell>
          <cell r="K36">
            <v>565.94694711891862</v>
          </cell>
          <cell r="L36">
            <v>0</v>
          </cell>
          <cell r="M36">
            <v>-16396.993191726335</v>
          </cell>
          <cell r="N36">
            <v>0</v>
          </cell>
          <cell r="O36">
            <v>-12469.484770998557</v>
          </cell>
          <cell r="P36">
            <v>7231.6411451572367</v>
          </cell>
          <cell r="Q36">
            <v>-239.49513322323449</v>
          </cell>
          <cell r="R36">
            <v>-805.44208034215308</v>
          </cell>
          <cell r="S36">
            <v>-23518.241554854048</v>
          </cell>
          <cell r="T36">
            <v>-7121.2483631277137</v>
          </cell>
          <cell r="U36">
            <v>-20506.611685175645</v>
          </cell>
          <cell r="V36">
            <v>-8037.1269141770881</v>
          </cell>
          <cell r="W36">
            <v>169.15392045059525</v>
          </cell>
          <cell r="X36">
            <v>408.64905367382971</v>
          </cell>
          <cell r="Y36">
            <v>-14730.186521134905</v>
          </cell>
          <cell r="Z36">
            <v>8788.0550337191435</v>
          </cell>
          <cell r="AA36">
            <v>-9583.8794110724084</v>
          </cell>
          <cell r="AB36">
            <v>10922.732274103237</v>
          </cell>
          <cell r="AC36">
            <v>431.12876430328652</v>
          </cell>
          <cell r="AD36">
            <v>261.97484385269127</v>
          </cell>
          <cell r="AE36">
            <v>-11093.103674560121</v>
          </cell>
          <cell r="AF36">
            <v>3637.0828465747836</v>
          </cell>
          <cell r="AG36">
            <v>-5324.9099510990363</v>
          </cell>
          <cell r="AH36">
            <v>4258.9694599733721</v>
          </cell>
          <cell r="AI36">
            <v>386.73938668182427</v>
          </cell>
          <cell r="AJ36">
            <v>-44.389377621462245</v>
          </cell>
          <cell r="AK36">
            <v>-12094.160457659051</v>
          </cell>
          <cell r="AL36">
            <v>-1001.0567830989294</v>
          </cell>
          <cell r="AM36">
            <v>-6544.8164426735966</v>
          </cell>
          <cell r="AN36">
            <v>-1219.9064915745603</v>
          </cell>
          <cell r="AO36">
            <v>404.01409379984761</v>
          </cell>
          <cell r="AP36">
            <v>17.274707118023343</v>
          </cell>
          <cell r="AQ36">
            <v>-11696.842193944516</v>
          </cell>
          <cell r="AR36">
            <v>397.31826371453462</v>
          </cell>
          <cell r="AS36">
            <v>-6061.1914178043917</v>
          </cell>
          <cell r="AT36">
            <v>483.62502486920494</v>
          </cell>
          <cell r="AU36">
            <v>426.96199644400355</v>
          </cell>
          <cell r="AV36">
            <v>22.947902644155931</v>
          </cell>
          <cell r="AW36">
            <v>-11380.792788951279</v>
          </cell>
          <cell r="AX36">
            <v>316.04940499323675</v>
          </cell>
          <cell r="AY36">
            <v>-5694.5020507042937</v>
          </cell>
          <cell r="AZ36">
            <v>366.68936710009802</v>
          </cell>
        </row>
        <row r="37">
          <cell r="A37">
            <v>2037</v>
          </cell>
          <cell r="B37">
            <v>1160.4589419561762</v>
          </cell>
          <cell r="C37">
            <v>-12765.663490112183</v>
          </cell>
          <cell r="D37">
            <v>-16136.586120688544</v>
          </cell>
          <cell r="E37">
            <v>1060.4589419561762</v>
          </cell>
          <cell r="F37">
            <v>-100</v>
          </cell>
          <cell r="G37">
            <v>-15336.534249770159</v>
          </cell>
          <cell r="H37">
            <v>-2570.8707596579752</v>
          </cell>
          <cell r="I37">
            <v>-19381.051934472242</v>
          </cell>
          <cell r="J37">
            <v>-3244.4658137836977</v>
          </cell>
          <cell r="K37">
            <v>1060.4589419561762</v>
          </cell>
          <cell r="L37">
            <v>0</v>
          </cell>
          <cell r="M37">
            <v>-15336.534249770159</v>
          </cell>
          <cell r="N37">
            <v>0</v>
          </cell>
          <cell r="O37">
            <v>-11928.690169339066</v>
          </cell>
          <cell r="P37">
            <v>7452.3617651331751</v>
          </cell>
          <cell r="Q37">
            <v>184.34751395670082</v>
          </cell>
          <cell r="R37">
            <v>-876.11142799947538</v>
          </cell>
          <cell r="S37">
            <v>-23333.894040897347</v>
          </cell>
          <cell r="T37">
            <v>-7997.3597911271881</v>
          </cell>
          <cell r="U37">
            <v>-20990.691702367767</v>
          </cell>
          <cell r="V37">
            <v>-9062.0015330287006</v>
          </cell>
          <cell r="W37">
            <v>596.05849100465468</v>
          </cell>
          <cell r="X37">
            <v>411.71097704795386</v>
          </cell>
          <cell r="Y37">
            <v>-14134.12803013025</v>
          </cell>
          <cell r="Z37">
            <v>9199.7660107670963</v>
          </cell>
          <cell r="AA37">
            <v>-9461.1065052916238</v>
          </cell>
          <cell r="AB37">
            <v>11529.585197076143</v>
          </cell>
          <cell r="AC37">
            <v>863.80080186389216</v>
          </cell>
          <cell r="AD37">
            <v>267.74231085923748</v>
          </cell>
          <cell r="AE37">
            <v>-10229.302872696229</v>
          </cell>
          <cell r="AF37">
            <v>3904.8251574340211</v>
          </cell>
          <cell r="AG37">
            <v>-4857.6036063495212</v>
          </cell>
          <cell r="AH37">
            <v>4603.5028989421025</v>
          </cell>
          <cell r="AI37">
            <v>819.82959239962065</v>
          </cell>
          <cell r="AJ37">
            <v>-43.97120946427151</v>
          </cell>
          <cell r="AK37">
            <v>-11274.33086525943</v>
          </cell>
          <cell r="AL37">
            <v>-1045.0279925632003</v>
          </cell>
          <cell r="AM37">
            <v>-6143.1617708579142</v>
          </cell>
          <cell r="AN37">
            <v>-1285.558164508393</v>
          </cell>
          <cell r="AO37">
            <v>837.10429951764411</v>
          </cell>
          <cell r="AP37">
            <v>17.274707118023457</v>
          </cell>
          <cell r="AQ37">
            <v>-10859.737894426871</v>
          </cell>
          <cell r="AR37">
            <v>414.59297083255842</v>
          </cell>
          <cell r="AS37">
            <v>-5633.6854374444338</v>
          </cell>
          <cell r="AT37">
            <v>509.47633341348046</v>
          </cell>
          <cell r="AU37">
            <v>860.80424797639716</v>
          </cell>
          <cell r="AV37">
            <v>23.699948458753056</v>
          </cell>
          <cell r="AW37">
            <v>-10519.988540974882</v>
          </cell>
          <cell r="AX37">
            <v>339.74935345198901</v>
          </cell>
          <cell r="AY37">
            <v>-5236.7932562621318</v>
          </cell>
          <cell r="AZ37">
            <v>396.89218118230201</v>
          </cell>
        </row>
        <row r="38">
          <cell r="A38">
            <v>2038</v>
          </cell>
          <cell r="B38">
            <v>1741.3762101837667</v>
          </cell>
          <cell r="C38">
            <v>-11024.287279928416</v>
          </cell>
          <cell r="D38">
            <v>-15058.102556835893</v>
          </cell>
          <cell r="E38">
            <v>1641.3762101837665</v>
          </cell>
          <cell r="F38">
            <v>-100.00000000000023</v>
          </cell>
          <cell r="G38">
            <v>-13695.158039586393</v>
          </cell>
          <cell r="H38">
            <v>-2670.870759657977</v>
          </cell>
          <cell r="I38">
            <v>-18460.388467409302</v>
          </cell>
          <cell r="J38">
            <v>-3402.2859105734096</v>
          </cell>
          <cell r="K38">
            <v>1641.3762101837665</v>
          </cell>
          <cell r="L38">
            <v>0</v>
          </cell>
          <cell r="M38">
            <v>-13695.158039586393</v>
          </cell>
          <cell r="N38">
            <v>0</v>
          </cell>
          <cell r="O38">
            <v>-10789.784157268075</v>
          </cell>
          <cell r="P38">
            <v>7670.604310141227</v>
          </cell>
          <cell r="Q38">
            <v>686.01930739565989</v>
          </cell>
          <cell r="R38">
            <v>-955.35690278810659</v>
          </cell>
          <cell r="S38">
            <v>-22647.874733501685</v>
          </cell>
          <cell r="T38">
            <v>-8952.7166939152921</v>
          </cell>
          <cell r="U38">
            <v>-20974.962909722301</v>
          </cell>
          <cell r="V38">
            <v>-10185.178752454225</v>
          </cell>
          <cell r="W38">
            <v>1100.1410296822855</v>
          </cell>
          <cell r="X38">
            <v>414.12172228662564</v>
          </cell>
          <cell r="Y38">
            <v>-13033.987000447965</v>
          </cell>
          <cell r="Z38">
            <v>9613.8877330537198</v>
          </cell>
          <cell r="AA38">
            <v>-8825.4049308005797</v>
          </cell>
          <cell r="AB38">
            <v>12149.557978921721</v>
          </cell>
          <cell r="AC38">
            <v>1372.8456748311426</v>
          </cell>
          <cell r="AD38">
            <v>272.70464514885703</v>
          </cell>
          <cell r="AE38">
            <v>-8856.4571978650874</v>
          </cell>
          <cell r="AF38">
            <v>4177.5298025828779</v>
          </cell>
          <cell r="AG38">
            <v>-3866.3450369346388</v>
          </cell>
          <cell r="AH38">
            <v>4959.0598938659405</v>
          </cell>
          <cell r="AI38">
            <v>1329.457782566273</v>
          </cell>
          <cell r="AJ38">
            <v>-43.387892264869606</v>
          </cell>
          <cell r="AK38">
            <v>-9944.8730826931569</v>
          </cell>
          <cell r="AL38">
            <v>-1088.4158848280695</v>
          </cell>
          <cell r="AM38">
            <v>-5218.1190638982844</v>
          </cell>
          <cell r="AN38">
            <v>-1351.7740269636456</v>
          </cell>
          <cell r="AO38">
            <v>1346.7324896842968</v>
          </cell>
          <cell r="AP38">
            <v>17.274707118023798</v>
          </cell>
          <cell r="AQ38">
            <v>-9513.0054047425747</v>
          </cell>
          <cell r="AR38">
            <v>431.86767795058222</v>
          </cell>
          <cell r="AS38">
            <v>-4682.3329750894964</v>
          </cell>
          <cell r="AT38">
            <v>535.78608880878801</v>
          </cell>
          <cell r="AU38">
            <v>1371.1733699800934</v>
          </cell>
          <cell r="AV38">
            <v>24.44088029579666</v>
          </cell>
          <cell r="AW38">
            <v>-9148.8151709947888</v>
          </cell>
          <cell r="AX38">
            <v>364.1902337477859</v>
          </cell>
          <cell r="AY38">
            <v>-4253.9614315805793</v>
          </cell>
          <cell r="AZ38">
            <v>428.37154350891706</v>
          </cell>
        </row>
        <row r="39">
          <cell r="A39">
            <v>2039</v>
          </cell>
          <cell r="B39">
            <v>2332.7923219839577</v>
          </cell>
          <cell r="C39">
            <v>-8691.4949579444583</v>
          </cell>
          <cell r="D39">
            <v>-13364.431403634519</v>
          </cell>
          <cell r="E39">
            <v>2232.7923219839577</v>
          </cell>
          <cell r="F39">
            <v>-100</v>
          </cell>
          <cell r="G39">
            <v>-11462.365717602435</v>
          </cell>
          <cell r="H39">
            <v>-2770.870759657977</v>
          </cell>
          <cell r="I39">
            <v>-16927.33619103923</v>
          </cell>
          <cell r="J39">
            <v>-3562.9047874047119</v>
          </cell>
          <cell r="K39">
            <v>2232.7923219839577</v>
          </cell>
          <cell r="L39">
            <v>0</v>
          </cell>
          <cell r="M39">
            <v>-11462.365717602435</v>
          </cell>
          <cell r="N39">
            <v>0</v>
          </cell>
          <cell r="O39">
            <v>-9039.756825683924</v>
          </cell>
          <cell r="P39">
            <v>7887.5793653553064</v>
          </cell>
          <cell r="Q39">
            <v>1180.7747144877551</v>
          </cell>
          <cell r="R39">
            <v>-1052.0176074962026</v>
          </cell>
          <cell r="S39">
            <v>-21467.100019013931</v>
          </cell>
          <cell r="T39">
            <v>-10004.734301411496</v>
          </cell>
          <cell r="U39">
            <v>-20466.368484736304</v>
          </cell>
          <cell r="V39">
            <v>-11426.61165905238</v>
          </cell>
          <cell r="W39">
            <v>1597.3929203294933</v>
          </cell>
          <cell r="X39">
            <v>416.61820584173824</v>
          </cell>
          <cell r="Y39">
            <v>-11436.594080118472</v>
          </cell>
          <cell r="Z39">
            <v>10030.50593889546</v>
          </cell>
          <cell r="AA39">
            <v>-7683.360804938724</v>
          </cell>
          <cell r="AB39">
            <v>12783.00767979758</v>
          </cell>
          <cell r="AC39">
            <v>1874.6719392025586</v>
          </cell>
          <cell r="AD39">
            <v>277.2790188730653</v>
          </cell>
          <cell r="AE39">
            <v>-6981.7852586625286</v>
          </cell>
          <cell r="AF39">
            <v>4454.808821455943</v>
          </cell>
          <cell r="AG39">
            <v>-2357.9103167580433</v>
          </cell>
          <cell r="AH39">
            <v>5325.4504881806806</v>
          </cell>
          <cell r="AI39">
            <v>1831.9169108959986</v>
          </cell>
          <cell r="AJ39">
            <v>-42.755028306560007</v>
          </cell>
          <cell r="AK39">
            <v>-8112.9561717971583</v>
          </cell>
          <cell r="AL39">
            <v>-1131.1709131346297</v>
          </cell>
          <cell r="AM39">
            <v>-3776.4325338975191</v>
          </cell>
          <cell r="AN39">
            <v>-1418.5222171394757</v>
          </cell>
          <cell r="AO39">
            <v>1849.1916180140224</v>
          </cell>
          <cell r="AP39">
            <v>17.274707118023798</v>
          </cell>
          <cell r="AQ39">
            <v>-7663.8137867285523</v>
          </cell>
          <cell r="AR39">
            <v>449.14238506860602</v>
          </cell>
          <cell r="AS39">
            <v>-3213.8701127504542</v>
          </cell>
          <cell r="AT39">
            <v>562.56242114706492</v>
          </cell>
          <cell r="AU39">
            <v>1874.3624804152796</v>
          </cell>
          <cell r="AV39">
            <v>25.170862401257182</v>
          </cell>
          <cell r="AW39">
            <v>-7274.4526905795092</v>
          </cell>
          <cell r="AX39">
            <v>389.36109614904308</v>
          </cell>
          <cell r="AY39">
            <v>-2752.7309701081017</v>
          </cell>
          <cell r="AZ39">
            <v>461.13914264235245</v>
          </cell>
        </row>
        <row r="40">
          <cell r="A40">
            <v>2040</v>
          </cell>
          <cell r="B40">
            <v>2780.4170199701252</v>
          </cell>
          <cell r="C40">
            <v>-5911.0779379743326</v>
          </cell>
          <cell r="D40">
            <v>-11188.156271404943</v>
          </cell>
          <cell r="E40">
            <v>2680.4170199701257</v>
          </cell>
          <cell r="F40">
            <v>-99.999999999999545</v>
          </cell>
          <cell r="G40">
            <v>-8781.9486976323096</v>
          </cell>
          <cell r="H40">
            <v>-2870.870759657977</v>
          </cell>
          <cell r="I40">
            <v>-14914.528349220229</v>
          </cell>
          <cell r="J40">
            <v>-3726.3720778152856</v>
          </cell>
          <cell r="K40">
            <v>2680.4170199701257</v>
          </cell>
          <cell r="L40">
            <v>0</v>
          </cell>
          <cell r="M40">
            <v>-8781.9486976323096</v>
          </cell>
          <cell r="N40">
            <v>0</v>
          </cell>
          <cell r="O40">
            <v>-6811.6226193412549</v>
          </cell>
          <cell r="P40">
            <v>8102.9057298789739</v>
          </cell>
          <cell r="Q40">
            <v>1514.3670025355505</v>
          </cell>
          <cell r="R40">
            <v>-1166.0500174345752</v>
          </cell>
          <cell r="S40">
            <v>-19952.733016478382</v>
          </cell>
          <cell r="T40">
            <v>-11170.784318846072</v>
          </cell>
          <cell r="U40">
            <v>-19617.429486651934</v>
          </cell>
          <cell r="V40">
            <v>-12805.806867310679</v>
          </cell>
          <cell r="W40">
            <v>1933.9268346501992</v>
          </cell>
          <cell r="X40">
            <v>419.55983211464877</v>
          </cell>
          <cell r="Y40">
            <v>-9502.6672454682721</v>
          </cell>
          <cell r="Z40">
            <v>10450.06577101011</v>
          </cell>
          <cell r="AA40">
            <v>-6186.8132397314603</v>
          </cell>
          <cell r="AB40">
            <v>13430.616246920474</v>
          </cell>
          <cell r="AC40">
            <v>2215.8039283098396</v>
          </cell>
          <cell r="AD40">
            <v>281.87709365964042</v>
          </cell>
          <cell r="AE40">
            <v>-4765.9813303526889</v>
          </cell>
          <cell r="AF40">
            <v>4736.6859151155832</v>
          </cell>
          <cell r="AG40">
            <v>-483.92254817657579</v>
          </cell>
          <cell r="AH40">
            <v>5702.8906915548841</v>
          </cell>
          <cell r="AI40">
            <v>2173.6663312911705</v>
          </cell>
          <cell r="AJ40">
            <v>-42.137597018669112</v>
          </cell>
          <cell r="AK40">
            <v>-5939.2898405059877</v>
          </cell>
          <cell r="AL40">
            <v>-1173.3085101532988</v>
          </cell>
          <cell r="AM40">
            <v>-1969.7534421738446</v>
          </cell>
          <cell r="AN40">
            <v>-1485.830893997269</v>
          </cell>
          <cell r="AO40">
            <v>2190.9410384091943</v>
          </cell>
          <cell r="AP40">
            <v>17.274707118023798</v>
          </cell>
          <cell r="AQ40">
            <v>-5472.8727483193579</v>
          </cell>
          <cell r="AR40">
            <v>466.41709218662982</v>
          </cell>
          <cell r="AS40">
            <v>-1379.9398374746206</v>
          </cell>
          <cell r="AT40">
            <v>589.81360469922402</v>
          </cell>
          <cell r="AU40">
            <v>2216.8310950030273</v>
          </cell>
          <cell r="AV40">
            <v>25.890056593832924</v>
          </cell>
          <cell r="AW40">
            <v>-5057.6215955764819</v>
          </cell>
          <cell r="AX40">
            <v>415.251152742876</v>
          </cell>
          <cell r="AY40">
            <v>-884.73280122605843</v>
          </cell>
          <cell r="AZ40">
            <v>495.20703624856219</v>
          </cell>
        </row>
        <row r="41">
          <cell r="A41">
            <v>2041</v>
          </cell>
          <cell r="B41">
            <v>3317.7528760618948</v>
          </cell>
          <cell r="C41">
            <v>-2593.3250619124378</v>
          </cell>
          <cell r="D41">
            <v>-8434.8197809834619</v>
          </cell>
          <cell r="E41">
            <v>3217.7528760618948</v>
          </cell>
          <cell r="F41">
            <v>-100</v>
          </cell>
          <cell r="G41">
            <v>-5564.1958215704144</v>
          </cell>
          <cell r="H41">
            <v>-2970.8707596579766</v>
          </cell>
          <cell r="I41">
            <v>-12327.558076526953</v>
          </cell>
          <cell r="J41">
            <v>-3892.7382955434914</v>
          </cell>
          <cell r="K41">
            <v>3217.7528760618948</v>
          </cell>
          <cell r="L41">
            <v>0</v>
          </cell>
          <cell r="M41">
            <v>-5564.1958215704144</v>
          </cell>
          <cell r="N41">
            <v>0</v>
          </cell>
          <cell r="O41">
            <v>-4013.6804768957859</v>
          </cell>
          <cell r="P41">
            <v>8313.877599631167</v>
          </cell>
          <cell r="Q41">
            <v>1951.8393279059255</v>
          </cell>
          <cell r="R41">
            <v>-1265.9135481559692</v>
          </cell>
          <cell r="S41">
            <v>-18000.893688572454</v>
          </cell>
          <cell r="T41">
            <v>-12436.69786700204</v>
          </cell>
          <cell r="U41">
            <v>-18321.762909844227</v>
          </cell>
          <cell r="V41">
            <v>-14308.08243294844</v>
          </cell>
          <cell r="W41">
            <v>2373.4109423003192</v>
          </cell>
          <cell r="X41">
            <v>421.57161439439369</v>
          </cell>
          <cell r="Y41">
            <v>-7129.2563031679529</v>
          </cell>
          <cell r="Z41">
            <v>10871.637385404501</v>
          </cell>
          <cell r="AA41">
            <v>-4230.1130215714256</v>
          </cell>
          <cell r="AB41">
            <v>14091.649888272801</v>
          </cell>
          <cell r="AC41">
            <v>2659.1781275767039</v>
          </cell>
          <cell r="AD41">
            <v>285.76718527638468</v>
          </cell>
          <cell r="AE41">
            <v>-2106.803202775985</v>
          </cell>
          <cell r="AF41">
            <v>5022.4531003919674</v>
          </cell>
          <cell r="AG41">
            <v>1860.7554388455658</v>
          </cell>
          <cell r="AH41">
            <v>6090.8684604169912</v>
          </cell>
          <cell r="AI41">
            <v>2617.7932418064811</v>
          </cell>
          <cell r="AJ41">
            <v>-41.384885770222809</v>
          </cell>
          <cell r="AK41">
            <v>-3321.4965986995066</v>
          </cell>
          <cell r="AL41">
            <v>-1214.6933959235216</v>
          </cell>
          <cell r="AM41">
            <v>307.18864424586371</v>
          </cell>
          <cell r="AN41">
            <v>-1553.566794599702</v>
          </cell>
          <cell r="AO41">
            <v>2635.0679489245044</v>
          </cell>
          <cell r="AP41">
            <v>17.274707118023343</v>
          </cell>
          <cell r="AQ41">
            <v>-2837.8047993948535</v>
          </cell>
          <cell r="AR41">
            <v>483.69179930465316</v>
          </cell>
          <cell r="AS41">
            <v>924.73670471787557</v>
          </cell>
          <cell r="AT41">
            <v>617.54806047201191</v>
          </cell>
          <cell r="AU41">
            <v>2661.666571225303</v>
          </cell>
          <cell r="AV41">
            <v>26.598622300798525</v>
          </cell>
          <cell r="AW41">
            <v>-2395.955024351179</v>
          </cell>
          <cell r="AX41">
            <v>441.84977504367453</v>
          </cell>
          <cell r="AY41">
            <v>1455.3243599691812</v>
          </cell>
          <cell r="AZ41">
            <v>530.58765525130559</v>
          </cell>
        </row>
        <row r="42">
          <cell r="A42">
            <v>2042</v>
          </cell>
          <cell r="B42">
            <v>3730.8453100833617</v>
          </cell>
          <cell r="C42">
            <v>1137.5202481709239</v>
          </cell>
          <cell r="D42">
            <v>-5212.2852242232038</v>
          </cell>
          <cell r="E42">
            <v>3630.8453100833617</v>
          </cell>
          <cell r="F42">
            <v>-100</v>
          </cell>
          <cell r="G42">
            <v>-1933.3505114870527</v>
          </cell>
          <cell r="H42">
            <v>-3070.8707596579766</v>
          </cell>
          <cell r="I42">
            <v>-9274.3400743610109</v>
          </cell>
          <cell r="J42">
            <v>-4062.0548501378071</v>
          </cell>
          <cell r="K42">
            <v>3630.8453100833617</v>
          </cell>
          <cell r="L42">
            <v>0</v>
          </cell>
          <cell r="M42">
            <v>-1933.3505114870527</v>
          </cell>
          <cell r="N42">
            <v>0</v>
          </cell>
          <cell r="O42">
            <v>-752.93014856903324</v>
          </cell>
          <cell r="P42">
            <v>8521.409925791977</v>
          </cell>
          <cell r="Q42">
            <v>2278.3245290314862</v>
          </cell>
          <cell r="R42">
            <v>-1352.5207810518755</v>
          </cell>
          <cell r="S42">
            <v>-15722.569159540968</v>
          </cell>
          <cell r="T42">
            <v>-13789.218648053915</v>
          </cell>
          <cell r="U42">
            <v>-16675.429615950263</v>
          </cell>
          <cell r="V42">
            <v>-15922.499467381229</v>
          </cell>
          <cell r="W42">
            <v>2701.592870810161</v>
          </cell>
          <cell r="X42">
            <v>423.26834177867477</v>
          </cell>
          <cell r="Y42">
            <v>-4427.6634323577919</v>
          </cell>
          <cell r="Z42">
            <v>11294.905727183177</v>
          </cell>
          <cell r="AA42">
            <v>-1909.4020295360358</v>
          </cell>
          <cell r="AB42">
            <v>14766.027586414228</v>
          </cell>
          <cell r="AC42">
            <v>2991.1259631908647</v>
          </cell>
          <cell r="AD42">
            <v>289.53309238070369</v>
          </cell>
          <cell r="AE42">
            <v>884.32276041487967</v>
          </cell>
          <cell r="AF42">
            <v>5311.9861927726715</v>
          </cell>
          <cell r="AG42">
            <v>4578.2918367333505</v>
          </cell>
          <cell r="AH42">
            <v>6487.6938662693865</v>
          </cell>
          <cell r="AI42">
            <v>2950.4048328548911</v>
          </cell>
          <cell r="AJ42">
            <v>-40.721130335973612</v>
          </cell>
          <cell r="AK42">
            <v>-371.09176584461557</v>
          </cell>
          <cell r="AL42">
            <v>-1255.4145262594952</v>
          </cell>
          <cell r="AM42">
            <v>2957.9121859493735</v>
          </cell>
          <cell r="AN42">
            <v>-1620.379650783977</v>
          </cell>
          <cell r="AO42">
            <v>2967.679539972914</v>
          </cell>
          <cell r="AP42">
            <v>17.274707118022889</v>
          </cell>
          <cell r="AQ42">
            <v>129.87474057806048</v>
          </cell>
          <cell r="AR42">
            <v>500.96650642267605</v>
          </cell>
          <cell r="AS42">
            <v>3603.1042851597281</v>
          </cell>
          <cell r="AT42">
            <v>645.19209921035463</v>
          </cell>
          <cell r="AU42">
            <v>2994.9762565662936</v>
          </cell>
          <cell r="AV42">
            <v>27.296716593379642</v>
          </cell>
          <cell r="AW42">
            <v>599.02123221511465</v>
          </cell>
          <cell r="AX42">
            <v>469.14649163705417</v>
          </cell>
          <cell r="AY42">
            <v>4169.8978248945095</v>
          </cell>
          <cell r="AZ42">
            <v>566.79353973478146</v>
          </cell>
        </row>
        <row r="43">
          <cell r="A43">
            <v>2043</v>
          </cell>
          <cell r="B43">
            <v>4062.9920337946405</v>
          </cell>
          <cell r="C43">
            <v>5200.5122819655644</v>
          </cell>
          <cell r="D43">
            <v>-1597.6580849269972</v>
          </cell>
          <cell r="E43">
            <v>3962.9920337946401</v>
          </cell>
          <cell r="F43">
            <v>-100.00000000000045</v>
          </cell>
          <cell r="G43">
            <v>2029.6415223075874</v>
          </cell>
          <cell r="H43">
            <v>-3170.870759657977</v>
          </cell>
          <cell r="I43">
            <v>-5832.0321477701482</v>
          </cell>
          <cell r="J43">
            <v>-4234.3740628431515</v>
          </cell>
          <cell r="K43">
            <v>3962.9920337946401</v>
          </cell>
          <cell r="L43">
            <v>0</v>
          </cell>
          <cell r="M43">
            <v>2029.6415223075874</v>
          </cell>
          <cell r="N43">
            <v>0</v>
          </cell>
          <cell r="O43">
            <v>2896.2605372176149</v>
          </cell>
          <cell r="P43">
            <v>8728.2926849877622</v>
          </cell>
          <cell r="Q43">
            <v>2534.9409607908865</v>
          </cell>
          <cell r="R43">
            <v>-1428.0510730037536</v>
          </cell>
          <cell r="S43">
            <v>-13187.628198750081</v>
          </cell>
          <cell r="T43">
            <v>-15217.269721057668</v>
          </cell>
          <cell r="U43">
            <v>-14743.869610582673</v>
          </cell>
          <cell r="V43">
            <v>-17640.130147800286</v>
          </cell>
          <cell r="W43">
            <v>2959.8149854679177</v>
          </cell>
          <cell r="X43">
            <v>424.87402467703123</v>
          </cell>
          <cell r="Y43">
            <v>-1467.8484468898741</v>
          </cell>
          <cell r="Z43">
            <v>11719.779751860206</v>
          </cell>
          <cell r="AA43">
            <v>710.05411309166732</v>
          </cell>
          <cell r="AB43">
            <v>15453.923723674341</v>
          </cell>
          <cell r="AC43">
            <v>3252.8920295804955</v>
          </cell>
          <cell r="AD43">
            <v>293.07704411257782</v>
          </cell>
          <cell r="AE43">
            <v>4137.2147899953752</v>
          </cell>
          <cell r="AF43">
            <v>5605.0632368852494</v>
          </cell>
          <cell r="AG43">
            <v>7602.5423284648932</v>
          </cell>
          <cell r="AH43">
            <v>6892.488215373226</v>
          </cell>
          <cell r="AI43">
            <v>3212.786061137946</v>
          </cell>
          <cell r="AJ43">
            <v>-40.105968442549511</v>
          </cell>
          <cell r="AK43">
            <v>2841.6942952933305</v>
          </cell>
          <cell r="AL43">
            <v>-1295.5204947020447</v>
          </cell>
          <cell r="AM43">
            <v>5914.8424470127393</v>
          </cell>
          <cell r="AN43">
            <v>-1687.6998814521539</v>
          </cell>
          <cell r="AO43">
            <v>3230.0607682559703</v>
          </cell>
          <cell r="AP43">
            <v>17.274707118024253</v>
          </cell>
          <cell r="AQ43">
            <v>3359.9355088340308</v>
          </cell>
          <cell r="AR43">
            <v>518.2412135407003</v>
          </cell>
          <cell r="AS43">
            <v>6588.1427596926869</v>
          </cell>
          <cell r="AT43">
            <v>673.30031267994764</v>
          </cell>
          <cell r="AU43">
            <v>3258.0452624775071</v>
          </cell>
          <cell r="AV43">
            <v>27.984494221536806</v>
          </cell>
          <cell r="AW43">
            <v>3857.0664946926217</v>
          </cell>
          <cell r="AX43">
            <v>497.13098585859098</v>
          </cell>
          <cell r="AY43">
            <v>7192.4378993610235</v>
          </cell>
          <cell r="AZ43">
            <v>604.29513966833656</v>
          </cell>
        </row>
        <row r="44">
          <cell r="A44">
            <v>2044</v>
          </cell>
          <cell r="B44">
            <v>4307.5815590255916</v>
          </cell>
          <cell r="C44">
            <v>9508.093840991156</v>
          </cell>
          <cell r="D44">
            <v>2339.4085917946177</v>
          </cell>
          <cell r="E44">
            <v>4207.5815590255916</v>
          </cell>
          <cell r="F44">
            <v>-100</v>
          </cell>
          <cell r="G44">
            <v>6237.2230813331789</v>
          </cell>
          <cell r="H44">
            <v>-3270.870759657977</v>
          </cell>
          <cell r="I44">
            <v>-2070.3405909742714</v>
          </cell>
          <cell r="J44">
            <v>-4409.7491827688891</v>
          </cell>
          <cell r="K44">
            <v>4207.5815590255916</v>
          </cell>
          <cell r="L44">
            <v>0</v>
          </cell>
          <cell r="M44">
            <v>6237.2230813331789</v>
          </cell>
          <cell r="N44">
            <v>0</v>
          </cell>
          <cell r="O44">
            <v>6859.6837497500146</v>
          </cell>
          <cell r="P44">
            <v>8930.0243407242851</v>
          </cell>
          <cell r="Q44">
            <v>2709.7832567371693</v>
          </cell>
          <cell r="R44">
            <v>-1497.7983022884223</v>
          </cell>
          <cell r="S44">
            <v>-10477.844942012911</v>
          </cell>
          <cell r="T44">
            <v>-16715.068023346088</v>
          </cell>
          <cell r="U44">
            <v>-12595.126417994117</v>
          </cell>
          <cell r="V44">
            <v>-19454.81016774413</v>
          </cell>
          <cell r="W44">
            <v>3136.1032685405257</v>
          </cell>
          <cell r="X44">
            <v>426.32001180335646</v>
          </cell>
          <cell r="Y44">
            <v>1668.2548216506516</v>
          </cell>
          <cell r="Z44">
            <v>12146.099763663562</v>
          </cell>
          <cell r="AA44">
            <v>3559.5980961386299</v>
          </cell>
          <cell r="AB44">
            <v>16154.724514132748</v>
          </cell>
          <cell r="AC44">
            <v>3432.570525693689</v>
          </cell>
          <cell r="AD44">
            <v>296.46725715316325</v>
          </cell>
          <cell r="AE44">
            <v>7569.7853156890642</v>
          </cell>
          <cell r="AF44">
            <v>5901.5304940384121</v>
          </cell>
          <cell r="AG44">
            <v>10865.212099843857</v>
          </cell>
          <cell r="AH44">
            <v>7305.6140037052264</v>
          </cell>
          <cell r="AI44">
            <v>3393.0424824783399</v>
          </cell>
          <cell r="AJ44">
            <v>-39.528043215349044</v>
          </cell>
          <cell r="AK44">
            <v>6234.7367777716699</v>
          </cell>
          <cell r="AL44">
            <v>-1335.0485379173942</v>
          </cell>
          <cell r="AM44">
            <v>9109.6406280149768</v>
          </cell>
          <cell r="AN44">
            <v>-1755.57147182888</v>
          </cell>
          <cell r="AO44">
            <v>3410.3171895963637</v>
          </cell>
          <cell r="AP44">
            <v>17.274707118023798</v>
          </cell>
          <cell r="AQ44">
            <v>6770.252698430395</v>
          </cell>
          <cell r="AR44">
            <v>535.51592065872501</v>
          </cell>
          <cell r="AS44">
            <v>9811.5211229154138</v>
          </cell>
          <cell r="AT44">
            <v>701.88049490043704</v>
          </cell>
          <cell r="AU44">
            <v>3438.9792972446576</v>
          </cell>
          <cell r="AV44">
            <v>28.662107648293841</v>
          </cell>
          <cell r="AW44">
            <v>7296.0457919372793</v>
          </cell>
          <cell r="AX44">
            <v>525.79309350688436</v>
          </cell>
          <cell r="AY44">
            <v>10454.625170296447</v>
          </cell>
          <cell r="AZ44">
            <v>643.10404738103352</v>
          </cell>
        </row>
        <row r="45">
          <cell r="A45">
            <v>2045</v>
          </cell>
          <cell r="B45">
            <v>4625.391906896637</v>
          </cell>
          <cell r="C45">
            <v>14133.485747887793</v>
          </cell>
          <cell r="D45">
            <v>6667.3883308002887</v>
          </cell>
          <cell r="E45">
            <v>4525.391906896637</v>
          </cell>
          <cell r="F45">
            <v>-100</v>
          </cell>
          <cell r="G45">
            <v>10762.614988229816</v>
          </cell>
          <cell r="H45">
            <v>-3370.870759657977</v>
          </cell>
          <cell r="I45">
            <v>2081.3596555575687</v>
          </cell>
          <cell r="J45">
            <v>-4586.0286752427201</v>
          </cell>
          <cell r="K45">
            <v>4525.391906896637</v>
          </cell>
          <cell r="L45">
            <v>0</v>
          </cell>
          <cell r="M45">
            <v>10762.614988229816</v>
          </cell>
          <cell r="N45">
            <v>0</v>
          </cell>
          <cell r="O45">
            <v>11201.506758066402</v>
          </cell>
          <cell r="P45">
            <v>9120.1471025088322</v>
          </cell>
          <cell r="Q45">
            <v>2944.0494338554081</v>
          </cell>
          <cell r="R45">
            <v>-1581.3424730412289</v>
          </cell>
          <cell r="S45">
            <v>-7533.7955081575028</v>
          </cell>
          <cell r="T45">
            <v>-18296.410496387318</v>
          </cell>
          <cell r="U45">
            <v>-10181.239303399843</v>
          </cell>
          <cell r="V45">
            <v>-21382.746061466245</v>
          </cell>
          <cell r="W45">
            <v>3371.3565692704055</v>
          </cell>
          <cell r="X45">
            <v>427.30713541499745</v>
          </cell>
          <cell r="Y45">
            <v>5039.6113909210571</v>
          </cell>
          <cell r="Z45">
            <v>12573.40689907856</v>
          </cell>
          <cell r="AA45">
            <v>6684.9537338333721</v>
          </cell>
          <cell r="AB45">
            <v>16866.193037233214</v>
          </cell>
          <cell r="AC45">
            <v>3670.7922204159377</v>
          </cell>
          <cell r="AD45">
            <v>299.43565114553212</v>
          </cell>
          <cell r="AE45">
            <v>11240.577536105002</v>
          </cell>
          <cell r="AF45">
            <v>6200.9661451839447</v>
          </cell>
          <cell r="AG45">
            <v>14413.536422674664</v>
          </cell>
          <cell r="AH45">
            <v>7728.5826888412921</v>
          </cell>
          <cell r="AI45">
            <v>3631.8303745200888</v>
          </cell>
          <cell r="AJ45">
            <v>-38.96184589584891</v>
          </cell>
          <cell r="AK45">
            <v>9866.5671522917582</v>
          </cell>
          <cell r="AL45">
            <v>-1374.0103838132436</v>
          </cell>
          <cell r="AM45">
            <v>12589.520886901688</v>
          </cell>
          <cell r="AN45">
            <v>-1824.0155357729764</v>
          </cell>
          <cell r="AO45">
            <v>3649.1050816381121</v>
          </cell>
          <cell r="AP45">
            <v>17.274707118023343</v>
          </cell>
          <cell r="AQ45">
            <v>10419.357780068507</v>
          </cell>
          <cell r="AR45">
            <v>552.79062777674881</v>
          </cell>
          <cell r="AS45">
            <v>13320.461457663587</v>
          </cell>
          <cell r="AT45">
            <v>730.94057076189893</v>
          </cell>
          <cell r="AU45">
            <v>3678.4347887216318</v>
          </cell>
          <cell r="AV45">
            <v>29.329707083519679</v>
          </cell>
          <cell r="AW45">
            <v>10974.48058065891</v>
          </cell>
          <cell r="AX45">
            <v>555.12280059040313</v>
          </cell>
          <cell r="AY45">
            <v>14003.693657723721</v>
          </cell>
          <cell r="AZ45">
            <v>683.23220006013435</v>
          </cell>
        </row>
        <row r="46">
          <cell r="A46">
            <v>2046</v>
          </cell>
          <cell r="B46">
            <v>4870.5386057980486</v>
          </cell>
          <cell r="C46">
            <v>19004.02435368584</v>
          </cell>
          <cell r="D46">
            <v>11330.10712100067</v>
          </cell>
          <cell r="E46">
            <v>4770.5386057980495</v>
          </cell>
          <cell r="F46">
            <v>-99.999999999999091</v>
          </cell>
          <cell r="G46">
            <v>15533.153594027866</v>
          </cell>
          <cell r="H46">
            <v>-3470.8707596579734</v>
          </cell>
          <cell r="I46">
            <v>6566.7910562942943</v>
          </cell>
          <cell r="J46">
            <v>-4763.316064706376</v>
          </cell>
          <cell r="K46">
            <v>4770.5386057980495</v>
          </cell>
          <cell r="L46">
            <v>0</v>
          </cell>
          <cell r="M46">
            <v>15533.153594027866</v>
          </cell>
          <cell r="N46">
            <v>0</v>
          </cell>
          <cell r="O46">
            <v>15870.472516224771</v>
          </cell>
          <cell r="P46">
            <v>9303.6814599304762</v>
          </cell>
          <cell r="Q46">
            <v>3108.3158776552809</v>
          </cell>
          <cell r="R46">
            <v>-1662.2227281427686</v>
          </cell>
          <cell r="S46">
            <v>-4425.4796305022219</v>
          </cell>
          <cell r="T46">
            <v>-19958.633224530087</v>
          </cell>
          <cell r="U46">
            <v>-7551.0656497922855</v>
          </cell>
          <cell r="V46">
            <v>-23421.538166017057</v>
          </cell>
          <cell r="W46">
            <v>3536.5379443425559</v>
          </cell>
          <cell r="X46">
            <v>428.22206668727495</v>
          </cell>
          <cell r="Y46">
            <v>8576.1493352636135</v>
          </cell>
          <cell r="Z46">
            <v>13001.628965765834</v>
          </cell>
          <cell r="AA46">
            <v>10037.098182792375</v>
          </cell>
          <cell r="AB46">
            <v>17588.163832584662</v>
          </cell>
          <cell r="AC46">
            <v>3839.0525483232304</v>
          </cell>
          <cell r="AD46">
            <v>302.51460398067456</v>
          </cell>
          <cell r="AE46">
            <v>15079.630084428232</v>
          </cell>
          <cell r="AF46">
            <v>6503.4807491646188</v>
          </cell>
          <cell r="AG46">
            <v>18198.774714098414</v>
          </cell>
          <cell r="AH46">
            <v>8161.6765313060387</v>
          </cell>
          <cell r="AI46">
            <v>3800.6806852949676</v>
          </cell>
          <cell r="AJ46">
            <v>-38.371863028262851</v>
          </cell>
          <cell r="AK46">
            <v>13667.247837586725</v>
          </cell>
          <cell r="AL46">
            <v>-1412.3822468415074</v>
          </cell>
          <cell r="AM46">
            <v>16305.764413416417</v>
          </cell>
          <cell r="AN46">
            <v>-1893.0103006819973</v>
          </cell>
          <cell r="AO46">
            <v>3817.9553924129909</v>
          </cell>
          <cell r="AP46">
            <v>17.274707118023343</v>
          </cell>
          <cell r="AQ46">
            <v>14237.313172481498</v>
          </cell>
          <cell r="AR46">
            <v>570.0653348947726</v>
          </cell>
          <cell r="AS46">
            <v>17066.253011638695</v>
          </cell>
          <cell r="AT46">
            <v>760.4885982222786</v>
          </cell>
          <cell r="AU46">
            <v>3847.9428329302318</v>
          </cell>
          <cell r="AV46">
            <v>29.987440517240884</v>
          </cell>
          <cell r="AW46">
            <v>14822.423413589142</v>
          </cell>
          <cell r="AX46">
            <v>585.11024110764447</v>
          </cell>
          <cell r="AY46">
            <v>17790.944894960532</v>
          </cell>
          <cell r="AZ46">
            <v>724.69188332183694</v>
          </cell>
        </row>
        <row r="47">
          <cell r="A47">
            <v>2047</v>
          </cell>
          <cell r="B47">
            <v>5070.5747558319035</v>
          </cell>
          <cell r="C47">
            <v>24074.599109517745</v>
          </cell>
          <cell r="D47">
            <v>16270.901200745478</v>
          </cell>
          <cell r="E47">
            <v>4970.5747558319026</v>
          </cell>
          <cell r="F47">
            <v>-100.00000000000091</v>
          </cell>
          <cell r="G47">
            <v>20503.728349859768</v>
          </cell>
          <cell r="H47">
            <v>-3570.870759657977</v>
          </cell>
          <cell r="I47">
            <v>11327.32089043887</v>
          </cell>
          <cell r="J47">
            <v>-4943.5803103066082</v>
          </cell>
          <cell r="K47">
            <v>4970.5747558319026</v>
          </cell>
          <cell r="L47">
            <v>0</v>
          </cell>
          <cell r="M47">
            <v>20503.728349859768</v>
          </cell>
          <cell r="N47">
            <v>0</v>
          </cell>
          <cell r="O47">
            <v>20815.4691241199</v>
          </cell>
          <cell r="P47">
            <v>9488.1482336810295</v>
          </cell>
          <cell r="Q47">
            <v>3236.8604889474545</v>
          </cell>
          <cell r="R47">
            <v>-1733.7142668844481</v>
          </cell>
          <cell r="S47">
            <v>-1188.6191415547673</v>
          </cell>
          <cell r="T47">
            <v>-21692.347491414534</v>
          </cell>
          <cell r="U47">
            <v>-4747.30211174738</v>
          </cell>
          <cell r="V47">
            <v>-25562.77123586728</v>
          </cell>
          <cell r="W47">
            <v>3666.4559078083521</v>
          </cell>
          <cell r="X47">
            <v>429.59541886089755</v>
          </cell>
          <cell r="Y47">
            <v>12242.605243071965</v>
          </cell>
          <cell r="Z47">
            <v>13431.224384626732</v>
          </cell>
          <cell r="AA47">
            <v>13573.823639207822</v>
          </cell>
          <cell r="AB47">
            <v>18321.125750955202</v>
          </cell>
          <cell r="AC47">
            <v>3972.4137032466206</v>
          </cell>
          <cell r="AD47">
            <v>305.95779543826848</v>
          </cell>
          <cell r="AE47">
            <v>19052.043787674855</v>
          </cell>
          <cell r="AF47">
            <v>6809.43854460289</v>
          </cell>
          <cell r="AG47">
            <v>22179.271963512798</v>
          </cell>
          <cell r="AH47">
            <v>8605.4483243049763</v>
          </cell>
          <cell r="AI47">
            <v>3934.6971665154106</v>
          </cell>
          <cell r="AJ47">
            <v>-37.716536731209999</v>
          </cell>
          <cell r="AK47">
            <v>17601.945004102134</v>
          </cell>
          <cell r="AL47">
            <v>-1450.098783572721</v>
          </cell>
          <cell r="AM47">
            <v>20216.776745198018</v>
          </cell>
          <cell r="AN47">
            <v>-1962.4952183147798</v>
          </cell>
          <cell r="AO47">
            <v>3951.9718736334339</v>
          </cell>
          <cell r="AP47">
            <v>17.274707118023343</v>
          </cell>
          <cell r="AQ47">
            <v>18189.285046114932</v>
          </cell>
          <cell r="AR47">
            <v>587.34004201279822</v>
          </cell>
          <cell r="AS47">
            <v>21007.309515739798</v>
          </cell>
          <cell r="AT47">
            <v>790.53277054178034</v>
          </cell>
          <cell r="AU47">
            <v>3982.6073273858674</v>
          </cell>
          <cell r="AV47">
            <v>30.635453752433477</v>
          </cell>
          <cell r="AW47">
            <v>18805.030740975009</v>
          </cell>
          <cell r="AX47">
            <v>615.74569486007749</v>
          </cell>
          <cell r="AY47">
            <v>21774.805250614518</v>
          </cell>
          <cell r="AZ47">
            <v>767.49573487471935</v>
          </cell>
        </row>
        <row r="48">
          <cell r="A48">
            <v>2048</v>
          </cell>
          <cell r="B48">
            <v>5223.7766473259735</v>
          </cell>
          <cell r="C48">
            <v>29298.375756843718</v>
          </cell>
          <cell r="D48">
            <v>21446.022939884617</v>
          </cell>
          <cell r="E48">
            <v>5123.7766473259735</v>
          </cell>
          <cell r="F48">
            <v>-100</v>
          </cell>
          <cell r="G48">
            <v>25627.504997185741</v>
          </cell>
          <cell r="H48">
            <v>-3670.870759657977</v>
          </cell>
          <cell r="I48">
            <v>16319.151543053867</v>
          </cell>
          <cell r="J48">
            <v>-5126.8713968307493</v>
          </cell>
          <cell r="K48">
            <v>5123.7766473259735</v>
          </cell>
          <cell r="L48">
            <v>0</v>
          </cell>
          <cell r="M48">
            <v>25627.504997185741</v>
          </cell>
          <cell r="N48">
            <v>0</v>
          </cell>
          <cell r="O48">
            <v>25993.557437477048</v>
          </cell>
          <cell r="P48">
            <v>9674.4058944231801</v>
          </cell>
          <cell r="Q48">
            <v>3319.628727467486</v>
          </cell>
          <cell r="R48">
            <v>-1804.1479198584875</v>
          </cell>
          <cell r="S48">
            <v>2131.0095859127186</v>
          </cell>
          <cell r="T48">
            <v>-23496.495411273023</v>
          </cell>
          <cell r="U48">
            <v>-1814.1971529729692</v>
          </cell>
          <cell r="V48">
            <v>-27807.754590450018</v>
          </cell>
          <cell r="W48">
            <v>3751.2658844485813</v>
          </cell>
          <cell r="X48">
            <v>431.63715698109536</v>
          </cell>
          <cell r="Y48">
            <v>15993.871127520546</v>
          </cell>
          <cell r="Z48">
            <v>13862.861541607828</v>
          </cell>
          <cell r="AA48">
            <v>17251.591883524576</v>
          </cell>
          <cell r="AB48">
            <v>19065.789036497546</v>
          </cell>
          <cell r="AC48">
            <v>4061.2421990602347</v>
          </cell>
          <cell r="AD48">
            <v>309.97631461165338</v>
          </cell>
          <cell r="AE48">
            <v>23113.285986735089</v>
          </cell>
          <cell r="AF48">
            <v>7119.414859214543</v>
          </cell>
          <cell r="AG48">
            <v>26312.252389020738</v>
          </cell>
          <cell r="AH48">
            <v>9060.6605054961619</v>
          </cell>
          <cell r="AI48">
            <v>4024.1049824335014</v>
          </cell>
          <cell r="AJ48">
            <v>-37.137216626733334</v>
          </cell>
          <cell r="AK48">
            <v>21626.049986535636</v>
          </cell>
          <cell r="AL48">
            <v>-1487.236000199453</v>
          </cell>
          <cell r="AM48">
            <v>24279.682835604086</v>
          </cell>
          <cell r="AN48">
            <v>-2032.5695534166516</v>
          </cell>
          <cell r="AO48">
            <v>4041.3796895515247</v>
          </cell>
          <cell r="AP48">
            <v>17.274707118023343</v>
          </cell>
          <cell r="AQ48">
            <v>22230.664735666458</v>
          </cell>
          <cell r="AR48">
            <v>604.61474913082202</v>
          </cell>
          <cell r="AS48">
            <v>25100.764254158807</v>
          </cell>
          <cell r="AT48">
            <v>821.08141855472059</v>
          </cell>
          <cell r="AU48">
            <v>4072.6535799888848</v>
          </cell>
          <cell r="AV48">
            <v>31.273890437360023</v>
          </cell>
          <cell r="AW48">
            <v>22877.684320963894</v>
          </cell>
          <cell r="AX48">
            <v>647.0195852974357</v>
          </cell>
          <cell r="AY48">
            <v>25912.42100243588</v>
          </cell>
          <cell r="AZ48">
            <v>811.65674827707335</v>
          </cell>
        </row>
        <row r="49">
          <cell r="A49">
            <v>2049</v>
          </cell>
          <cell r="B49">
            <v>5476.4560132364204</v>
          </cell>
          <cell r="C49">
            <v>34774.831770080142</v>
          </cell>
          <cell r="D49">
            <v>26960.70893917682</v>
          </cell>
          <cell r="E49">
            <v>5376.4560132364213</v>
          </cell>
          <cell r="F49">
            <v>-99.999999999999091</v>
          </cell>
          <cell r="G49">
            <v>31003.961010422161</v>
          </cell>
          <cell r="H49">
            <v>-3770.8707596579807</v>
          </cell>
          <cell r="I49">
            <v>21647.468790809489</v>
          </cell>
          <cell r="J49">
            <v>-5313.2401483673311</v>
          </cell>
          <cell r="K49">
            <v>5376.4560132364213</v>
          </cell>
          <cell r="L49">
            <v>0</v>
          </cell>
          <cell r="M49">
            <v>31003.961010422161</v>
          </cell>
          <cell r="N49">
            <v>0</v>
          </cell>
          <cell r="O49">
            <v>31508.624911918207</v>
          </cell>
          <cell r="P49">
            <v>9861.1561211087173</v>
          </cell>
          <cell r="Q49">
            <v>3555.8164605212946</v>
          </cell>
          <cell r="R49">
            <v>-1820.6395527151267</v>
          </cell>
          <cell r="S49">
            <v>5686.8260464340128</v>
          </cell>
          <cell r="T49">
            <v>-25317.134963988148</v>
          </cell>
          <cell r="U49">
            <v>1409.3046761429575</v>
          </cell>
          <cell r="V49">
            <v>-30099.320235775249</v>
          </cell>
          <cell r="W49">
            <v>3988.2662697251926</v>
          </cell>
          <cell r="X49">
            <v>432.44980920389798</v>
          </cell>
          <cell r="Y49">
            <v>19982.137397245737</v>
          </cell>
          <cell r="Z49">
            <v>14295.311350811724</v>
          </cell>
          <cell r="AA49">
            <v>21230.216151796554</v>
          </cell>
          <cell r="AB49">
            <v>19820.911475653596</v>
          </cell>
          <cell r="AC49">
            <v>4301.6997858842287</v>
          </cell>
          <cell r="AD49">
            <v>313.43351615903612</v>
          </cell>
          <cell r="AE49">
            <v>27414.985772619319</v>
          </cell>
          <cell r="AF49">
            <v>7432.8483753735818</v>
          </cell>
          <cell r="AG49">
            <v>30757.161114859704</v>
          </cell>
          <cell r="AH49">
            <v>9526.9449630631498</v>
          </cell>
          <cell r="AI49">
            <v>4265.1142217457927</v>
          </cell>
          <cell r="AJ49">
            <v>-36.585564138435984</v>
          </cell>
          <cell r="AK49">
            <v>25891.164208281429</v>
          </cell>
          <cell r="AL49">
            <v>-1523.8215643378899</v>
          </cell>
          <cell r="AM49">
            <v>28653.886590093818</v>
          </cell>
          <cell r="AN49">
            <v>-2103.2745247658859</v>
          </cell>
          <cell r="AO49">
            <v>4282.3889288638165</v>
          </cell>
          <cell r="AP49">
            <v>17.274707118023798</v>
          </cell>
          <cell r="AQ49">
            <v>26513.053664530275</v>
          </cell>
          <cell r="AR49">
            <v>621.88945624884582</v>
          </cell>
          <cell r="AS49">
            <v>29506.029603073388</v>
          </cell>
          <cell r="AT49">
            <v>852.1430129795699</v>
          </cell>
          <cell r="AU49">
            <v>4314.2918209611971</v>
          </cell>
          <cell r="AV49">
            <v>31.902892097380573</v>
          </cell>
          <cell r="AW49">
            <v>27191.97614192509</v>
          </cell>
          <cell r="AX49">
            <v>678.92247739481536</v>
          </cell>
          <cell r="AY49">
            <v>30363.217879862506</v>
          </cell>
          <cell r="AZ49">
            <v>857.18827678911839</v>
          </cell>
        </row>
        <row r="50">
          <cell r="A50">
            <v>2050</v>
          </cell>
          <cell r="B50">
            <v>6036.6445528358954</v>
          </cell>
          <cell r="C50">
            <v>40811.476322916038</v>
          </cell>
          <cell r="D50">
            <v>33130.065866942256</v>
          </cell>
          <cell r="E50">
            <v>5936.6445528358954</v>
          </cell>
          <cell r="F50">
            <v>-100</v>
          </cell>
          <cell r="G50">
            <v>36940.605563258054</v>
          </cell>
          <cell r="H50">
            <v>-3870.8707596579843</v>
          </cell>
          <cell r="I50">
            <v>27627.327624543319</v>
          </cell>
          <cell r="J50">
            <v>-5502.7382423989366</v>
          </cell>
          <cell r="K50">
            <v>5936.6445528358954</v>
          </cell>
          <cell r="L50">
            <v>0</v>
          </cell>
          <cell r="M50">
            <v>36940.605563258054</v>
          </cell>
          <cell r="N50">
            <v>0</v>
          </cell>
          <cell r="O50">
            <v>37674.255705225121</v>
          </cell>
          <cell r="P50">
            <v>10046.928080681802</v>
          </cell>
          <cell r="Q50">
            <v>4100.8525195281172</v>
          </cell>
          <cell r="R50">
            <v>-1835.7920333077782</v>
          </cell>
          <cell r="S50">
            <v>9787.678565962131</v>
          </cell>
          <cell r="T50">
            <v>-27152.926997295923</v>
          </cell>
          <cell r="U50">
            <v>5231.5911634087352</v>
          </cell>
          <cell r="V50">
            <v>-32442.664541816386</v>
          </cell>
          <cell r="W50">
            <v>4531.6462373230424</v>
          </cell>
          <cell r="X50">
            <v>430.79371779492521</v>
          </cell>
          <cell r="Y50">
            <v>24513.783634568779</v>
          </cell>
          <cell r="Z50">
            <v>14726.105068606648</v>
          </cell>
          <cell r="AA50">
            <v>25816.906902324146</v>
          </cell>
          <cell r="AB50">
            <v>20585.315738915411</v>
          </cell>
          <cell r="AC50">
            <v>4845.9475167017245</v>
          </cell>
          <cell r="AD50">
            <v>314.30127937868201</v>
          </cell>
          <cell r="AE50">
            <v>32260.933289321045</v>
          </cell>
          <cell r="AF50">
            <v>7747.1496547522656</v>
          </cell>
          <cell r="AG50">
            <v>35818.806288427055</v>
          </cell>
          <cell r="AH50">
            <v>10001.899386102908</v>
          </cell>
          <cell r="AI50">
            <v>4809.7246042309316</v>
          </cell>
          <cell r="AJ50">
            <v>-36.222912470792835</v>
          </cell>
          <cell r="AK50">
            <v>30700.888812512359</v>
          </cell>
          <cell r="AL50">
            <v>-1560.0444768086854</v>
          </cell>
          <cell r="AM50">
            <v>33643.966938538979</v>
          </cell>
          <cell r="AN50">
            <v>-2174.839349888076</v>
          </cell>
          <cell r="AO50">
            <v>4826.9993113489554</v>
          </cell>
          <cell r="AP50">
            <v>17.274707118023798</v>
          </cell>
          <cell r="AQ50">
            <v>31340.052975879229</v>
          </cell>
          <cell r="AR50">
            <v>639.16416336686962</v>
          </cell>
          <cell r="AS50">
            <v>34527.693105306724</v>
          </cell>
          <cell r="AT50">
            <v>883.72616676774487</v>
          </cell>
          <cell r="AU50">
            <v>4859.5219095153216</v>
          </cell>
          <cell r="AV50">
            <v>32.522598166366151</v>
          </cell>
          <cell r="AW50">
            <v>32051.498051440412</v>
          </cell>
          <cell r="AX50">
            <v>711.44507556118333</v>
          </cell>
          <cell r="AY50">
            <v>35431.797142628049</v>
          </cell>
          <cell r="AZ50">
            <v>904.10403732132545</v>
          </cell>
        </row>
      </sheetData>
      <sheetData sheetId="10">
        <row r="9">
          <cell r="A9">
            <v>2009</v>
          </cell>
          <cell r="D9">
            <v>42040</v>
          </cell>
          <cell r="I9">
            <v>42040</v>
          </cell>
          <cell r="J9">
            <v>0</v>
          </cell>
          <cell r="O9">
            <v>42040</v>
          </cell>
          <cell r="P9">
            <v>0</v>
          </cell>
          <cell r="U9">
            <v>42040</v>
          </cell>
          <cell r="V9">
            <v>0</v>
          </cell>
          <cell r="AA9">
            <v>42040</v>
          </cell>
          <cell r="AB9">
            <v>0</v>
          </cell>
          <cell r="AG9">
            <v>42040</v>
          </cell>
          <cell r="AH9">
            <v>0</v>
          </cell>
          <cell r="AM9">
            <v>42040</v>
          </cell>
          <cell r="AN9">
            <v>0</v>
          </cell>
          <cell r="AS9">
            <v>42040</v>
          </cell>
          <cell r="AT9">
            <v>0</v>
          </cell>
          <cell r="AY9">
            <v>42040</v>
          </cell>
          <cell r="AZ9">
            <v>0</v>
          </cell>
        </row>
        <row r="10">
          <cell r="A10">
            <v>2010</v>
          </cell>
          <cell r="B10">
            <v>-705.86444697792263</v>
          </cell>
          <cell r="C10">
            <v>-705.86444697792263</v>
          </cell>
          <cell r="D10">
            <v>41465.059877436208</v>
          </cell>
          <cell r="E10">
            <v>-705.86444697792263</v>
          </cell>
          <cell r="F10">
            <v>0</v>
          </cell>
          <cell r="G10">
            <v>-705.86444697792263</v>
          </cell>
          <cell r="H10">
            <v>0</v>
          </cell>
          <cell r="I10">
            <v>41465.059877436208</v>
          </cell>
          <cell r="J10">
            <v>0</v>
          </cell>
          <cell r="K10">
            <v>-705.86444697792263</v>
          </cell>
          <cell r="L10">
            <v>0</v>
          </cell>
          <cell r="M10">
            <v>-705.86444697792263</v>
          </cell>
          <cell r="N10">
            <v>0</v>
          </cell>
          <cell r="O10">
            <v>41465.059877436208</v>
          </cell>
          <cell r="P10">
            <v>0</v>
          </cell>
          <cell r="Q10">
            <v>-705.86444697792263</v>
          </cell>
          <cell r="R10">
            <v>0</v>
          </cell>
          <cell r="S10">
            <v>-705.86444697792263</v>
          </cell>
          <cell r="T10">
            <v>0</v>
          </cell>
          <cell r="U10">
            <v>41465.059877436208</v>
          </cell>
          <cell r="V10">
            <v>0</v>
          </cell>
          <cell r="W10">
            <v>-705.86444697792285</v>
          </cell>
          <cell r="X10">
            <v>0</v>
          </cell>
          <cell r="Y10">
            <v>-705.86444697792285</v>
          </cell>
          <cell r="Z10">
            <v>0</v>
          </cell>
          <cell r="AA10">
            <v>41465.059877436208</v>
          </cell>
          <cell r="AB10">
            <v>0</v>
          </cell>
          <cell r="AC10">
            <v>-705.86444697792285</v>
          </cell>
          <cell r="AD10">
            <v>0</v>
          </cell>
          <cell r="AE10">
            <v>-705.86444697792285</v>
          </cell>
          <cell r="AF10">
            <v>0</v>
          </cell>
          <cell r="AG10">
            <v>41465.059877436208</v>
          </cell>
          <cell r="AH10">
            <v>0</v>
          </cell>
          <cell r="AI10">
            <v>-705.86444697792285</v>
          </cell>
          <cell r="AJ10">
            <v>0</v>
          </cell>
          <cell r="AK10">
            <v>-705.86444697792285</v>
          </cell>
          <cell r="AL10">
            <v>0</v>
          </cell>
          <cell r="AM10">
            <v>41465.059877436208</v>
          </cell>
          <cell r="AN10">
            <v>0</v>
          </cell>
          <cell r="AO10">
            <v>-705.86444697792285</v>
          </cell>
          <cell r="AP10">
            <v>0</v>
          </cell>
          <cell r="AQ10">
            <v>-705.86444697792285</v>
          </cell>
          <cell r="AR10">
            <v>0</v>
          </cell>
          <cell r="AS10">
            <v>41465.059877436208</v>
          </cell>
          <cell r="AT10">
            <v>0</v>
          </cell>
          <cell r="AU10">
            <v>-705.86444697792285</v>
          </cell>
          <cell r="AV10">
            <v>0</v>
          </cell>
          <cell r="AW10">
            <v>-705.86444697792285</v>
          </cell>
          <cell r="AX10">
            <v>0</v>
          </cell>
          <cell r="AY10">
            <v>41465.059877436208</v>
          </cell>
          <cell r="AZ10">
            <v>0</v>
          </cell>
        </row>
        <row r="11">
          <cell r="A11">
            <v>2011</v>
          </cell>
          <cell r="B11">
            <v>-1317.4429536826049</v>
          </cell>
          <cell r="C11">
            <v>-2023.3074006605275</v>
          </cell>
          <cell r="D11">
            <v>40133.633094637997</v>
          </cell>
          <cell r="E11">
            <v>-1423.9497779526048</v>
          </cell>
          <cell r="F11">
            <v>-106.50682426999992</v>
          </cell>
          <cell r="G11">
            <v>-2129.8142249305274</v>
          </cell>
          <cell r="H11">
            <v>-106.50682426999992</v>
          </cell>
          <cell r="I11">
            <v>40015.118795905531</v>
          </cell>
          <cell r="J11">
            <v>-118.51429873246525</v>
          </cell>
          <cell r="K11">
            <v>-1423.9497779526048</v>
          </cell>
          <cell r="L11">
            <v>0</v>
          </cell>
          <cell r="M11">
            <v>-2129.8142249305274</v>
          </cell>
          <cell r="N11">
            <v>0</v>
          </cell>
          <cell r="O11">
            <v>40015.118795905531</v>
          </cell>
          <cell r="P11">
            <v>0</v>
          </cell>
          <cell r="Q11">
            <v>-1428.8376980042151</v>
          </cell>
          <cell r="R11">
            <v>-4.8879200516103083</v>
          </cell>
          <cell r="S11">
            <v>-2134.7021449821377</v>
          </cell>
          <cell r="T11">
            <v>-4.8879200516103083</v>
          </cell>
          <cell r="U11">
            <v>40010.230875853915</v>
          </cell>
          <cell r="V11">
            <v>-4.8879200516166748</v>
          </cell>
          <cell r="W11">
            <v>-1381.7570620166807</v>
          </cell>
          <cell r="X11">
            <v>47.080635987534379</v>
          </cell>
          <cell r="Y11">
            <v>-2087.6215089946036</v>
          </cell>
          <cell r="Z11">
            <v>47.080635987534151</v>
          </cell>
          <cell r="AA11">
            <v>40057.31151184145</v>
          </cell>
          <cell r="AB11">
            <v>47.080635987535061</v>
          </cell>
          <cell r="AC11">
            <v>-1381.7570620166807</v>
          </cell>
          <cell r="AD11">
            <v>0</v>
          </cell>
          <cell r="AE11">
            <v>-2087.6215089946036</v>
          </cell>
          <cell r="AF11">
            <v>0</v>
          </cell>
          <cell r="AG11">
            <v>40057.31151184145</v>
          </cell>
          <cell r="AH11">
            <v>0</v>
          </cell>
          <cell r="AI11">
            <v>-1381.7570620166807</v>
          </cell>
          <cell r="AJ11">
            <v>0</v>
          </cell>
          <cell r="AK11">
            <v>-2087.6215089946036</v>
          </cell>
          <cell r="AL11">
            <v>0</v>
          </cell>
          <cell r="AM11">
            <v>40057.31151184145</v>
          </cell>
          <cell r="AN11">
            <v>0</v>
          </cell>
          <cell r="AO11">
            <v>-1381.7570620166807</v>
          </cell>
          <cell r="AP11">
            <v>0</v>
          </cell>
          <cell r="AQ11">
            <v>-2087.6215089946036</v>
          </cell>
          <cell r="AR11">
            <v>0</v>
          </cell>
          <cell r="AS11">
            <v>40057.31151184145</v>
          </cell>
          <cell r="AT11">
            <v>0</v>
          </cell>
          <cell r="AU11">
            <v>-1381.7570620166807</v>
          </cell>
          <cell r="AV11">
            <v>0</v>
          </cell>
          <cell r="AW11">
            <v>-2087.6215089946036</v>
          </cell>
          <cell r="AX11">
            <v>0</v>
          </cell>
          <cell r="AY11">
            <v>40057.31151184145</v>
          </cell>
          <cell r="AZ11">
            <v>0</v>
          </cell>
        </row>
        <row r="12">
          <cell r="A12">
            <v>2012</v>
          </cell>
          <cell r="B12">
            <v>-1126.5654674409975</v>
          </cell>
          <cell r="C12">
            <v>-3149.872868101525</v>
          </cell>
          <cell r="D12">
            <v>38935.990859943988</v>
          </cell>
          <cell r="E12">
            <v>-1428.5065971176678</v>
          </cell>
          <cell r="F12">
            <v>-301.94112967667024</v>
          </cell>
          <cell r="G12">
            <v>-3558.3208220481952</v>
          </cell>
          <cell r="H12">
            <v>-408.44795394667017</v>
          </cell>
          <cell r="I12">
            <v>38491.33492072513</v>
          </cell>
          <cell r="J12">
            <v>-444.65593921885738</v>
          </cell>
          <cell r="K12">
            <v>-1428.5065971176678</v>
          </cell>
          <cell r="L12">
            <v>0</v>
          </cell>
          <cell r="M12">
            <v>-3558.3208220481952</v>
          </cell>
          <cell r="N12">
            <v>0</v>
          </cell>
          <cell r="O12">
            <v>38491.33492072513</v>
          </cell>
          <cell r="P12">
            <v>0</v>
          </cell>
          <cell r="Q12">
            <v>-1436.5132768888634</v>
          </cell>
          <cell r="R12">
            <v>-8.0066797711956497</v>
          </cell>
          <cell r="S12">
            <v>-3571.2154218710011</v>
          </cell>
          <cell r="T12">
            <v>-12.894599822805958</v>
          </cell>
          <cell r="U12">
            <v>38477.286624344553</v>
          </cell>
          <cell r="V12">
            <v>-14.048296380577085</v>
          </cell>
          <cell r="W12">
            <v>-1479.517647767173</v>
          </cell>
          <cell r="X12">
            <v>-43.004370878309601</v>
          </cell>
          <cell r="Y12">
            <v>-3567.1391567617766</v>
          </cell>
          <cell r="Z12">
            <v>4.0762651092245505</v>
          </cell>
          <cell r="AA12">
            <v>38456.491115867713</v>
          </cell>
          <cell r="AB12">
            <v>-20.795508476840041</v>
          </cell>
          <cell r="AC12">
            <v>-1477.6327876077928</v>
          </cell>
          <cell r="AD12">
            <v>1.8848601593801959</v>
          </cell>
          <cell r="AE12">
            <v>-3565.2542966023966</v>
          </cell>
          <cell r="AF12">
            <v>1.8848601593799685</v>
          </cell>
          <cell r="AG12">
            <v>38458.287121513822</v>
          </cell>
          <cell r="AH12">
            <v>1.7960056461088243</v>
          </cell>
          <cell r="AI12">
            <v>-1478.9824483577909</v>
          </cell>
          <cell r="AJ12">
            <v>-1.3496607499980655</v>
          </cell>
          <cell r="AK12">
            <v>-3566.6039573523944</v>
          </cell>
          <cell r="AL12">
            <v>-1.3496607499978381</v>
          </cell>
          <cell r="AM12">
            <v>38456.937460763816</v>
          </cell>
          <cell r="AN12">
            <v>-1.3496607500055688</v>
          </cell>
          <cell r="AO12">
            <v>-1478.9824483577909</v>
          </cell>
          <cell r="AP12">
            <v>0</v>
          </cell>
          <cell r="AQ12">
            <v>-3566.6039573523944</v>
          </cell>
          <cell r="AR12">
            <v>0</v>
          </cell>
          <cell r="AS12">
            <v>38456.937460763816</v>
          </cell>
          <cell r="AT12">
            <v>0</v>
          </cell>
          <cell r="AU12">
            <v>-1474.8605987416645</v>
          </cell>
          <cell r="AV12">
            <v>4.1218496161263829</v>
          </cell>
          <cell r="AW12">
            <v>-3562.4821077362681</v>
          </cell>
          <cell r="AX12">
            <v>4.1218496161263829</v>
          </cell>
          <cell r="AY12">
            <v>38461.059310379947</v>
          </cell>
          <cell r="AZ12">
            <v>4.1218496161309304</v>
          </cell>
        </row>
        <row r="13">
          <cell r="A13">
            <v>2013</v>
          </cell>
          <cell r="B13">
            <v>-724.75159715072141</v>
          </cell>
          <cell r="C13">
            <v>-3874.6244652522464</v>
          </cell>
          <cell r="D13">
            <v>38071.29676947822</v>
          </cell>
          <cell r="E13">
            <v>-1221.0145407490543</v>
          </cell>
          <cell r="F13">
            <v>-496.26294359833287</v>
          </cell>
          <cell r="G13">
            <v>-4779.3353627972492</v>
          </cell>
          <cell r="H13">
            <v>-904.71089754500281</v>
          </cell>
          <cell r="I13">
            <v>37100.500897493628</v>
          </cell>
          <cell r="J13">
            <v>-970.79587198459194</v>
          </cell>
          <cell r="K13">
            <v>-1221.0145407490543</v>
          </cell>
          <cell r="L13">
            <v>0</v>
          </cell>
          <cell r="M13">
            <v>-4779.3353627972492</v>
          </cell>
          <cell r="N13">
            <v>0</v>
          </cell>
          <cell r="O13">
            <v>43939.983647558489</v>
          </cell>
          <cell r="P13">
            <v>6839.4827500648607</v>
          </cell>
          <cell r="Q13">
            <v>-1241.4418747084937</v>
          </cell>
          <cell r="R13">
            <v>-20.427333959439466</v>
          </cell>
          <cell r="S13">
            <v>-4812.6572965794949</v>
          </cell>
          <cell r="T13">
            <v>-33.321933782245651</v>
          </cell>
          <cell r="U13">
            <v>43905.088009007042</v>
          </cell>
          <cell r="V13">
            <v>-34.895638551446609</v>
          </cell>
          <cell r="W13">
            <v>-1285.7730958558532</v>
          </cell>
          <cell r="X13">
            <v>-44.331221147359429</v>
          </cell>
          <cell r="Y13">
            <v>-4852.9122526176297</v>
          </cell>
          <cell r="Z13">
            <v>-40.254956038134878</v>
          </cell>
          <cell r="AA13">
            <v>43854.166944526281</v>
          </cell>
          <cell r="AB13">
            <v>-50.921064480760833</v>
          </cell>
          <cell r="AC13">
            <v>-1282.5708120236118</v>
          </cell>
          <cell r="AD13">
            <v>3.2022838322413918</v>
          </cell>
          <cell r="AE13">
            <v>-4847.8251086260079</v>
          </cell>
          <cell r="AF13">
            <v>5.0871439916218151</v>
          </cell>
          <cell r="AG13">
            <v>43859.141247914245</v>
          </cell>
          <cell r="AH13">
            <v>4.9743033879640279</v>
          </cell>
          <cell r="AI13">
            <v>-1285.3164811241093</v>
          </cell>
          <cell r="AJ13">
            <v>-2.74566910049748</v>
          </cell>
          <cell r="AK13">
            <v>-4851.9204384765035</v>
          </cell>
          <cell r="AL13">
            <v>-4.0953298504955455</v>
          </cell>
          <cell r="AM13">
            <v>43855.023255730579</v>
          </cell>
          <cell r="AN13">
            <v>-4.1179921836665017</v>
          </cell>
          <cell r="AO13">
            <v>-1258.8491239447371</v>
          </cell>
          <cell r="AP13">
            <v>26.467357179372129</v>
          </cell>
          <cell r="AQ13">
            <v>-4825.4530812971316</v>
          </cell>
          <cell r="AR13">
            <v>26.467357179371902</v>
          </cell>
          <cell r="AS13">
            <v>43881.490612909955</v>
          </cell>
          <cell r="AT13">
            <v>26.46735717937554</v>
          </cell>
          <cell r="AU13">
            <v>-1250.6639985610007</v>
          </cell>
          <cell r="AV13">
            <v>8.1851253837364766</v>
          </cell>
          <cell r="AW13">
            <v>-4813.1461062972685</v>
          </cell>
          <cell r="AX13">
            <v>12.306974999863087</v>
          </cell>
          <cell r="AY13">
            <v>43893.866798434952</v>
          </cell>
          <cell r="AZ13">
            <v>12.376185524997709</v>
          </cell>
        </row>
        <row r="14">
          <cell r="A14">
            <v>2014</v>
          </cell>
          <cell r="B14">
            <v>-470.18336464841434</v>
          </cell>
          <cell r="C14">
            <v>-4344.8078299006611</v>
          </cell>
          <cell r="D14">
            <v>37406.900669561226</v>
          </cell>
          <cell r="E14">
            <v>-1160.7681221684165</v>
          </cell>
          <cell r="F14">
            <v>-690.5847575200022</v>
          </cell>
          <cell r="G14">
            <v>-5940.1034849656662</v>
          </cell>
          <cell r="H14">
            <v>-1595.2956550650051</v>
          </cell>
          <cell r="I14">
            <v>35706.484806926026</v>
          </cell>
          <cell r="J14">
            <v>-1700.4158626352</v>
          </cell>
          <cell r="K14">
            <v>-1160.7681221684165</v>
          </cell>
          <cell r="L14">
            <v>0</v>
          </cell>
          <cell r="M14">
            <v>-5940.1034849656662</v>
          </cell>
          <cell r="N14">
            <v>0</v>
          </cell>
          <cell r="O14">
            <v>42940.270377720328</v>
          </cell>
          <cell r="P14">
            <v>7233.7855707943017</v>
          </cell>
          <cell r="Q14">
            <v>-1197.644077357676</v>
          </cell>
          <cell r="R14">
            <v>-36.875955189259457</v>
          </cell>
          <cell r="S14">
            <v>-6010.3013739371709</v>
          </cell>
          <cell r="T14">
            <v>-70.197888971504653</v>
          </cell>
          <cell r="U14">
            <v>42866.840427193485</v>
          </cell>
          <cell r="V14">
            <v>-73.429950526842731</v>
          </cell>
          <cell r="W14">
            <v>-1244.1178154034387</v>
          </cell>
          <cell r="X14">
            <v>-46.47373804576273</v>
          </cell>
          <cell r="Y14">
            <v>-6097.0300680210685</v>
          </cell>
          <cell r="Z14">
            <v>-86.728694083897608</v>
          </cell>
          <cell r="AA14">
            <v>42768.153758794389</v>
          </cell>
          <cell r="AB14">
            <v>-98.686668399095652</v>
          </cell>
          <cell r="AC14">
            <v>-1240.5235048746874</v>
          </cell>
          <cell r="AD14">
            <v>3.5943105287512935</v>
          </cell>
          <cell r="AE14">
            <v>-6088.3486135006951</v>
          </cell>
          <cell r="AF14">
            <v>8.681454520373336</v>
          </cell>
          <cell r="AG14">
            <v>42776.632681750307</v>
          </cell>
          <cell r="AH14">
            <v>8.4789229559173691</v>
          </cell>
          <cell r="AI14">
            <v>-1244.5612684726452</v>
          </cell>
          <cell r="AJ14">
            <v>-4.0377635979577917</v>
          </cell>
          <cell r="AK14">
            <v>-6096.4817069491492</v>
          </cell>
          <cell r="AL14">
            <v>-8.1330934484540194</v>
          </cell>
          <cell r="AM14">
            <v>42768.407780214213</v>
          </cell>
          <cell r="AN14">
            <v>-8.2249015360939666</v>
          </cell>
          <cell r="AO14">
            <v>-1191.6265541139085</v>
          </cell>
          <cell r="AP14">
            <v>52.934714358736755</v>
          </cell>
          <cell r="AQ14">
            <v>-6017.0796354110398</v>
          </cell>
          <cell r="AR14">
            <v>79.40207153810934</v>
          </cell>
          <cell r="AS14">
            <v>42848.254268667013</v>
          </cell>
          <cell r="AT14">
            <v>79.846488452800259</v>
          </cell>
          <cell r="AU14">
            <v>-1179.4393627551603</v>
          </cell>
          <cell r="AV14">
            <v>12.187191358748123</v>
          </cell>
          <cell r="AW14">
            <v>-5992.5854690524284</v>
          </cell>
          <cell r="AX14">
            <v>24.494166358611437</v>
          </cell>
          <cell r="AY14">
            <v>42873.025455728006</v>
          </cell>
          <cell r="AZ14">
            <v>24.771187060992816</v>
          </cell>
        </row>
        <row r="15">
          <cell r="A15">
            <v>2015</v>
          </cell>
          <cell r="B15">
            <v>-280.90161092255545</v>
          </cell>
          <cell r="C15">
            <v>-4625.7094408232169</v>
          </cell>
          <cell r="D15">
            <v>36916.605438225241</v>
          </cell>
          <cell r="E15">
            <v>-1165.8081823642131</v>
          </cell>
          <cell r="F15">
            <v>-884.90657144165766</v>
          </cell>
          <cell r="G15">
            <v>-7105.9116673298795</v>
          </cell>
          <cell r="H15">
            <v>-2480.2022265066626</v>
          </cell>
          <cell r="I15">
            <v>34279.672866338784</v>
          </cell>
          <cell r="J15">
            <v>-2636.9325718864566</v>
          </cell>
          <cell r="K15">
            <v>-1165.8081823642131</v>
          </cell>
          <cell r="L15">
            <v>0</v>
          </cell>
          <cell r="M15">
            <v>-7105.9116673298795</v>
          </cell>
          <cell r="N15">
            <v>0</v>
          </cell>
          <cell r="O15">
            <v>41919.826633671488</v>
          </cell>
          <cell r="P15">
            <v>7640.1537673327039</v>
          </cell>
          <cell r="Q15">
            <v>-1225.4412487599045</v>
          </cell>
          <cell r="R15">
            <v>-59.633066395691458</v>
          </cell>
          <cell r="S15">
            <v>-7235.7426226970756</v>
          </cell>
          <cell r="T15">
            <v>-129.83095536719611</v>
          </cell>
          <cell r="U15">
            <v>41783.91438195981</v>
          </cell>
          <cell r="V15">
            <v>-135.91225171167753</v>
          </cell>
          <cell r="W15">
            <v>-1274.173301728757</v>
          </cell>
          <cell r="X15">
            <v>-48.732052968852486</v>
          </cell>
          <cell r="Y15">
            <v>-7371.2033697498255</v>
          </cell>
          <cell r="Z15">
            <v>-135.46074705274987</v>
          </cell>
          <cell r="AA15">
            <v>41634.39408576666</v>
          </cell>
          <cell r="AB15">
            <v>-149.52029619314999</v>
          </cell>
          <cell r="AC15">
            <v>-1270.9177916112583</v>
          </cell>
          <cell r="AD15">
            <v>3.2555101174987158</v>
          </cell>
          <cell r="AE15">
            <v>-7359.2664051119536</v>
          </cell>
          <cell r="AF15">
            <v>11.936964637871824</v>
          </cell>
          <cell r="AG15">
            <v>41646.030447595425</v>
          </cell>
          <cell r="AH15">
            <v>11.636361828765075</v>
          </cell>
          <cell r="AI15">
            <v>-1276.1159634641738</v>
          </cell>
          <cell r="AJ15">
            <v>-5.1981718529154932</v>
          </cell>
          <cell r="AK15">
            <v>-7372.5976704133227</v>
          </cell>
          <cell r="AL15">
            <v>-13.331265301369058</v>
          </cell>
          <cell r="AM15">
            <v>41632.469268790774</v>
          </cell>
          <cell r="AN15">
            <v>-13.561178804651718</v>
          </cell>
          <cell r="AO15">
            <v>-1196.7138919260653</v>
          </cell>
          <cell r="AP15">
            <v>79.40207153810843</v>
          </cell>
          <cell r="AQ15">
            <v>-7213.7935273371049</v>
          </cell>
          <cell r="AR15">
            <v>158.80414307621777</v>
          </cell>
          <cell r="AS15">
            <v>41793.058541789273</v>
          </cell>
          <cell r="AT15">
            <v>160.58927299849893</v>
          </cell>
          <cell r="AU15">
            <v>-1180.5837784244525</v>
          </cell>
          <cell r="AV15">
            <v>16.130113501612868</v>
          </cell>
          <cell r="AW15">
            <v>-7173.1692474768806</v>
          </cell>
          <cell r="AX15">
            <v>40.624279860224306</v>
          </cell>
          <cell r="AY15">
            <v>41834.375778648508</v>
          </cell>
          <cell r="AZ15">
            <v>41.317236859234981</v>
          </cell>
        </row>
        <row r="16">
          <cell r="A16">
            <v>2016</v>
          </cell>
          <cell r="B16">
            <v>42.407290741151655</v>
          </cell>
          <cell r="C16">
            <v>-4583.3021500820651</v>
          </cell>
          <cell r="D16">
            <v>36719.360707949134</v>
          </cell>
          <cell r="E16">
            <v>-1036.8210946221827</v>
          </cell>
          <cell r="F16">
            <v>-1079.2283853633344</v>
          </cell>
          <cell r="G16">
            <v>-8142.732761952062</v>
          </cell>
          <cell r="H16">
            <v>-3559.4306118699969</v>
          </cell>
          <cell r="I16">
            <v>32935.540677890458</v>
          </cell>
          <cell r="J16">
            <v>-3783.8200300586759</v>
          </cell>
          <cell r="K16">
            <v>-1036.8210946221827</v>
          </cell>
          <cell r="L16">
            <v>0</v>
          </cell>
          <cell r="M16">
            <v>-8142.732761952062</v>
          </cell>
          <cell r="N16">
            <v>0</v>
          </cell>
          <cell r="O16">
            <v>40982.642009094525</v>
          </cell>
          <cell r="P16">
            <v>8047.1013312040668</v>
          </cell>
          <cell r="Q16">
            <v>-1112.2507877942894</v>
          </cell>
          <cell r="R16">
            <v>-75.429693172106681</v>
          </cell>
          <cell r="S16">
            <v>-8347.9934104913646</v>
          </cell>
          <cell r="T16">
            <v>-205.26064853930257</v>
          </cell>
          <cell r="U16">
            <v>40767.632657033442</v>
          </cell>
          <cell r="V16">
            <v>-215.00935206108261</v>
          </cell>
          <cell r="W16">
            <v>-1162.9422221311283</v>
          </cell>
          <cell r="X16">
            <v>-50.691434336838938</v>
          </cell>
          <cell r="Y16">
            <v>-8534.1455918809534</v>
          </cell>
          <cell r="Z16">
            <v>-186.1521813895888</v>
          </cell>
          <cell r="AA16">
            <v>40564.469058362643</v>
          </cell>
          <cell r="AB16">
            <v>-203.16359867079882</v>
          </cell>
          <cell r="AC16">
            <v>-1160.5316744093602</v>
          </cell>
          <cell r="AD16">
            <v>2.4105477217681255</v>
          </cell>
          <cell r="AE16">
            <v>-8519.7980795213134</v>
          </cell>
          <cell r="AF16">
            <v>14.34751235963995</v>
          </cell>
          <cell r="AG16">
            <v>40578.418757889245</v>
          </cell>
          <cell r="AH16">
            <v>13.949699526601762</v>
          </cell>
          <cell r="AI16">
            <v>-1166.7905330957126</v>
          </cell>
          <cell r="AJ16">
            <v>-6.2588586863523687</v>
          </cell>
          <cell r="AK16">
            <v>-8539.3882035090355</v>
          </cell>
          <cell r="AL16">
            <v>-19.590123987722109</v>
          </cell>
          <cell r="AM16">
            <v>40558.37101284122</v>
          </cell>
          <cell r="AN16">
            <v>-20.047745048024808</v>
          </cell>
          <cell r="AO16">
            <v>-1087.3884615576037</v>
          </cell>
          <cell r="AP16">
            <v>79.402071538108885</v>
          </cell>
          <cell r="AQ16">
            <v>-8301.1819888947084</v>
          </cell>
          <cell r="AR16">
            <v>238.20621461432711</v>
          </cell>
          <cell r="AS16">
            <v>40801.058833219919</v>
          </cell>
          <cell r="AT16">
            <v>242.68782037869823</v>
          </cell>
          <cell r="AU16">
            <v>-1067.3736956984844</v>
          </cell>
          <cell r="AV16">
            <v>20.014765859119279</v>
          </cell>
          <cell r="AW16">
            <v>-8240.5429431753655</v>
          </cell>
          <cell r="AX16">
            <v>60.639045719342903</v>
          </cell>
          <cell r="AY16">
            <v>40863.084599157766</v>
          </cell>
          <cell r="AZ16">
            <v>62.025765937847609</v>
          </cell>
        </row>
        <row r="17">
          <cell r="A17">
            <v>2017</v>
          </cell>
          <cell r="B17">
            <v>722.60272796459913</v>
          </cell>
          <cell r="C17">
            <v>-3860.6994221174659</v>
          </cell>
          <cell r="D17">
            <v>37204.79767500177</v>
          </cell>
          <cell r="E17">
            <v>-550.94747132041221</v>
          </cell>
          <cell r="F17">
            <v>-1273.5501992850113</v>
          </cell>
          <cell r="G17">
            <v>-8693.6802332724747</v>
          </cell>
          <cell r="H17">
            <v>-4832.9808111550083</v>
          </cell>
          <cell r="I17">
            <v>32060.187074624424</v>
          </cell>
          <cell r="J17">
            <v>-5144.6106003773457</v>
          </cell>
          <cell r="K17">
            <v>-550.94747132041221</v>
          </cell>
          <cell r="L17">
            <v>0</v>
          </cell>
          <cell r="M17">
            <v>-8693.6802332724747</v>
          </cell>
          <cell r="N17">
            <v>0</v>
          </cell>
          <cell r="O17">
            <v>40491.224426933673</v>
          </cell>
          <cell r="P17">
            <v>8431.0373523092494</v>
          </cell>
          <cell r="Q17">
            <v>-642.35755164359853</v>
          </cell>
          <cell r="R17">
            <v>-91.410080323186321</v>
          </cell>
          <cell r="S17">
            <v>-8990.3509621349622</v>
          </cell>
          <cell r="T17">
            <v>-296.67072886248752</v>
          </cell>
          <cell r="U17">
            <v>40179.776622103738</v>
          </cell>
          <cell r="V17">
            <v>-311.44780482993519</v>
          </cell>
          <cell r="W17">
            <v>-694.57943134278776</v>
          </cell>
          <cell r="X17">
            <v>-52.22187969918923</v>
          </cell>
          <cell r="Y17">
            <v>-9228.725023223742</v>
          </cell>
          <cell r="Z17">
            <v>-238.37406108877985</v>
          </cell>
          <cell r="AA17">
            <v>39920.570362233098</v>
          </cell>
          <cell r="AB17">
            <v>-259.20625987063977</v>
          </cell>
          <cell r="AC17">
            <v>-693.37179859641674</v>
          </cell>
          <cell r="AD17">
            <v>1.2076327463710186</v>
          </cell>
          <cell r="AE17">
            <v>-9213.1698781177292</v>
          </cell>
          <cell r="AF17">
            <v>15.555145106012787</v>
          </cell>
          <cell r="AG17">
            <v>39935.629106590597</v>
          </cell>
          <cell r="AH17">
            <v>15.058744357498654</v>
          </cell>
          <cell r="AI17">
            <v>-700.54590377686509</v>
          </cell>
          <cell r="AJ17">
            <v>-7.1741051804483504</v>
          </cell>
          <cell r="AK17">
            <v>-9239.9341072859006</v>
          </cell>
          <cell r="AL17">
            <v>-26.764229168171369</v>
          </cell>
          <cell r="AM17">
            <v>39908.070632008574</v>
          </cell>
          <cell r="AN17">
            <v>-27.558474582023337</v>
          </cell>
          <cell r="AO17">
            <v>-621.1438322387562</v>
          </cell>
          <cell r="AP17">
            <v>79.402071538108885</v>
          </cell>
          <cell r="AQ17">
            <v>-8922.3258211334651</v>
          </cell>
          <cell r="AR17">
            <v>317.60828615243554</v>
          </cell>
          <cell r="AS17">
            <v>40234.235527396027</v>
          </cell>
          <cell r="AT17">
            <v>326.16489538745373</v>
          </cell>
          <cell r="AU17">
            <v>-597.3018226776652</v>
          </cell>
          <cell r="AV17">
            <v>23.842009561091004</v>
          </cell>
          <cell r="AW17">
            <v>-8837.8447658530313</v>
          </cell>
          <cell r="AX17">
            <v>84.481055280433793</v>
          </cell>
          <cell r="AY17">
            <v>40321.144785780562</v>
          </cell>
          <cell r="AZ17">
            <v>86.909258384534041</v>
          </cell>
        </row>
        <row r="18">
          <cell r="A18">
            <v>2018</v>
          </cell>
          <cell r="B18">
            <v>1183.0427888392569</v>
          </cell>
          <cell r="C18">
            <v>-2677.656633278209</v>
          </cell>
          <cell r="D18">
            <v>38124.109845842911</v>
          </cell>
          <cell r="E18">
            <v>-77.960084477412238</v>
          </cell>
          <cell r="F18">
            <v>-1261.0028733166691</v>
          </cell>
          <cell r="G18">
            <v>-8771.6403177498869</v>
          </cell>
          <cell r="H18">
            <v>-6093.9836844716774</v>
          </cell>
          <cell r="I18">
            <v>31631.405250356158</v>
          </cell>
          <cell r="J18">
            <v>-6492.7045954867535</v>
          </cell>
          <cell r="K18">
            <v>-77.960084477412238</v>
          </cell>
          <cell r="L18">
            <v>0</v>
          </cell>
          <cell r="M18">
            <v>-8771.6403177498869</v>
          </cell>
          <cell r="N18">
            <v>0</v>
          </cell>
          <cell r="O18">
            <v>40459.189146205608</v>
          </cell>
          <cell r="P18">
            <v>8827.7838958494503</v>
          </cell>
          <cell r="Q18">
            <v>-193.39472961950608</v>
          </cell>
          <cell r="R18">
            <v>-115.43464514209384</v>
          </cell>
          <cell r="S18">
            <v>-9183.7456917544678</v>
          </cell>
          <cell r="T18">
            <v>-412.10537400458088</v>
          </cell>
          <cell r="U18">
            <v>40024.936816428548</v>
          </cell>
          <cell r="V18">
            <v>-434.25232977706037</v>
          </cell>
          <cell r="W18">
            <v>-247.57629506043077</v>
          </cell>
          <cell r="X18">
            <v>-54.181565440924686</v>
          </cell>
          <cell r="Y18">
            <v>-9476.3013182841732</v>
          </cell>
          <cell r="Z18">
            <v>-292.55562652970548</v>
          </cell>
          <cell r="AA18">
            <v>39706.776901770951</v>
          </cell>
          <cell r="AB18">
            <v>-318.15991465759726</v>
          </cell>
          <cell r="AC18">
            <v>-248.85670874129846</v>
          </cell>
          <cell r="AD18">
            <v>-1.2804136808676958</v>
          </cell>
          <cell r="AE18">
            <v>-9462.0265868590286</v>
          </cell>
          <cell r="AF18">
            <v>14.274731425144637</v>
          </cell>
          <cell r="AG18">
            <v>39720.365284810672</v>
          </cell>
          <cell r="AH18">
            <v>13.588383039721521</v>
          </cell>
          <cell r="AI18">
            <v>-256.65113385357336</v>
          </cell>
          <cell r="AJ18">
            <v>-7.7944251122748938</v>
          </cell>
          <cell r="AK18">
            <v>-9496.5852411394735</v>
          </cell>
          <cell r="AL18">
            <v>-34.558654280444898</v>
          </cell>
          <cell r="AM18">
            <v>39684.549647104264</v>
          </cell>
          <cell r="AN18">
            <v>-35.81563770640787</v>
          </cell>
          <cell r="AO18">
            <v>-177.24906231546447</v>
          </cell>
          <cell r="AP18">
            <v>79.402071538108885</v>
          </cell>
          <cell r="AQ18">
            <v>-9099.5748834489295</v>
          </cell>
          <cell r="AR18">
            <v>397.01035769054397</v>
          </cell>
          <cell r="AS18">
            <v>40095.593292169811</v>
          </cell>
          <cell r="AT18">
            <v>411.04364506554703</v>
          </cell>
          <cell r="AU18">
            <v>-149.6363693041535</v>
          </cell>
          <cell r="AV18">
            <v>27.612693011310967</v>
          </cell>
          <cell r="AW18">
            <v>-8987.4811351571843</v>
          </cell>
          <cell r="AX18">
            <v>112.09374829174521</v>
          </cell>
          <cell r="AY18">
            <v>40211.57454848256</v>
          </cell>
          <cell r="AZ18">
            <v>115.98125631274888</v>
          </cell>
        </row>
        <row r="19">
          <cell r="A19">
            <v>2019</v>
          </cell>
          <cell r="B19">
            <v>1033.9470475251228</v>
          </cell>
          <cell r="C19">
            <v>-1643.7095857530862</v>
          </cell>
          <cell r="D19">
            <v>38850.855818974182</v>
          </cell>
          <cell r="E19">
            <v>-241.49916530820971</v>
          </cell>
          <cell r="F19">
            <v>-1275.4462128333325</v>
          </cell>
          <cell r="G19">
            <v>-9013.1394830580957</v>
          </cell>
          <cell r="H19">
            <v>-7369.4298973050099</v>
          </cell>
          <cell r="I19">
            <v>30969.955867266694</v>
          </cell>
          <cell r="J19">
            <v>-7880.8999517074881</v>
          </cell>
          <cell r="K19">
            <v>-241.49916530820971</v>
          </cell>
          <cell r="L19">
            <v>0</v>
          </cell>
          <cell r="M19">
            <v>-9013.1394830580957</v>
          </cell>
          <cell r="N19">
            <v>0</v>
          </cell>
          <cell r="O19">
            <v>40274.840296935989</v>
          </cell>
          <cell r="P19">
            <v>9304.8844296692951</v>
          </cell>
          <cell r="Q19">
            <v>-385.86191210560128</v>
          </cell>
          <cell r="R19">
            <v>-144.36274679739157</v>
          </cell>
          <cell r="S19">
            <v>-9569.6076038600695</v>
          </cell>
          <cell r="T19">
            <v>-556.46812080197378</v>
          </cell>
          <cell r="U19">
            <v>39686.324083497871</v>
          </cell>
          <cell r="V19">
            <v>-588.51621343811712</v>
          </cell>
          <cell r="W19">
            <v>-443.40749063053136</v>
          </cell>
          <cell r="X19">
            <v>-57.545578524930079</v>
          </cell>
          <cell r="Y19">
            <v>-9919.7088089147037</v>
          </cell>
          <cell r="Z19">
            <v>-350.10120505463419</v>
          </cell>
          <cell r="AA19">
            <v>39304.768576685907</v>
          </cell>
          <cell r="AB19">
            <v>-381.55550681196473</v>
          </cell>
          <cell r="AC19">
            <v>-449.11581699682029</v>
          </cell>
          <cell r="AD19">
            <v>-5.7083263662889294</v>
          </cell>
          <cell r="AE19">
            <v>-9911.1424038558489</v>
          </cell>
          <cell r="AF19">
            <v>8.566405058854798</v>
          </cell>
          <cell r="AG19">
            <v>39312.274335975839</v>
          </cell>
          <cell r="AH19">
            <v>7.5057592899320298</v>
          </cell>
          <cell r="AI19">
            <v>-457.20428927372404</v>
          </cell>
          <cell r="AJ19">
            <v>-8.088472276903758</v>
          </cell>
          <cell r="AK19">
            <v>-9953.789530413198</v>
          </cell>
          <cell r="AL19">
            <v>-42.647126557349111</v>
          </cell>
          <cell r="AM19">
            <v>39267.76884085613</v>
          </cell>
          <cell r="AN19">
            <v>-44.505495119708939</v>
          </cell>
          <cell r="AO19">
            <v>-377.80221773561516</v>
          </cell>
          <cell r="AP19">
            <v>79.402071538108885</v>
          </cell>
          <cell r="AQ19">
            <v>-9477.3771011845456</v>
          </cell>
          <cell r="AR19">
            <v>476.4124292286524</v>
          </cell>
          <cell r="AS19">
            <v>39765.116445974912</v>
          </cell>
          <cell r="AT19">
            <v>497.34760511878267</v>
          </cell>
          <cell r="AU19">
            <v>-346.47456566004666</v>
          </cell>
          <cell r="AV19">
            <v>31.327652075568494</v>
          </cell>
          <cell r="AW19">
            <v>-9333.9557008172305</v>
          </cell>
          <cell r="AX19">
            <v>143.42140036731507</v>
          </cell>
          <cell r="AY19">
            <v>39914.372811064059</v>
          </cell>
          <cell r="AZ19">
            <v>149.25636508914613</v>
          </cell>
        </row>
        <row r="20">
          <cell r="A20">
            <v>2020</v>
          </cell>
          <cell r="B20">
            <v>865.10996982909001</v>
          </cell>
          <cell r="C20">
            <v>-778.59961592399623</v>
          </cell>
          <cell r="D20">
            <v>39416.511609064102</v>
          </cell>
          <cell r="E20">
            <v>-462.11982147091021</v>
          </cell>
          <cell r="F20">
            <v>-1327.2297913000002</v>
          </cell>
          <cell r="G20">
            <v>-9475.259304529005</v>
          </cell>
          <cell r="H20">
            <v>-8696.6596886050083</v>
          </cell>
          <cell r="I20">
            <v>30068.089584087087</v>
          </cell>
          <cell r="J20">
            <v>-9348.4220249770151</v>
          </cell>
          <cell r="K20">
            <v>-462.11982147091021</v>
          </cell>
          <cell r="L20">
            <v>0</v>
          </cell>
          <cell r="M20">
            <v>-9475.259304529005</v>
          </cell>
          <cell r="N20">
            <v>0</v>
          </cell>
          <cell r="O20">
            <v>39863.705924456124</v>
          </cell>
          <cell r="P20">
            <v>9795.6163403690371</v>
          </cell>
          <cell r="Q20">
            <v>-640.28001515839151</v>
          </cell>
          <cell r="R20">
            <v>-178.1601936874813</v>
          </cell>
          <cell r="S20">
            <v>-10209.88761901846</v>
          </cell>
          <cell r="T20">
            <v>-734.62831448945508</v>
          </cell>
          <cell r="U20">
            <v>39084.072783329473</v>
          </cell>
          <cell r="V20">
            <v>-779.63314112665103</v>
          </cell>
          <cell r="W20">
            <v>-701.01803854981245</v>
          </cell>
          <cell r="X20">
            <v>-60.738023391420938</v>
          </cell>
          <cell r="Y20">
            <v>-10620.726847464517</v>
          </cell>
          <cell r="Z20">
            <v>-410.83922844605695</v>
          </cell>
          <cell r="AA20">
            <v>38634.856357267643</v>
          </cell>
          <cell r="AB20">
            <v>-449.21642606183013</v>
          </cell>
          <cell r="AC20">
            <v>-712.03126668802895</v>
          </cell>
          <cell r="AD20">
            <v>-11.013228138216505</v>
          </cell>
          <cell r="AE20">
            <v>-10623.173670543878</v>
          </cell>
          <cell r="AF20">
            <v>-2.4468230793609109</v>
          </cell>
          <cell r="AG20">
            <v>38630.785089220481</v>
          </cell>
          <cell r="AH20">
            <v>-4.0712680471624481</v>
          </cell>
          <cell r="AI20">
            <v>-720.25069389358168</v>
          </cell>
          <cell r="AJ20">
            <v>-8.2194272055527335</v>
          </cell>
          <cell r="AK20">
            <v>-10674.04022430678</v>
          </cell>
          <cell r="AL20">
            <v>-50.866553762902186</v>
          </cell>
          <cell r="AM20">
            <v>38577.312869207228</v>
          </cell>
          <cell r="AN20">
            <v>-53.472220013252809</v>
          </cell>
          <cell r="AO20">
            <v>-640.8486223554728</v>
          </cell>
          <cell r="AP20">
            <v>79.402071538108885</v>
          </cell>
          <cell r="AQ20">
            <v>-10118.225723540017</v>
          </cell>
          <cell r="AR20">
            <v>555.81450076676265</v>
          </cell>
          <cell r="AS20">
            <v>39162.413575651342</v>
          </cell>
          <cell r="AT20">
            <v>585.10070644411462</v>
          </cell>
          <cell r="AU20">
            <v>-605.86091208852122</v>
          </cell>
          <cell r="AV20">
            <v>34.987710266951581</v>
          </cell>
          <cell r="AW20">
            <v>-9939.8166129057518</v>
          </cell>
          <cell r="AX20">
            <v>178.40911063426574</v>
          </cell>
          <cell r="AY20">
            <v>39349.16383448548</v>
          </cell>
          <cell r="AZ20">
            <v>186.75025883413764</v>
          </cell>
        </row>
        <row r="21">
          <cell r="A21">
            <v>2021</v>
          </cell>
          <cell r="B21">
            <v>777.42183102797253</v>
          </cell>
          <cell r="C21">
            <v>-1.1777848960236952</v>
          </cell>
          <cell r="D21">
            <v>39891.308304787672</v>
          </cell>
          <cell r="E21">
            <v>-222.57816897202747</v>
          </cell>
          <cell r="F21">
            <v>-1000</v>
          </cell>
          <cell r="G21">
            <v>-9697.8374735010329</v>
          </cell>
          <cell r="H21">
            <v>-9696.6596886050102</v>
          </cell>
          <cell r="I21">
            <v>29381.142797841108</v>
          </cell>
          <cell r="J21">
            <v>-10510.165506946563</v>
          </cell>
          <cell r="K21">
            <v>-222.57816897202747</v>
          </cell>
          <cell r="L21">
            <v>0</v>
          </cell>
          <cell r="M21">
            <v>-9697.8374735010329</v>
          </cell>
          <cell r="N21">
            <v>0</v>
          </cell>
          <cell r="O21">
            <v>39633.158602950476</v>
          </cell>
          <cell r="P21">
            <v>10252.015805109368</v>
          </cell>
          <cell r="Q21">
            <v>-440.96334489308623</v>
          </cell>
          <cell r="R21">
            <v>-218.38517592105876</v>
          </cell>
          <cell r="S21">
            <v>-10650.850963911545</v>
          </cell>
          <cell r="T21">
            <v>-953.01349041051253</v>
          </cell>
          <cell r="U21">
            <v>38618.370568699167</v>
          </cell>
          <cell r="V21">
            <v>-1014.788034251309</v>
          </cell>
          <cell r="W21">
            <v>-503.79760730675889</v>
          </cell>
          <cell r="X21">
            <v>-62.834262413672661</v>
          </cell>
          <cell r="Y21">
            <v>-11124.524454771275</v>
          </cell>
          <cell r="Z21">
            <v>-473.67349085973001</v>
          </cell>
          <cell r="AA21">
            <v>38098.302037444329</v>
          </cell>
          <cell r="AB21">
            <v>-520.06853125483758</v>
          </cell>
          <cell r="AC21">
            <v>-520.69970121409949</v>
          </cell>
          <cell r="AD21">
            <v>-16.9020939073406</v>
          </cell>
          <cell r="AE21">
            <v>-11143.873371757978</v>
          </cell>
          <cell r="AF21">
            <v>-19.348916986702534</v>
          </cell>
          <cell r="AG21">
            <v>38076.491462855469</v>
          </cell>
          <cell r="AH21">
            <v>-21.810574588860618</v>
          </cell>
          <cell r="AI21">
            <v>-528.91210673239129</v>
          </cell>
          <cell r="AJ21">
            <v>-8.2124055182918028</v>
          </cell>
          <cell r="AK21">
            <v>-11202.952331039171</v>
          </cell>
          <cell r="AL21">
            <v>-59.07895928119251</v>
          </cell>
          <cell r="AM21">
            <v>38013.908978165608</v>
          </cell>
          <cell r="AN21">
            <v>-62.582484689861303</v>
          </cell>
          <cell r="AO21">
            <v>-449.51003519428292</v>
          </cell>
          <cell r="AP21">
            <v>79.402071538108373</v>
          </cell>
          <cell r="AQ21">
            <v>-10567.735758734301</v>
          </cell>
          <cell r="AR21">
            <v>635.21657230486926</v>
          </cell>
          <cell r="AS21">
            <v>38688.236259931007</v>
          </cell>
          <cell r="AT21">
            <v>674.32728176539968</v>
          </cell>
          <cell r="AU21">
            <v>-410.91635626586685</v>
          </cell>
          <cell r="AV21">
            <v>38.593678928416068</v>
          </cell>
          <cell r="AW21">
            <v>-10350.732969171619</v>
          </cell>
          <cell r="AX21">
            <v>217.00278956268266</v>
          </cell>
          <cell r="AY21">
            <v>38916.715946128359</v>
          </cell>
          <cell r="AZ21">
            <v>228.47968619735184</v>
          </cell>
        </row>
        <row r="22">
          <cell r="A22">
            <v>2022</v>
          </cell>
          <cell r="B22">
            <v>446.15916105522956</v>
          </cell>
          <cell r="C22">
            <v>444.98137615920587</v>
          </cell>
          <cell r="D22">
            <v>40062.450889847431</v>
          </cell>
          <cell r="E22">
            <v>-553.84083894477033</v>
          </cell>
          <cell r="F22">
            <v>-999.99999999999989</v>
          </cell>
          <cell r="G22">
            <v>-10251.678312445803</v>
          </cell>
          <cell r="H22">
            <v>-10696.65968860501</v>
          </cell>
          <cell r="I22">
            <v>28373.558650535389</v>
          </cell>
          <cell r="J22">
            <v>-11688.892239312041</v>
          </cell>
          <cell r="K22">
            <v>-553.84083894477033</v>
          </cell>
          <cell r="L22">
            <v>0</v>
          </cell>
          <cell r="M22">
            <v>-10251.678312445803</v>
          </cell>
          <cell r="N22">
            <v>0</v>
          </cell>
          <cell r="O22">
            <v>39129.11233994033</v>
          </cell>
          <cell r="P22">
            <v>10755.55368940494</v>
          </cell>
          <cell r="Q22">
            <v>-820.04163495102057</v>
          </cell>
          <cell r="R22">
            <v>-266.20079600625024</v>
          </cell>
          <cell r="S22">
            <v>-11470.892598862567</v>
          </cell>
          <cell r="T22">
            <v>-1219.2142864167636</v>
          </cell>
          <cell r="U22">
            <v>37826.685193776684</v>
          </cell>
          <cell r="V22">
            <v>-1302.4271461636454</v>
          </cell>
          <cell r="W22">
            <v>-885.39029159956726</v>
          </cell>
          <cell r="X22">
            <v>-65.348656648546694</v>
          </cell>
          <cell r="Y22">
            <v>-12009.914746370843</v>
          </cell>
          <cell r="Z22">
            <v>-539.02214750827625</v>
          </cell>
          <cell r="AA22">
            <v>37232.021537542729</v>
          </cell>
          <cell r="AB22">
            <v>-594.66365623395541</v>
          </cell>
          <cell r="AC22">
            <v>-909.24249350011075</v>
          </cell>
          <cell r="AD22">
            <v>-23.852201900543491</v>
          </cell>
          <cell r="AE22">
            <v>-12053.115865258089</v>
          </cell>
          <cell r="AF22">
            <v>-43.201118887245684</v>
          </cell>
          <cell r="AG22">
            <v>37185.117304030508</v>
          </cell>
          <cell r="AH22">
            <v>-46.904233512221253</v>
          </cell>
          <cell r="AI22">
            <v>-917.28643080149186</v>
          </cell>
          <cell r="AJ22">
            <v>-8.0439373013811064</v>
          </cell>
          <cell r="AK22">
            <v>-12120.238761840663</v>
          </cell>
          <cell r="AL22">
            <v>-67.122896582573958</v>
          </cell>
          <cell r="AM22">
            <v>37113.440051215053</v>
          </cell>
          <cell r="AN22">
            <v>-71.677252815454267</v>
          </cell>
          <cell r="AO22">
            <v>-837.88435926338298</v>
          </cell>
          <cell r="AP22">
            <v>79.402071538108885</v>
          </cell>
          <cell r="AQ22">
            <v>-11405.620117997685</v>
          </cell>
          <cell r="AR22">
            <v>714.61864384297769</v>
          </cell>
          <cell r="AS22">
            <v>37878.492123595541</v>
          </cell>
          <cell r="AT22">
            <v>765.05207238048752</v>
          </cell>
          <cell r="AU22">
            <v>-795.73800185076425</v>
          </cell>
          <cell r="AV22">
            <v>42.146357412618727</v>
          </cell>
          <cell r="AW22">
            <v>-11146.470971022383</v>
          </cell>
          <cell r="AX22">
            <v>259.14914697530185</v>
          </cell>
          <cell r="AY22">
            <v>38152.954600005374</v>
          </cell>
          <cell r="AZ22">
            <v>274.46247640983347</v>
          </cell>
        </row>
        <row r="23">
          <cell r="A23">
            <v>2023</v>
          </cell>
          <cell r="B23">
            <v>59.621605073582948</v>
          </cell>
          <cell r="C23">
            <v>504.60298123278881</v>
          </cell>
          <cell r="D23">
            <v>39836.263252140932</v>
          </cell>
          <cell r="E23">
            <v>-940.37839492641717</v>
          </cell>
          <cell r="F23">
            <v>-1000.0000000000001</v>
          </cell>
          <cell r="G23">
            <v>-11192.056707372221</v>
          </cell>
          <cell r="H23">
            <v>-11696.65968860501</v>
          </cell>
          <cell r="I23">
            <v>26948.852123123794</v>
          </cell>
          <cell r="J23">
            <v>-12887.411129017139</v>
          </cell>
          <cell r="K23">
            <v>-940.37839492641717</v>
          </cell>
          <cell r="L23">
            <v>0</v>
          </cell>
          <cell r="M23">
            <v>-11192.056707372221</v>
          </cell>
          <cell r="N23">
            <v>0</v>
          </cell>
          <cell r="O23">
            <v>38227.981922344079</v>
          </cell>
          <cell r="P23">
            <v>11279.129799220285</v>
          </cell>
          <cell r="Q23">
            <v>-1259.9168274912763</v>
          </cell>
          <cell r="R23">
            <v>-319.53843256485914</v>
          </cell>
          <cell r="S23">
            <v>-12730.809426353844</v>
          </cell>
          <cell r="T23">
            <v>-1538.7527189816228</v>
          </cell>
          <cell r="U23">
            <v>36579.187353871588</v>
          </cell>
          <cell r="V23">
            <v>-1648.7945684724909</v>
          </cell>
          <cell r="W23">
            <v>-1328.1413482080397</v>
          </cell>
          <cell r="X23">
            <v>-68.224520716763436</v>
          </cell>
          <cell r="Y23">
            <v>-13338.056094578882</v>
          </cell>
          <cell r="Z23">
            <v>-607.24666822503787</v>
          </cell>
          <cell r="AA23">
            <v>35905.78452029347</v>
          </cell>
          <cell r="AB23">
            <v>-673.40283357811859</v>
          </cell>
          <cell r="AC23">
            <v>-1360.2036132937787</v>
          </cell>
          <cell r="AD23">
            <v>-32.062265085739</v>
          </cell>
          <cell r="AE23">
            <v>-13413.319478551868</v>
          </cell>
          <cell r="AF23">
            <v>-75.263383972986048</v>
          </cell>
          <cell r="AG23">
            <v>35825.039990283352</v>
          </cell>
          <cell r="AH23">
            <v>-80.74453001011716</v>
          </cell>
          <cell r="AI23">
            <v>-1368.0628401596266</v>
          </cell>
          <cell r="AJ23">
            <v>-7.8592268658478588</v>
          </cell>
          <cell r="AK23">
            <v>-13488.301602000289</v>
          </cell>
          <cell r="AL23">
            <v>-74.98212344842068</v>
          </cell>
          <cell r="AM23">
            <v>35744.299968316598</v>
          </cell>
          <cell r="AN23">
            <v>-80.740021966754284</v>
          </cell>
          <cell r="AO23">
            <v>-1288.6607686215175</v>
          </cell>
          <cell r="AP23">
            <v>79.402071538109112</v>
          </cell>
          <cell r="AQ23">
            <v>-12694.280886619203</v>
          </cell>
          <cell r="AR23">
            <v>794.02071538108612</v>
          </cell>
          <cell r="AS23">
            <v>36601.600203338232</v>
          </cell>
          <cell r="AT23">
            <v>857.30023502163385</v>
          </cell>
          <cell r="AU23">
            <v>-1243.0142353623967</v>
          </cell>
          <cell r="AV23">
            <v>45.646533259120815</v>
          </cell>
          <cell r="AW23">
            <v>-12389.485206384779</v>
          </cell>
          <cell r="AX23">
            <v>304.79568023442334</v>
          </cell>
          <cell r="AY23">
            <v>36926.31774895345</v>
          </cell>
          <cell r="AZ23">
            <v>324.71754561521811</v>
          </cell>
        </row>
        <row r="24">
          <cell r="A24">
            <v>2024</v>
          </cell>
          <cell r="B24">
            <v>-320.64121040497275</v>
          </cell>
          <cell r="C24">
            <v>183.96177082781605</v>
          </cell>
          <cell r="D24">
            <v>39216.147224153152</v>
          </cell>
          <cell r="E24">
            <v>-1320.641210404973</v>
          </cell>
          <cell r="F24">
            <v>-1000.0000000000002</v>
          </cell>
          <cell r="G24">
            <v>-12512.697917777194</v>
          </cell>
          <cell r="H24">
            <v>-12696.65968860501</v>
          </cell>
          <cell r="I24">
            <v>25110.09271534497</v>
          </cell>
          <cell r="J24">
            <v>-14106.054508808182</v>
          </cell>
          <cell r="K24">
            <v>-1320.641210404973</v>
          </cell>
          <cell r="L24">
            <v>0</v>
          </cell>
          <cell r="M24">
            <v>-12512.697917777194</v>
          </cell>
          <cell r="N24">
            <v>0</v>
          </cell>
          <cell r="O24">
            <v>36924.008739676887</v>
          </cell>
          <cell r="P24">
            <v>11813.916024331917</v>
          </cell>
          <cell r="Q24">
            <v>-1700.5463210099549</v>
          </cell>
          <cell r="R24">
            <v>-379.90511060498193</v>
          </cell>
          <cell r="S24">
            <v>-14431.355747363799</v>
          </cell>
          <cell r="T24">
            <v>-1918.6578295866057</v>
          </cell>
          <cell r="U24">
            <v>34861.974912527061</v>
          </cell>
          <cell r="V24">
            <v>-2062.0338271498258</v>
          </cell>
          <cell r="W24">
            <v>-1771.565485327965</v>
          </cell>
          <cell r="X24">
            <v>-71.019164318010098</v>
          </cell>
          <cell r="Y24">
            <v>-15109.621579906847</v>
          </cell>
          <cell r="Z24">
            <v>-678.26583254304751</v>
          </cell>
          <cell r="AA24">
            <v>34105.710333956536</v>
          </cell>
          <cell r="AB24">
            <v>-756.26457857052446</v>
          </cell>
          <cell r="AC24">
            <v>-1812.7937978686141</v>
          </cell>
          <cell r="AD24">
            <v>-41.228312540649085</v>
          </cell>
          <cell r="AE24">
            <v>-15226.113276420481</v>
          </cell>
          <cell r="AF24">
            <v>-116.49169651363445</v>
          </cell>
          <cell r="AG24">
            <v>33981.289785763627</v>
          </cell>
          <cell r="AH24">
            <v>-124.42054819290934</v>
          </cell>
          <cell r="AI24">
            <v>-1820.5058878719715</v>
          </cell>
          <cell r="AJ24">
            <v>-7.7120900033573889</v>
          </cell>
          <cell r="AK24">
            <v>-15308.807489872261</v>
          </cell>
          <cell r="AL24">
            <v>-82.694213451779433</v>
          </cell>
          <cell r="AM24">
            <v>33891.481957345852</v>
          </cell>
          <cell r="AN24">
            <v>-89.807828417775454</v>
          </cell>
          <cell r="AO24">
            <v>-1741.1038163338626</v>
          </cell>
          <cell r="AP24">
            <v>79.402071538108885</v>
          </cell>
          <cell r="AQ24">
            <v>-14435.384702953066</v>
          </cell>
          <cell r="AR24">
            <v>873.42278691919455</v>
          </cell>
          <cell r="AS24">
            <v>34842.579306177002</v>
          </cell>
          <cell r="AT24">
            <v>951.09734883115016</v>
          </cell>
          <cell r="AU24">
            <v>-1692.0088339648858</v>
          </cell>
          <cell r="AV24">
            <v>49.094982368976844</v>
          </cell>
          <cell r="AW24">
            <v>-14081.494040349666</v>
          </cell>
          <cell r="AX24">
            <v>353.89066260340041</v>
          </cell>
          <cell r="AY24">
            <v>35221.844209658659</v>
          </cell>
          <cell r="AZ24">
            <v>379.2649034816568</v>
          </cell>
        </row>
        <row r="25">
          <cell r="A25">
            <v>2025</v>
          </cell>
          <cell r="B25">
            <v>-702.97617206381074</v>
          </cell>
          <cell r="C25">
            <v>-519.01440123599468</v>
          </cell>
          <cell r="D25">
            <v>38188.684393500727</v>
          </cell>
          <cell r="E25">
            <v>-1702.976172063811</v>
          </cell>
          <cell r="F25">
            <v>-1000.0000000000002</v>
          </cell>
          <cell r="G25">
            <v>-14215.674089841004</v>
          </cell>
          <cell r="H25">
            <v>-13696.65968860501</v>
          </cell>
          <cell r="I25">
            <v>22843.524101825853</v>
          </cell>
          <cell r="J25">
            <v>-15345.160291674874</v>
          </cell>
          <cell r="K25">
            <v>-1702.976172063811</v>
          </cell>
          <cell r="L25">
            <v>0</v>
          </cell>
          <cell r="M25">
            <v>-14215.674089841004</v>
          </cell>
          <cell r="N25">
            <v>0</v>
          </cell>
          <cell r="O25">
            <v>35204.406137297003</v>
          </cell>
          <cell r="P25">
            <v>12360.88203547115</v>
          </cell>
          <cell r="Q25">
            <v>-2150.8959909797477</v>
          </cell>
          <cell r="R25">
            <v>-447.91981891593673</v>
          </cell>
          <cell r="S25">
            <v>-16582.251738343548</v>
          </cell>
          <cell r="T25">
            <v>-2366.5776485025435</v>
          </cell>
          <cell r="U25">
            <v>32653.426639854184</v>
          </cell>
          <cell r="V25">
            <v>-2550.9794974428187</v>
          </cell>
          <cell r="W25">
            <v>-2224.4774173790856</v>
          </cell>
          <cell r="X25">
            <v>-73.581426399337943</v>
          </cell>
          <cell r="Y25">
            <v>-17334.098997285932</v>
          </cell>
          <cell r="Z25">
            <v>-751.84725894238363</v>
          </cell>
          <cell r="AA25">
            <v>31810.339148537485</v>
          </cell>
          <cell r="AB25">
            <v>-843.08749131669902</v>
          </cell>
          <cell r="AC25">
            <v>-2275.7747405279447</v>
          </cell>
          <cell r="AD25">
            <v>-51.29732314885905</v>
          </cell>
          <cell r="AE25">
            <v>-17501.888016948426</v>
          </cell>
          <cell r="AF25">
            <v>-167.78901966249396</v>
          </cell>
          <cell r="AG25">
            <v>31631.333179294055</v>
          </cell>
          <cell r="AH25">
            <v>-179.00596924342972</v>
          </cell>
          <cell r="AI25">
            <v>-2283.4093367922719</v>
          </cell>
          <cell r="AJ25">
            <v>-7.6345962643272287</v>
          </cell>
          <cell r="AK25">
            <v>-17592.216826664531</v>
          </cell>
          <cell r="AL25">
            <v>-90.328809716105752</v>
          </cell>
          <cell r="AM25">
            <v>31532.382779420099</v>
          </cell>
          <cell r="AN25">
            <v>-98.950399873956485</v>
          </cell>
          <cell r="AO25">
            <v>-2204.007265254163</v>
          </cell>
          <cell r="AP25">
            <v>79.402071538108885</v>
          </cell>
          <cell r="AQ25">
            <v>-16639.39196820723</v>
          </cell>
          <cell r="AR25">
            <v>952.82485845730116</v>
          </cell>
          <cell r="AS25">
            <v>32578.852201874226</v>
          </cell>
          <cell r="AT25">
            <v>1046.4694224541272</v>
          </cell>
          <cell r="AU25">
            <v>-2151.5147960774466</v>
          </cell>
          <cell r="AV25">
            <v>52.49246917671644</v>
          </cell>
          <cell r="AW25">
            <v>-16233.008836427112</v>
          </cell>
          <cell r="AX25">
            <v>406.38313178011776</v>
          </cell>
          <cell r="AY25">
            <v>33016.977861971049</v>
          </cell>
          <cell r="AZ25">
            <v>438.12566009682268</v>
          </cell>
        </row>
        <row r="26">
          <cell r="A26">
            <v>2026</v>
          </cell>
          <cell r="B26">
            <v>-1185.7405100272392</v>
          </cell>
          <cell r="C26">
            <v>-1704.7549112632339</v>
          </cell>
          <cell r="D26">
            <v>36657.351044150884</v>
          </cell>
          <cell r="E26">
            <v>-2185.7405100272395</v>
          </cell>
          <cell r="F26">
            <v>-1000.0000000000002</v>
          </cell>
          <cell r="G26">
            <v>-16401.414599868243</v>
          </cell>
          <cell r="H26">
            <v>-14696.65968860501</v>
          </cell>
          <cell r="I26">
            <v>20052.278979602033</v>
          </cell>
          <cell r="J26">
            <v>-16605.072064548851</v>
          </cell>
          <cell r="K26">
            <v>-2185.7405100272395</v>
          </cell>
          <cell r="L26">
            <v>0</v>
          </cell>
          <cell r="M26">
            <v>-16401.414599868243</v>
          </cell>
          <cell r="N26">
            <v>0</v>
          </cell>
          <cell r="O26">
            <v>32976.105358873232</v>
          </cell>
          <cell r="P26">
            <v>12923.826379271199</v>
          </cell>
          <cell r="Q26">
            <v>-2708.6290307913314</v>
          </cell>
          <cell r="R26">
            <v>-522.88852076409194</v>
          </cell>
          <cell r="S26">
            <v>-19290.880769134877</v>
          </cell>
          <cell r="T26">
            <v>-2889.4661692666341</v>
          </cell>
          <cell r="U26">
            <v>29852.290585504561</v>
          </cell>
          <cell r="V26">
            <v>-3123.814773368671</v>
          </cell>
          <cell r="W26">
            <v>-2784.5220772248417</v>
          </cell>
          <cell r="X26">
            <v>-75.893046433510335</v>
          </cell>
          <cell r="Y26">
            <v>-20118.621074510775</v>
          </cell>
          <cell r="Z26">
            <v>-827.74030537589715</v>
          </cell>
          <cell r="AA26">
            <v>28918.601323264254</v>
          </cell>
          <cell r="AB26">
            <v>-933.68926224030656</v>
          </cell>
          <cell r="AC26">
            <v>-2846.8285491503261</v>
          </cell>
          <cell r="AD26">
            <v>-62.306471925484402</v>
          </cell>
          <cell r="AE26">
            <v>-20348.716566098752</v>
          </cell>
          <cell r="AF26">
            <v>-230.09549158797745</v>
          </cell>
          <cell r="AG26">
            <v>28672.968625917929</v>
          </cell>
          <cell r="AH26">
            <v>-245.63269734632559</v>
          </cell>
          <cell r="AI26">
            <v>-2854.4516010781581</v>
          </cell>
          <cell r="AJ26">
            <v>-7.6230519278319662</v>
          </cell>
          <cell r="AK26">
            <v>-20446.66842774269</v>
          </cell>
          <cell r="AL26">
            <v>-97.951861643938173</v>
          </cell>
          <cell r="AM26">
            <v>28564.733684790961</v>
          </cell>
          <cell r="AN26">
            <v>-108.2349411269679</v>
          </cell>
          <cell r="AO26">
            <v>-2775.0495295400488</v>
          </cell>
          <cell r="AP26">
            <v>79.40207153810934</v>
          </cell>
          <cell r="AQ26">
            <v>-19414.441497747277</v>
          </cell>
          <cell r="AR26">
            <v>1032.2269299954132</v>
          </cell>
          <cell r="AS26">
            <v>29708.176586041212</v>
          </cell>
          <cell r="AT26">
            <v>1143.4429012502515</v>
          </cell>
          <cell r="AU26">
            <v>-2719.2097827202415</v>
          </cell>
          <cell r="AV26">
            <v>55.83974681980726</v>
          </cell>
          <cell r="AW26">
            <v>-18952.218619147352</v>
          </cell>
          <cell r="AX26">
            <v>462.22287859992502</v>
          </cell>
          <cell r="AY26">
            <v>30209.498619189399</v>
          </cell>
          <cell r="AZ26">
            <v>501.32203314818616</v>
          </cell>
        </row>
        <row r="27">
          <cell r="A27">
            <v>2027</v>
          </cell>
          <cell r="B27">
            <v>-1654.6554347784438</v>
          </cell>
          <cell r="C27">
            <v>-3359.4103460416777</v>
          </cell>
          <cell r="D27">
            <v>34621.084467369736</v>
          </cell>
          <cell r="E27">
            <v>-2654.6554347784436</v>
          </cell>
          <cell r="F27">
            <v>-999.99999999999977</v>
          </cell>
          <cell r="G27">
            <v>-19056.070034646687</v>
          </cell>
          <cell r="H27">
            <v>-15696.65968860501</v>
          </cell>
          <cell r="I27">
            <v>16734.945283794113</v>
          </cell>
          <cell r="J27">
            <v>-17886.139183575622</v>
          </cell>
          <cell r="K27">
            <v>-2654.6554347784436</v>
          </cell>
          <cell r="L27">
            <v>0</v>
          </cell>
          <cell r="M27">
            <v>-19056.070034646687</v>
          </cell>
          <cell r="N27">
            <v>0</v>
          </cell>
          <cell r="O27">
            <v>30231.358568768395</v>
          </cell>
          <cell r="P27">
            <v>13496.413284974282</v>
          </cell>
          <cell r="Q27">
            <v>-3259.0178997498942</v>
          </cell>
          <cell r="R27">
            <v>-604.36246497145066</v>
          </cell>
          <cell r="S27">
            <v>-22549.898668884773</v>
          </cell>
          <cell r="T27">
            <v>-3493.8286342380852</v>
          </cell>
          <cell r="U27">
            <v>26442.940420650299</v>
          </cell>
          <cell r="V27">
            <v>-3788.4181481180967</v>
          </cell>
          <cell r="W27">
            <v>-3336.9238700723608</v>
          </cell>
          <cell r="X27">
            <v>-77.905970322466601</v>
          </cell>
          <cell r="Y27">
            <v>-23455.544944583136</v>
          </cell>
          <cell r="Z27">
            <v>-905.64627569836375</v>
          </cell>
          <cell r="AA27">
            <v>25415.111624601705</v>
          </cell>
          <cell r="AB27">
            <v>-1027.8287960485941</v>
          </cell>
          <cell r="AC27">
            <v>-3411.033799502804</v>
          </cell>
          <cell r="AD27">
            <v>-74.109929430443117</v>
          </cell>
          <cell r="AE27">
            <v>-23759.750365601554</v>
          </cell>
          <cell r="AF27">
            <v>-304.20542101841784</v>
          </cell>
          <cell r="AG27">
            <v>25089.826180024043</v>
          </cell>
          <cell r="AH27">
            <v>-325.28544457766111</v>
          </cell>
          <cell r="AI27">
            <v>-3418.6803300910155</v>
          </cell>
          <cell r="AJ27">
            <v>-7.6465305882115899</v>
          </cell>
          <cell r="AK27">
            <v>-23865.348757833704</v>
          </cell>
          <cell r="AL27">
            <v>-105.59839223215022</v>
          </cell>
          <cell r="AM27">
            <v>24972.127321016618</v>
          </cell>
          <cell r="AN27">
            <v>-117.6988590074252</v>
          </cell>
          <cell r="AO27">
            <v>-3339.2782585529058</v>
          </cell>
          <cell r="AP27">
            <v>79.402071538109794</v>
          </cell>
          <cell r="AQ27">
            <v>-22753.719756300183</v>
          </cell>
          <cell r="AR27">
            <v>1111.6290015335217</v>
          </cell>
          <cell r="AS27">
            <v>26214.171995643406</v>
          </cell>
          <cell r="AT27">
            <v>1242.044674626788</v>
          </cell>
          <cell r="AU27">
            <v>-3280.1407012472932</v>
          </cell>
          <cell r="AV27">
            <v>59.137557305612518</v>
          </cell>
          <cell r="AW27">
            <v>-22232.359320394644</v>
          </cell>
          <cell r="AX27">
            <v>521.36043590553891</v>
          </cell>
          <cell r="AY27">
            <v>26783.049351034108</v>
          </cell>
          <cell r="AZ27">
            <v>568.87735539070127</v>
          </cell>
        </row>
        <row r="28">
          <cell r="A28">
            <v>2028</v>
          </cell>
          <cell r="B28">
            <v>-2141.8059103693513</v>
          </cell>
          <cell r="C28">
            <v>-5501.2162564110295</v>
          </cell>
          <cell r="D28">
            <v>32066.932078623602</v>
          </cell>
          <cell r="E28">
            <v>-3141.8059103693517</v>
          </cell>
          <cell r="F28">
            <v>-1000.0000000000005</v>
          </cell>
          <cell r="G28">
            <v>-22197.87594501604</v>
          </cell>
          <cell r="H28">
            <v>-16696.65968860501</v>
          </cell>
          <cell r="I28">
            <v>12878.215207637386</v>
          </cell>
          <cell r="J28">
            <v>-19188.716870986216</v>
          </cell>
          <cell r="K28">
            <v>-3141.8059103693517</v>
          </cell>
          <cell r="L28">
            <v>0</v>
          </cell>
          <cell r="M28">
            <v>-22197.87594501604</v>
          </cell>
          <cell r="N28">
            <v>0</v>
          </cell>
          <cell r="O28">
            <v>26955.462393051788</v>
          </cell>
          <cell r="P28">
            <v>14077.247185414402</v>
          </cell>
          <cell r="Q28">
            <v>-3833.8847291678067</v>
          </cell>
          <cell r="R28">
            <v>-692.0788187984549</v>
          </cell>
          <cell r="S28">
            <v>-26383.783398052579</v>
          </cell>
          <cell r="T28">
            <v>-4185.9074530365397</v>
          </cell>
          <cell r="U28">
            <v>22402.90112266377</v>
          </cell>
          <cell r="V28">
            <v>-4552.5612703880179</v>
          </cell>
          <cell r="W28">
            <v>-3913.5841498992986</v>
          </cell>
          <cell r="X28">
            <v>-79.699420731491955</v>
          </cell>
          <cell r="Y28">
            <v>-27369.129094482436</v>
          </cell>
          <cell r="Z28">
            <v>-985.34569642985662</v>
          </cell>
          <cell r="AA28">
            <v>21277.559063151475</v>
          </cell>
          <cell r="AB28">
            <v>-1125.3420595122952</v>
          </cell>
          <cell r="AC28">
            <v>-4000.2234686644147</v>
          </cell>
          <cell r="AD28">
            <v>-86.639318765116059</v>
          </cell>
          <cell r="AE28">
            <v>-27759.973834265969</v>
          </cell>
          <cell r="AF28">
            <v>-390.84473978353344</v>
          </cell>
          <cell r="AG28">
            <v>20858.65743428699</v>
          </cell>
          <cell r="AH28">
            <v>-418.90162886448525</v>
          </cell>
          <cell r="AI28">
            <v>-4007.9172673937669</v>
          </cell>
          <cell r="AJ28">
            <v>-7.6937987293522383</v>
          </cell>
          <cell r="AK28">
            <v>-27873.266025227473</v>
          </cell>
          <cell r="AL28">
            <v>-113.29219096150337</v>
          </cell>
          <cell r="AM28">
            <v>20731.288479354094</v>
          </cell>
          <cell r="AN28">
            <v>-127.36895493289558</v>
          </cell>
          <cell r="AO28">
            <v>-3928.515195855658</v>
          </cell>
          <cell r="AP28">
            <v>79.402071538108885</v>
          </cell>
          <cell r="AQ28">
            <v>-26682.234952155843</v>
          </cell>
          <cell r="AR28">
            <v>1191.0310730716301</v>
          </cell>
          <cell r="AS28">
            <v>22073.590562848709</v>
          </cell>
          <cell r="AT28">
            <v>1342.3020834946146</v>
          </cell>
          <cell r="AU28">
            <v>-3866.1285641797922</v>
          </cell>
          <cell r="AV28">
            <v>62.386631675865829</v>
          </cell>
          <cell r="AW28">
            <v>-26098.487884574435</v>
          </cell>
          <cell r="AX28">
            <v>583.74706758140746</v>
          </cell>
          <cell r="AY28">
            <v>22714.40664525313</v>
          </cell>
          <cell r="AZ28">
            <v>640.81608240442074</v>
          </cell>
        </row>
        <row r="29">
          <cell r="A29">
            <v>2029</v>
          </cell>
          <cell r="B29">
            <v>-2533.0081412394293</v>
          </cell>
          <cell r="C29">
            <v>-8034.2243976504587</v>
          </cell>
          <cell r="D29">
            <v>29067.940693647357</v>
          </cell>
          <cell r="E29">
            <v>-3533.008141239422</v>
          </cell>
          <cell r="F29">
            <v>-999.99999999999272</v>
          </cell>
          <cell r="G29">
            <v>-25730.884086255461</v>
          </cell>
          <cell r="H29">
            <v>-17696.659688605003</v>
          </cell>
          <cell r="I29">
            <v>8554.7743800519929</v>
          </cell>
          <cell r="J29">
            <v>-20513.166313595364</v>
          </cell>
          <cell r="K29">
            <v>-3533.008141239422</v>
          </cell>
          <cell r="L29">
            <v>0</v>
          </cell>
          <cell r="M29">
            <v>-25730.884086255461</v>
          </cell>
          <cell r="N29">
            <v>0</v>
          </cell>
          <cell r="O29">
            <v>23218.229687172388</v>
          </cell>
          <cell r="P29">
            <v>14663.455307120395</v>
          </cell>
          <cell r="Q29">
            <v>-4318.7349597747416</v>
          </cell>
          <cell r="R29">
            <v>-785.72681853531958</v>
          </cell>
          <cell r="S29">
            <v>-30702.518357827321</v>
          </cell>
          <cell r="T29">
            <v>-4971.6342715718602</v>
          </cell>
          <cell r="U29">
            <v>17794.398089623872</v>
          </cell>
          <cell r="V29">
            <v>-5423.8315975485166</v>
          </cell>
          <cell r="W29">
            <v>-4400.1307133414748</v>
          </cell>
          <cell r="X29">
            <v>-81.395753566733219</v>
          </cell>
          <cell r="Y29">
            <v>-31769.25980782391</v>
          </cell>
          <cell r="Z29">
            <v>-1066.7414499965889</v>
          </cell>
          <cell r="AA29">
            <v>16568.210274177723</v>
          </cell>
          <cell r="AB29">
            <v>-1226.1878154461483</v>
          </cell>
          <cell r="AC29">
            <v>-4500.0323355781038</v>
          </cell>
          <cell r="AD29">
            <v>-99.901622236629009</v>
          </cell>
          <cell r="AE29">
            <v>-32260.006169844073</v>
          </cell>
          <cell r="AF29">
            <v>-490.74636202016336</v>
          </cell>
          <cell r="AG29">
            <v>16040.766432913504</v>
          </cell>
          <cell r="AH29">
            <v>-527.44384126421937</v>
          </cell>
          <cell r="AI29">
            <v>-4507.7692990925807</v>
          </cell>
          <cell r="AJ29">
            <v>-7.7369635144768836</v>
          </cell>
          <cell r="AK29">
            <v>-32381.035324320052</v>
          </cell>
          <cell r="AL29">
            <v>-121.02915447597843</v>
          </cell>
          <cell r="AM29">
            <v>15903.521845403155</v>
          </cell>
          <cell r="AN29">
            <v>-137.24458751034945</v>
          </cell>
          <cell r="AO29">
            <v>-4428.3672275544732</v>
          </cell>
          <cell r="AP29">
            <v>79.402071538107521</v>
          </cell>
          <cell r="AQ29">
            <v>-31110.602179710317</v>
          </cell>
          <cell r="AR29">
            <v>1270.4331446097349</v>
          </cell>
          <cell r="AS29">
            <v>17347.764773252627</v>
          </cell>
          <cell r="AT29">
            <v>1444.2429278494728</v>
          </cell>
          <cell r="AU29">
            <v>-4362.7795373857471</v>
          </cell>
          <cell r="AV29">
            <v>65.587690168726112</v>
          </cell>
          <cell r="AW29">
            <v>-30461.267421960183</v>
          </cell>
          <cell r="AX29">
            <v>649.33475775013358</v>
          </cell>
          <cell r="AY29">
            <v>18064.928573897119</v>
          </cell>
          <cell r="AZ29">
            <v>717.16380064449186</v>
          </cell>
        </row>
        <row r="30">
          <cell r="A30">
            <v>2030</v>
          </cell>
          <cell r="B30">
            <v>-2865.5447317980961</v>
          </cell>
          <cell r="C30">
            <v>-10899.769129448556</v>
          </cell>
          <cell r="D30">
            <v>25687.440837337537</v>
          </cell>
          <cell r="E30">
            <v>-3865.5447317980961</v>
          </cell>
          <cell r="F30">
            <v>-1000</v>
          </cell>
          <cell r="G30">
            <v>-29596.428818053559</v>
          </cell>
          <cell r="H30">
            <v>-18696.659688605003</v>
          </cell>
          <cell r="I30">
            <v>3827.586074383868</v>
          </cell>
          <cell r="J30">
            <v>-21859.85476295367</v>
          </cell>
          <cell r="K30">
            <v>-3865.5447317980961</v>
          </cell>
          <cell r="L30">
            <v>0</v>
          </cell>
          <cell r="M30">
            <v>-29596.428818053559</v>
          </cell>
          <cell r="N30">
            <v>0</v>
          </cell>
          <cell r="O30">
            <v>19083.713177306137</v>
          </cell>
          <cell r="P30">
            <v>15256.12710292227</v>
          </cell>
          <cell r="Q30">
            <v>-4750.9955281585117</v>
          </cell>
          <cell r="R30">
            <v>-885.45079636041555</v>
          </cell>
          <cell r="S30">
            <v>-35453.513885985834</v>
          </cell>
          <cell r="T30">
            <v>-5857.0850679322757</v>
          </cell>
          <cell r="U30">
            <v>12673.589983430185</v>
          </cell>
          <cell r="V30">
            <v>-6410.123193875952</v>
          </cell>
          <cell r="W30">
            <v>-4834.218520464774</v>
          </cell>
          <cell r="X30">
            <v>-83.222992306262313</v>
          </cell>
          <cell r="Y30">
            <v>-36603.478328288686</v>
          </cell>
          <cell r="Z30">
            <v>-1149.9644423028512</v>
          </cell>
          <cell r="AA30">
            <v>11343.038019314354</v>
          </cell>
          <cell r="AB30">
            <v>-1330.5519641158317</v>
          </cell>
          <cell r="AC30">
            <v>-4948.3061681338831</v>
          </cell>
          <cell r="AD30">
            <v>-114.08764766910917</v>
          </cell>
          <cell r="AE30">
            <v>-37208.312337977957</v>
          </cell>
          <cell r="AF30">
            <v>-604.83400968927162</v>
          </cell>
          <cell r="AG30">
            <v>10690.946467731945</v>
          </cell>
          <cell r="AH30">
            <v>-652.09155158240901</v>
          </cell>
          <cell r="AI30">
            <v>-4956.0719414762989</v>
          </cell>
          <cell r="AJ30">
            <v>-7.7657733424157414</v>
          </cell>
          <cell r="AK30">
            <v>-37337.107265796352</v>
          </cell>
          <cell r="AL30">
            <v>-128.79492781839508</v>
          </cell>
          <cell r="AM30">
            <v>10543.631614756086</v>
          </cell>
          <cell r="AN30">
            <v>-147.31485297585823</v>
          </cell>
          <cell r="AO30">
            <v>-4876.6698699381895</v>
          </cell>
          <cell r="AP30">
            <v>79.40207153810934</v>
          </cell>
          <cell r="AQ30">
            <v>-35987.272049648505</v>
          </cell>
          <cell r="AR30">
            <v>1349.8352161478469</v>
          </cell>
          <cell r="AS30">
            <v>12091.527089236612</v>
          </cell>
          <cell r="AT30">
            <v>1547.8954744805251</v>
          </cell>
          <cell r="AU30">
            <v>-4807.9284275597502</v>
          </cell>
          <cell r="AV30">
            <v>68.741442378439388</v>
          </cell>
          <cell r="AW30">
            <v>-35269.195849519936</v>
          </cell>
          <cell r="AX30">
            <v>718.07620012856933</v>
          </cell>
          <cell r="AY30">
            <v>12889.474325022486</v>
          </cell>
          <cell r="AZ30">
            <v>797.947235785874</v>
          </cell>
        </row>
        <row r="31">
          <cell r="A31">
            <v>2031</v>
          </cell>
          <cell r="B31">
            <v>-3117.0188165011905</v>
          </cell>
          <cell r="C31">
            <v>-14016.787945949745</v>
          </cell>
          <cell r="D31">
            <v>21992.480396395709</v>
          </cell>
          <cell r="E31">
            <v>-4117.0188165011914</v>
          </cell>
          <cell r="F31">
            <v>-1000.0000000000009</v>
          </cell>
          <cell r="G31">
            <v>-33713.447634554752</v>
          </cell>
          <cell r="H31">
            <v>-19696.659688605007</v>
          </cell>
          <cell r="I31">
            <v>-1236.67524078564</v>
          </cell>
          <cell r="J31">
            <v>-23229.155637181349</v>
          </cell>
          <cell r="K31">
            <v>-4117.0188165011914</v>
          </cell>
          <cell r="L31">
            <v>0</v>
          </cell>
          <cell r="M31">
            <v>-33713.447634554752</v>
          </cell>
          <cell r="N31">
            <v>0</v>
          </cell>
          <cell r="O31">
            <v>14618.212498061634</v>
          </cell>
          <cell r="P31">
            <v>15854.887738847274</v>
          </cell>
          <cell r="Q31">
            <v>-5108.9064307941408</v>
          </cell>
          <cell r="R31">
            <v>-991.88761429294937</v>
          </cell>
          <cell r="S31">
            <v>-40562.420316779971</v>
          </cell>
          <cell r="T31">
            <v>-6848.9726822252196</v>
          </cell>
          <cell r="U31">
            <v>7098.0703663400018</v>
          </cell>
          <cell r="V31">
            <v>-7520.1421317216318</v>
          </cell>
          <cell r="W31">
            <v>-5193.9297239237658</v>
          </cell>
          <cell r="X31">
            <v>-85.023293129625017</v>
          </cell>
          <cell r="Y31">
            <v>-41797.40805221245</v>
          </cell>
          <cell r="Z31">
            <v>-1234.9877354324781</v>
          </cell>
          <cell r="AA31">
            <v>5659.6027940326812</v>
          </cell>
          <cell r="AB31">
            <v>-1438.4675723073206</v>
          </cell>
          <cell r="AC31">
            <v>-5323.0994192162298</v>
          </cell>
          <cell r="AD31">
            <v>-129.16969529246398</v>
          </cell>
          <cell r="AE31">
            <v>-42531.41175719419</v>
          </cell>
          <cell r="AF31">
            <v>-734.00370498174016</v>
          </cell>
          <cell r="AG31">
            <v>4865.5852153567503</v>
          </cell>
          <cell r="AH31">
            <v>-794.01757867593096</v>
          </cell>
          <cell r="AI31">
            <v>-5330.8760872639305</v>
          </cell>
          <cell r="AJ31">
            <v>-7.7766680477006958</v>
          </cell>
          <cell r="AK31">
            <v>-42667.983353060285</v>
          </cell>
          <cell r="AL31">
            <v>-136.57159586609487</v>
          </cell>
          <cell r="AM31">
            <v>4708.0201110432736</v>
          </cell>
          <cell r="AN31">
            <v>-157.5651043134767</v>
          </cell>
          <cell r="AO31">
            <v>-5251.474015725822</v>
          </cell>
          <cell r="AP31">
            <v>79.40207153810843</v>
          </cell>
          <cell r="AQ31">
            <v>-41238.746065374326</v>
          </cell>
          <cell r="AR31">
            <v>1429.237287685959</v>
          </cell>
          <cell r="AS31">
            <v>6361.3085758516336</v>
          </cell>
          <cell r="AT31">
            <v>1653.28846480836</v>
          </cell>
          <cell r="AU31">
            <v>-5179.6254283131875</v>
          </cell>
          <cell r="AV31">
            <v>71.848587412634515</v>
          </cell>
          <cell r="AW31">
            <v>-40448.821277833122</v>
          </cell>
          <cell r="AX31">
            <v>789.92478754120384</v>
          </cell>
          <cell r="AY31">
            <v>7244.5028372171319</v>
          </cell>
          <cell r="AZ31">
            <v>883.19426136549828</v>
          </cell>
        </row>
        <row r="32">
          <cell r="A32">
            <v>2032</v>
          </cell>
          <cell r="B32">
            <v>-3324.630253747473</v>
          </cell>
          <cell r="C32">
            <v>-17341.418199697218</v>
          </cell>
          <cell r="D32">
            <v>18026.555998249343</v>
          </cell>
          <cell r="E32">
            <v>-4324.630253747473</v>
          </cell>
          <cell r="F32">
            <v>-1000</v>
          </cell>
          <cell r="G32">
            <v>-38038.077888302229</v>
          </cell>
          <cell r="H32">
            <v>-20696.65968860501</v>
          </cell>
          <cell r="I32">
            <v>-6596.0586343467621</v>
          </cell>
          <cell r="J32">
            <v>-24622.614632596105</v>
          </cell>
          <cell r="K32">
            <v>-4324.630253747473</v>
          </cell>
          <cell r="L32">
            <v>0</v>
          </cell>
          <cell r="M32">
            <v>-38038.077888302229</v>
          </cell>
          <cell r="N32">
            <v>0</v>
          </cell>
          <cell r="O32">
            <v>9865.8712385312792</v>
          </cell>
          <cell r="P32">
            <v>16461.929872878041</v>
          </cell>
          <cell r="Q32">
            <v>-5446.6410727034827</v>
          </cell>
          <cell r="R32">
            <v>-1122.0108189560096</v>
          </cell>
          <cell r="S32">
            <v>-46009.061389483453</v>
          </cell>
          <cell r="T32">
            <v>-7970.9835011812247</v>
          </cell>
          <cell r="U32">
            <v>1084.7163467228793</v>
          </cell>
          <cell r="V32">
            <v>-8781.1548918084009</v>
          </cell>
          <cell r="W32">
            <v>-5533.4525425289112</v>
          </cell>
          <cell r="X32">
            <v>-86.811469825428503</v>
          </cell>
          <cell r="Y32">
            <v>-47330.86059474136</v>
          </cell>
          <cell r="Z32">
            <v>-1321.7992052579066</v>
          </cell>
          <cell r="AA32">
            <v>-465.26948941841226</v>
          </cell>
          <cell r="AB32">
            <v>-1549.9858361412917</v>
          </cell>
          <cell r="AC32">
            <v>-5678.5754788490749</v>
          </cell>
          <cell r="AD32">
            <v>-145.12293632016372</v>
          </cell>
          <cell r="AE32">
            <v>-48209.987236043264</v>
          </cell>
          <cell r="AF32">
            <v>-879.12664130190387</v>
          </cell>
          <cell r="AG32">
            <v>-1419.6524486184594</v>
          </cell>
          <cell r="AH32">
            <v>-954.38295920004714</v>
          </cell>
          <cell r="AI32">
            <v>-5686.3668821873507</v>
          </cell>
          <cell r="AJ32">
            <v>-7.7914033382758134</v>
          </cell>
          <cell r="AK32">
            <v>-48354.350235247635</v>
          </cell>
          <cell r="AL32">
            <v>-144.36299920437159</v>
          </cell>
          <cell r="AM32">
            <v>-1587.6546528936738</v>
          </cell>
          <cell r="AN32">
            <v>-168.00220427521435</v>
          </cell>
          <cell r="AO32">
            <v>-5606.9648106492423</v>
          </cell>
          <cell r="AP32">
            <v>79.40207153810843</v>
          </cell>
          <cell r="AQ32">
            <v>-46845.710876023571</v>
          </cell>
          <cell r="AR32">
            <v>1508.6393592240638</v>
          </cell>
          <cell r="AS32">
            <v>172.79646996090264</v>
          </cell>
          <cell r="AT32">
            <v>1760.4511228545764</v>
          </cell>
          <cell r="AU32">
            <v>-5532.0549966019244</v>
          </cell>
          <cell r="AV32">
            <v>74.909814047317923</v>
          </cell>
          <cell r="AW32">
            <v>-45980.876274435046</v>
          </cell>
          <cell r="AX32">
            <v>864.8346015885254</v>
          </cell>
          <cell r="AY32">
            <v>1145.730377685494</v>
          </cell>
          <cell r="AZ32">
            <v>972.93390772459134</v>
          </cell>
        </row>
        <row r="33">
          <cell r="A33">
            <v>2033</v>
          </cell>
          <cell r="B33">
            <v>-3459.4344546766802</v>
          </cell>
          <cell r="C33">
            <v>-20800.852654373899</v>
          </cell>
          <cell r="D33">
            <v>13850.646027273926</v>
          </cell>
          <cell r="E33">
            <v>-4459.4344546766797</v>
          </cell>
          <cell r="F33">
            <v>-999.99999999999955</v>
          </cell>
          <cell r="G33">
            <v>-42497.512342978909</v>
          </cell>
          <cell r="H33">
            <v>-21696.65968860501</v>
          </cell>
          <cell r="I33">
            <v>-12193.878488979793</v>
          </cell>
          <cell r="J33">
            <v>-26044.524516253718</v>
          </cell>
          <cell r="K33">
            <v>-4459.4344546766797</v>
          </cell>
          <cell r="L33">
            <v>0</v>
          </cell>
          <cell r="M33">
            <v>-42497.512342978909</v>
          </cell>
          <cell r="N33">
            <v>0</v>
          </cell>
          <cell r="O33">
            <v>4887.2617410844932</v>
          </cell>
          <cell r="P33">
            <v>17081.140230064288</v>
          </cell>
          <cell r="Q33">
            <v>-5737.1106772184503</v>
          </cell>
          <cell r="R33">
            <v>-1277.6762225417706</v>
          </cell>
          <cell r="S33">
            <v>-51746.172066701904</v>
          </cell>
          <cell r="T33">
            <v>-9248.6597237229944</v>
          </cell>
          <cell r="U33">
            <v>-5334.173312237991</v>
          </cell>
          <cell r="V33">
            <v>-10221.435053322484</v>
          </cell>
          <cell r="W33">
            <v>-5825.6675777336959</v>
          </cell>
          <cell r="X33">
            <v>-88.556900515245616</v>
          </cell>
          <cell r="Y33">
            <v>-53156.528172475053</v>
          </cell>
          <cell r="Z33">
            <v>-1410.3561057731495</v>
          </cell>
          <cell r="AA33">
            <v>-6999.7380428840843</v>
          </cell>
          <cell r="AB33">
            <v>-1665.5647306460933</v>
          </cell>
          <cell r="AC33">
            <v>-5987.6426826314882</v>
          </cell>
          <cell r="AD33">
            <v>-161.97510489779233</v>
          </cell>
          <cell r="AE33">
            <v>-54197.629918674749</v>
          </cell>
          <cell r="AF33">
            <v>-1041.1017461996962</v>
          </cell>
          <cell r="AG33">
            <v>-8135.0379938485657</v>
          </cell>
          <cell r="AH33">
            <v>-1135.2999509644815</v>
          </cell>
          <cell r="AI33">
            <v>-5995.4375561575871</v>
          </cell>
          <cell r="AJ33">
            <v>-7.7948735260988542</v>
          </cell>
          <cell r="AK33">
            <v>-54349.787791405222</v>
          </cell>
          <cell r="AL33">
            <v>-152.15787273047317</v>
          </cell>
          <cell r="AM33">
            <v>-8313.8144210853025</v>
          </cell>
          <cell r="AN33">
            <v>-178.77642723673671</v>
          </cell>
          <cell r="AO33">
            <v>-5916.0354846194787</v>
          </cell>
          <cell r="AP33">
            <v>79.40207153810843</v>
          </cell>
          <cell r="AQ33">
            <v>-52761.746360643054</v>
          </cell>
          <cell r="AR33">
            <v>1588.0414307621686</v>
          </cell>
          <cell r="AS33">
            <v>-6442.9043262102232</v>
          </cell>
          <cell r="AT33">
            <v>1870.9100948750793</v>
          </cell>
          <cell r="AU33">
            <v>-5838.1096837399673</v>
          </cell>
          <cell r="AV33">
            <v>77.925800879511371</v>
          </cell>
          <cell r="AW33">
            <v>-51818.985958175013</v>
          </cell>
          <cell r="AX33">
            <v>942.76040246804041</v>
          </cell>
          <cell r="AY33">
            <v>-5375.7079549565142</v>
          </cell>
          <cell r="AZ33">
            <v>1067.196371253709</v>
          </cell>
        </row>
        <row r="34">
          <cell r="A34">
            <v>2034</v>
          </cell>
          <cell r="B34">
            <v>-3573.5137185491944</v>
          </cell>
          <cell r="C34">
            <v>-24374.366372923094</v>
          </cell>
          <cell r="D34">
            <v>9488.2130533285235</v>
          </cell>
          <cell r="E34">
            <v>-4573.5137185491949</v>
          </cell>
          <cell r="F34">
            <v>-1000.0000000000005</v>
          </cell>
          <cell r="G34">
            <v>-47071.0260615281</v>
          </cell>
          <cell r="H34">
            <v>-22696.659688605007</v>
          </cell>
          <cell r="I34">
            <v>-18007.374768994698</v>
          </cell>
          <cell r="J34">
            <v>-27495.587822323221</v>
          </cell>
          <cell r="K34">
            <v>-4573.5137185491949</v>
          </cell>
          <cell r="L34">
            <v>0</v>
          </cell>
          <cell r="M34">
            <v>-47071.0260615281</v>
          </cell>
          <cell r="N34">
            <v>0</v>
          </cell>
          <cell r="O34">
            <v>-295.06229874330307</v>
          </cell>
          <cell r="P34">
            <v>17712.312470251396</v>
          </cell>
          <cell r="Q34">
            <v>-5992.868219855357</v>
          </cell>
          <cell r="R34">
            <v>-1419.3545013061621</v>
          </cell>
          <cell r="S34">
            <v>-57739.040286557261</v>
          </cell>
          <cell r="T34">
            <v>-10668.014225029161</v>
          </cell>
          <cell r="U34">
            <v>-12126.653458264011</v>
          </cell>
          <cell r="V34">
            <v>-11831.591159520707</v>
          </cell>
          <cell r="W34">
            <v>-6082.8368338530872</v>
          </cell>
          <cell r="X34">
            <v>-89.968613997730245</v>
          </cell>
          <cell r="Y34">
            <v>-59239.365006328138</v>
          </cell>
          <cell r="Z34">
            <v>-1500.324719770877</v>
          </cell>
          <cell r="AA34">
            <v>-13912.275338969532</v>
          </cell>
          <cell r="AB34">
            <v>-1785.6218807055211</v>
          </cell>
          <cell r="AC34">
            <v>-6262.372891073067</v>
          </cell>
          <cell r="AD34">
            <v>-179.53605721997974</v>
          </cell>
          <cell r="AE34">
            <v>-60460.002809747813</v>
          </cell>
          <cell r="AF34">
            <v>-1220.637803419675</v>
          </cell>
          <cell r="AG34">
            <v>-15249.367842981866</v>
          </cell>
          <cell r="AH34">
            <v>-1337.0925040123348</v>
          </cell>
          <cell r="AI34">
            <v>-6270.1756530446773</v>
          </cell>
          <cell r="AJ34">
            <v>-7.80276197161038</v>
          </cell>
          <cell r="AK34">
            <v>-60619.963444449902</v>
          </cell>
          <cell r="AL34">
            <v>-159.96063470208901</v>
          </cell>
          <cell r="AM34">
            <v>-15439.117451589487</v>
          </cell>
          <cell r="AN34">
            <v>-189.74960860762076</v>
          </cell>
          <cell r="AO34">
            <v>-6190.7735815065698</v>
          </cell>
          <cell r="AP34">
            <v>79.402071538107521</v>
          </cell>
          <cell r="AQ34">
            <v>-58952.519942149622</v>
          </cell>
          <cell r="AR34">
            <v>1667.4435023002807</v>
          </cell>
          <cell r="AS34">
            <v>-13455.626583986397</v>
          </cell>
          <cell r="AT34">
            <v>1983.49086760309</v>
          </cell>
          <cell r="AU34">
            <v>-6109.8763650288329</v>
          </cell>
          <cell r="AV34">
            <v>80.897216477736947</v>
          </cell>
          <cell r="AW34">
            <v>-57928.862323203844</v>
          </cell>
          <cell r="AX34">
            <v>1023.6576189457774</v>
          </cell>
          <cell r="AY34">
            <v>-12288.607346321389</v>
          </cell>
          <cell r="AZ34">
            <v>1167.0192376650084</v>
          </cell>
        </row>
        <row r="35">
          <cell r="A35">
            <v>2035</v>
          </cell>
          <cell r="B35">
            <v>-3645.4272918429033</v>
          </cell>
          <cell r="C35">
            <v>-28019.793664765995</v>
          </cell>
          <cell r="D35">
            <v>4981.6750964581652</v>
          </cell>
          <cell r="E35">
            <v>-4645.4272918429033</v>
          </cell>
          <cell r="F35">
            <v>-1000</v>
          </cell>
          <cell r="G35">
            <v>-51716.453353371006</v>
          </cell>
          <cell r="H35">
            <v>-23696.65968860501</v>
          </cell>
          <cell r="I35">
            <v>-23994.822325397912</v>
          </cell>
          <cell r="J35">
            <v>-28976.497421856078</v>
          </cell>
          <cell r="K35">
            <v>-4645.4272918429033</v>
          </cell>
          <cell r="L35">
            <v>0</v>
          </cell>
          <cell r="M35">
            <v>-51716.453353371006</v>
          </cell>
          <cell r="N35">
            <v>0</v>
          </cell>
          <cell r="O35">
            <v>-5644.9198250759991</v>
          </cell>
          <cell r="P35">
            <v>18349.902500321914</v>
          </cell>
          <cell r="Q35">
            <v>-6247.8646701184862</v>
          </cell>
          <cell r="R35">
            <v>-1602.4373782755829</v>
          </cell>
          <cell r="S35">
            <v>-63986.904956675746</v>
          </cell>
          <cell r="T35">
            <v>-12270.45160330474</v>
          </cell>
          <cell r="U35">
            <v>-19306.765224686038</v>
          </cell>
          <cell r="V35">
            <v>-13661.84539961004</v>
          </cell>
          <cell r="W35">
            <v>-6338.7795467519136</v>
          </cell>
          <cell r="X35">
            <v>-90.914876633427411</v>
          </cell>
          <cell r="Y35">
            <v>-65578.144553080056</v>
          </cell>
          <cell r="Z35">
            <v>-1591.2395964043099</v>
          </cell>
          <cell r="AA35">
            <v>-21215.51881131118</v>
          </cell>
          <cell r="AB35">
            <v>-1908.7535866251419</v>
          </cell>
          <cell r="AC35">
            <v>-6536.2457384303043</v>
          </cell>
          <cell r="AD35">
            <v>-197.46619167839071</v>
          </cell>
          <cell r="AE35">
            <v>-66996.248548178119</v>
          </cell>
          <cell r="AF35">
            <v>-1418.103995098063</v>
          </cell>
          <cell r="AG35">
            <v>-22775.99969136341</v>
          </cell>
          <cell r="AH35">
            <v>-1560.4808800522296</v>
          </cell>
          <cell r="AI35">
            <v>-6544.0984909310791</v>
          </cell>
          <cell r="AJ35">
            <v>-7.8527525007748409</v>
          </cell>
          <cell r="AK35">
            <v>-67164.061935380974</v>
          </cell>
          <cell r="AL35">
            <v>-167.81338720285567</v>
          </cell>
          <cell r="AM35">
            <v>-22976.967070161398</v>
          </cell>
          <cell r="AN35">
            <v>-200.9673787979882</v>
          </cell>
          <cell r="AO35">
            <v>-6464.6964193929707</v>
          </cell>
          <cell r="AP35">
            <v>79.40207153810843</v>
          </cell>
          <cell r="AQ35">
            <v>-65417.216361542596</v>
          </cell>
          <cell r="AR35">
            <v>1746.8455738383782</v>
          </cell>
          <cell r="AS35">
            <v>-20878.89892351591</v>
          </cell>
          <cell r="AT35">
            <v>2098.068146645488</v>
          </cell>
          <cell r="AU35">
            <v>-6380.8716998627915</v>
          </cell>
          <cell r="AV35">
            <v>83.824719530179209</v>
          </cell>
          <cell r="AW35">
            <v>-64309.734023066638</v>
          </cell>
          <cell r="AX35">
            <v>1107.4823384759584</v>
          </cell>
          <cell r="AY35">
            <v>-19607.359058657697</v>
          </cell>
          <cell r="AZ35">
            <v>1271.5398648582122</v>
          </cell>
        </row>
        <row r="36">
          <cell r="A36">
            <v>2036</v>
          </cell>
          <cell r="B36">
            <v>-3698.911482968615</v>
          </cell>
          <cell r="C36">
            <v>-31718.70514773461</v>
          </cell>
          <cell r="D36">
            <v>384.62169745385313</v>
          </cell>
          <cell r="E36">
            <v>-4698.911482968615</v>
          </cell>
          <cell r="F36">
            <v>-1000</v>
          </cell>
          <cell r="G36">
            <v>-56415.364836339621</v>
          </cell>
          <cell r="H36">
            <v>-24696.65968860501</v>
          </cell>
          <cell r="I36">
            <v>-30103.296781685149</v>
          </cell>
          <cell r="J36">
            <v>-30487.918479139003</v>
          </cell>
          <cell r="K36">
            <v>-4698.911482968615</v>
          </cell>
          <cell r="L36">
            <v>0</v>
          </cell>
          <cell r="M36">
            <v>-56415.364836339621</v>
          </cell>
          <cell r="N36">
            <v>0</v>
          </cell>
          <cell r="O36">
            <v>-11120.118574909628</v>
          </cell>
          <cell r="P36">
            <v>18983.178206775519</v>
          </cell>
          <cell r="Q36">
            <v>-6467.7738366844351</v>
          </cell>
          <cell r="R36">
            <v>-1768.8623537158201</v>
          </cell>
          <cell r="S36">
            <v>-70454.678793360188</v>
          </cell>
          <cell r="T36">
            <v>-14039.313957020568</v>
          </cell>
          <cell r="U36">
            <v>-26809.895377477613</v>
          </cell>
          <cell r="V36">
            <v>-15689.776802567985</v>
          </cell>
          <cell r="W36">
            <v>-6559.376683754861</v>
          </cell>
          <cell r="X36">
            <v>-91.602847070425923</v>
          </cell>
          <cell r="Y36">
            <v>-72137.521236834917</v>
          </cell>
          <cell r="Z36">
            <v>-1682.8424434747285</v>
          </cell>
          <cell r="AA36">
            <v>-28844.626680993737</v>
          </cell>
          <cell r="AB36">
            <v>-2034.7313035161242</v>
          </cell>
          <cell r="AC36">
            <v>-6775.0264419588393</v>
          </cell>
          <cell r="AD36">
            <v>-215.64975820397831</v>
          </cell>
          <cell r="AE36">
            <v>-73771.274990136953</v>
          </cell>
          <cell r="AF36">
            <v>-1633.7537533020368</v>
          </cell>
          <cell r="AG36">
            <v>-30650.695792382856</v>
          </cell>
          <cell r="AH36">
            <v>-1806.0691113891189</v>
          </cell>
          <cell r="AI36">
            <v>-6782.8773019329619</v>
          </cell>
          <cell r="AJ36">
            <v>-7.8508599741226135</v>
          </cell>
          <cell r="AK36">
            <v>-73946.939237313942</v>
          </cell>
          <cell r="AL36">
            <v>-175.66424717698828</v>
          </cell>
          <cell r="AM36">
            <v>-30863.077984670592</v>
          </cell>
          <cell r="AN36">
            <v>-212.38219228773596</v>
          </cell>
          <cell r="AO36">
            <v>-6703.4752303948517</v>
          </cell>
          <cell r="AP36">
            <v>79.402071538110249</v>
          </cell>
          <cell r="AQ36">
            <v>-72120.691591937444</v>
          </cell>
          <cell r="AR36">
            <v>1826.2476453764975</v>
          </cell>
          <cell r="AS36">
            <v>-28648.400646645005</v>
          </cell>
          <cell r="AT36">
            <v>2214.6773380255872</v>
          </cell>
          <cell r="AU36">
            <v>-6616.7662714041471</v>
          </cell>
          <cell r="AV36">
            <v>86.708958990704559</v>
          </cell>
          <cell r="AW36">
            <v>-70926.500294470781</v>
          </cell>
          <cell r="AX36">
            <v>1194.1912974666629</v>
          </cell>
          <cell r="AY36">
            <v>-27267.602347360178</v>
          </cell>
          <cell r="AZ36">
            <v>1380.7982992848265</v>
          </cell>
        </row>
        <row r="37">
          <cell r="A37">
            <v>2037</v>
          </cell>
          <cell r="B37">
            <v>-3631.5998535765443</v>
          </cell>
          <cell r="C37">
            <v>-35350.305001311157</v>
          </cell>
          <cell r="D37">
            <v>-4204.0381880983959</v>
          </cell>
          <cell r="E37">
            <v>-4631.5998535765457</v>
          </cell>
          <cell r="F37">
            <v>-1000.0000000000014</v>
          </cell>
          <cell r="G37">
            <v>-61046.964689916167</v>
          </cell>
          <cell r="H37">
            <v>-25696.65968860501</v>
          </cell>
          <cell r="I37">
            <v>-36234.515615292687</v>
          </cell>
          <cell r="J37">
            <v>-32030.477427194292</v>
          </cell>
          <cell r="K37">
            <v>-4631.5998535765457</v>
          </cell>
          <cell r="L37">
            <v>0</v>
          </cell>
          <cell r="M37">
            <v>-61046.964689916167</v>
          </cell>
          <cell r="N37">
            <v>0</v>
          </cell>
          <cell r="O37">
            <v>-16628.139852213997</v>
          </cell>
          <cell r="P37">
            <v>19606.375763078689</v>
          </cell>
          <cell r="Q37">
            <v>-6567.800620739954</v>
          </cell>
          <cell r="R37">
            <v>-1936.2007671634083</v>
          </cell>
          <cell r="S37">
            <v>-77022.479414100148</v>
          </cell>
          <cell r="T37">
            <v>-15975.51472418398</v>
          </cell>
          <cell r="U37">
            <v>-34549.463871193955</v>
          </cell>
          <cell r="V37">
            <v>-17921.324018979958</v>
          </cell>
          <cell r="W37">
            <v>-6659.5343486848815</v>
          </cell>
          <cell r="X37">
            <v>-91.733727944927523</v>
          </cell>
          <cell r="Y37">
            <v>-78797.055585519804</v>
          </cell>
          <cell r="Z37">
            <v>-1774.576171419656</v>
          </cell>
          <cell r="AA37">
            <v>-36712.513409754742</v>
          </cell>
          <cell r="AB37">
            <v>-2163.0495385607865</v>
          </cell>
          <cell r="AC37">
            <v>-6893.1663982180735</v>
          </cell>
          <cell r="AD37">
            <v>-233.632049533192</v>
          </cell>
          <cell r="AE37">
            <v>-80664.44138835503</v>
          </cell>
          <cell r="AF37">
            <v>-1867.3858028352261</v>
          </cell>
          <cell r="AG37">
            <v>-38786.543709578174</v>
          </cell>
          <cell r="AH37">
            <v>-2074.0302998234329</v>
          </cell>
          <cell r="AI37">
            <v>-6901.0753216463299</v>
          </cell>
          <cell r="AJ37">
            <v>-7.9089234282564576</v>
          </cell>
          <cell r="AK37">
            <v>-80848.014558960276</v>
          </cell>
          <cell r="AL37">
            <v>-183.57317060524656</v>
          </cell>
          <cell r="AM37">
            <v>-39010.601208999768</v>
          </cell>
          <cell r="AN37">
            <v>-224.05749942159309</v>
          </cell>
          <cell r="AO37">
            <v>-6821.6732501082197</v>
          </cell>
          <cell r="AP37">
            <v>79.402071538110249</v>
          </cell>
          <cell r="AQ37">
            <v>-78942.364842045659</v>
          </cell>
          <cell r="AR37">
            <v>1905.6497169146169</v>
          </cell>
          <cell r="AS37">
            <v>-36677.246733343003</v>
          </cell>
          <cell r="AT37">
            <v>2333.3544756567644</v>
          </cell>
          <cell r="AU37">
            <v>-6732.1226758854655</v>
          </cell>
          <cell r="AV37">
            <v>89.550574222754221</v>
          </cell>
          <cell r="AW37">
            <v>-77658.622970356242</v>
          </cell>
          <cell r="AX37">
            <v>1283.7418716894172</v>
          </cell>
          <cell r="AY37">
            <v>-35182.410796399832</v>
          </cell>
          <cell r="AZ37">
            <v>1494.835936943171</v>
          </cell>
        </row>
        <row r="38">
          <cell r="A38">
            <v>2038</v>
          </cell>
          <cell r="B38">
            <v>-3504.9499233823158</v>
          </cell>
          <cell r="C38">
            <v>-38855.254924693472</v>
          </cell>
          <cell r="D38">
            <v>-8721.3422676908576</v>
          </cell>
          <cell r="E38">
            <v>-4504.9499233823153</v>
          </cell>
          <cell r="F38">
            <v>-999.99999999999955</v>
          </cell>
          <cell r="G38">
            <v>-65551.91461329849</v>
          </cell>
          <cell r="H38">
            <v>-26696.659688605017</v>
          </cell>
          <cell r="I38">
            <v>-42322.097011442362</v>
          </cell>
          <cell r="J38">
            <v>-33600.754743751502</v>
          </cell>
          <cell r="K38">
            <v>-4504.9499233823153</v>
          </cell>
          <cell r="L38">
            <v>0</v>
          </cell>
          <cell r="M38">
            <v>-65551.91461329849</v>
          </cell>
          <cell r="N38">
            <v>0</v>
          </cell>
          <cell r="O38">
            <v>-22099.772982472005</v>
          </cell>
          <cell r="P38">
            <v>20222.324028970357</v>
          </cell>
          <cell r="Q38">
            <v>-6629.0747580374637</v>
          </cell>
          <cell r="R38">
            <v>-2124.1248346551483</v>
          </cell>
          <cell r="S38">
            <v>-83651.554172137607</v>
          </cell>
          <cell r="T38">
            <v>-18099.639558839117</v>
          </cell>
          <cell r="U38">
            <v>-42482.198465922156</v>
          </cell>
          <cell r="V38">
            <v>-20382.425483450152</v>
          </cell>
          <cell r="W38">
            <v>-6720.6439398720031</v>
          </cell>
          <cell r="X38">
            <v>-91.569181834539449</v>
          </cell>
          <cell r="Y38">
            <v>-85517.699525391799</v>
          </cell>
          <cell r="Z38">
            <v>-1866.1453532541927</v>
          </cell>
          <cell r="AA38">
            <v>-44775.658826134357</v>
          </cell>
          <cell r="AB38">
            <v>-2293.4603602122006</v>
          </cell>
          <cell r="AC38">
            <v>-6972.2952457629208</v>
          </cell>
          <cell r="AD38">
            <v>-251.65130589091768</v>
          </cell>
          <cell r="AE38">
            <v>-87636.736634117944</v>
          </cell>
          <cell r="AF38">
            <v>-2119.0371087261447</v>
          </cell>
          <cell r="AG38">
            <v>-47140.464483483796</v>
          </cell>
          <cell r="AH38">
            <v>-2364.8056573494396</v>
          </cell>
          <cell r="AI38">
            <v>-6980.2462188004592</v>
          </cell>
          <cell r="AJ38">
            <v>-7.9509730375384606</v>
          </cell>
          <cell r="AK38">
            <v>-87828.260777760734</v>
          </cell>
          <cell r="AL38">
            <v>-191.52414364278957</v>
          </cell>
          <cell r="AM38">
            <v>-47376.446389430203</v>
          </cell>
          <cell r="AN38">
            <v>-235.98190594640619</v>
          </cell>
          <cell r="AO38">
            <v>-6900.8441472623508</v>
          </cell>
          <cell r="AP38">
            <v>79.40207153810843</v>
          </cell>
          <cell r="AQ38">
            <v>-85843.208989308012</v>
          </cell>
          <cell r="AR38">
            <v>1985.0517884527217</v>
          </cell>
          <cell r="AS38">
            <v>-44922.310156952743</v>
          </cell>
          <cell r="AT38">
            <v>2454.13623247746</v>
          </cell>
          <cell r="AU38">
            <v>-6808.49395212132</v>
          </cell>
          <cell r="AV38">
            <v>92.350195141030781</v>
          </cell>
          <cell r="AW38">
            <v>-84467.116922477566</v>
          </cell>
          <cell r="AX38">
            <v>1376.0920668304461</v>
          </cell>
          <cell r="AY38">
            <v>-43308.614619090244</v>
          </cell>
          <cell r="AZ38">
            <v>1613.6955378624989</v>
          </cell>
        </row>
        <row r="39">
          <cell r="A39">
            <v>2039</v>
          </cell>
          <cell r="B39">
            <v>-3247.7033385946347</v>
          </cell>
          <cell r="C39">
            <v>-42102.958263288107</v>
          </cell>
          <cell r="D39">
            <v>-13046.885943004741</v>
          </cell>
          <cell r="E39">
            <v>-4247.7033385946352</v>
          </cell>
          <cell r="F39">
            <v>-1000.0000000000005</v>
          </cell>
          <cell r="G39">
            <v>-69799.617951893131</v>
          </cell>
          <cell r="H39">
            <v>-27696.659688605025</v>
          </cell>
          <cell r="I39">
            <v>-48245.765285774571</v>
          </cell>
          <cell r="J39">
            <v>-35198.879342769826</v>
          </cell>
          <cell r="K39">
            <v>-4247.7033385946352</v>
          </cell>
          <cell r="L39">
            <v>0</v>
          </cell>
          <cell r="M39">
            <v>-69799.617951893131</v>
          </cell>
          <cell r="N39">
            <v>0</v>
          </cell>
          <cell r="O39">
            <v>-27409.961224550007</v>
          </cell>
          <cell r="P39">
            <v>20835.804061224564</v>
          </cell>
          <cell r="Q39">
            <v>-6601.7448476435666</v>
          </cell>
          <cell r="R39">
            <v>-2354.0415090489314</v>
          </cell>
          <cell r="S39">
            <v>-90253.299019781174</v>
          </cell>
          <cell r="T39">
            <v>-20453.681067888043</v>
          </cell>
          <cell r="U39">
            <v>-50531.019630411916</v>
          </cell>
          <cell r="V39">
            <v>-23121.05840586191</v>
          </cell>
          <cell r="W39">
            <v>-6693.3793671063086</v>
          </cell>
          <cell r="X39">
            <v>-91.634519462741991</v>
          </cell>
          <cell r="Y39">
            <v>-92211.078892498103</v>
          </cell>
          <cell r="Z39">
            <v>-1957.7798727169284</v>
          </cell>
          <cell r="AA39">
            <v>-52957.261886194661</v>
          </cell>
          <cell r="AB39">
            <v>-2426.2422557827449</v>
          </cell>
          <cell r="AC39">
            <v>-6963.7063905090909</v>
          </cell>
          <cell r="AD39">
            <v>-270.32702340278229</v>
          </cell>
          <cell r="AE39">
            <v>-94600.443024627035</v>
          </cell>
          <cell r="AF39">
            <v>-2389.3641321289324</v>
          </cell>
          <cell r="AG39">
            <v>-55636.739486412582</v>
          </cell>
          <cell r="AH39">
            <v>-2679.4776002179206</v>
          </cell>
          <cell r="AI39">
            <v>-6971.6537286237199</v>
          </cell>
          <cell r="AJ39">
            <v>-7.9473381146290194</v>
          </cell>
          <cell r="AK39">
            <v>-94799.914506384448</v>
          </cell>
          <cell r="AL39">
            <v>-199.47148175741313</v>
          </cell>
          <cell r="AM39">
            <v>-55884.853631268743</v>
          </cell>
          <cell r="AN39">
            <v>-248.11414485616115</v>
          </cell>
          <cell r="AO39">
            <v>-6892.2516570856114</v>
          </cell>
          <cell r="AP39">
            <v>79.40207153810843</v>
          </cell>
          <cell r="AQ39">
            <v>-92735.460646393622</v>
          </cell>
          <cell r="AR39">
            <v>2064.4538599908265</v>
          </cell>
          <cell r="AS39">
            <v>-53307.793699485082</v>
          </cell>
          <cell r="AT39">
            <v>2577.0599317836604</v>
          </cell>
          <cell r="AU39">
            <v>-6797.1432147344585</v>
          </cell>
          <cell r="AV39">
            <v>95.108442351152917</v>
          </cell>
          <cell r="AW39">
            <v>-91264.260137212026</v>
          </cell>
          <cell r="AX39">
            <v>1471.2005091815954</v>
          </cell>
          <cell r="AY39">
            <v>-51570.372458501457</v>
          </cell>
          <cell r="AZ39">
            <v>1737.4212409836255</v>
          </cell>
        </row>
        <row r="40">
          <cell r="A40">
            <v>2040</v>
          </cell>
          <cell r="B40">
            <v>-2670.8453508487642</v>
          </cell>
          <cell r="C40">
            <v>-44773.803614136872</v>
          </cell>
          <cell r="D40">
            <v>-16860.995640602967</v>
          </cell>
          <cell r="E40">
            <v>-3670.8453508487651</v>
          </cell>
          <cell r="F40">
            <v>-1000.0000000000009</v>
          </cell>
          <cell r="G40">
            <v>-73470.463302741889</v>
          </cell>
          <cell r="H40">
            <v>-28696.659688605017</v>
          </cell>
          <cell r="I40">
            <v>-53686.340708285046</v>
          </cell>
          <cell r="J40">
            <v>-36825.345067682079</v>
          </cell>
          <cell r="K40">
            <v>-3670.8453508487651</v>
          </cell>
          <cell r="L40">
            <v>0</v>
          </cell>
          <cell r="M40">
            <v>-73470.463302741889</v>
          </cell>
          <cell r="N40">
            <v>0</v>
          </cell>
          <cell r="O40">
            <v>-32241.108254178162</v>
          </cell>
          <cell r="P40">
            <v>21445.232454106885</v>
          </cell>
          <cell r="Q40">
            <v>-6297.4903607415818</v>
          </cell>
          <cell r="R40">
            <v>-2626.6450098928167</v>
          </cell>
          <cell r="S40">
            <v>-96550.78938052275</v>
          </cell>
          <cell r="T40">
            <v>-23080.326077780861</v>
          </cell>
          <cell r="U40">
            <v>-58426.038284764822</v>
          </cell>
          <cell r="V40">
            <v>-26184.93003058666</v>
          </cell>
          <cell r="W40">
            <v>-6389.7890607443405</v>
          </cell>
          <cell r="X40">
            <v>-92.298700002758778</v>
          </cell>
          <cell r="Y40">
            <v>-98600.867953242443</v>
          </cell>
          <cell r="Z40">
            <v>-2050.0785727196926</v>
          </cell>
          <cell r="AA40">
            <v>-60988.073599741008</v>
          </cell>
          <cell r="AB40">
            <v>-2562.0353149761868</v>
          </cell>
          <cell r="AC40">
            <v>-6679.7318921555698</v>
          </cell>
          <cell r="AD40">
            <v>-289.94283141122924</v>
          </cell>
          <cell r="AE40">
            <v>-101280.17491678261</v>
          </cell>
          <cell r="AF40">
            <v>-2679.3069635401625</v>
          </cell>
          <cell r="AG40">
            <v>-64007.473667828031</v>
          </cell>
          <cell r="AH40">
            <v>-3019.4000680870231</v>
          </cell>
          <cell r="AI40">
            <v>-6687.6033552251811</v>
          </cell>
          <cell r="AJ40">
            <v>-7.871463069611309</v>
          </cell>
          <cell r="AK40">
            <v>-101487.51786160962</v>
          </cell>
          <cell r="AL40">
            <v>-207.34294482701807</v>
          </cell>
          <cell r="AM40">
            <v>-64267.859329554209</v>
          </cell>
          <cell r="AN40">
            <v>-260.3856617261772</v>
          </cell>
          <cell r="AO40">
            <v>-6608.2012836870736</v>
          </cell>
          <cell r="AP40">
            <v>79.402071538107521</v>
          </cell>
          <cell r="AQ40">
            <v>-99343.661930080692</v>
          </cell>
          <cell r="AR40">
            <v>2143.8559315289313</v>
          </cell>
          <cell r="AS40">
            <v>-61565.695770791957</v>
          </cell>
          <cell r="AT40">
            <v>2702.1635587622513</v>
          </cell>
          <cell r="AU40">
            <v>-6510.3753563998407</v>
          </cell>
          <cell r="AV40">
            <v>97.825927287232844</v>
          </cell>
          <cell r="AW40">
            <v>-97774.635493611873</v>
          </cell>
          <cell r="AX40">
            <v>1569.0264364688192</v>
          </cell>
          <cell r="AY40">
            <v>-59699.637191350936</v>
          </cell>
          <cell r="AZ40">
            <v>1866.0585794410217</v>
          </cell>
        </row>
        <row r="41">
          <cell r="A41">
            <v>2041</v>
          </cell>
          <cell r="B41">
            <v>-1942.0600555954261</v>
          </cell>
          <cell r="C41">
            <v>-46715.863669732295</v>
          </cell>
          <cell r="D41">
            <v>-20005.561554784501</v>
          </cell>
          <cell r="E41">
            <v>-2942.0600555954261</v>
          </cell>
          <cell r="F41">
            <v>-1000</v>
          </cell>
          <cell r="G41">
            <v>-76412.523358337319</v>
          </cell>
          <cell r="H41">
            <v>-29696.659688605025</v>
          </cell>
          <cell r="I41">
            <v>-58486.216074520133</v>
          </cell>
          <cell r="J41">
            <v>-38480.654519735632</v>
          </cell>
          <cell r="K41">
            <v>-2942.0600555954261</v>
          </cell>
          <cell r="L41">
            <v>0</v>
          </cell>
          <cell r="M41">
            <v>-76412.523358337319</v>
          </cell>
          <cell r="N41">
            <v>0</v>
          </cell>
          <cell r="O41">
            <v>-36436.886905188701</v>
          </cell>
          <cell r="P41">
            <v>22049.329169331431</v>
          </cell>
          <cell r="Q41">
            <v>-5807.3837658505536</v>
          </cell>
          <cell r="R41">
            <v>-2865.3237102551275</v>
          </cell>
          <cell r="S41">
            <v>-102358.1731463733</v>
          </cell>
          <cell r="T41">
            <v>-25945.649788035982</v>
          </cell>
          <cell r="U41">
            <v>-65976.077559886355</v>
          </cell>
          <cell r="V41">
            <v>-29539.190654697653</v>
          </cell>
          <cell r="W41">
            <v>-5900.0508295915697</v>
          </cell>
          <cell r="X41">
            <v>-92.667063741016136</v>
          </cell>
          <cell r="Y41">
            <v>-104500.91878283401</v>
          </cell>
          <cell r="Z41">
            <v>-2142.745636460706</v>
          </cell>
          <cell r="AA41">
            <v>-68676.658075014988</v>
          </cell>
          <cell r="AB41">
            <v>-2700.5805151286331</v>
          </cell>
          <cell r="AC41">
            <v>-6209.6954525932742</v>
          </cell>
          <cell r="AD41">
            <v>-309.64462300170453</v>
          </cell>
          <cell r="AE41">
            <v>-107489.87036937589</v>
          </cell>
          <cell r="AF41">
            <v>-2988.9515865418798</v>
          </cell>
          <cell r="AG41">
            <v>-72061.754906745962</v>
          </cell>
          <cell r="AH41">
            <v>-3385.0968317309744</v>
          </cell>
          <cell r="AI41">
            <v>-6217.4796571436846</v>
          </cell>
          <cell r="AJ41">
            <v>-7.7842045504103226</v>
          </cell>
          <cell r="AK41">
            <v>-107704.99751875331</v>
          </cell>
          <cell r="AL41">
            <v>-215.12714937742567</v>
          </cell>
          <cell r="AM41">
            <v>-72334.542449782224</v>
          </cell>
          <cell r="AN41">
            <v>-272.78754303626192</v>
          </cell>
          <cell r="AO41">
            <v>-6138.0775856055761</v>
          </cell>
          <cell r="AP41">
            <v>79.40207153810843</v>
          </cell>
          <cell r="AQ41">
            <v>-105481.73951568626</v>
          </cell>
          <cell r="AR41">
            <v>2223.2580030670506</v>
          </cell>
          <cell r="AS41">
            <v>-69505.056677553061</v>
          </cell>
          <cell r="AT41">
            <v>2829.4857722291636</v>
          </cell>
          <cell r="AU41">
            <v>-6037.574333258166</v>
          </cell>
          <cell r="AV41">
            <v>100.50325234741013</v>
          </cell>
          <cell r="AW41">
            <v>-103812.20982687004</v>
          </cell>
          <cell r="AX41">
            <v>1669.5296888162266</v>
          </cell>
          <cell r="AY41">
            <v>-67505.402181301644</v>
          </cell>
          <cell r="AZ41">
            <v>1999.6544962514163</v>
          </cell>
        </row>
        <row r="42">
          <cell r="A42">
            <v>2042</v>
          </cell>
          <cell r="B42">
            <v>-969.38299211502635</v>
          </cell>
          <cell r="C42">
            <v>-47685.246661847319</v>
          </cell>
          <cell r="D42">
            <v>-22231.329915867071</v>
          </cell>
          <cell r="E42">
            <v>-1969.3829921150264</v>
          </cell>
          <cell r="F42">
            <v>-1000</v>
          </cell>
          <cell r="G42">
            <v>-78381.906350452351</v>
          </cell>
          <cell r="H42">
            <v>-30696.659688605032</v>
          </cell>
          <cell r="I42">
            <v>-62396.649129170502</v>
          </cell>
          <cell r="J42">
            <v>-40165.319213303432</v>
          </cell>
          <cell r="K42">
            <v>-1969.3829921150264</v>
          </cell>
          <cell r="L42">
            <v>0</v>
          </cell>
          <cell r="M42">
            <v>-78381.906350452351</v>
          </cell>
          <cell r="N42">
            <v>0</v>
          </cell>
          <cell r="O42">
            <v>-39739.383476729068</v>
          </cell>
          <cell r="P42">
            <v>22657.265652441434</v>
          </cell>
          <cell r="Q42">
            <v>-5044.8721790098471</v>
          </cell>
          <cell r="R42">
            <v>-3075.4891868948207</v>
          </cell>
          <cell r="S42">
            <v>-107403.04532538315</v>
          </cell>
          <cell r="T42">
            <v>-29021.1389749308</v>
          </cell>
          <cell r="U42">
            <v>-72900.269202476993</v>
          </cell>
          <cell r="V42">
            <v>-33160.885725747925</v>
          </cell>
          <cell r="W42">
            <v>-5138.3082979995424</v>
          </cell>
          <cell r="X42">
            <v>-93.436118989695387</v>
          </cell>
          <cell r="Y42">
            <v>-109639.22708083355</v>
          </cell>
          <cell r="Z42">
            <v>-2236.1817554503941</v>
          </cell>
          <cell r="AA42">
            <v>-75742.608238154702</v>
          </cell>
          <cell r="AB42">
            <v>-2842.339035677709</v>
          </cell>
          <cell r="AC42">
            <v>-5468.7269375524211</v>
          </cell>
          <cell r="AD42">
            <v>-330.41863955287863</v>
          </cell>
          <cell r="AE42">
            <v>-112958.59730692831</v>
          </cell>
          <cell r="AF42">
            <v>-3319.3702260947612</v>
          </cell>
          <cell r="AG42">
            <v>-79520.744888633388</v>
          </cell>
          <cell r="AH42">
            <v>-3778.1366504786856</v>
          </cell>
          <cell r="AI42">
            <v>-5476.3959553569248</v>
          </cell>
          <cell r="AJ42">
            <v>-7.6690178045037101</v>
          </cell>
          <cell r="AK42">
            <v>-113181.39347411024</v>
          </cell>
          <cell r="AL42">
            <v>-222.79616718193574</v>
          </cell>
          <cell r="AM42">
            <v>-79806.039061074785</v>
          </cell>
          <cell r="AN42">
            <v>-285.29417244139768</v>
          </cell>
          <cell r="AO42">
            <v>-5396.9938838188236</v>
          </cell>
          <cell r="AP42">
            <v>79.402071538101154</v>
          </cell>
          <cell r="AQ42">
            <v>-110878.73339950509</v>
          </cell>
          <cell r="AR42">
            <v>2302.6600746051554</v>
          </cell>
          <cell r="AS42">
            <v>-76846.973144499527</v>
          </cell>
          <cell r="AT42">
            <v>2959.0659165752586</v>
          </cell>
          <cell r="AU42">
            <v>-5293.8528727914327</v>
          </cell>
          <cell r="AV42">
            <v>103.14101102739096</v>
          </cell>
          <cell r="AW42">
            <v>-109106.06269966147</v>
          </cell>
          <cell r="AX42">
            <v>1772.670699843613</v>
          </cell>
          <cell r="AY42">
            <v>-74708.715784085216</v>
          </cell>
          <cell r="AZ42">
            <v>2138.2573604143108</v>
          </cell>
        </row>
        <row r="43">
          <cell r="A43">
            <v>2043</v>
          </cell>
          <cell r="B43">
            <v>135.96679257668075</v>
          </cell>
          <cell r="C43">
            <v>-47549.279869270642</v>
          </cell>
          <cell r="D43">
            <v>-23395.486854824412</v>
          </cell>
          <cell r="E43">
            <v>-864.03320742331925</v>
          </cell>
          <cell r="F43">
            <v>-1000</v>
          </cell>
          <cell r="G43">
            <v>-79245.939557875667</v>
          </cell>
          <cell r="H43">
            <v>-31696.659688605025</v>
          </cell>
          <cell r="I43">
            <v>-65275.346588773689</v>
          </cell>
          <cell r="J43">
            <v>-41879.859733949277</v>
          </cell>
          <cell r="K43">
            <v>-864.03320742331925</v>
          </cell>
          <cell r="L43">
            <v>0</v>
          </cell>
          <cell r="M43">
            <v>-79245.939557875667</v>
          </cell>
          <cell r="N43">
            <v>0</v>
          </cell>
          <cell r="O43">
            <v>-42000.459665606249</v>
          </cell>
          <cell r="P43">
            <v>23274.88692316744</v>
          </cell>
          <cell r="Q43">
            <v>-4125.4578368777384</v>
          </cell>
          <cell r="R43">
            <v>-3261.4246294544191</v>
          </cell>
          <cell r="S43">
            <v>-111528.50316226089</v>
          </cell>
          <cell r="T43">
            <v>-32282.563604385228</v>
          </cell>
          <cell r="U43">
            <v>-79031.350052052105</v>
          </cell>
          <cell r="V43">
            <v>-37030.890386445855</v>
          </cell>
          <cell r="W43">
            <v>-4220.0617718025405</v>
          </cell>
          <cell r="X43">
            <v>-94.603934924802161</v>
          </cell>
          <cell r="Y43">
            <v>-113859.28885263609</v>
          </cell>
          <cell r="Z43">
            <v>-2330.7856903751963</v>
          </cell>
          <cell r="AA43">
            <v>-82019.124564449128</v>
          </cell>
          <cell r="AB43">
            <v>-2987.7745123970235</v>
          </cell>
          <cell r="AC43">
            <v>-4572.5392440325923</v>
          </cell>
          <cell r="AD43">
            <v>-352.47747223005172</v>
          </cell>
          <cell r="AE43">
            <v>-117531.1365509609</v>
          </cell>
          <cell r="AF43">
            <v>-3671.8476983248111</v>
          </cell>
          <cell r="AG43">
            <v>-86219.437297443539</v>
          </cell>
          <cell r="AH43">
            <v>-4200.3127329944109</v>
          </cell>
          <cell r="AI43">
            <v>-4580.0633221143098</v>
          </cell>
          <cell r="AJ43">
            <v>-7.5240780817175619</v>
          </cell>
          <cell r="AK43">
            <v>-117761.45679622455</v>
          </cell>
          <cell r="AL43">
            <v>-230.32024526364694</v>
          </cell>
          <cell r="AM43">
            <v>-86517.314952009954</v>
          </cell>
          <cell r="AN43">
            <v>-297.877654566415</v>
          </cell>
          <cell r="AO43">
            <v>-4500.6612505762087</v>
          </cell>
          <cell r="AP43">
            <v>79.402071538101154</v>
          </cell>
          <cell r="AQ43">
            <v>-115379.39465008129</v>
          </cell>
          <cell r="AR43">
            <v>2382.0621461432602</v>
          </cell>
          <cell r="AS43">
            <v>-83426.370918085406</v>
          </cell>
          <cell r="AT43">
            <v>3090.9440339245484</v>
          </cell>
          <cell r="AU43">
            <v>-4394.9214625242212</v>
          </cell>
          <cell r="AV43">
            <v>105.73978805198749</v>
          </cell>
          <cell r="AW43">
            <v>-113500.98416218569</v>
          </cell>
          <cell r="AX43">
            <v>1878.4104878955986</v>
          </cell>
          <cell r="AY43">
            <v>-81144.453934656092</v>
          </cell>
          <cell r="AZ43">
            <v>2281.9169834293134</v>
          </cell>
        </row>
        <row r="44">
          <cell r="A44">
            <v>2044</v>
          </cell>
          <cell r="B44">
            <v>1374.0058563298044</v>
          </cell>
          <cell r="C44">
            <v>-46175.274012940834</v>
          </cell>
          <cell r="D44">
            <v>-23345.9969652859</v>
          </cell>
          <cell r="E44">
            <v>374.00585632980432</v>
          </cell>
          <cell r="F44">
            <v>-1000</v>
          </cell>
          <cell r="G44">
            <v>-78871.933701545859</v>
          </cell>
          <cell r="H44">
            <v>-32696.659688605025</v>
          </cell>
          <cell r="I44">
            <v>-66970.802864582147</v>
          </cell>
          <cell r="J44">
            <v>-43624.805899296247</v>
          </cell>
          <cell r="K44">
            <v>374.00585632980432</v>
          </cell>
          <cell r="L44">
            <v>0</v>
          </cell>
          <cell r="M44">
            <v>-78871.933701545859</v>
          </cell>
          <cell r="N44">
            <v>0</v>
          </cell>
          <cell r="O44">
            <v>-43069.096821205392</v>
          </cell>
          <cell r="P44">
            <v>23901.706043376755</v>
          </cell>
          <cell r="Q44">
            <v>-3063.9552336936249</v>
          </cell>
          <cell r="R44">
            <v>-3437.9610900234293</v>
          </cell>
          <cell r="S44">
            <v>-114592.45839595451</v>
          </cell>
          <cell r="T44">
            <v>-35720.524694408654</v>
          </cell>
          <cell r="U44">
            <v>-84214.588170541174</v>
          </cell>
          <cell r="V44">
            <v>-41145.491349335782</v>
          </cell>
          <cell r="W44">
            <v>-3160.2403374481073</v>
          </cell>
          <cell r="X44">
            <v>-96.285103754482407</v>
          </cell>
          <cell r="Y44">
            <v>-117019.5291900842</v>
          </cell>
          <cell r="Z44">
            <v>-2427.070794129686</v>
          </cell>
          <cell r="AA44">
            <v>-87352.055938982783</v>
          </cell>
          <cell r="AB44">
            <v>-3137.4677684416092</v>
          </cell>
          <cell r="AC44">
            <v>-3536.0454710474846</v>
          </cell>
          <cell r="AD44">
            <v>-375.80513359937731</v>
          </cell>
          <cell r="AE44">
            <v>-121067.18202200839</v>
          </cell>
          <cell r="AF44">
            <v>-4047.6528319241916</v>
          </cell>
          <cell r="AG44">
            <v>-92005.456014126961</v>
          </cell>
          <cell r="AH44">
            <v>-4653.4000751441781</v>
          </cell>
          <cell r="AI44">
            <v>-3543.3892328091956</v>
          </cell>
          <cell r="AJ44">
            <v>-7.3437617617109936</v>
          </cell>
          <cell r="AK44">
            <v>-121304.84602903374</v>
          </cell>
          <cell r="AL44">
            <v>-237.66400702534884</v>
          </cell>
          <cell r="AM44">
            <v>-92315.959989846422</v>
          </cell>
          <cell r="AN44">
            <v>-310.50397571946087</v>
          </cell>
          <cell r="AO44">
            <v>-3463.9871612710945</v>
          </cell>
          <cell r="AP44">
            <v>79.402071538101154</v>
          </cell>
          <cell r="AQ44">
            <v>-118843.38181135239</v>
          </cell>
          <cell r="AR44">
            <v>2461.4642176813504</v>
          </cell>
          <cell r="AS44">
            <v>-89090.799113338813</v>
          </cell>
          <cell r="AT44">
            <v>3225.1608765076089</v>
          </cell>
          <cell r="AU44">
            <v>-3355.6870017662777</v>
          </cell>
          <cell r="AV44">
            <v>108.30015950481675</v>
          </cell>
          <cell r="AW44">
            <v>-116856.67116395196</v>
          </cell>
          <cell r="AX44">
            <v>1986.7106474004249</v>
          </cell>
          <cell r="AY44">
            <v>-86660.114477102499</v>
          </cell>
          <cell r="AZ44">
            <v>2430.684636236314</v>
          </cell>
        </row>
        <row r="45">
          <cell r="A45">
            <v>2045</v>
          </cell>
          <cell r="B45">
            <v>2752.1735052919616</v>
          </cell>
          <cell r="C45">
            <v>-43423.100507648873</v>
          </cell>
          <cell r="D45">
            <v>-21926.430623536722</v>
          </cell>
          <cell r="E45">
            <v>1752.1735052919614</v>
          </cell>
          <cell r="F45">
            <v>-1000.0000000000002</v>
          </cell>
          <cell r="G45">
            <v>-77119.76019625389</v>
          </cell>
          <cell r="H45">
            <v>-33696.659688605017</v>
          </cell>
          <cell r="I45">
            <v>-67327.127546284624</v>
          </cell>
          <cell r="J45">
            <v>-45400.696922747898</v>
          </cell>
          <cell r="K45">
            <v>1752.1735052919614</v>
          </cell>
          <cell r="L45">
            <v>0</v>
          </cell>
          <cell r="M45">
            <v>-77119.76019625389</v>
          </cell>
          <cell r="N45">
            <v>0</v>
          </cell>
          <cell r="O45">
            <v>-42794.197184545897</v>
          </cell>
          <cell r="P45">
            <v>24532.930361738727</v>
          </cell>
          <cell r="Q45">
            <v>-1901.8204672416243</v>
          </cell>
          <cell r="R45">
            <v>-3653.9939725335857</v>
          </cell>
          <cell r="S45">
            <v>-116494.27886319613</v>
          </cell>
          <cell r="T45">
            <v>-39374.51866694224</v>
          </cell>
          <cell r="U45">
            <v>-88347.046771292327</v>
          </cell>
          <cell r="V45">
            <v>-45552.84958674643</v>
          </cell>
          <cell r="W45">
            <v>-2000.1155662426993</v>
          </cell>
          <cell r="X45">
            <v>-98.295099001074959</v>
          </cell>
          <cell r="Y45">
            <v>-119019.6447563269</v>
          </cell>
          <cell r="Z45">
            <v>-2525.3658931307727</v>
          </cell>
          <cell r="AA45">
            <v>-91638.875885260612</v>
          </cell>
          <cell r="AB45">
            <v>-3291.8291139682842</v>
          </cell>
          <cell r="AC45">
            <v>-2399.9424998259542</v>
          </cell>
          <cell r="AD45">
            <v>-399.82693358325491</v>
          </cell>
          <cell r="AE45">
            <v>-123467.12452183434</v>
          </cell>
          <cell r="AF45">
            <v>-4447.4797655074362</v>
          </cell>
          <cell r="AG45">
            <v>-96777.483367135777</v>
          </cell>
          <cell r="AH45">
            <v>-5138.6074818751658</v>
          </cell>
          <cell r="AI45">
            <v>-2407.0917060638294</v>
          </cell>
          <cell r="AJ45">
            <v>-7.1492062378752053</v>
          </cell>
          <cell r="AK45">
            <v>-123711.93773509757</v>
          </cell>
          <cell r="AL45">
            <v>-244.81321326323086</v>
          </cell>
          <cell r="AM45">
            <v>-97100.643023539364</v>
          </cell>
          <cell r="AN45">
            <v>-323.15965640358627</v>
          </cell>
          <cell r="AO45">
            <v>-2327.6896345257287</v>
          </cell>
          <cell r="AP45">
            <v>79.402071538100699</v>
          </cell>
          <cell r="AQ45">
            <v>-121171.07144587811</v>
          </cell>
          <cell r="AR45">
            <v>2540.8662892194552</v>
          </cell>
          <cell r="AS45">
            <v>-93738.885104284651</v>
          </cell>
          <cell r="AT45">
            <v>3361.7579192547128</v>
          </cell>
          <cell r="AU45">
            <v>-2216.8669415698605</v>
          </cell>
          <cell r="AV45">
            <v>110.82269295586821</v>
          </cell>
          <cell r="AW45">
            <v>-119073.53810552182</v>
          </cell>
          <cell r="AX45">
            <v>2097.5333403562981</v>
          </cell>
          <cell r="AY45">
            <v>-91154.272037701099</v>
          </cell>
          <cell r="AZ45">
            <v>2584.6130665835517</v>
          </cell>
        </row>
        <row r="46">
          <cell r="A46">
            <v>2046</v>
          </cell>
          <cell r="B46">
            <v>4316.174721794031</v>
          </cell>
          <cell r="C46">
            <v>-39106.925785854844</v>
          </cell>
          <cell r="D46">
            <v>-18937.871531866422</v>
          </cell>
          <cell r="E46">
            <v>3316.1747217940319</v>
          </cell>
          <cell r="F46">
            <v>-999.99999999999909</v>
          </cell>
          <cell r="G46">
            <v>-73803.585474459862</v>
          </cell>
          <cell r="H46">
            <v>-34696.659688605017</v>
          </cell>
          <cell r="I46">
            <v>-66145.953111979383</v>
          </cell>
          <cell r="J46">
            <v>-47208.081580112965</v>
          </cell>
          <cell r="K46">
            <v>3316.1747217940319</v>
          </cell>
          <cell r="L46">
            <v>0</v>
          </cell>
          <cell r="M46">
            <v>-73803.585474459862</v>
          </cell>
          <cell r="N46">
            <v>0</v>
          </cell>
          <cell r="O46">
            <v>-40972.030942235702</v>
          </cell>
          <cell r="P46">
            <v>25173.922169743681</v>
          </cell>
          <cell r="Q46">
            <v>-555.59246676330804</v>
          </cell>
          <cell r="R46">
            <v>-3871.76718855734</v>
          </cell>
          <cell r="S46">
            <v>-117049.87132995944</v>
          </cell>
          <cell r="T46">
            <v>-43246.285855499576</v>
          </cell>
          <cell r="U46">
            <v>-91228.624093832143</v>
          </cell>
          <cell r="V46">
            <v>-50256.59315159644</v>
          </cell>
          <cell r="W46">
            <v>-656.64203985560914</v>
          </cell>
          <cell r="X46">
            <v>-101.0495730923011</v>
          </cell>
          <cell r="Y46">
            <v>-119676.28679618251</v>
          </cell>
          <cell r="Z46">
            <v>-2626.4154662230721</v>
          </cell>
          <cell r="AA46">
            <v>-94680.309460107906</v>
          </cell>
          <cell r="AB46">
            <v>-3451.685366275764</v>
          </cell>
          <cell r="AC46">
            <v>-1081.8870945138224</v>
          </cell>
          <cell r="AD46">
            <v>-425.24505465821323</v>
          </cell>
          <cell r="AE46">
            <v>-124549.01161634816</v>
          </cell>
          <cell r="AF46">
            <v>-4872.7248201656475</v>
          </cell>
          <cell r="AG46">
            <v>-100338.23453434113</v>
          </cell>
          <cell r="AH46">
            <v>-5657.9250742332224</v>
          </cell>
          <cell r="AI46">
            <v>-1088.7835686153774</v>
          </cell>
          <cell r="AJ46">
            <v>-6.8964741015549862</v>
          </cell>
          <cell r="AK46">
            <v>-124800.72130371294</v>
          </cell>
          <cell r="AL46">
            <v>-251.70968736478244</v>
          </cell>
          <cell r="AM46">
            <v>-100674.02157500909</v>
          </cell>
          <cell r="AN46">
            <v>-335.78704066795763</v>
          </cell>
          <cell r="AO46">
            <v>-1009.3814970772763</v>
          </cell>
          <cell r="AP46">
            <v>79.40207153810104</v>
          </cell>
          <cell r="AQ46">
            <v>-122180.45294295539</v>
          </cell>
          <cell r="AR46">
            <v>2620.2683607575455</v>
          </cell>
          <cell r="AS46">
            <v>-97173.244202396963</v>
          </cell>
          <cell r="AT46">
            <v>3500.7773726121231</v>
          </cell>
          <cell r="AU46">
            <v>-896.07354948983993</v>
          </cell>
          <cell r="AV46">
            <v>113.30794758743639</v>
          </cell>
          <cell r="AW46">
            <v>-119969.61165501166</v>
          </cell>
          <cell r="AX46">
            <v>2210.8412879437383</v>
          </cell>
          <cell r="AY46">
            <v>-94429.48768556735</v>
          </cell>
          <cell r="AZ46">
            <v>2743.7565168296132</v>
          </cell>
        </row>
        <row r="47">
          <cell r="A47">
            <v>2047</v>
          </cell>
          <cell r="B47">
            <v>5869.1696063845211</v>
          </cell>
          <cell r="C47">
            <v>-33237.756179470322</v>
          </cell>
          <cell r="D47">
            <v>-14356.736307677535</v>
          </cell>
          <cell r="E47">
            <v>4869.1696063845211</v>
          </cell>
          <cell r="F47">
            <v>-1000</v>
          </cell>
          <cell r="G47">
            <v>-68934.415868075346</v>
          </cell>
          <cell r="H47">
            <v>-35696.659688605025</v>
          </cell>
          <cell r="I47">
            <v>-63404.254686862521</v>
          </cell>
          <cell r="J47">
            <v>-49047.518379184985</v>
          </cell>
          <cell r="K47">
            <v>4869.1696063845211</v>
          </cell>
          <cell r="L47">
            <v>0</v>
          </cell>
          <cell r="M47">
            <v>-68934.415868075346</v>
          </cell>
          <cell r="N47">
            <v>0</v>
          </cell>
          <cell r="O47">
            <v>-37569.224700047147</v>
          </cell>
          <cell r="P47">
            <v>25835.029986815374</v>
          </cell>
          <cell r="Q47">
            <v>797.07269859915687</v>
          </cell>
          <cell r="R47">
            <v>-4072.0969077853642</v>
          </cell>
          <cell r="S47">
            <v>-116252.79863136029</v>
          </cell>
          <cell r="T47">
            <v>-47318.382763284942</v>
          </cell>
          <cell r="U47">
            <v>-92812.074582186367</v>
          </cell>
          <cell r="V47">
            <v>-55242.84988213922</v>
          </cell>
          <cell r="W47">
            <v>692.44500216644155</v>
          </cell>
          <cell r="X47">
            <v>-104.62769643271531</v>
          </cell>
          <cell r="Y47">
            <v>-118983.84179401607</v>
          </cell>
          <cell r="Z47">
            <v>-2731.0431626557838</v>
          </cell>
          <cell r="AA47">
            <v>-96430.037636681242</v>
          </cell>
          <cell r="AB47">
            <v>-3617.9630544948741</v>
          </cell>
          <cell r="AC47">
            <v>239.83679219768598</v>
          </cell>
          <cell r="AD47">
            <v>-452.60820996875555</v>
          </cell>
          <cell r="AE47">
            <v>-124309.17482415047</v>
          </cell>
          <cell r="AF47">
            <v>-5325.3330301343958</v>
          </cell>
          <cell r="AG47">
            <v>-102643.98683345174</v>
          </cell>
          <cell r="AH47">
            <v>-6213.9491967704962</v>
          </cell>
          <cell r="AI47">
            <v>233.26271432653084</v>
          </cell>
          <cell r="AJ47">
            <v>-6.57407787115514</v>
          </cell>
          <cell r="AK47">
            <v>-124567.45858938641</v>
          </cell>
          <cell r="AL47">
            <v>-258.28376523594488</v>
          </cell>
          <cell r="AM47">
            <v>-102992.30279606183</v>
          </cell>
          <cell r="AN47">
            <v>-348.3159626100969</v>
          </cell>
          <cell r="AO47">
            <v>312.66478586463199</v>
          </cell>
          <cell r="AP47">
            <v>79.402071538101154</v>
          </cell>
          <cell r="AQ47">
            <v>-121867.78815709076</v>
          </cell>
          <cell r="AR47">
            <v>2699.6704322956502</v>
          </cell>
          <cell r="AS47">
            <v>-99350.040600476117</v>
          </cell>
          <cell r="AT47">
            <v>3642.2621955857176</v>
          </cell>
          <cell r="AU47">
            <v>428.42126018269113</v>
          </cell>
          <cell r="AV47">
            <v>115.75647431805913</v>
          </cell>
          <cell r="AW47">
            <v>-119541.19039482897</v>
          </cell>
          <cell r="AX47">
            <v>2326.5977622617938</v>
          </cell>
          <cell r="AY47">
            <v>-96441.869858291087</v>
          </cell>
          <cell r="AZ47">
            <v>2908.1707421850297</v>
          </cell>
        </row>
        <row r="48">
          <cell r="A48">
            <v>2048</v>
          </cell>
          <cell r="B48">
            <v>7445.3441039701984</v>
          </cell>
          <cell r="C48">
            <v>-25792.412075500124</v>
          </cell>
          <cell r="D48">
            <v>-8131.734233631686</v>
          </cell>
          <cell r="E48">
            <v>6445.3441039701993</v>
          </cell>
          <cell r="F48">
            <v>-999.99999999999909</v>
          </cell>
          <cell r="G48">
            <v>-62489.071764105145</v>
          </cell>
          <cell r="H48">
            <v>-36696.659688605025</v>
          </cell>
          <cell r="I48">
            <v>-59051.309965960907</v>
          </cell>
          <cell r="J48">
            <v>-50919.57573232922</v>
          </cell>
          <cell r="K48">
            <v>6445.3441039701993</v>
          </cell>
          <cell r="L48">
            <v>0</v>
          </cell>
          <cell r="M48">
            <v>-62489.071764105145</v>
          </cell>
          <cell r="N48">
            <v>0</v>
          </cell>
          <cell r="O48">
            <v>-32537.556087944282</v>
          </cell>
          <cell r="P48">
            <v>26513.753878016625</v>
          </cell>
          <cell r="Q48">
            <v>2168.8371856969407</v>
          </cell>
          <cell r="R48">
            <v>-4276.5069182732586</v>
          </cell>
          <cell r="S48">
            <v>-114083.96144566334</v>
          </cell>
          <cell r="T48">
            <v>-51594.889681558197</v>
          </cell>
          <cell r="U48">
            <v>-93060.092306654988</v>
          </cell>
          <cell r="V48">
            <v>-60522.536218710709</v>
          </cell>
          <cell r="W48">
            <v>2059.8102706907557</v>
          </cell>
          <cell r="X48">
            <v>-109.02691500618494</v>
          </cell>
          <cell r="Y48">
            <v>-116924.03152332532</v>
          </cell>
          <cell r="Z48">
            <v>-2840.0700776619778</v>
          </cell>
          <cell r="AA48">
            <v>-96851.690837062517</v>
          </cell>
          <cell r="AB48">
            <v>-3791.5985304075293</v>
          </cell>
          <cell r="AC48">
            <v>1578.0310806672387</v>
          </cell>
          <cell r="AD48">
            <v>-481.779190023517</v>
          </cell>
          <cell r="AE48">
            <v>-122731.14374348323</v>
          </cell>
          <cell r="AF48">
            <v>-5807.1122201579128</v>
          </cell>
          <cell r="AG48">
            <v>-103660.80809817679</v>
          </cell>
          <cell r="AH48">
            <v>-6809.1172611142683</v>
          </cell>
          <cell r="AI48">
            <v>1571.8195261949186</v>
          </cell>
          <cell r="AJ48">
            <v>-6.211554472320131</v>
          </cell>
          <cell r="AK48">
            <v>-122995.6390631915</v>
          </cell>
          <cell r="AL48">
            <v>-264.49531970826501</v>
          </cell>
          <cell r="AM48">
            <v>-104021.51264710844</v>
          </cell>
          <cell r="AN48">
            <v>-360.70454893165152</v>
          </cell>
          <cell r="AO48">
            <v>1651.2215977330197</v>
          </cell>
          <cell r="AP48">
            <v>79.402071538101154</v>
          </cell>
          <cell r="AQ48">
            <v>-120216.56655935774</v>
          </cell>
          <cell r="AR48">
            <v>2779.072503833755</v>
          </cell>
          <cell r="AS48">
            <v>-100235.25653809242</v>
          </cell>
          <cell r="AT48">
            <v>3786.2561090160161</v>
          </cell>
          <cell r="AU48">
            <v>1769.3904136576036</v>
          </cell>
          <cell r="AV48">
            <v>118.1688159245839</v>
          </cell>
          <cell r="AW48">
            <v>-117771.79998117137</v>
          </cell>
          <cell r="AX48">
            <v>2444.7665781863761</v>
          </cell>
          <cell r="AY48">
            <v>-97157.343508692851</v>
          </cell>
          <cell r="AZ48">
            <v>3077.9130293995695</v>
          </cell>
        </row>
        <row r="49">
          <cell r="A49">
            <v>2049</v>
          </cell>
          <cell r="B49">
            <v>8969.416511390129</v>
          </cell>
          <cell r="C49">
            <v>-16822.995564109995</v>
          </cell>
          <cell r="D49">
            <v>-282.81456909838118</v>
          </cell>
          <cell r="E49">
            <v>7969.416511390129</v>
          </cell>
          <cell r="F49">
            <v>-1000</v>
          </cell>
          <cell r="G49">
            <v>-54519.65525271502</v>
          </cell>
          <cell r="H49">
            <v>-37696.659688605025</v>
          </cell>
          <cell r="I49">
            <v>-53107.646701228587</v>
          </cell>
          <cell r="J49">
            <v>-52824.832132130206</v>
          </cell>
          <cell r="K49">
            <v>7969.416511390129</v>
          </cell>
          <cell r="L49">
            <v>0</v>
          </cell>
          <cell r="M49">
            <v>-54519.65525271502</v>
          </cell>
          <cell r="N49">
            <v>0</v>
          </cell>
          <cell r="O49">
            <v>-25903.079666536618</v>
          </cell>
          <cell r="P49">
            <v>27204.567034691969</v>
          </cell>
          <cell r="Q49">
            <v>3618.2050237869553</v>
          </cell>
          <cell r="R49">
            <v>-4351.2114876031737</v>
          </cell>
          <cell r="S49">
            <v>-110465.75642187639</v>
          </cell>
          <cell r="T49">
            <v>-55946.101169161368</v>
          </cell>
          <cell r="U49">
            <v>-91862.361449272183</v>
          </cell>
          <cell r="V49">
            <v>-65959.281782735561</v>
          </cell>
          <cell r="W49">
            <v>3505.3111879524436</v>
          </cell>
          <cell r="X49">
            <v>-112.89383583451172</v>
          </cell>
          <cell r="Y49">
            <v>-113418.72033537288</v>
          </cell>
          <cell r="Z49">
            <v>-2952.9639134964964</v>
          </cell>
          <cell r="AA49">
            <v>-95834.516775344266</v>
          </cell>
          <cell r="AB49">
            <v>-3972.155326072083</v>
          </cell>
          <cell r="AC49">
            <v>2994.1729225533472</v>
          </cell>
          <cell r="AD49">
            <v>-511.13826539909633</v>
          </cell>
          <cell r="AE49">
            <v>-119736.97082092988</v>
          </cell>
          <cell r="AF49">
            <v>-6318.2504855570005</v>
          </cell>
          <cell r="AG49">
            <v>-103278.78793390559</v>
          </cell>
          <cell r="AH49">
            <v>-7444.2711585613288</v>
          </cell>
          <cell r="AI49">
            <v>2988.2730176151235</v>
          </cell>
          <cell r="AJ49">
            <v>-5.899904938223699</v>
          </cell>
          <cell r="AK49">
            <v>-120007.36604557637</v>
          </cell>
          <cell r="AL49">
            <v>-270.39522464649053</v>
          </cell>
          <cell r="AM49">
            <v>-103651.78911869247</v>
          </cell>
          <cell r="AN49">
            <v>-373.00118478687364</v>
          </cell>
          <cell r="AO49">
            <v>3067.6750891532242</v>
          </cell>
          <cell r="AP49">
            <v>79.402071538100699</v>
          </cell>
          <cell r="AQ49">
            <v>-117148.89147020451</v>
          </cell>
          <cell r="AR49">
            <v>2858.4745753718598</v>
          </cell>
          <cell r="AS49">
            <v>-99718.98550960407</v>
          </cell>
          <cell r="AT49">
            <v>3932.8036090883979</v>
          </cell>
          <cell r="AU49">
            <v>3188.2205963157498</v>
          </cell>
          <cell r="AV49">
            <v>120.54550716252561</v>
          </cell>
          <cell r="AW49">
            <v>-114583.57938485562</v>
          </cell>
          <cell r="AX49">
            <v>2565.3120853488945</v>
          </cell>
          <cell r="AY49">
            <v>-96465.943293702891</v>
          </cell>
          <cell r="AZ49">
            <v>3253.0422159011796</v>
          </cell>
        </row>
        <row r="50">
          <cell r="A50">
            <v>2050</v>
          </cell>
          <cell r="B50">
            <v>10296.816230087283</v>
          </cell>
          <cell r="C50">
            <v>-6526.1793340227123</v>
          </cell>
          <cell r="D50">
            <v>9013.5514549192558</v>
          </cell>
          <cell r="E50">
            <v>9296.8162300872827</v>
          </cell>
          <cell r="F50">
            <v>-1000</v>
          </cell>
          <cell r="G50">
            <v>-45222.839022627741</v>
          </cell>
          <cell r="H50">
            <v>-38696.659688605025</v>
          </cell>
          <cell r="I50">
            <v>-45750.324875235019</v>
          </cell>
          <cell r="J50">
            <v>-54763.876330154279</v>
          </cell>
          <cell r="K50">
            <v>9296.8162300872827</v>
          </cell>
          <cell r="L50">
            <v>0</v>
          </cell>
          <cell r="M50">
            <v>-45222.839022627741</v>
          </cell>
          <cell r="N50">
            <v>0</v>
          </cell>
          <cell r="O50">
            <v>-17843.977754158863</v>
          </cell>
          <cell r="P50">
            <v>27906.347121076156</v>
          </cell>
          <cell r="Q50">
            <v>4871.1533466991905</v>
          </cell>
          <cell r="R50">
            <v>-4425.6628833880923</v>
          </cell>
          <cell r="S50">
            <v>-105594.60307517719</v>
          </cell>
          <cell r="T50">
            <v>-60371.76405254945</v>
          </cell>
          <cell r="U50">
            <v>-89410.958964676989</v>
          </cell>
          <cell r="V50">
            <v>-71566.981210518134</v>
          </cell>
          <cell r="W50">
            <v>4756.5306832086353</v>
          </cell>
          <cell r="X50">
            <v>-114.62266349055517</v>
          </cell>
          <cell r="Y50">
            <v>-108662.18965216425</v>
          </cell>
          <cell r="Z50">
            <v>-3067.5865769870579</v>
          </cell>
          <cell r="AA50">
            <v>-93568.604006682232</v>
          </cell>
          <cell r="AB50">
            <v>-4157.6450420052424</v>
          </cell>
          <cell r="AC50">
            <v>4217.9890637205863</v>
          </cell>
          <cell r="AD50">
            <v>-538.54161948804904</v>
          </cell>
          <cell r="AE50">
            <v>-115518.9817572093</v>
          </cell>
          <cell r="AF50">
            <v>-6856.7921050450532</v>
          </cell>
          <cell r="AG50">
            <v>-101686.7598978584</v>
          </cell>
          <cell r="AH50">
            <v>-8118.1558911761676</v>
          </cell>
          <cell r="AI50">
            <v>4212.1799284570934</v>
          </cell>
          <cell r="AJ50">
            <v>-5.8091352634928626</v>
          </cell>
          <cell r="AK50">
            <v>-115795.18611711929</v>
          </cell>
          <cell r="AL50">
            <v>-276.20435990998521</v>
          </cell>
          <cell r="AM50">
            <v>-102072.1850172449</v>
          </cell>
          <cell r="AN50">
            <v>-385.42511938650568</v>
          </cell>
          <cell r="AO50">
            <v>4291.5819999951946</v>
          </cell>
          <cell r="AP50">
            <v>79.402071538101154</v>
          </cell>
          <cell r="AQ50">
            <v>-112857.30947020932</v>
          </cell>
          <cell r="AR50">
            <v>2937.8766469099646</v>
          </cell>
          <cell r="AS50">
            <v>-97990.23503616167</v>
          </cell>
          <cell r="AT50">
            <v>4081.9499810832349</v>
          </cell>
          <cell r="AU50">
            <v>4414.4690748798439</v>
          </cell>
          <cell r="AV50">
            <v>122.88707488464934</v>
          </cell>
          <cell r="AW50">
            <v>-110169.11030997577</v>
          </cell>
          <cell r="AX50">
            <v>2688.1991602335474</v>
          </cell>
          <cell r="AY50">
            <v>-94556.616326768723</v>
          </cell>
          <cell r="AZ50">
            <v>3433.6187093929475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rier"/>
      <sheetName val="ACTUEL"/>
      <sheetName val="prest-réf"/>
      <sheetName val="écart dû à variante"/>
      <sheetName val="PRECEDENT"/>
      <sheetName val="ECART"/>
      <sheetName val="ACOMPTES"/>
      <sheetName val="REGULARISATIONS"/>
      <sheetName val="passage CA"/>
      <sheetName val="résultats mal"/>
      <sheetName val="MSA mal"/>
      <sheetName val="CANAM mal"/>
      <sheetName val="calage population mal"/>
    </sheetNames>
    <sheetDataSet>
      <sheetData sheetId="0" refreshError="1"/>
      <sheetData sheetId="1" refreshError="1">
        <row r="10">
          <cell r="A10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"/>
      <sheetName val="TX"/>
      <sheetName val="TX_nettes"/>
      <sheetName val="CNAV-MSA"/>
      <sheetName val="SRE"/>
      <sheetName val="CNRACL"/>
      <sheetName val="NS"/>
      <sheetName val="poly"/>
      <sheetName val="PIPA"/>
      <sheetName val="PIPA_2011"/>
      <sheetName val="IP1448"/>
      <sheetName val="txsuperbrut"/>
      <sheetName val="txcot"/>
      <sheetName val="txpoly"/>
      <sheetName val="misc"/>
      <sheetName val="schema"/>
      <sheetName val="2013 11 - Taux normalisés"/>
    </sheetNames>
    <sheetDataSet>
      <sheetData sheetId="0"/>
      <sheetData sheetId="1">
        <row r="8">
          <cell r="C8">
            <v>2011</v>
          </cell>
        </row>
      </sheetData>
      <sheetData sheetId="2"/>
      <sheetData sheetId="3"/>
      <sheetData sheetId="4"/>
      <sheetData sheetId="5">
        <row r="23">
          <cell r="D23">
            <v>875.09834085714317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ATA"/>
      <sheetName val="DATA_preg"/>
      <sheetName val="chk_data"/>
      <sheetName val="chk_preg"/>
      <sheetName val="V_preg"/>
      <sheetName val="STRCTR"/>
      <sheetName val="STRCTR_ssC"/>
      <sheetName val="G_BASE"/>
      <sheetName val="cnieg"/>
      <sheetName val="G_CPTR"/>
      <sheetName val="G_GP"/>
      <sheetName val="G_GP_ssC"/>
      <sheetName val="G_TSRGM"/>
      <sheetName val="tempnon-salariés"/>
      <sheetName val="tempFPE"/>
      <sheetName val="CNRACL (2)"/>
      <sheetName val="G_TSRGM_hrz"/>
      <sheetName val="txcot"/>
      <sheetName val="legen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02"/>
      <sheetName val="Données"/>
      <sheetName val="Macro1"/>
    </sheetNames>
    <sheetDataSet>
      <sheetData sheetId="0" refreshError="1"/>
      <sheetData sheetId="1"/>
      <sheetData sheetId="2">
        <row r="23">
          <cell r="C23">
            <v>1585</v>
          </cell>
        </row>
        <row r="26">
          <cell r="C26">
            <v>0</v>
          </cell>
        </row>
        <row r="29">
          <cell r="C29">
            <v>6679</v>
          </cell>
        </row>
        <row r="32">
          <cell r="C32">
            <v>19</v>
          </cell>
        </row>
        <row r="35">
          <cell r="C35">
            <v>10921</v>
          </cell>
        </row>
        <row r="38">
          <cell r="C38">
            <v>16767</v>
          </cell>
        </row>
        <row r="41">
          <cell r="C41">
            <v>157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2 Ensemble"/>
      <sheetName val="Graph 2 Hommes"/>
      <sheetName val="Graph 2 Femmes"/>
      <sheetName val="Données Ensemble"/>
      <sheetName val="Données Hommes"/>
      <sheetName val="Données Femmes"/>
      <sheetName val="Macro1"/>
    </sheetNames>
    <sheetDataSet>
      <sheetData sheetId="0" refreshError="1"/>
      <sheetData sheetId="1"/>
      <sheetData sheetId="2"/>
      <sheetData sheetId="3"/>
      <sheetData sheetId="4"/>
      <sheetData sheetId="5"/>
      <sheetData sheetId="6">
        <row r="84">
          <cell r="C84">
            <v>1161</v>
          </cell>
        </row>
        <row r="87">
          <cell r="C87">
            <v>0</v>
          </cell>
        </row>
        <row r="90">
          <cell r="C90">
            <v>5467</v>
          </cell>
        </row>
        <row r="93">
          <cell r="C93">
            <v>18</v>
          </cell>
        </row>
        <row r="96">
          <cell r="C96">
            <v>10323</v>
          </cell>
        </row>
        <row r="99">
          <cell r="C99">
            <v>13141</v>
          </cell>
        </row>
        <row r="102">
          <cell r="C102">
            <v>3050</v>
          </cell>
        </row>
        <row r="109">
          <cell r="C109">
            <v>6</v>
          </cell>
        </row>
        <row r="112">
          <cell r="C112">
            <v>0</v>
          </cell>
        </row>
        <row r="115">
          <cell r="C115">
            <v>68</v>
          </cell>
        </row>
        <row r="118">
          <cell r="C118">
            <v>1</v>
          </cell>
        </row>
        <row r="121">
          <cell r="C121">
            <v>9</v>
          </cell>
        </row>
        <row r="124">
          <cell r="C124">
            <v>78</v>
          </cell>
        </row>
        <row r="127">
          <cell r="C127">
            <v>34</v>
          </cell>
        </row>
        <row r="169">
          <cell r="C169">
            <v>412</v>
          </cell>
        </row>
        <row r="172">
          <cell r="C172">
            <v>0</v>
          </cell>
        </row>
        <row r="175">
          <cell r="C175">
            <v>1130</v>
          </cell>
        </row>
        <row r="178">
          <cell r="C178">
            <v>0</v>
          </cell>
        </row>
        <row r="181">
          <cell r="C181">
            <v>589</v>
          </cell>
        </row>
        <row r="184">
          <cell r="C184">
            <v>3479</v>
          </cell>
        </row>
        <row r="187">
          <cell r="C187">
            <v>347</v>
          </cell>
        </row>
        <row r="194">
          <cell r="C194">
            <v>6</v>
          </cell>
        </row>
        <row r="197">
          <cell r="C197">
            <v>0</v>
          </cell>
        </row>
        <row r="200">
          <cell r="C200">
            <v>14</v>
          </cell>
        </row>
        <row r="203">
          <cell r="C203">
            <v>0</v>
          </cell>
        </row>
        <row r="206">
          <cell r="C206">
            <v>0</v>
          </cell>
        </row>
        <row r="209">
          <cell r="C209">
            <v>69</v>
          </cell>
        </row>
        <row r="212">
          <cell r="C212">
            <v>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plante"/>
      <sheetName val="Hoja1"/>
      <sheetName val="TRASPL"/>
    </sheetNames>
    <sheetDataSet>
      <sheetData sheetId="0" refreshError="1"/>
      <sheetData sheetId="1" refreshError="1"/>
      <sheetData sheetId="2" refreshError="1">
        <row r="81">
          <cell r="H81">
            <v>-80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moptpr2017"/>
      <sheetName val="IV.1.1"/>
      <sheetName val="IV.1.2"/>
      <sheetName val="S10"/>
      <sheetName val="TC2"/>
      <sheetName val="rangos"/>
      <sheetName val="Tramoptpr2019"/>
      <sheetName val="Hoja1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1</v>
          </cell>
          <cell r="E2">
            <v>1990</v>
          </cell>
          <cell r="F2" t="str">
            <v>Diciembre</v>
          </cell>
          <cell r="G2">
            <v>5773170</v>
          </cell>
          <cell r="H2">
            <v>6172748</v>
          </cell>
        </row>
        <row r="3">
          <cell r="E3">
            <v>1991</v>
          </cell>
          <cell r="F3" t="str">
            <v>Diciembre</v>
          </cell>
          <cell r="G3">
            <v>5913691</v>
          </cell>
          <cell r="H3">
            <v>6334592</v>
          </cell>
        </row>
        <row r="4">
          <cell r="E4">
            <v>1992</v>
          </cell>
          <cell r="F4" t="str">
            <v>Diciembre</v>
          </cell>
          <cell r="G4">
            <v>6054084</v>
          </cell>
          <cell r="H4">
            <v>6495123</v>
          </cell>
        </row>
        <row r="5">
          <cell r="E5">
            <v>1993</v>
          </cell>
          <cell r="F5" t="str">
            <v>Diciembre</v>
          </cell>
          <cell r="G5">
            <v>6268105</v>
          </cell>
          <cell r="H5">
            <v>6762638</v>
          </cell>
        </row>
        <row r="6">
          <cell r="E6">
            <v>1997</v>
          </cell>
          <cell r="F6" t="str">
            <v>Diciembre</v>
          </cell>
          <cell r="G6">
            <v>6740378</v>
          </cell>
          <cell r="H6">
            <v>7346463</v>
          </cell>
        </row>
        <row r="7">
          <cell r="E7">
            <v>1998</v>
          </cell>
          <cell r="F7" t="str">
            <v>Diciembre</v>
          </cell>
          <cell r="G7">
            <v>6846595</v>
          </cell>
          <cell r="H7">
            <v>7465751</v>
          </cell>
        </row>
        <row r="8">
          <cell r="E8">
            <v>1999</v>
          </cell>
          <cell r="F8" t="str">
            <v>Diciembre</v>
          </cell>
          <cell r="G8">
            <v>6932804</v>
          </cell>
          <cell r="H8">
            <v>7556230</v>
          </cell>
        </row>
        <row r="9">
          <cell r="E9">
            <v>2000</v>
          </cell>
          <cell r="F9" t="str">
            <v>Diciembre</v>
          </cell>
          <cell r="G9">
            <v>7017233</v>
          </cell>
          <cell r="H9">
            <v>7644320</v>
          </cell>
        </row>
        <row r="10">
          <cell r="E10">
            <v>2001</v>
          </cell>
          <cell r="F10" t="str">
            <v>Diciembre</v>
          </cell>
          <cell r="G10">
            <v>7121087</v>
          </cell>
          <cell r="H10">
            <v>7712203</v>
          </cell>
        </row>
        <row r="11">
          <cell r="E11">
            <v>2002</v>
          </cell>
          <cell r="F11" t="str">
            <v>Diciembre</v>
          </cell>
          <cell r="G11">
            <v>7190919</v>
          </cell>
          <cell r="H11">
            <v>7790250</v>
          </cell>
        </row>
        <row r="12">
          <cell r="E12">
            <v>2003</v>
          </cell>
          <cell r="F12" t="str">
            <v>Diciembre</v>
          </cell>
          <cell r="G12">
            <v>7247856</v>
          </cell>
          <cell r="H12">
            <v>7854176</v>
          </cell>
        </row>
        <row r="13">
          <cell r="E13">
            <v>2004</v>
          </cell>
          <cell r="F13" t="str">
            <v>Diciembre</v>
          </cell>
          <cell r="G13">
            <v>7300329</v>
          </cell>
          <cell r="H13">
            <v>7913385</v>
          </cell>
        </row>
        <row r="14">
          <cell r="E14">
            <v>2005</v>
          </cell>
          <cell r="F14" t="str">
            <v>Diciembre</v>
          </cell>
          <cell r="G14">
            <v>7388501</v>
          </cell>
          <cell r="H14">
            <v>8099910</v>
          </cell>
        </row>
        <row r="15">
          <cell r="E15">
            <v>2006</v>
          </cell>
          <cell r="F15" t="str">
            <v>Diciembre</v>
          </cell>
          <cell r="G15">
            <v>7494385</v>
          </cell>
          <cell r="H15">
            <v>8227243</v>
          </cell>
        </row>
        <row r="16">
          <cell r="E16">
            <v>2007</v>
          </cell>
          <cell r="F16" t="str">
            <v>Diciembre</v>
          </cell>
          <cell r="G16">
            <v>7586574</v>
          </cell>
          <cell r="H16">
            <v>8334316</v>
          </cell>
        </row>
        <row r="17">
          <cell r="E17">
            <v>2008</v>
          </cell>
          <cell r="F17" t="str">
            <v>Diciembre</v>
          </cell>
          <cell r="G17">
            <v>7700749</v>
          </cell>
          <cell r="H17">
            <v>8464342</v>
          </cell>
        </row>
        <row r="18">
          <cell r="E18">
            <v>2009</v>
          </cell>
          <cell r="F18" t="str">
            <v>Diciembre</v>
          </cell>
          <cell r="G18">
            <v>7826416</v>
          </cell>
          <cell r="H18">
            <v>8604119</v>
          </cell>
        </row>
        <row r="19">
          <cell r="E19">
            <v>2010</v>
          </cell>
          <cell r="F19" t="str">
            <v>Diciembre</v>
          </cell>
          <cell r="G19">
            <v>7948463</v>
          </cell>
          <cell r="H19">
            <v>8739732</v>
          </cell>
        </row>
        <row r="20">
          <cell r="E20">
            <v>2011</v>
          </cell>
          <cell r="F20" t="str">
            <v>Diciembre</v>
          </cell>
          <cell r="G20">
            <v>8061785</v>
          </cell>
          <cell r="H20">
            <v>8866277</v>
          </cell>
        </row>
        <row r="21">
          <cell r="E21">
            <v>2012</v>
          </cell>
          <cell r="F21" t="str">
            <v>Diciembre</v>
          </cell>
          <cell r="G21">
            <v>8182112</v>
          </cell>
          <cell r="H21">
            <v>8999045</v>
          </cell>
        </row>
        <row r="22">
          <cell r="E22">
            <v>2013</v>
          </cell>
          <cell r="F22" t="str">
            <v>Diciembre</v>
          </cell>
          <cell r="G22">
            <v>8315826</v>
          </cell>
          <cell r="H22">
            <v>9145966</v>
          </cell>
        </row>
        <row r="23">
          <cell r="E23">
            <v>2014</v>
          </cell>
          <cell r="F23" t="str">
            <v>Diciembre</v>
          </cell>
          <cell r="G23">
            <v>8428617</v>
          </cell>
          <cell r="H23">
            <v>9270942</v>
          </cell>
        </row>
        <row r="24">
          <cell r="E24">
            <v>2015</v>
          </cell>
          <cell r="F24" t="str">
            <v>Diciembre</v>
          </cell>
          <cell r="G24">
            <v>8508482</v>
          </cell>
          <cell r="H24">
            <v>9360799</v>
          </cell>
        </row>
        <row r="25">
          <cell r="E25">
            <v>2016</v>
          </cell>
          <cell r="F25" t="str">
            <v>Diciembre</v>
          </cell>
          <cell r="G25">
            <v>8609085</v>
          </cell>
          <cell r="H25">
            <v>9473482</v>
          </cell>
        </row>
        <row r="26">
          <cell r="E26">
            <v>2017</v>
          </cell>
          <cell r="F26" t="str">
            <v>Diciembre</v>
          </cell>
          <cell r="G26">
            <v>8705707</v>
          </cell>
          <cell r="H26">
            <v>9581770</v>
          </cell>
        </row>
      </sheetData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Données_base"/>
      <sheetName val="Valeurs"/>
      <sheetName val="Demo"/>
      <sheetName val="Act-Emploi"/>
      <sheetName val="Seniors"/>
      <sheetName val="ProtSociale"/>
      <sheetName val="Dépenses"/>
      <sheetName val="Régimes"/>
      <sheetName val="EpRetraite"/>
      <sheetName val="PteRetraites"/>
      <sheetName val="Carrière"/>
      <sheetName val="Param"/>
      <sheetName val="TauxCot"/>
      <sheetName val="txcot"/>
      <sheetName val="Pensions"/>
      <sheetName val="NiveauVie"/>
      <sheetName val="AgeDépart"/>
      <sheetName val="CNAV"/>
      <sheetName val="Compens"/>
      <sheetName val="Projections"/>
      <sheetName val="Soldes"/>
      <sheetName val="EvolPensions"/>
      <sheetName val="chg"/>
    </sheetNames>
    <sheetDataSet>
      <sheetData sheetId="0" refreshError="1">
        <row r="131">
          <cell r="C131">
            <v>6.5595699999999999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Données_base"/>
      <sheetName val="Valeurs"/>
      <sheetName val="Demo"/>
      <sheetName val="Act-Emploi"/>
      <sheetName val="Seniors"/>
      <sheetName val="ProtSociale"/>
      <sheetName val="Dépenses"/>
      <sheetName val="Régimes"/>
      <sheetName val="EpRetraite"/>
      <sheetName val="PteRetraites"/>
      <sheetName val="Carrière"/>
      <sheetName val="Param"/>
      <sheetName val="TauxCot"/>
      <sheetName val="txcot"/>
      <sheetName val="Pensions"/>
      <sheetName val="NiveauVie"/>
      <sheetName val="AgeDépart"/>
      <sheetName val="CNAV"/>
      <sheetName val="Compens"/>
      <sheetName val="Projections"/>
      <sheetName val="Soldes"/>
      <sheetName val="EvolPensions"/>
      <sheetName val="chg"/>
    </sheetNames>
    <sheetDataSet>
      <sheetData sheetId="0">
        <row r="131">
          <cell r="C131">
            <v>6.5595699999999999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tab1"/>
      <sheetName val="tab1MSACAVIter"/>
      <sheetName val="tab1FP"/>
      <sheetName val="histo_ageliq"/>
      <sheetName val="ANCETRE"/>
      <sheetName val="PopFR"/>
      <sheetName val="gg"/>
      <sheetName val="txretr_anc14"/>
      <sheetName val="txretr_anc15"/>
      <sheetName val="Graphe2_3.13COR"/>
      <sheetName val="Graphe1_3.17COR"/>
      <sheetName val="Tx_retraite_EEC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inedj"/>
      <sheetName val="II.5.8"/>
      <sheetName val="EVO8"/>
      <sheetName val="Rangos"/>
    </sheetNames>
    <sheetDataSet>
      <sheetData sheetId="0">
        <row r="1">
          <cell r="E1">
            <v>43466</v>
          </cell>
        </row>
      </sheetData>
      <sheetData sheetId="1"/>
      <sheetData sheetId="2"/>
      <sheetData sheetId="3"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19 calcul"/>
      <sheetName val="Données DSS octobre 2020"/>
      <sheetName val="Données DB juin 2020"/>
      <sheetName val="2017"/>
      <sheetName val="2017_calculs"/>
      <sheetName val="2016"/>
      <sheetName val="2016_calculs"/>
      <sheetName val="2016_calculs2"/>
      <sheetName val="2015"/>
      <sheetName val="CNAV PL 2017"/>
      <sheetName val="C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>
            <v>0.38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1"/>
      <sheetName val="A12"/>
      <sheetName val="A13"/>
      <sheetName val="A14"/>
      <sheetName val="A15"/>
      <sheetName val="A16"/>
      <sheetName val="A21"/>
      <sheetName val="A22"/>
      <sheetName val="A23"/>
      <sheetName val="A13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"/>
      <sheetName val="équ2025_Sc1,8"/>
      <sheetName val="équ2025_Sc1,5"/>
      <sheetName val="équ2025_Sc1,3"/>
      <sheetName val="équ2025_Sc1,0"/>
      <sheetName val="soldes"/>
      <sheetName val="Sc18"/>
      <sheetName val="Sc15"/>
      <sheetName val="Sc13"/>
      <sheetName val="Sc10"/>
    </sheetNames>
    <sheetDataSet>
      <sheetData sheetId="0"/>
      <sheetData sheetId="1">
        <row r="14">
          <cell r="B14">
            <v>-7.6473246071053179E-3</v>
          </cell>
        </row>
      </sheetData>
      <sheetData sheetId="2">
        <row r="14">
          <cell r="B14">
            <v>-7.9088008329032729E-3</v>
          </cell>
        </row>
      </sheetData>
      <sheetData sheetId="3">
        <row r="14">
          <cell r="B14">
            <v>-8.2538111318259545E-3</v>
          </cell>
        </row>
      </sheetData>
      <sheetData sheetId="4">
        <row r="14">
          <cell r="B14">
            <v>-8.7821702657690792E-3</v>
          </cell>
        </row>
      </sheetData>
      <sheetData sheetId="5">
        <row r="18">
          <cell r="B18" t="str">
            <v>Soldes CONVENTION COR/TCC (Md€)</v>
          </cell>
          <cell r="C18">
            <v>2002</v>
          </cell>
          <cell r="D18">
            <v>2003</v>
          </cell>
          <cell r="E18">
            <v>2004</v>
          </cell>
          <cell r="F18">
            <v>2005</v>
          </cell>
          <cell r="G18">
            <v>2006</v>
          </cell>
          <cell r="H18">
            <v>2007</v>
          </cell>
          <cell r="I18">
            <v>2008</v>
          </cell>
          <cell r="J18">
            <v>2009</v>
          </cell>
          <cell r="K18">
            <v>2010</v>
          </cell>
          <cell r="L18">
            <v>2011</v>
          </cell>
          <cell r="M18">
            <v>2012</v>
          </cell>
          <cell r="N18">
            <v>2013</v>
          </cell>
          <cell r="O18">
            <v>2014</v>
          </cell>
          <cell r="P18">
            <v>2015</v>
          </cell>
          <cell r="Q18">
            <v>2016</v>
          </cell>
          <cell r="R18">
            <v>2017</v>
          </cell>
          <cell r="S18">
            <v>2018</v>
          </cell>
          <cell r="T18">
            <v>2019</v>
          </cell>
          <cell r="U18">
            <v>2020</v>
          </cell>
          <cell r="V18">
            <v>2021</v>
          </cell>
          <cell r="W18">
            <v>2022</v>
          </cell>
          <cell r="X18">
            <v>2023</v>
          </cell>
          <cell r="Y18">
            <v>2024</v>
          </cell>
          <cell r="Z18">
            <v>2025</v>
          </cell>
          <cell r="AA18">
            <v>2026</v>
          </cell>
          <cell r="AB18">
            <v>2027</v>
          </cell>
          <cell r="AC18">
            <v>2028</v>
          </cell>
          <cell r="AD18">
            <v>2029</v>
          </cell>
          <cell r="AE18">
            <v>2030</v>
          </cell>
          <cell r="AF18">
            <v>2031</v>
          </cell>
          <cell r="AG18">
            <v>2032</v>
          </cell>
          <cell r="AH18">
            <v>2033</v>
          </cell>
          <cell r="AI18">
            <v>2034</v>
          </cell>
          <cell r="AJ18">
            <v>2035</v>
          </cell>
          <cell r="AK18">
            <v>2036</v>
          </cell>
          <cell r="AL18">
            <v>2037</v>
          </cell>
          <cell r="AM18">
            <v>2038</v>
          </cell>
          <cell r="AN18">
            <v>2039</v>
          </cell>
          <cell r="AO18">
            <v>2040</v>
          </cell>
          <cell r="AP18">
            <v>2041</v>
          </cell>
          <cell r="AQ18">
            <v>2042</v>
          </cell>
          <cell r="AR18">
            <v>2043</v>
          </cell>
          <cell r="AS18">
            <v>2044</v>
          </cell>
          <cell r="AT18">
            <v>2045</v>
          </cell>
          <cell r="AU18">
            <v>2046</v>
          </cell>
          <cell r="AV18">
            <v>2047</v>
          </cell>
          <cell r="AW18">
            <v>2048</v>
          </cell>
          <cell r="AX18">
            <v>2049</v>
          </cell>
          <cell r="AY18">
            <v>2050</v>
          </cell>
          <cell r="AZ18">
            <v>2051</v>
          </cell>
          <cell r="BA18">
            <v>2052</v>
          </cell>
          <cell r="BB18">
            <v>2053</v>
          </cell>
          <cell r="BC18">
            <v>2054</v>
          </cell>
          <cell r="BD18">
            <v>2055</v>
          </cell>
          <cell r="BE18">
            <v>2056</v>
          </cell>
          <cell r="BF18">
            <v>2057</v>
          </cell>
          <cell r="BG18">
            <v>2058</v>
          </cell>
          <cell r="BH18">
            <v>2059</v>
          </cell>
          <cell r="BI18">
            <v>2060</v>
          </cell>
          <cell r="BJ18">
            <v>2061</v>
          </cell>
          <cell r="BK18">
            <v>2062</v>
          </cell>
          <cell r="BL18">
            <v>2063</v>
          </cell>
          <cell r="BM18">
            <v>2064</v>
          </cell>
          <cell r="BN18">
            <v>2065</v>
          </cell>
          <cell r="BO18">
            <v>2066</v>
          </cell>
          <cell r="BP18">
            <v>2067</v>
          </cell>
          <cell r="BQ18">
            <v>2068</v>
          </cell>
          <cell r="BR18">
            <v>2069</v>
          </cell>
          <cell r="BS18">
            <v>2070</v>
          </cell>
        </row>
        <row r="19">
          <cell r="B19" t="str">
            <v>[1,8]</v>
          </cell>
          <cell r="C19">
            <v>4.7767284211169461</v>
          </cell>
          <cell r="D19">
            <v>7.4940418633002261</v>
          </cell>
          <cell r="E19">
            <v>6.6619765082100351</v>
          </cell>
          <cell r="F19">
            <v>2.7034829416014543</v>
          </cell>
          <cell r="G19">
            <v>3.1807818899036211</v>
          </cell>
          <cell r="H19">
            <v>1.2567737946306297</v>
          </cell>
          <cell r="I19">
            <v>-1.058919905920513</v>
          </cell>
          <cell r="J19">
            <v>-9.281601784255967</v>
          </cell>
          <cell r="K19">
            <v>-14.811349272014661</v>
          </cell>
          <cell r="L19">
            <v>-13.97230620947451</v>
          </cell>
          <cell r="M19">
            <v>-13.841357588645828</v>
          </cell>
          <cell r="N19">
            <v>-12.29663472830056</v>
          </cell>
          <cell r="O19">
            <v>-10.689459120126616</v>
          </cell>
          <cell r="P19">
            <v>-9.589693318980979</v>
          </cell>
          <cell r="Q19">
            <v>-3.955908819461416</v>
          </cell>
          <cell r="R19">
            <v>-2.1703708678703988</v>
          </cell>
          <cell r="S19">
            <v>-3.5054167257922817</v>
          </cell>
          <cell r="T19">
            <v>-4.8187160688406436</v>
          </cell>
          <cell r="U19">
            <v>-6.2722385030688024</v>
          </cell>
          <cell r="V19">
            <v>-8.9895009453549282</v>
          </cell>
          <cell r="W19">
            <v>-11.59755483846704</v>
          </cell>
          <cell r="X19">
            <v>-12.952072183044569</v>
          </cell>
          <cell r="Y19">
            <v>-15.597750055628712</v>
          </cell>
          <cell r="Z19">
            <v>-18.28827906511561</v>
          </cell>
          <cell r="AA19">
            <v>-20.73740379199182</v>
          </cell>
          <cell r="AB19">
            <v>-22.501647586522509</v>
          </cell>
          <cell r="AC19">
            <v>-24.28252347497741</v>
          </cell>
          <cell r="AD19">
            <v>-25.900772408184771</v>
          </cell>
          <cell r="AE19">
            <v>-26.77740686096606</v>
          </cell>
          <cell r="AF19">
            <v>-26.036036072360353</v>
          </cell>
          <cell r="AG19">
            <v>-24.700755050839508</v>
          </cell>
          <cell r="AH19">
            <v>-24.064792564564677</v>
          </cell>
          <cell r="AI19">
            <v>-23.184830248200218</v>
          </cell>
          <cell r="AJ19">
            <v>-22.002419630256014</v>
          </cell>
          <cell r="AK19">
            <v>-20.370701168870436</v>
          </cell>
          <cell r="AL19">
            <v>-18.593148992494797</v>
          </cell>
          <cell r="AM19">
            <v>-16.421456977843658</v>
          </cell>
          <cell r="AN19">
            <v>-13.749253542386112</v>
          </cell>
          <cell r="AO19">
            <v>-11.211559459201991</v>
          </cell>
          <cell r="AP19">
            <v>-8.2130250351872522</v>
          </cell>
          <cell r="AQ19">
            <v>-5.3006630469618834</v>
          </cell>
          <cell r="AR19">
            <v>-2.5755836969626835</v>
          </cell>
          <cell r="AS19">
            <v>-0.12488156320154667</v>
          </cell>
          <cell r="AT19">
            <v>2.8080394538654945</v>
          </cell>
          <cell r="AU19">
            <v>6.2721996743652273</v>
          </cell>
          <cell r="AV19">
            <v>9.7969607081853312</v>
          </cell>
          <cell r="AW19">
            <v>13.568369008712354</v>
          </cell>
          <cell r="AX19">
            <v>17.592061513246037</v>
          </cell>
          <cell r="AY19">
            <v>21.741140281960835</v>
          </cell>
          <cell r="AZ19">
            <v>25.896105713320431</v>
          </cell>
          <cell r="BA19">
            <v>30.286162133305449</v>
          </cell>
          <cell r="BB19">
            <v>35.036257761316726</v>
          </cell>
          <cell r="BC19">
            <v>40.016287108374058</v>
          </cell>
          <cell r="BD19">
            <v>45.089030669143888</v>
          </cell>
          <cell r="BE19">
            <v>50.367271471689456</v>
          </cell>
          <cell r="BF19">
            <v>55.535534428517565</v>
          </cell>
          <cell r="BG19">
            <v>61.678910210472296</v>
          </cell>
          <cell r="BH19">
            <v>69.00029363540979</v>
          </cell>
          <cell r="BI19">
            <v>77.110505587210412</v>
          </cell>
          <cell r="BJ19">
            <v>84.495522797721904</v>
          </cell>
          <cell r="BK19">
            <v>91.042664155196405</v>
          </cell>
          <cell r="BL19">
            <v>99.093191185446926</v>
          </cell>
          <cell r="BM19">
            <v>104.642899753412</v>
          </cell>
          <cell r="BN19">
            <v>109.76632792169484</v>
          </cell>
          <cell r="BO19">
            <v>114.33308638607595</v>
          </cell>
          <cell r="BP19">
            <v>118.94674398545223</v>
          </cell>
          <cell r="BQ19">
            <v>123.04859413786512</v>
          </cell>
          <cell r="BR19">
            <v>126.3265528005187</v>
          </cell>
          <cell r="BS19">
            <v>132.18144200233627</v>
          </cell>
        </row>
        <row r="20">
          <cell r="B20" t="str">
            <v>[1,5]</v>
          </cell>
          <cell r="C20">
            <v>4.7767284211169461</v>
          </cell>
          <cell r="D20">
            <v>7.4940418633002261</v>
          </cell>
          <cell r="E20">
            <v>6.6619765082100351</v>
          </cell>
          <cell r="F20">
            <v>2.7034829416014543</v>
          </cell>
          <cell r="G20">
            <v>3.1807818899036211</v>
          </cell>
          <cell r="H20">
            <v>1.2567737946306297</v>
          </cell>
          <cell r="I20">
            <v>-1.058919905920513</v>
          </cell>
          <cell r="J20">
            <v>-9.281601784255967</v>
          </cell>
          <cell r="K20">
            <v>-14.811349272014661</v>
          </cell>
          <cell r="L20">
            <v>-13.97230620947451</v>
          </cell>
          <cell r="M20">
            <v>-13.841357588645828</v>
          </cell>
          <cell r="N20">
            <v>-7.6912743233505756</v>
          </cell>
          <cell r="O20">
            <v>-10.689459120126616</v>
          </cell>
          <cell r="P20">
            <v>-9.589693318980979</v>
          </cell>
          <cell r="Q20">
            <v>-3.955908819461416</v>
          </cell>
          <cell r="R20">
            <v>-2.1703708678703988</v>
          </cell>
          <cell r="S20">
            <v>-3.5054167257922817</v>
          </cell>
          <cell r="T20">
            <v>-4.8188126463187508</v>
          </cell>
          <cell r="U20">
            <v>-6.2723382011301583</v>
          </cell>
          <cell r="V20">
            <v>-8.9895935987969278</v>
          </cell>
          <cell r="W20">
            <v>-11.597619678668446</v>
          </cell>
          <cell r="X20">
            <v>-12.962925913455722</v>
          </cell>
          <cell r="Y20">
            <v>-15.771242177297362</v>
          </cell>
          <cell r="Z20">
            <v>-18.468184195557608</v>
          </cell>
          <cell r="AA20">
            <v>-21.152704565735885</v>
          </cell>
          <cell r="AB20">
            <v>-23.240489591958699</v>
          </cell>
          <cell r="AC20">
            <v>-25.395700757534883</v>
          </cell>
          <cell r="AD20">
            <v>-27.429948032831017</v>
          </cell>
          <cell r="AE20">
            <v>-28.895359096364292</v>
          </cell>
          <cell r="AF20">
            <v>-29.034201172496775</v>
          </cell>
          <cell r="AG20">
            <v>-28.750132294634067</v>
          </cell>
          <cell r="AH20">
            <v>-29.190708262473635</v>
          </cell>
          <cell r="AI20">
            <v>-29.423401935591826</v>
          </cell>
          <cell r="AJ20">
            <v>-29.418395310416237</v>
          </cell>
          <cell r="AK20">
            <v>-29.02597693609528</v>
          </cell>
          <cell r="AL20">
            <v>-28.529215816634473</v>
          </cell>
          <cell r="AM20">
            <v>-27.700402381698833</v>
          </cell>
          <cell r="AN20">
            <v>-26.443247940285598</v>
          </cell>
          <cell r="AO20">
            <v>-25.396008585964214</v>
          </cell>
          <cell r="AP20">
            <v>-23.954788319905056</v>
          </cell>
          <cell r="AQ20">
            <v>-22.653451045476597</v>
          </cell>
          <cell r="AR20">
            <v>-21.597665734277225</v>
          </cell>
          <cell r="AS20">
            <v>-20.859187337457087</v>
          </cell>
          <cell r="AT20">
            <v>-19.71896489143651</v>
          </cell>
          <cell r="AU20">
            <v>-18.139620084653494</v>
          </cell>
          <cell r="AV20">
            <v>-16.576949741819291</v>
          </cell>
          <cell r="AW20">
            <v>-14.843352078137221</v>
          </cell>
          <cell r="AX20">
            <v>-12.982148877264583</v>
          </cell>
          <cell r="AY20">
            <v>-11.057789404169888</v>
          </cell>
          <cell r="AZ20">
            <v>-9.1912880354822839</v>
          </cell>
          <cell r="BA20">
            <v>-7.1503619137940699</v>
          </cell>
          <cell r="BB20">
            <v>-4.8146294355022254</v>
          </cell>
          <cell r="BC20">
            <v>-2.3729505643569864</v>
          </cell>
          <cell r="BD20">
            <v>8.2273325270623907E-2</v>
          </cell>
          <cell r="BE20">
            <v>2.6790690108905548</v>
          </cell>
          <cell r="BF20">
            <v>5.0461770328099371</v>
          </cell>
          <cell r="BG20">
            <v>8.241070395314134</v>
          </cell>
          <cell r="BH20">
            <v>12.448766254785935</v>
          </cell>
          <cell r="BI20">
            <v>17.27465398498811</v>
          </cell>
          <cell r="BJ20">
            <v>21.258536770215958</v>
          </cell>
          <cell r="BK20">
            <v>24.308290421659361</v>
          </cell>
          <cell r="BL20">
            <v>28.590077160962625</v>
          </cell>
          <cell r="BM20">
            <v>30.490979786324548</v>
          </cell>
          <cell r="BN20">
            <v>31.917991463022773</v>
          </cell>
          <cell r="BO20">
            <v>32.697813122228489</v>
          </cell>
          <cell r="BP20">
            <v>33.427993363039334</v>
          </cell>
          <cell r="BQ20">
            <v>33.595930646289837</v>
          </cell>
          <cell r="BR20">
            <v>32.834109851324932</v>
          </cell>
          <cell r="BS20">
            <v>34.019226496998222</v>
          </cell>
        </row>
        <row r="21">
          <cell r="B21" t="str">
            <v>[1,3]</v>
          </cell>
          <cell r="C21">
            <v>4.7767284211169461</v>
          </cell>
          <cell r="D21">
            <v>7.4940418633002261</v>
          </cell>
          <cell r="E21">
            <v>6.6619765082100351</v>
          </cell>
          <cell r="F21">
            <v>2.7034829416014543</v>
          </cell>
          <cell r="G21">
            <v>3.1807818899036211</v>
          </cell>
          <cell r="H21">
            <v>1.2567737946306297</v>
          </cell>
          <cell r="I21">
            <v>-1.058919905920513</v>
          </cell>
          <cell r="J21">
            <v>-9.281601784255967</v>
          </cell>
          <cell r="K21">
            <v>-14.811349272014661</v>
          </cell>
          <cell r="L21">
            <v>-13.97230620947451</v>
          </cell>
          <cell r="M21">
            <v>-13.841357588645828</v>
          </cell>
          <cell r="N21">
            <v>-7.6912743233505756</v>
          </cell>
          <cell r="O21">
            <v>-10.689459120126616</v>
          </cell>
          <cell r="P21">
            <v>-9.589693318980979</v>
          </cell>
          <cell r="Q21">
            <v>-3.955908819461416</v>
          </cell>
          <cell r="R21">
            <v>-2.1703708678703988</v>
          </cell>
          <cell r="S21">
            <v>-3.5054167257922817</v>
          </cell>
          <cell r="T21">
            <v>-4.8188124696761374</v>
          </cell>
          <cell r="U21">
            <v>-6.2723378865281116</v>
          </cell>
          <cell r="V21">
            <v>-8.9895878426171834</v>
          </cell>
          <cell r="W21">
            <v>-11.597589640293329</v>
          </cell>
          <cell r="X21">
            <v>-12.969104643252562</v>
          </cell>
          <cell r="Y21">
            <v>-16.063048868713494</v>
          </cell>
          <cell r="Z21">
            <v>-18.698960866215639</v>
          </cell>
          <cell r="AA21">
            <v>-21.512046995990794</v>
          </cell>
          <cell r="AB21">
            <v>-23.767140977181668</v>
          </cell>
          <cell r="AC21">
            <v>-26.156871545112168</v>
          </cell>
          <cell r="AD21">
            <v>-28.542582827559965</v>
          </cell>
          <cell r="AE21">
            <v>-30.374540114501897</v>
          </cell>
          <cell r="AF21">
            <v>-31.065943475634615</v>
          </cell>
          <cell r="AG21">
            <v>-31.429315012516572</v>
          </cell>
          <cell r="AH21">
            <v>-32.571977014517003</v>
          </cell>
          <cell r="AI21">
            <v>-33.521554970168914</v>
          </cell>
          <cell r="AJ21">
            <v>-34.260918715197477</v>
          </cell>
          <cell r="AK21">
            <v>-34.638857277640142</v>
          </cell>
          <cell r="AL21">
            <v>-34.961731225413153</v>
          </cell>
          <cell r="AM21">
            <v>-34.979852027501565</v>
          </cell>
          <cell r="AN21">
            <v>-34.601502599993374</v>
          </cell>
          <cell r="AO21">
            <v>-34.465842422570915</v>
          </cell>
          <cell r="AP21">
            <v>-33.969593226267492</v>
          </cell>
          <cell r="AQ21">
            <v>-33.626317678341756</v>
          </cell>
          <cell r="AR21">
            <v>-33.570677649556309</v>
          </cell>
          <cell r="AS21">
            <v>-33.822193151828365</v>
          </cell>
          <cell r="AT21">
            <v>-33.712572900374418</v>
          </cell>
          <cell r="AU21">
            <v>-33.176378906472586</v>
          </cell>
          <cell r="AV21">
            <v>-32.727600116933694</v>
          </cell>
          <cell r="AW21">
            <v>-32.151355474074833</v>
          </cell>
          <cell r="AX21">
            <v>-31.477699943589048</v>
          </cell>
          <cell r="AY21">
            <v>-30.764323107093109</v>
          </cell>
          <cell r="AZ21">
            <v>-30.134456232213065</v>
          </cell>
          <cell r="BA21">
            <v>-29.379053039538675</v>
          </cell>
          <cell r="BB21">
            <v>-28.373819718836224</v>
          </cell>
          <cell r="BC21">
            <v>-27.325878124319484</v>
          </cell>
          <cell r="BD21">
            <v>-26.271719693307766</v>
          </cell>
          <cell r="BE21">
            <v>-25.125039398525143</v>
          </cell>
          <cell r="BF21">
            <v>-24.276733740287252</v>
          </cell>
          <cell r="BG21">
            <v>-22.698991977731232</v>
          </cell>
          <cell r="BH21">
            <v>-20.188573125578696</v>
          </cell>
          <cell r="BI21">
            <v>-17.106075550526615</v>
          </cell>
          <cell r="BJ21">
            <v>-14.811048619983485</v>
          </cell>
          <cell r="BK21">
            <v>-13.492612695754506</v>
          </cell>
          <cell r="BL21">
            <v>-11.052199938442557</v>
          </cell>
          <cell r="BM21">
            <v>-10.915686834156281</v>
          </cell>
          <cell r="BN21">
            <v>-11.255818153711735</v>
          </cell>
          <cell r="BO21">
            <v>-12.196605407882016</v>
          </cell>
          <cell r="BP21">
            <v>-13.275681064675561</v>
          </cell>
          <cell r="BQ21">
            <v>-14.858931759211002</v>
          </cell>
          <cell r="BR21">
            <v>-17.322200418641557</v>
          </cell>
          <cell r="BS21">
            <v>-18.039795219056074</v>
          </cell>
        </row>
        <row r="22">
          <cell r="B22" t="str">
            <v>[1,0]</v>
          </cell>
          <cell r="C22">
            <v>4.7767284211169461</v>
          </cell>
          <cell r="D22">
            <v>7.4940418633002261</v>
          </cell>
          <cell r="E22">
            <v>6.6619765082100351</v>
          </cell>
          <cell r="F22">
            <v>2.7034829416014543</v>
          </cell>
          <cell r="G22">
            <v>3.1807818899036211</v>
          </cell>
          <cell r="H22">
            <v>1.2567737946306297</v>
          </cell>
          <cell r="I22">
            <v>-1.058919905920513</v>
          </cell>
          <cell r="J22">
            <v>-9.281601784255967</v>
          </cell>
          <cell r="K22">
            <v>-14.811349272014661</v>
          </cell>
          <cell r="L22">
            <v>-13.97230620947451</v>
          </cell>
          <cell r="M22">
            <v>-13.841357588645828</v>
          </cell>
          <cell r="N22">
            <v>-12.29663472830056</v>
          </cell>
          <cell r="O22">
            <v>-10.689459120126616</v>
          </cell>
          <cell r="P22">
            <v>-9.589693318980979</v>
          </cell>
          <cell r="Q22">
            <v>-3.955908819461416</v>
          </cell>
          <cell r="R22">
            <v>-2.1703708678703988</v>
          </cell>
          <cell r="S22">
            <v>-3.5054167257922817</v>
          </cell>
          <cell r="T22">
            <v>-4.8188133842611567</v>
          </cell>
          <cell r="U22">
            <v>-6.2723401998357149</v>
          </cell>
          <cell r="V22">
            <v>-8.9895830389572655</v>
          </cell>
          <cell r="W22">
            <v>-11.597553847129282</v>
          </cell>
          <cell r="X22">
            <v>-12.980015981682227</v>
          </cell>
          <cell r="Y22">
            <v>-16.251936080511832</v>
          </cell>
          <cell r="Z22">
            <v>-19.07419845513045</v>
          </cell>
          <cell r="AA22">
            <v>-22.131926867709261</v>
          </cell>
          <cell r="AB22">
            <v>-24.694607533988833</v>
          </cell>
          <cell r="AC22">
            <v>-27.463304864641685</v>
          </cell>
          <cell r="AD22">
            <v>-30.295814693712281</v>
          </cell>
          <cell r="AE22">
            <v>-32.654822337526888</v>
          </cell>
          <cell r="AF22">
            <v>-34.154625207291801</v>
          </cell>
          <cell r="AG22">
            <v>-35.500100305430067</v>
          </cell>
          <cell r="AH22">
            <v>-37.578627543547071</v>
          </cell>
          <cell r="AI22">
            <v>-39.530058590098342</v>
          </cell>
          <cell r="AJ22">
            <v>-41.290658485781982</v>
          </cell>
          <cell r="AK22">
            <v>-42.73077548619802</v>
          </cell>
          <cell r="AL22">
            <v>-44.120276155907078</v>
          </cell>
          <cell r="AM22">
            <v>-45.262092379361626</v>
          </cell>
          <cell r="AN22">
            <v>-46.057929454021391</v>
          </cell>
          <cell r="AO22">
            <v>-47.155289283285036</v>
          </cell>
          <cell r="AP22">
            <v>-47.944157405824633</v>
          </cell>
          <cell r="AQ22">
            <v>-48.93423960447614</v>
          </cell>
          <cell r="AR22">
            <v>-50.236362034263209</v>
          </cell>
          <cell r="AS22">
            <v>-51.849844619807556</v>
          </cell>
          <cell r="AT22">
            <v>-53.103989548995045</v>
          </cell>
          <cell r="AU22">
            <v>-53.998352953517696</v>
          </cell>
          <cell r="AV22">
            <v>-54.999880629783377</v>
          </cell>
          <cell r="AW22">
            <v>-55.928012439562593</v>
          </cell>
          <cell r="AX22">
            <v>-56.821071317515802</v>
          </cell>
          <cell r="AY22">
            <v>-57.723735866449658</v>
          </cell>
          <cell r="AZ22">
            <v>-58.787984107929162</v>
          </cell>
          <cell r="BA22">
            <v>-59.804853709437999</v>
          </cell>
          <cell r="BB22">
            <v>-60.621617806049876</v>
          </cell>
          <cell r="BC22">
            <v>-61.451023258837871</v>
          </cell>
          <cell r="BD22">
            <v>-62.348796526124119</v>
          </cell>
          <cell r="BE22">
            <v>-63.239093190641256</v>
          </cell>
          <cell r="BF22">
            <v>-64.491742298238094</v>
          </cell>
          <cell r="BG22">
            <v>-65.058708940784101</v>
          </cell>
          <cell r="BH22">
            <v>-64.777032676216564</v>
          </cell>
          <cell r="BI22">
            <v>-64.034338349652714</v>
          </cell>
          <cell r="BJ22">
            <v>-64.101879351259555</v>
          </cell>
          <cell r="BK22">
            <v>-65.166593944458057</v>
          </cell>
          <cell r="BL22">
            <v>-65.286559199300356</v>
          </cell>
          <cell r="BM22">
            <v>-67.579022943302064</v>
          </cell>
          <cell r="BN22">
            <v>-70.310980098769761</v>
          </cell>
          <cell r="BO22">
            <v>-73.660545057112586</v>
          </cell>
          <cell r="BP22">
            <v>-77.144711796873949</v>
          </cell>
          <cell r="BQ22">
            <v>-81.16263500465756</v>
          </cell>
          <cell r="BR22">
            <v>-86.097173524227685</v>
          </cell>
          <cell r="BS22">
            <v>-89.40416449819692</v>
          </cell>
        </row>
        <row r="23">
          <cell r="B23" t="str">
            <v>[4,5-1,8]</v>
          </cell>
          <cell r="C23">
            <v>4.7767284211169461</v>
          </cell>
          <cell r="D23">
            <v>7.4940418633001977</v>
          </cell>
          <cell r="E23">
            <v>6.6619765082100351</v>
          </cell>
          <cell r="F23">
            <v>2.7034829416014543</v>
          </cell>
          <cell r="G23">
            <v>3.18078188990365</v>
          </cell>
          <cell r="H23">
            <v>1.2567737946306587</v>
          </cell>
          <cell r="I23">
            <v>-1.058919905920513</v>
          </cell>
          <cell r="J23">
            <v>-9.281601784255967</v>
          </cell>
          <cell r="K23">
            <v>-14.434212462896859</v>
          </cell>
          <cell r="L23">
            <v>-13.666069614525243</v>
          </cell>
          <cell r="M23">
            <v>-13.529994763042662</v>
          </cell>
          <cell r="N23">
            <v>-7.691274323350517</v>
          </cell>
          <cell r="O23">
            <v>-6.0289858123866145</v>
          </cell>
          <cell r="P23">
            <v>-4.8857020106110136</v>
          </cell>
          <cell r="Q23">
            <v>-3.9671092694313845</v>
          </cell>
          <cell r="R23">
            <v>-1.222160437821818</v>
          </cell>
          <cell r="S23">
            <v>-2.8723396339642933</v>
          </cell>
          <cell r="T23">
            <v>-1.218212108525855</v>
          </cell>
          <cell r="U23">
            <v>-4.8582821924336601</v>
          </cell>
          <cell r="V23">
            <v>-7.8723651698975008</v>
          </cell>
          <cell r="W23">
            <v>-11.310683965206495</v>
          </cell>
          <cell r="X23">
            <v>-13.91106268289138</v>
          </cell>
          <cell r="Y23">
            <v>-14.380542323964123</v>
          </cell>
          <cell r="Z23">
            <v>-15.855667213809502</v>
          </cell>
          <cell r="AA23">
            <v>-16.059500314689068</v>
          </cell>
          <cell r="AB23">
            <v>-15.62793879943731</v>
          </cell>
          <cell r="AC23">
            <v>-15.057390777103894</v>
          </cell>
          <cell r="AD23">
            <v>-14.553854273724079</v>
          </cell>
          <cell r="AE23">
            <v>-13.279162336621434</v>
          </cell>
          <cell r="AF23">
            <v>-11.650332633675017</v>
          </cell>
          <cell r="AG23">
            <v>-9.686749891874614</v>
          </cell>
          <cell r="AH23">
            <v>-9.100850057202857</v>
          </cell>
          <cell r="AI23">
            <v>-8.1721364276360262</v>
          </cell>
          <cell r="AJ23">
            <v>-6.9266059327098777</v>
          </cell>
          <cell r="AK23">
            <v>-5.2594897225195307</v>
          </cell>
          <cell r="AL23">
            <v>-3.4860895535300953</v>
          </cell>
          <cell r="AM23">
            <v>-1.3291569495011353</v>
          </cell>
          <cell r="AN23">
            <v>1.217949778664275</v>
          </cell>
          <cell r="AO23">
            <v>3.6872195709131192</v>
          </cell>
          <cell r="AP23">
            <v>6.5786314244501991</v>
          </cell>
          <cell r="AQ23">
            <v>9.3537310675075283</v>
          </cell>
          <cell r="AR23">
            <v>11.896840064124204</v>
          </cell>
          <cell r="AS23">
            <v>14.146052132301964</v>
          </cell>
          <cell r="AT23">
            <v>16.671653802695683</v>
          </cell>
          <cell r="AU23">
            <v>19.593309916868339</v>
          </cell>
          <cell r="AV23">
            <v>22.694009861072757</v>
          </cell>
          <cell r="AW23">
            <v>26.139860242083554</v>
          </cell>
          <cell r="AX23">
            <v>29.73907681917958</v>
          </cell>
          <cell r="AY23">
            <v>33.457447415258969</v>
          </cell>
          <cell r="AZ23">
            <v>37.2093798484063</v>
          </cell>
          <cell r="BA23">
            <v>41.167832221087181</v>
          </cell>
          <cell r="BB23">
            <v>45.399692991205839</v>
          </cell>
          <cell r="BC23">
            <v>49.761099624779774</v>
          </cell>
          <cell r="BD23">
            <v>54.153839757536069</v>
          </cell>
          <cell r="BE23">
            <v>60.093885761915473</v>
          </cell>
          <cell r="BF23">
            <v>65.968081351300242</v>
          </cell>
          <cell r="BG23">
            <v>72.482247771822145</v>
          </cell>
          <cell r="BH23">
            <v>79.141923874120224</v>
          </cell>
          <cell r="BI23">
            <v>86.05245300725359</v>
          </cell>
          <cell r="BJ23">
            <v>92.869664134965277</v>
          </cell>
          <cell r="BK23">
            <v>99.55996807381743</v>
          </cell>
          <cell r="BL23">
            <v>108.17904097163374</v>
          </cell>
          <cell r="BM23">
            <v>114.74774404615908</v>
          </cell>
          <cell r="BN23">
            <v>120.67550894311024</v>
          </cell>
          <cell r="BO23">
            <v>126.25895016408758</v>
          </cell>
          <cell r="BP23">
            <v>131.83797301495821</v>
          </cell>
          <cell r="BQ23">
            <v>137.34189058885352</v>
          </cell>
          <cell r="BR23">
            <v>142.22822042881813</v>
          </cell>
          <cell r="BS23">
            <v>146.36798967956287</v>
          </cell>
        </row>
        <row r="24">
          <cell r="B24" t="str">
            <v>[10,0-1,0]</v>
          </cell>
          <cell r="C24">
            <v>4.7767284211169461</v>
          </cell>
          <cell r="D24">
            <v>7.4940418633001977</v>
          </cell>
          <cell r="E24">
            <v>6.6619765082100351</v>
          </cell>
          <cell r="F24">
            <v>2.7034829416014543</v>
          </cell>
          <cell r="G24">
            <v>3.18078188990365</v>
          </cell>
          <cell r="H24">
            <v>1.2567737946306587</v>
          </cell>
          <cell r="I24">
            <v>-1.058919905920513</v>
          </cell>
          <cell r="J24">
            <v>-9.281601784255967</v>
          </cell>
          <cell r="K24">
            <v>-14.434212462896859</v>
          </cell>
          <cell r="L24">
            <v>-13.666069614525243</v>
          </cell>
          <cell r="M24">
            <v>-13.529994763042662</v>
          </cell>
          <cell r="N24">
            <v>-7.691274323350517</v>
          </cell>
          <cell r="O24">
            <v>-6.0289858123866145</v>
          </cell>
          <cell r="P24">
            <v>-4.8857020106110136</v>
          </cell>
          <cell r="Q24">
            <v>-3.9671092694313845</v>
          </cell>
          <cell r="R24">
            <v>-1.222160437821818</v>
          </cell>
          <cell r="S24">
            <v>-2.8723396339642933</v>
          </cell>
          <cell r="T24">
            <v>-1.218212108525855</v>
          </cell>
          <cell r="U24">
            <v>-4.8582821924336601</v>
          </cell>
          <cell r="V24">
            <v>-7.872171645254828</v>
          </cell>
          <cell r="W24">
            <v>-11.310064455988933</v>
          </cell>
          <cell r="X24">
            <v>-14.115656473326963</v>
          </cell>
          <cell r="Y24">
            <v>-16.191305021961451</v>
          </cell>
          <cell r="Z24">
            <v>-19.389054824554186</v>
          </cell>
          <cell r="AA24">
            <v>-21.943592393587053</v>
          </cell>
          <cell r="AB24">
            <v>-24.215478564349993</v>
          </cell>
          <cell r="AC24">
            <v>-26.714991435643228</v>
          </cell>
          <cell r="AD24">
            <v>-29.618616840437404</v>
          </cell>
          <cell r="AE24">
            <v>-32.197142381555054</v>
          </cell>
          <cell r="AF24">
            <v>-34.829691172102812</v>
          </cell>
          <cell r="AG24">
            <v>-37.600078592461884</v>
          </cell>
          <cell r="AH24">
            <v>-40.322262893920296</v>
          </cell>
          <cell r="AI24">
            <v>-42.877375455343866</v>
          </cell>
          <cell r="AJ24">
            <v>-45.217181705590747</v>
          </cell>
          <cell r="AK24">
            <v>-47.248111583329617</v>
          </cell>
          <cell r="AL24">
            <v>-49.339848832255925</v>
          </cell>
          <cell r="AM24">
            <v>-51.18019402912585</v>
          </cell>
          <cell r="AN24">
            <v>-52.765881852077321</v>
          </cell>
          <cell r="AO24">
            <v>-54.596275572653745</v>
          </cell>
          <cell r="AP24">
            <v>-56.172739997332449</v>
          </cell>
          <cell r="AQ24">
            <v>-57.969470562278993</v>
          </cell>
          <cell r="AR24">
            <v>-60.129251316797919</v>
          </cell>
          <cell r="AS24">
            <v>-62.579346439389163</v>
          </cell>
          <cell r="AT24">
            <v>-64.851380702313151</v>
          </cell>
          <cell r="AU24">
            <v>-66.816270042579276</v>
          </cell>
          <cell r="AV24">
            <v>-68.824915378659497</v>
          </cell>
          <cell r="AW24">
            <v>-70.673911793926266</v>
          </cell>
          <cell r="AX24">
            <v>-72.491702750256167</v>
          </cell>
          <cell r="AY24">
            <v>-74.316235174840202</v>
          </cell>
          <cell r="AZ24">
            <v>-76.250784414841789</v>
          </cell>
          <cell r="BA24">
            <v>-78.298809342330316</v>
          </cell>
          <cell r="BB24">
            <v>-80.199945062821143</v>
          </cell>
          <cell r="BC24">
            <v>-82.270269852722762</v>
          </cell>
          <cell r="BD24">
            <v>-84.006780151539019</v>
          </cell>
          <cell r="BE24">
            <v>-85.088007456062357</v>
          </cell>
          <cell r="BF24">
            <v>-86.189021181689455</v>
          </cell>
          <cell r="BG24">
            <v>-87.007964332142265</v>
          </cell>
          <cell r="BH24">
            <v>-87.946754977471542</v>
          </cell>
          <cell r="BI24">
            <v>-88.907921378198665</v>
          </cell>
          <cell r="BJ24">
            <v>-89.9527400200041</v>
          </cell>
          <cell r="BK24">
            <v>-91.289607918869933</v>
          </cell>
          <cell r="BL24">
            <v>-91.358147919144017</v>
          </cell>
          <cell r="BM24">
            <v>-93.108871812920086</v>
          </cell>
          <cell r="BN24">
            <v>-95.399782069670962</v>
          </cell>
          <cell r="BO24">
            <v>-97.977133285999528</v>
          </cell>
          <cell r="BP24">
            <v>-100.71887112026778</v>
          </cell>
          <cell r="BQ24">
            <v>-103.5921195492763</v>
          </cell>
          <cell r="BR24">
            <v>-107.02336897211219</v>
          </cell>
          <cell r="BS24">
            <v>-111.05786734329537</v>
          </cell>
        </row>
        <row r="34">
          <cell r="B34" t="str">
            <v>Soldes CONVENTION PIB/EEC (Md€)</v>
          </cell>
          <cell r="C34">
            <v>2002</v>
          </cell>
          <cell r="D34">
            <v>2003</v>
          </cell>
          <cell r="E34">
            <v>2004</v>
          </cell>
          <cell r="F34">
            <v>2005</v>
          </cell>
          <cell r="G34">
            <v>2006</v>
          </cell>
          <cell r="H34">
            <v>2007</v>
          </cell>
          <cell r="I34">
            <v>2008</v>
          </cell>
          <cell r="J34">
            <v>2009</v>
          </cell>
          <cell r="K34">
            <v>2010</v>
          </cell>
          <cell r="L34">
            <v>2011</v>
          </cell>
          <cell r="M34">
            <v>2012</v>
          </cell>
          <cell r="N34">
            <v>2013</v>
          </cell>
          <cell r="O34">
            <v>2014</v>
          </cell>
          <cell r="P34">
            <v>2015</v>
          </cell>
          <cell r="Q34">
            <v>2016</v>
          </cell>
          <cell r="R34">
            <v>2017</v>
          </cell>
          <cell r="S34">
            <v>2018</v>
          </cell>
          <cell r="T34">
            <v>2019</v>
          </cell>
          <cell r="U34">
            <v>2020</v>
          </cell>
          <cell r="V34">
            <v>2021</v>
          </cell>
          <cell r="W34">
            <v>2022</v>
          </cell>
          <cell r="X34">
            <v>2023</v>
          </cell>
          <cell r="Y34">
            <v>2024</v>
          </cell>
          <cell r="Z34">
            <v>2025</v>
          </cell>
          <cell r="AA34">
            <v>2026</v>
          </cell>
          <cell r="AB34">
            <v>2027</v>
          </cell>
          <cell r="AC34">
            <v>2028</v>
          </cell>
          <cell r="AD34">
            <v>2029</v>
          </cell>
          <cell r="AE34">
            <v>2030</v>
          </cell>
          <cell r="AF34">
            <v>2031</v>
          </cell>
          <cell r="AG34">
            <v>2032</v>
          </cell>
          <cell r="AH34">
            <v>2033</v>
          </cell>
          <cell r="AI34">
            <v>2034</v>
          </cell>
          <cell r="AJ34">
            <v>2035</v>
          </cell>
          <cell r="AK34">
            <v>2036</v>
          </cell>
          <cell r="AL34">
            <v>2037</v>
          </cell>
          <cell r="AM34">
            <v>2038</v>
          </cell>
          <cell r="AN34">
            <v>2039</v>
          </cell>
          <cell r="AO34">
            <v>2040</v>
          </cell>
          <cell r="AP34">
            <v>2041</v>
          </cell>
          <cell r="AQ34">
            <v>2042</v>
          </cell>
          <cell r="AR34">
            <v>2043</v>
          </cell>
          <cell r="AS34">
            <v>2044</v>
          </cell>
          <cell r="AT34">
            <v>2045</v>
          </cell>
          <cell r="AU34">
            <v>2046</v>
          </cell>
          <cell r="AV34">
            <v>2047</v>
          </cell>
          <cell r="AW34">
            <v>2048</v>
          </cell>
          <cell r="AX34">
            <v>2049</v>
          </cell>
          <cell r="AY34">
            <v>2050</v>
          </cell>
          <cell r="AZ34">
            <v>2051</v>
          </cell>
          <cell r="BA34">
            <v>2052</v>
          </cell>
          <cell r="BB34">
            <v>2053</v>
          </cell>
          <cell r="BC34">
            <v>2054</v>
          </cell>
          <cell r="BD34">
            <v>2055</v>
          </cell>
          <cell r="BE34">
            <v>2056</v>
          </cell>
          <cell r="BF34">
            <v>2057</v>
          </cell>
          <cell r="BG34">
            <v>2058</v>
          </cell>
          <cell r="BH34">
            <v>2059</v>
          </cell>
          <cell r="BI34">
            <v>2060</v>
          </cell>
          <cell r="BJ34">
            <v>2061</v>
          </cell>
          <cell r="BK34">
            <v>2062</v>
          </cell>
          <cell r="BL34">
            <v>2063</v>
          </cell>
          <cell r="BM34">
            <v>2064</v>
          </cell>
          <cell r="BN34">
            <v>2065</v>
          </cell>
          <cell r="BO34">
            <v>2066</v>
          </cell>
          <cell r="BP34">
            <v>2067</v>
          </cell>
          <cell r="BQ34">
            <v>2068</v>
          </cell>
          <cell r="BR34">
            <v>2069</v>
          </cell>
          <cell r="BS34">
            <v>2070</v>
          </cell>
        </row>
        <row r="35">
          <cell r="B35" t="str">
            <v>[1,8]</v>
          </cell>
          <cell r="C35">
            <v>4.7767284211169461</v>
          </cell>
          <cell r="D35">
            <v>7.4940418633002261</v>
          </cell>
          <cell r="E35">
            <v>6.6619765082100351</v>
          </cell>
          <cell r="F35">
            <v>2.7034829416014543</v>
          </cell>
          <cell r="G35">
            <v>3.1807818899036211</v>
          </cell>
          <cell r="H35">
            <v>1.2567737946306297</v>
          </cell>
          <cell r="I35">
            <v>-1.058919905920513</v>
          </cell>
          <cell r="J35">
            <v>-9.281601784255967</v>
          </cell>
          <cell r="K35">
            <v>-14.811349272014661</v>
          </cell>
          <cell r="L35">
            <v>-13.97230620947451</v>
          </cell>
          <cell r="M35">
            <v>-13.841357588645828</v>
          </cell>
          <cell r="N35">
            <v>-12.29663472830056</v>
          </cell>
          <cell r="O35">
            <v>-10.689459120126616</v>
          </cell>
          <cell r="P35">
            <v>-9.589693318980979</v>
          </cell>
          <cell r="Q35">
            <v>-3.955908819461416</v>
          </cell>
          <cell r="R35">
            <v>-2.1703708678703988</v>
          </cell>
          <cell r="S35">
            <v>-3.5054167257922817</v>
          </cell>
          <cell r="T35">
            <v>-3.5557403363095945</v>
          </cell>
          <cell r="U35">
            <v>-3.7240243377523727</v>
          </cell>
          <cell r="V35">
            <v>-4.7767649905353897</v>
          </cell>
          <cell r="W35">
            <v>-5.5889689032678724</v>
          </cell>
          <cell r="X35">
            <v>-5.7083647765001517</v>
          </cell>
          <cell r="Y35">
            <v>-7.2625657772200647</v>
          </cell>
          <cell r="Z35">
            <v>-8.771369262603228</v>
          </cell>
          <cell r="AA35">
            <v>-9.8802604339901006</v>
          </cell>
          <cell r="AB35">
            <v>-10.213956990778737</v>
          </cell>
          <cell r="AC35">
            <v>-10.479105166073714</v>
          </cell>
          <cell r="AD35">
            <v>-10.474450946808501</v>
          </cell>
          <cell r="AE35">
            <v>-9.5682879553297528</v>
          </cell>
          <cell r="AF35">
            <v>-7.5634472646679498</v>
          </cell>
          <cell r="AG35">
            <v>-4.9461941671768432</v>
          </cell>
          <cell r="AH35">
            <v>-3.1509897960954114</v>
          </cell>
          <cell r="AI35">
            <v>-1.0734186607887968</v>
          </cell>
          <cell r="AJ35">
            <v>1.355004749255837</v>
          </cell>
          <cell r="AK35">
            <v>4.222412576765171</v>
          </cell>
          <cell r="AL35">
            <v>7.2267648479514754</v>
          </cell>
          <cell r="AM35">
            <v>10.666647392522078</v>
          </cell>
          <cell r="AN35">
            <v>14.682170259703883</v>
          </cell>
          <cell r="AO35">
            <v>18.65858821469627</v>
          </cell>
          <cell r="AP35">
            <v>23.159475091053988</v>
          </cell>
          <cell r="AQ35">
            <v>27.595757279460319</v>
          </cell>
          <cell r="AR35">
            <v>31.866888975629816</v>
          </cell>
          <cell r="AS35">
            <v>35.927321837372965</v>
          </cell>
          <cell r="AT35">
            <v>40.472888491257557</v>
          </cell>
          <cell r="AU35">
            <v>45.509519373352525</v>
          </cell>
          <cell r="AV35">
            <v>50.761097418186836</v>
          </cell>
          <cell r="AW35">
            <v>56.341984471338918</v>
          </cell>
          <cell r="AX35">
            <v>62.326741386662938</v>
          </cell>
          <cell r="AY35">
            <v>68.420651682769645</v>
          </cell>
          <cell r="AZ35">
            <v>74.540165523736732</v>
          </cell>
          <cell r="BA35">
            <v>81.016225736042131</v>
          </cell>
          <cell r="BB35">
            <v>87.941787374551296</v>
          </cell>
          <cell r="BC35">
            <v>95.183038497559608</v>
          </cell>
          <cell r="BD35">
            <v>102.57234569105179</v>
          </cell>
          <cell r="BE35">
            <v>110.2212085936619</v>
          </cell>
          <cell r="BF35">
            <v>117.98702693062695</v>
          </cell>
          <cell r="BG35">
            <v>126.80037731332564</v>
          </cell>
          <cell r="BH35">
            <v>137.05279493201991</v>
          </cell>
          <cell r="BI35">
            <v>148.11076697523472</v>
          </cell>
          <cell r="BJ35">
            <v>158.44485957895546</v>
          </cell>
          <cell r="BK35">
            <v>168.05860781409731</v>
          </cell>
          <cell r="BL35">
            <v>179.30035583836562</v>
          </cell>
          <cell r="BM35">
            <v>188.08710477607255</v>
          </cell>
          <cell r="BN35">
            <v>196.41525197611725</v>
          </cell>
          <cell r="BO35">
            <v>204.31555110873259</v>
          </cell>
          <cell r="BP35">
            <v>212.39976122518419</v>
          </cell>
          <cell r="BQ35">
            <v>219.98237282151311</v>
          </cell>
          <cell r="BR35">
            <v>226.90395237275538</v>
          </cell>
          <cell r="BS35">
            <v>236.48045686845668</v>
          </cell>
        </row>
        <row r="36">
          <cell r="B36" t="str">
            <v>[1,5]</v>
          </cell>
          <cell r="C36">
            <v>4.7767284211169461</v>
          </cell>
          <cell r="D36">
            <v>7.4940418633002261</v>
          </cell>
          <cell r="E36">
            <v>6.6619765082100351</v>
          </cell>
          <cell r="F36">
            <v>2.7034829416014543</v>
          </cell>
          <cell r="G36">
            <v>3.1807818899036211</v>
          </cell>
          <cell r="H36">
            <v>1.2567737946306297</v>
          </cell>
          <cell r="I36">
            <v>-1.058919905920513</v>
          </cell>
          <cell r="J36">
            <v>-9.281601784255967</v>
          </cell>
          <cell r="K36">
            <v>-14.811349272014661</v>
          </cell>
          <cell r="L36">
            <v>-13.97230620947451</v>
          </cell>
          <cell r="M36">
            <v>-13.841357588645828</v>
          </cell>
          <cell r="N36">
            <v>-7.6912743233505756</v>
          </cell>
          <cell r="O36">
            <v>-10.689459120126616</v>
          </cell>
          <cell r="P36">
            <v>-9.589693318980979</v>
          </cell>
          <cell r="Q36">
            <v>-3.955908819461416</v>
          </cell>
          <cell r="R36">
            <v>-2.1703708678703988</v>
          </cell>
          <cell r="S36">
            <v>-3.5054167257922817</v>
          </cell>
          <cell r="T36">
            <v>-3.5558369137877017</v>
          </cell>
          <cell r="U36">
            <v>-3.7241240358137291</v>
          </cell>
          <cell r="V36">
            <v>-4.7768576439773893</v>
          </cell>
          <cell r="W36">
            <v>-5.5890337434692778</v>
          </cell>
          <cell r="X36">
            <v>-5.7099216690152534</v>
          </cell>
          <cell r="Y36">
            <v>-7.4409985956798188</v>
          </cell>
          <cell r="Z36">
            <v>-8.9912595391792713</v>
          </cell>
          <cell r="AA36">
            <v>-10.388565880070557</v>
          </cell>
          <cell r="AB36">
            <v>-11.124132596435143</v>
          </cell>
          <cell r="AC36">
            <v>-11.864471197259554</v>
          </cell>
          <cell r="AD36">
            <v>-12.401772430401412</v>
          </cell>
          <cell r="AE36">
            <v>-12.238260652000143</v>
          </cell>
          <cell r="AF36">
            <v>-11.18431528385554</v>
          </cell>
          <cell r="AG36">
            <v>-9.7096049500965744</v>
          </cell>
          <cell r="AH36">
            <v>-9.0813994791973389</v>
          </cell>
          <cell r="AI36">
            <v>-8.2149200157538296</v>
          </cell>
          <cell r="AJ36">
            <v>-7.0706989000163736</v>
          </cell>
          <cell r="AK36">
            <v>-5.5568418692880082</v>
          </cell>
          <cell r="AL36">
            <v>-3.9547918814724543</v>
          </cell>
          <cell r="AM36">
            <v>-1.9966191687120591</v>
          </cell>
          <cell r="AN36">
            <v>0.46326706391863992</v>
          </cell>
          <cell r="AO36">
            <v>2.7973239215083887</v>
          </cell>
          <cell r="AP36">
            <v>5.5779182197269987</v>
          </cell>
          <cell r="AQ36">
            <v>8.2301892394686575</v>
          </cell>
          <cell r="AR36">
            <v>10.649082066072733</v>
          </cell>
          <cell r="AS36">
            <v>12.802263990892097</v>
          </cell>
          <cell r="AT36">
            <v>15.350451110259979</v>
          </cell>
          <cell r="AU36">
            <v>18.289789591395063</v>
          </cell>
          <cell r="AV36">
            <v>21.349381621821898</v>
          </cell>
          <cell r="AW36">
            <v>24.647464643766639</v>
          </cell>
          <cell r="AX36">
            <v>28.205271792218554</v>
          </cell>
          <cell r="AY36">
            <v>31.799378976318984</v>
          </cell>
          <cell r="AZ36">
            <v>35.342589984680643</v>
          </cell>
          <cell r="BA36">
            <v>39.162109567278996</v>
          </cell>
          <cell r="BB36">
            <v>43.347424350670188</v>
          </cell>
          <cell r="BC36">
            <v>47.705704531525029</v>
          </cell>
          <cell r="BD36">
            <v>52.115690158163432</v>
          </cell>
          <cell r="BE36">
            <v>56.703592323202521</v>
          </cell>
          <cell r="BF36">
            <v>61.240826826838543</v>
          </cell>
          <cell r="BG36">
            <v>66.672758738745699</v>
          </cell>
          <cell r="BH36">
            <v>73.323495184796158</v>
          </cell>
          <cell r="BI36">
            <v>80.607796724469637</v>
          </cell>
          <cell r="BJ36">
            <v>87.034987630283453</v>
          </cell>
          <cell r="BK36">
            <v>92.617898975798155</v>
          </cell>
          <cell r="BL36">
            <v>99.528018787551432</v>
          </cell>
          <cell r="BM36">
            <v>104.08037867593346</v>
          </cell>
          <cell r="BN36">
            <v>108.11166498804349</v>
          </cell>
          <cell r="BO36">
            <v>111.5936589161323</v>
          </cell>
          <cell r="BP36">
            <v>115.12957623783475</v>
          </cell>
          <cell r="BQ36">
            <v>118.09250874997232</v>
          </cell>
          <cell r="BR36">
            <v>120.25123114093998</v>
          </cell>
          <cell r="BS36">
            <v>124.40544493891089</v>
          </cell>
        </row>
        <row r="37">
          <cell r="B37" t="str">
            <v>[1,3]</v>
          </cell>
          <cell r="C37">
            <v>4.7767284211169461</v>
          </cell>
          <cell r="D37">
            <v>7.4940418633002261</v>
          </cell>
          <cell r="E37">
            <v>6.6619765082100351</v>
          </cell>
          <cell r="F37">
            <v>2.7034829416014543</v>
          </cell>
          <cell r="G37">
            <v>3.1807818899036211</v>
          </cell>
          <cell r="H37">
            <v>1.2567737946306297</v>
          </cell>
          <cell r="I37">
            <v>-1.058919905920513</v>
          </cell>
          <cell r="J37">
            <v>-9.281601784255967</v>
          </cell>
          <cell r="K37">
            <v>-14.811349272014661</v>
          </cell>
          <cell r="L37">
            <v>-13.97230620947451</v>
          </cell>
          <cell r="M37">
            <v>-13.841357588645828</v>
          </cell>
          <cell r="N37">
            <v>-7.6912743233505756</v>
          </cell>
          <cell r="O37">
            <v>-10.689459120126616</v>
          </cell>
          <cell r="P37">
            <v>-9.589693318980979</v>
          </cell>
          <cell r="Q37">
            <v>-3.955908819461416</v>
          </cell>
          <cell r="R37">
            <v>-2.1703708678703988</v>
          </cell>
          <cell r="S37">
            <v>-3.5054167257922817</v>
          </cell>
          <cell r="T37">
            <v>-3.5558367371450879</v>
          </cell>
          <cell r="U37">
            <v>-3.7241237212116829</v>
          </cell>
          <cell r="V37">
            <v>-4.7768518877976458</v>
          </cell>
          <cell r="W37">
            <v>-5.5890037050941608</v>
          </cell>
          <cell r="X37">
            <v>-5.7107879200142344</v>
          </cell>
          <cell r="Y37">
            <v>-7.7423813794775054</v>
          </cell>
          <cell r="Z37">
            <v>-9.2518497402502113</v>
          </cell>
          <cell r="AA37">
            <v>-10.81479773514485</v>
          </cell>
          <cell r="AB37">
            <v>-11.768101046357712</v>
          </cell>
          <cell r="AC37">
            <v>-12.808086915280729</v>
          </cell>
          <cell r="AD37">
            <v>-13.77827585623524</v>
          </cell>
          <cell r="AE37">
            <v>-14.086675994841091</v>
          </cell>
          <cell r="AF37">
            <v>-13.629051389903529</v>
          </cell>
          <cell r="AG37">
            <v>-12.855614857144596</v>
          </cell>
          <cell r="AH37">
            <v>-12.986984414873296</v>
          </cell>
          <cell r="AI37">
            <v>-12.899776507147413</v>
          </cell>
          <cell r="AJ37">
            <v>-12.567424084118917</v>
          </cell>
          <cell r="AK37">
            <v>-11.895902600556262</v>
          </cell>
          <cell r="AL37">
            <v>-11.189784549771458</v>
          </cell>
          <cell r="AM37">
            <v>-10.159831013820716</v>
          </cell>
          <cell r="AN37">
            <v>-8.666297304639011</v>
          </cell>
          <cell r="AO37">
            <v>-7.3381729620529805</v>
          </cell>
          <cell r="AP37">
            <v>-5.603495449146954</v>
          </cell>
          <cell r="AQ37">
            <v>-4.0160863523730077</v>
          </cell>
          <cell r="AR37">
            <v>-2.7099187311282149</v>
          </cell>
          <cell r="AS37">
            <v>-1.6663966053179464</v>
          </cell>
          <cell r="AT37">
            <v>-0.27395835290907417</v>
          </cell>
          <cell r="AU37">
            <v>1.4928430342648644</v>
          </cell>
          <cell r="AV37">
            <v>3.2988320605469634</v>
          </cell>
          <cell r="AW37">
            <v>5.2910925164553335</v>
          </cell>
          <cell r="AX37">
            <v>7.501419423236861</v>
          </cell>
          <cell r="AY37">
            <v>9.7188295865404655</v>
          </cell>
          <cell r="AZ37">
            <v>11.852620372749982</v>
          </cell>
          <cell r="BA37">
            <v>14.202533884018543</v>
          </cell>
          <cell r="BB37">
            <v>16.862756508785534</v>
          </cell>
          <cell r="BC37">
            <v>19.622110667927888</v>
          </cell>
          <cell r="BD37">
            <v>22.41630722115282</v>
          </cell>
          <cell r="BE37">
            <v>25.329596454143175</v>
          </cell>
          <cell r="BF37">
            <v>28.106101376386011</v>
          </cell>
          <cell r="BG37">
            <v>31.666363074919676</v>
          </cell>
          <cell r="BH37">
            <v>36.344586404503559</v>
          </cell>
          <cell r="BI37">
            <v>41.599683625214965</v>
          </cell>
          <cell r="BJ37">
            <v>46.043743853301507</v>
          </cell>
          <cell r="BK37">
            <v>49.585805914883501</v>
          </cell>
          <cell r="BL37">
            <v>54.32882909438154</v>
          </cell>
          <cell r="BM37">
            <v>56.779144364380741</v>
          </cell>
          <cell r="BN37">
            <v>58.698557113786464</v>
          </cell>
          <cell r="BO37">
            <v>60.098411417663094</v>
          </cell>
          <cell r="BP37">
            <v>61.445411749210905</v>
          </cell>
          <cell r="BQ37">
            <v>62.26710383925564</v>
          </cell>
          <cell r="BR37">
            <v>62.314093888238069</v>
          </cell>
          <cell r="BS37">
            <v>64.140041665133552</v>
          </cell>
        </row>
        <row r="38">
          <cell r="B38" t="str">
            <v>[1,0]</v>
          </cell>
          <cell r="C38">
            <v>4.7767284211169461</v>
          </cell>
          <cell r="D38">
            <v>7.4940418633002261</v>
          </cell>
          <cell r="E38">
            <v>6.6619765082100351</v>
          </cell>
          <cell r="F38">
            <v>2.7034829416014543</v>
          </cell>
          <cell r="G38">
            <v>3.1807818899036211</v>
          </cell>
          <cell r="H38">
            <v>1.2567737946306297</v>
          </cell>
          <cell r="I38">
            <v>-1.058919905920513</v>
          </cell>
          <cell r="J38">
            <v>-9.281601784255967</v>
          </cell>
          <cell r="K38">
            <v>-14.811349272014661</v>
          </cell>
          <cell r="L38">
            <v>-13.97230620947451</v>
          </cell>
          <cell r="M38">
            <v>-13.841357588645828</v>
          </cell>
          <cell r="N38">
            <v>-12.29663472830056</v>
          </cell>
          <cell r="O38">
            <v>-10.689459120126616</v>
          </cell>
          <cell r="P38">
            <v>-9.589693318980979</v>
          </cell>
          <cell r="Q38">
            <v>-3.955908819461416</v>
          </cell>
          <cell r="R38">
            <v>-2.1703708678703988</v>
          </cell>
          <cell r="S38">
            <v>-3.5054167257922817</v>
          </cell>
          <cell r="T38">
            <v>-3.5558376517301076</v>
          </cell>
          <cell r="U38">
            <v>-3.7241260345192857</v>
          </cell>
          <cell r="V38">
            <v>-4.7768470841377271</v>
          </cell>
          <cell r="W38">
            <v>-5.5889679119301148</v>
          </cell>
          <cell r="X38">
            <v>-5.712402420547849</v>
          </cell>
          <cell r="Y38">
            <v>-7.9356120671551329</v>
          </cell>
          <cell r="Z38">
            <v>-9.6664314170674182</v>
          </cell>
          <cell r="AA38">
            <v>-11.526862552863488</v>
          </cell>
          <cell r="AB38">
            <v>-12.860279534216504</v>
          </cell>
          <cell r="AC38">
            <v>-14.378828009861348</v>
          </cell>
          <cell r="AD38">
            <v>-15.919603808776184</v>
          </cell>
          <cell r="AE38">
            <v>-16.90537422675494</v>
          </cell>
          <cell r="AF38">
            <v>-17.321344167861156</v>
          </cell>
          <cell r="AG38">
            <v>-17.607163391229523</v>
          </cell>
          <cell r="AH38">
            <v>-18.756515338757541</v>
          </cell>
          <cell r="AI38">
            <v>-19.760034827796567</v>
          </cell>
          <cell r="AJ38">
            <v>-20.544816948399063</v>
          </cell>
          <cell r="AK38">
            <v>-21.037398274823094</v>
          </cell>
          <cell r="AL38">
            <v>-21.505571867950028</v>
          </cell>
          <cell r="AM38">
            <v>-21.713653328857269</v>
          </cell>
          <cell r="AN38">
            <v>-21.517124348962447</v>
          </cell>
          <cell r="AO38">
            <v>-21.5540521541771</v>
          </cell>
          <cell r="AP38">
            <v>-21.245346343333367</v>
          </cell>
          <cell r="AQ38">
            <v>-21.139819531654123</v>
          </cell>
          <cell r="AR38">
            <v>-21.34744794713729</v>
          </cell>
          <cell r="AS38">
            <v>-21.83125751928927</v>
          </cell>
          <cell r="AT38">
            <v>-21.974886734913103</v>
          </cell>
          <cell r="AU38">
            <v>-21.816015638530022</v>
          </cell>
          <cell r="AV38">
            <v>-21.65150538530678</v>
          </cell>
          <cell r="AW38">
            <v>-21.366204829129391</v>
          </cell>
          <cell r="AX38">
            <v>-20.940385532955638</v>
          </cell>
          <cell r="AY38">
            <v>-20.563770363208139</v>
          </cell>
          <cell r="AZ38">
            <v>-20.357582411083857</v>
          </cell>
          <cell r="BA38">
            <v>-20.028097945727524</v>
          </cell>
          <cell r="BB38">
            <v>-19.45144621046714</v>
          </cell>
          <cell r="BC38">
            <v>-18.844452128722683</v>
          </cell>
          <cell r="BD38">
            <v>-18.289028069009657</v>
          </cell>
          <cell r="BE38">
            <v>-17.711601910955856</v>
          </cell>
          <cell r="BF38">
            <v>-17.357662199994433</v>
          </cell>
          <cell r="BG38">
            <v>-16.279424212148761</v>
          </cell>
          <cell r="BH38">
            <v>-14.194221712225582</v>
          </cell>
          <cell r="BI38">
            <v>-11.655812085031997</v>
          </cell>
          <cell r="BJ38">
            <v>-9.960807728502667</v>
          </cell>
          <cell r="BK38">
            <v>-9.2072870386659638</v>
          </cell>
          <cell r="BL38">
            <v>-7.4500556286936623</v>
          </cell>
          <cell r="BM38">
            <v>-7.8681031564746515</v>
          </cell>
          <cell r="BN38">
            <v>-8.7870895728734322</v>
          </cell>
          <cell r="BO38">
            <v>-10.263097620785237</v>
          </cell>
          <cell r="BP38">
            <v>-11.81036867818702</v>
          </cell>
          <cell r="BQ38">
            <v>-13.923831633754308</v>
          </cell>
          <cell r="BR38">
            <v>-16.873284366347594</v>
          </cell>
          <cell r="BS38">
            <v>-18.179580591329838</v>
          </cell>
        </row>
        <row r="39">
          <cell r="B39" t="str">
            <v>[4,5-1,8]</v>
          </cell>
          <cell r="C39">
            <v>4.7767284211169461</v>
          </cell>
          <cell r="D39">
            <v>7.4940418633001977</v>
          </cell>
          <cell r="E39">
            <v>6.6619765082100351</v>
          </cell>
          <cell r="F39">
            <v>2.7034829416014543</v>
          </cell>
          <cell r="G39">
            <v>3.18078188990365</v>
          </cell>
          <cell r="H39">
            <v>1.2567737946306587</v>
          </cell>
          <cell r="I39">
            <v>-1.058919905920513</v>
          </cell>
          <cell r="J39">
            <v>-9.281601784255967</v>
          </cell>
          <cell r="K39">
            <v>-14.434212462896859</v>
          </cell>
          <cell r="L39">
            <v>-13.666069614525243</v>
          </cell>
          <cell r="M39">
            <v>-13.529994763042662</v>
          </cell>
          <cell r="N39">
            <v>-7.691274323350517</v>
          </cell>
          <cell r="O39">
            <v>-6.0289858123866145</v>
          </cell>
          <cell r="P39">
            <v>-4.8857020106110136</v>
          </cell>
          <cell r="Q39">
            <v>-3.9671092694313845</v>
          </cell>
          <cell r="R39">
            <v>-1.222160437821818</v>
          </cell>
          <cell r="S39">
            <v>-2.8723396339642933</v>
          </cell>
          <cell r="T39">
            <v>-7.9758194616471878E-2</v>
          </cell>
          <cell r="U39">
            <v>-2.5114148524272606</v>
          </cell>
          <cell r="V39">
            <v>-3.7471160641760215</v>
          </cell>
          <cell r="W39">
            <v>-5.2613482047503934</v>
          </cell>
          <cell r="X39">
            <v>-6.9844846174776318</v>
          </cell>
          <cell r="Y39">
            <v>-6.6315329130869358</v>
          </cell>
          <cell r="Z39">
            <v>-7.2320620812753331</v>
          </cell>
          <cell r="AA39">
            <v>-6.4573386375787667</v>
          </cell>
          <cell r="AB39">
            <v>-4.986079768152849</v>
          </cell>
          <cell r="AC39">
            <v>-3.3271756665254943</v>
          </cell>
          <cell r="AD39">
            <v>-1.5575776007408275</v>
          </cell>
          <cell r="AE39">
            <v>1.1128884971864754</v>
          </cell>
          <cell r="AF39">
            <v>4.1167699694951878</v>
          </cell>
          <cell r="AG39">
            <v>7.5250189346009861</v>
          </cell>
          <cell r="AH39">
            <v>9.2161894864225768</v>
          </cell>
          <cell r="AI39">
            <v>11.306081648368039</v>
          </cell>
          <cell r="AJ39">
            <v>13.736001289691544</v>
          </cell>
          <cell r="AK39">
            <v>16.584918301233905</v>
          </cell>
          <cell r="AL39">
            <v>19.519787458419216</v>
          </cell>
          <cell r="AM39">
            <v>22.873913261321256</v>
          </cell>
          <cell r="AN39">
            <v>26.705497321972274</v>
          </cell>
          <cell r="AO39">
            <v>30.535404325489189</v>
          </cell>
          <cell r="AP39">
            <v>34.847052565468239</v>
          </cell>
          <cell r="AQ39">
            <v>39.083335140381941</v>
          </cell>
          <cell r="AR39">
            <v>43.081875162979706</v>
          </cell>
          <cell r="AS39">
            <v>46.836298379054412</v>
          </cell>
          <cell r="AT39">
            <v>50.857526300207709</v>
          </cell>
          <cell r="AU39">
            <v>55.28321475111332</v>
          </cell>
          <cell r="AV39">
            <v>59.978263616271668</v>
          </cell>
          <cell r="AW39">
            <v>65.127662092150189</v>
          </cell>
          <cell r="AX39">
            <v>70.530186081968367</v>
          </cell>
          <cell r="AY39">
            <v>76.065016935672261</v>
          </cell>
          <cell r="AZ39">
            <v>81.670904474715357</v>
          </cell>
          <cell r="BA39">
            <v>87.576431354093941</v>
          </cell>
          <cell r="BB39">
            <v>93.858103959399386</v>
          </cell>
          <cell r="BC39">
            <v>100.33867282374575</v>
          </cell>
          <cell r="BD39">
            <v>106.90554053509422</v>
          </cell>
          <cell r="BE39">
            <v>115.11183080531936</v>
          </cell>
          <cell r="BF39">
            <v>123.38804387588333</v>
          </cell>
          <cell r="BG39">
            <v>132.45396711114282</v>
          </cell>
          <cell r="BH39">
            <v>141.86900049707666</v>
          </cell>
          <cell r="BI39">
            <v>151.58843565514755</v>
          </cell>
          <cell r="BJ39">
            <v>161.16281913329755</v>
          </cell>
          <cell r="BK39">
            <v>170.70678009572461</v>
          </cell>
          <cell r="BL39">
            <v>182.30772742202436</v>
          </cell>
          <cell r="BM39">
            <v>191.94822852421132</v>
          </cell>
          <cell r="BN39">
            <v>200.94101008769823</v>
          </cell>
          <cell r="BO39">
            <v>209.6019774498553</v>
          </cell>
          <cell r="BP39">
            <v>218.3989971903616</v>
          </cell>
          <cell r="BQ39">
            <v>227.24075968274357</v>
          </cell>
          <cell r="BR39">
            <v>235.53126896525058</v>
          </cell>
          <cell r="BS39">
            <v>243.11020357928146</v>
          </cell>
        </row>
        <row r="40">
          <cell r="B40" t="str">
            <v>[10,0-1,0]</v>
          </cell>
          <cell r="C40">
            <v>4.7767284211169461</v>
          </cell>
          <cell r="D40">
            <v>7.4940418633001977</v>
          </cell>
          <cell r="E40">
            <v>6.6619765082100351</v>
          </cell>
          <cell r="F40">
            <v>2.7034829416014543</v>
          </cell>
          <cell r="G40">
            <v>3.18078188990365</v>
          </cell>
          <cell r="H40">
            <v>1.2567737946306587</v>
          </cell>
          <cell r="I40">
            <v>-1.058919905920513</v>
          </cell>
          <cell r="J40">
            <v>-9.281601784255967</v>
          </cell>
          <cell r="K40">
            <v>-14.434212462896859</v>
          </cell>
          <cell r="L40">
            <v>-13.666069614525243</v>
          </cell>
          <cell r="M40">
            <v>-13.529994763042662</v>
          </cell>
          <cell r="N40">
            <v>-7.691274323350517</v>
          </cell>
          <cell r="O40">
            <v>-6.0289858123866145</v>
          </cell>
          <cell r="P40">
            <v>-4.8857020106110136</v>
          </cell>
          <cell r="Q40">
            <v>-3.9671092694313845</v>
          </cell>
          <cell r="R40">
            <v>-1.222160437821818</v>
          </cell>
          <cell r="S40">
            <v>-2.8723396339642933</v>
          </cell>
          <cell r="T40">
            <v>-7.9758194616471878E-2</v>
          </cell>
          <cell r="U40">
            <v>-2.5114148524272606</v>
          </cell>
          <cell r="V40">
            <v>-3.7469210734342342</v>
          </cell>
          <cell r="W40">
            <v>-5.2607201202826692</v>
          </cell>
          <cell r="X40">
            <v>-7.5230629857382159</v>
          </cell>
          <cell r="Y40">
            <v>-9.1377697689906352</v>
          </cell>
          <cell r="Z40">
            <v>-11.853325328696577</v>
          </cell>
          <cell r="AA40">
            <v>-13.857033131762524</v>
          </cell>
          <cell r="AB40">
            <v>-15.549853327523103</v>
          </cell>
          <cell r="AC40">
            <v>-17.463649071835853</v>
          </cell>
          <cell r="AD40">
            <v>-19.65302051851258</v>
          </cell>
          <cell r="AE40">
            <v>-21.443430327435781</v>
          </cell>
          <cell r="AF40">
            <v>-23.36490354318358</v>
          </cell>
          <cell r="AG40">
            <v>-25.41073655907897</v>
          </cell>
          <cell r="AH40">
            <v>-27.341899564031628</v>
          </cell>
          <cell r="AI40">
            <v>-29.072559180600976</v>
          </cell>
          <cell r="AJ40">
            <v>-30.584634254298813</v>
          </cell>
          <cell r="AK40">
            <v>-31.808360896105761</v>
          </cell>
          <cell r="AL40">
            <v>-33.12899589722371</v>
          </cell>
          <cell r="AM40">
            <v>-34.19327893347829</v>
          </cell>
          <cell r="AN40">
            <v>-34.937846958453072</v>
          </cell>
          <cell r="AO40">
            <v>-35.880690083268682</v>
          </cell>
          <cell r="AP40">
            <v>-36.538609733948249</v>
          </cell>
          <cell r="AQ40">
            <v>-37.402490374446728</v>
          </cell>
          <cell r="AR40">
            <v>-38.655280652452376</v>
          </cell>
          <cell r="AS40">
            <v>-40.178020539826946</v>
          </cell>
          <cell r="AT40">
            <v>-41.551910965051732</v>
          </cell>
          <cell r="AU40">
            <v>-42.632472703260483</v>
          </cell>
          <cell r="AV40">
            <v>-43.704184003795497</v>
          </cell>
          <cell r="AW40">
            <v>-44.55008465726138</v>
          </cell>
          <cell r="AX40">
            <v>-45.308144003876833</v>
          </cell>
          <cell r="AY40">
            <v>-46.086559741204255</v>
          </cell>
          <cell r="AZ40">
            <v>-46.969745059696727</v>
          </cell>
          <cell r="BA40">
            <v>-47.918767419487004</v>
          </cell>
          <cell r="BB40">
            <v>-48.667920805031663</v>
          </cell>
          <cell r="BC40">
            <v>-49.56081919472944</v>
          </cell>
          <cell r="BD40">
            <v>-50.106518985571689</v>
          </cell>
          <cell r="BE40">
            <v>-49.956491869619583</v>
          </cell>
          <cell r="BF40">
            <v>-49.768827826351973</v>
          </cell>
          <cell r="BG40">
            <v>-49.205639609824281</v>
          </cell>
          <cell r="BH40">
            <v>-48.660327960054971</v>
          </cell>
          <cell r="BI40">
            <v>-48.118707832330955</v>
          </cell>
          <cell r="BJ40">
            <v>-47.73329244395299</v>
          </cell>
          <cell r="BK40">
            <v>-47.604925944003739</v>
          </cell>
          <cell r="BL40">
            <v>-46.151929238931508</v>
          </cell>
          <cell r="BM40">
            <v>-46.353703707573239</v>
          </cell>
          <cell r="BN40">
            <v>-47.137245349783214</v>
          </cell>
          <cell r="BO40">
            <v>-48.234990636291215</v>
          </cell>
          <cell r="BP40">
            <v>-49.436626814386109</v>
          </cell>
          <cell r="BQ40">
            <v>-50.725471590882869</v>
          </cell>
          <cell r="BR40">
            <v>-52.566075321521147</v>
          </cell>
          <cell r="BS40">
            <v>-55.025636262713235</v>
          </cell>
        </row>
        <row r="50">
          <cell r="B50" t="str">
            <v>Soldes CONVENTION CCSS/EPR (Md€)</v>
          </cell>
          <cell r="C50">
            <v>2002</v>
          </cell>
          <cell r="D50">
            <v>2003</v>
          </cell>
          <cell r="E50">
            <v>2004</v>
          </cell>
          <cell r="F50">
            <v>2005</v>
          </cell>
          <cell r="G50">
            <v>2006</v>
          </cell>
          <cell r="H50">
            <v>2007</v>
          </cell>
          <cell r="I50">
            <v>2008</v>
          </cell>
          <cell r="J50">
            <v>2009</v>
          </cell>
          <cell r="K50">
            <v>2010</v>
          </cell>
          <cell r="L50">
            <v>2011</v>
          </cell>
          <cell r="M50">
            <v>2012</v>
          </cell>
          <cell r="N50">
            <v>2013</v>
          </cell>
          <cell r="O50">
            <v>2014</v>
          </cell>
          <cell r="P50">
            <v>2015</v>
          </cell>
          <cell r="Q50">
            <v>2016</v>
          </cell>
          <cell r="R50">
            <v>2017</v>
          </cell>
          <cell r="S50">
            <v>2018</v>
          </cell>
          <cell r="T50">
            <v>2019</v>
          </cell>
          <cell r="U50">
            <v>2020</v>
          </cell>
          <cell r="V50">
            <v>2021</v>
          </cell>
          <cell r="W50">
            <v>2022</v>
          </cell>
          <cell r="X50">
            <v>2023</v>
          </cell>
          <cell r="Y50">
            <v>2024</v>
          </cell>
          <cell r="Z50">
            <v>2025</v>
          </cell>
          <cell r="AA50">
            <v>2026</v>
          </cell>
          <cell r="AB50">
            <v>2027</v>
          </cell>
          <cell r="AC50">
            <v>2028</v>
          </cell>
          <cell r="AD50">
            <v>2029</v>
          </cell>
          <cell r="AE50">
            <v>2030</v>
          </cell>
          <cell r="AF50">
            <v>2031</v>
          </cell>
          <cell r="AG50">
            <v>2032</v>
          </cell>
          <cell r="AH50">
            <v>2033</v>
          </cell>
          <cell r="AI50">
            <v>2034</v>
          </cell>
          <cell r="AJ50">
            <v>2035</v>
          </cell>
          <cell r="AK50">
            <v>2036</v>
          </cell>
          <cell r="AL50">
            <v>2037</v>
          </cell>
          <cell r="AM50">
            <v>2038</v>
          </cell>
          <cell r="AN50">
            <v>2039</v>
          </cell>
          <cell r="AO50">
            <v>2040</v>
          </cell>
          <cell r="AP50">
            <v>2041</v>
          </cell>
          <cell r="AQ50">
            <v>2042</v>
          </cell>
          <cell r="AR50">
            <v>2043</v>
          </cell>
          <cell r="AS50">
            <v>2044</v>
          </cell>
          <cell r="AT50">
            <v>2045</v>
          </cell>
          <cell r="AU50">
            <v>2046</v>
          </cell>
          <cell r="AV50">
            <v>2047</v>
          </cell>
          <cell r="AW50">
            <v>2048</v>
          </cell>
          <cell r="AX50">
            <v>2049</v>
          </cell>
          <cell r="AY50">
            <v>2050</v>
          </cell>
          <cell r="AZ50">
            <v>2051</v>
          </cell>
          <cell r="BA50">
            <v>2052</v>
          </cell>
          <cell r="BB50">
            <v>2053</v>
          </cell>
          <cell r="BC50">
            <v>2054</v>
          </cell>
          <cell r="BD50">
            <v>2055</v>
          </cell>
          <cell r="BE50">
            <v>2056</v>
          </cell>
          <cell r="BF50">
            <v>2057</v>
          </cell>
          <cell r="BG50">
            <v>2058</v>
          </cell>
          <cell r="BH50">
            <v>2059</v>
          </cell>
          <cell r="BI50">
            <v>2060</v>
          </cell>
          <cell r="BJ50">
            <v>2061</v>
          </cell>
          <cell r="BK50">
            <v>2062</v>
          </cell>
          <cell r="BL50">
            <v>2063</v>
          </cell>
          <cell r="BM50">
            <v>2064</v>
          </cell>
          <cell r="BN50">
            <v>2065</v>
          </cell>
          <cell r="BO50">
            <v>2066</v>
          </cell>
          <cell r="BP50">
            <v>2067</v>
          </cell>
          <cell r="BQ50">
            <v>2068</v>
          </cell>
          <cell r="BR50">
            <v>2069</v>
          </cell>
          <cell r="BS50">
            <v>2070</v>
          </cell>
        </row>
        <row r="51">
          <cell r="B51" t="str">
            <v>[1,8]</v>
          </cell>
          <cell r="C51">
            <v>4.7767284211169461</v>
          </cell>
          <cell r="D51">
            <v>7.4940418633002261</v>
          </cell>
          <cell r="E51">
            <v>6.6619765082100351</v>
          </cell>
          <cell r="F51">
            <v>2.7034829416014543</v>
          </cell>
          <cell r="G51">
            <v>3.1807818899036211</v>
          </cell>
          <cell r="H51">
            <v>1.2567737946306297</v>
          </cell>
          <cell r="I51">
            <v>-1.058919905920513</v>
          </cell>
          <cell r="J51">
            <v>-9.281601784255967</v>
          </cell>
          <cell r="K51">
            <v>-14.811349272014661</v>
          </cell>
          <cell r="L51">
            <v>-13.97230620947451</v>
          </cell>
          <cell r="M51">
            <v>-13.841357588645828</v>
          </cell>
          <cell r="N51">
            <v>-12.29663472830056</v>
          </cell>
          <cell r="O51">
            <v>-10.689459120126616</v>
          </cell>
          <cell r="P51">
            <v>-9.589693318980979</v>
          </cell>
          <cell r="Q51">
            <v>-3.955908819461416</v>
          </cell>
          <cell r="R51">
            <v>-2.1703708678703988</v>
          </cell>
          <cell r="S51">
            <v>-3.5054167257922817</v>
          </cell>
          <cell r="T51">
            <v>-4.6653918962542669</v>
          </cell>
          <cell r="U51">
            <v>-5.450531994622434</v>
          </cell>
          <cell r="V51">
            <v>-6.8048350558653476</v>
          </cell>
          <cell r="W51">
            <v>-7.9775884038298388</v>
          </cell>
          <cell r="X51">
            <v>-8.4888233959960058</v>
          </cell>
          <cell r="Y51">
            <v>-9.405832246073464</v>
          </cell>
          <cell r="Z51">
            <v>-11.538761396162387</v>
          </cell>
          <cell r="AA51">
            <v>-13.367441689716303</v>
          </cell>
          <cell r="AB51">
            <v>-14.682575498742517</v>
          </cell>
          <cell r="AC51">
            <v>-15.967615766077593</v>
          </cell>
          <cell r="AD51">
            <v>-17.105110405084911</v>
          </cell>
          <cell r="AE51">
            <v>-17.613494405004602</v>
          </cell>
          <cell r="AF51">
            <v>-17.352097470486012</v>
          </cell>
          <cell r="AG51">
            <v>-16.626509612400667</v>
          </cell>
          <cell r="AH51">
            <v>-16.61077736309753</v>
          </cell>
          <cell r="AI51">
            <v>-16.486519945821783</v>
          </cell>
          <cell r="AJ51">
            <v>-16.152481798712863</v>
          </cell>
          <cell r="AK51">
            <v>-15.514901589878601</v>
          </cell>
          <cell r="AL51">
            <v>-14.871222554508131</v>
          </cell>
          <cell r="AM51">
            <v>-13.998542251297621</v>
          </cell>
          <cell r="AN51">
            <v>-12.748319615888176</v>
          </cell>
          <cell r="AO51">
            <v>-11.648012694493053</v>
          </cell>
          <cell r="AP51">
            <v>-10.215852709045867</v>
          </cell>
          <cell r="AQ51">
            <v>-9.0525076612248085</v>
          </cell>
          <cell r="AR51">
            <v>-8.1788111437687192</v>
          </cell>
          <cell r="AS51">
            <v>-7.2718828481996898</v>
          </cell>
          <cell r="AT51">
            <v>-6.037631709118723</v>
          </cell>
          <cell r="AU51">
            <v>-4.3887160680178789</v>
          </cell>
          <cell r="AV51">
            <v>-2.5915903983731985</v>
          </cell>
          <cell r="AW51">
            <v>-0.70347844798048031</v>
          </cell>
          <cell r="AX51">
            <v>1.4717091178401607</v>
          </cell>
          <cell r="AY51">
            <v>3.5806532158455813</v>
          </cell>
          <cell r="AZ51">
            <v>5.5549949729577639</v>
          </cell>
          <cell r="BA51">
            <v>7.6874870894351046</v>
          </cell>
          <cell r="BB51">
            <v>10.045933553726877</v>
          </cell>
          <cell r="BC51">
            <v>12.741401920242584</v>
          </cell>
          <cell r="BD51">
            <v>15.586166642541764</v>
          </cell>
          <cell r="BE51">
            <v>18.607381113932469</v>
          </cell>
          <cell r="BF51">
            <v>21.682281862162288</v>
          </cell>
          <cell r="BG51">
            <v>25.543778068283341</v>
          </cell>
          <cell r="BH51">
            <v>30.664252155670898</v>
          </cell>
          <cell r="BI51">
            <v>36.528278259096666</v>
          </cell>
          <cell r="BJ51">
            <v>41.606785109433808</v>
          </cell>
          <cell r="BK51">
            <v>45.869144725915973</v>
          </cell>
          <cell r="BL51">
            <v>51.48397269551689</v>
          </cell>
          <cell r="BM51">
            <v>54.451391618157501</v>
          </cell>
          <cell r="BN51">
            <v>57.261501795246268</v>
          </cell>
          <cell r="BO51">
            <v>59.393980233603621</v>
          </cell>
          <cell r="BP51">
            <v>61.674079470804891</v>
          </cell>
          <cell r="BQ51">
            <v>63.342560359713154</v>
          </cell>
          <cell r="BR51">
            <v>64.24424697565729</v>
          </cell>
          <cell r="BS51">
            <v>67.95839410813619</v>
          </cell>
        </row>
        <row r="52">
          <cell r="B52" t="str">
            <v>[1,5]</v>
          </cell>
          <cell r="C52">
            <v>4.7767284211169461</v>
          </cell>
          <cell r="D52">
            <v>7.4940418633002261</v>
          </cell>
          <cell r="E52">
            <v>6.6619765082100351</v>
          </cell>
          <cell r="F52">
            <v>2.7034829416014543</v>
          </cell>
          <cell r="G52">
            <v>3.1807818899036211</v>
          </cell>
          <cell r="H52">
            <v>1.2567737946306297</v>
          </cell>
          <cell r="I52">
            <v>-1.058919905920513</v>
          </cell>
          <cell r="J52">
            <v>-9.281601784255967</v>
          </cell>
          <cell r="K52">
            <v>-14.811349272014661</v>
          </cell>
          <cell r="L52">
            <v>-13.97230620947451</v>
          </cell>
          <cell r="M52">
            <v>-13.841357588645828</v>
          </cell>
          <cell r="N52">
            <v>-7.6912743233505756</v>
          </cell>
          <cell r="O52">
            <v>-10.689459120126616</v>
          </cell>
          <cell r="P52">
            <v>-9.589693318980979</v>
          </cell>
          <cell r="Q52">
            <v>-3.955908819461416</v>
          </cell>
          <cell r="R52">
            <v>-2.1703708678703988</v>
          </cell>
          <cell r="S52">
            <v>-3.5054167257922817</v>
          </cell>
          <cell r="T52">
            <v>-4.6654884737323741</v>
          </cell>
          <cell r="U52">
            <v>-5.4506316926837899</v>
          </cell>
          <cell r="V52">
            <v>-6.8049277093073472</v>
          </cell>
          <cell r="W52">
            <v>-7.9776532440312442</v>
          </cell>
          <cell r="X52">
            <v>-8.4924173502787603</v>
          </cell>
          <cell r="Y52">
            <v>-9.5639157412935738</v>
          </cell>
          <cell r="Z52">
            <v>-11.69705573163653</v>
          </cell>
          <cell r="AA52">
            <v>-13.748069621319242</v>
          </cell>
          <cell r="AB52">
            <v>-15.372069611939311</v>
          </cell>
          <cell r="AC52">
            <v>-17.018850505797367</v>
          </cell>
          <cell r="AD52">
            <v>-18.555897034422845</v>
          </cell>
          <cell r="AE52">
            <v>-19.629828718726348</v>
          </cell>
          <cell r="AF52">
            <v>-20.067040582789343</v>
          </cell>
          <cell r="AG52">
            <v>-20.202979098044334</v>
          </cell>
          <cell r="AH52">
            <v>-21.069414254408446</v>
          </cell>
          <cell r="AI52">
            <v>-21.860659355950542</v>
          </cell>
          <cell r="AJ52">
            <v>-22.50020154747239</v>
          </cell>
          <cell r="AK52">
            <v>-22.894847577429726</v>
          </cell>
          <cell r="AL52">
            <v>-23.318650260716559</v>
          </cell>
          <cell r="AM52">
            <v>-23.5678090105881</v>
          </cell>
          <cell r="AN52">
            <v>-23.508275432037657</v>
          </cell>
          <cell r="AO52">
            <v>-23.670880131775863</v>
          </cell>
          <cell r="AP52">
            <v>-23.560730706740987</v>
          </cell>
          <cell r="AQ52">
            <v>-23.762317398943125</v>
          </cell>
          <cell r="AR52">
            <v>-24.304491916113417</v>
          </cell>
          <cell r="AS52">
            <v>-24.900599744140752</v>
          </cell>
          <cell r="AT52">
            <v>-25.241037873184542</v>
          </cell>
          <cell r="AU52">
            <v>-25.246635123869755</v>
          </cell>
          <cell r="AV52">
            <v>-25.180768192390911</v>
          </cell>
          <cell r="AW52">
            <v>-25.089600771312835</v>
          </cell>
          <cell r="AX52">
            <v>-24.8287866234479</v>
          </cell>
          <cell r="AY52">
            <v>-24.683506982218475</v>
          </cell>
          <cell r="AZ52">
            <v>-24.712416034116643</v>
          </cell>
          <cell r="BA52">
            <v>-24.641079267877853</v>
          </cell>
          <cell r="BB52">
            <v>-24.38813031884504</v>
          </cell>
          <cell r="BC52">
            <v>-23.922580333519726</v>
          </cell>
          <cell r="BD52">
            <v>-23.383384063325124</v>
          </cell>
          <cell r="BE52">
            <v>-22.718472395699703</v>
          </cell>
          <cell r="BF52">
            <v>-22.118131793821814</v>
          </cell>
          <cell r="BG52">
            <v>-20.85077302815672</v>
          </cell>
          <cell r="BH52">
            <v>-18.481897720387902</v>
          </cell>
          <cell r="BI52">
            <v>-15.52023680534889</v>
          </cell>
          <cell r="BJ52">
            <v>-13.44879247657326</v>
          </cell>
          <cell r="BK52">
            <v>-12.27128783642943</v>
          </cell>
          <cell r="BL52">
            <v>-9.9800082348231225</v>
          </cell>
          <cell r="BM52">
            <v>-10.220553733607522</v>
          </cell>
          <cell r="BN52">
            <v>-10.648029528946848</v>
          </cell>
          <cell r="BO52">
            <v>-11.830088512344519</v>
          </cell>
          <cell r="BP52">
            <v>-12.954422623868567</v>
          </cell>
          <cell r="BQ52">
            <v>-14.706241480821744</v>
          </cell>
          <cell r="BR52">
            <v>-17.330755646349861</v>
          </cell>
          <cell r="BS52">
            <v>-17.768681371991754</v>
          </cell>
        </row>
        <row r="53">
          <cell r="B53" t="str">
            <v>[1,3]</v>
          </cell>
          <cell r="C53">
            <v>4.7767284211169461</v>
          </cell>
          <cell r="D53">
            <v>7.4940418633002261</v>
          </cell>
          <cell r="E53">
            <v>6.6619765082100351</v>
          </cell>
          <cell r="F53">
            <v>2.7034829416014543</v>
          </cell>
          <cell r="G53">
            <v>3.1807818899036211</v>
          </cell>
          <cell r="H53">
            <v>1.2567737946306297</v>
          </cell>
          <cell r="I53">
            <v>-1.058919905920513</v>
          </cell>
          <cell r="J53">
            <v>-9.281601784255967</v>
          </cell>
          <cell r="K53">
            <v>-14.811349272014661</v>
          </cell>
          <cell r="L53">
            <v>-13.97230620947451</v>
          </cell>
          <cell r="M53">
            <v>-13.841357588645828</v>
          </cell>
          <cell r="N53">
            <v>-7.6912743233505756</v>
          </cell>
          <cell r="O53">
            <v>-10.689459120126616</v>
          </cell>
          <cell r="P53">
            <v>-9.589693318980979</v>
          </cell>
          <cell r="Q53">
            <v>-3.955908819461416</v>
          </cell>
          <cell r="R53">
            <v>-2.1703708678703988</v>
          </cell>
          <cell r="S53">
            <v>-3.5054167257922817</v>
          </cell>
          <cell r="T53">
            <v>-4.6654882970897598</v>
          </cell>
          <cell r="U53">
            <v>-5.4506313780817433</v>
          </cell>
          <cell r="V53">
            <v>-6.8049219531276028</v>
          </cell>
          <cell r="W53">
            <v>-7.9776232056561271</v>
          </cell>
          <cell r="X53">
            <v>-8.4884280681644455</v>
          </cell>
          <cell r="Y53">
            <v>-9.8445482677989631</v>
          </cell>
          <cell r="Z53">
            <v>-11.91408219655318</v>
          </cell>
          <cell r="AA53">
            <v>-14.087449885070557</v>
          </cell>
          <cell r="AB53">
            <v>-15.869846551194438</v>
          </cell>
          <cell r="AC53">
            <v>-17.739561474541318</v>
          </cell>
          <cell r="AD53">
            <v>-19.614054059011863</v>
          </cell>
          <cell r="AE53">
            <v>-21.039857197030912</v>
          </cell>
          <cell r="AF53">
            <v>-21.930089424639942</v>
          </cell>
          <cell r="AG53">
            <v>-22.586613940624694</v>
          </cell>
          <cell r="AH53">
            <v>-24.025695732333173</v>
          </cell>
          <cell r="AI53">
            <v>-25.405214951109897</v>
          </cell>
          <cell r="AJ53">
            <v>-26.658465545159473</v>
          </cell>
          <cell r="AK53">
            <v>-27.685978495538002</v>
          </cell>
          <cell r="AL53">
            <v>-28.790926832045081</v>
          </cell>
          <cell r="AM53">
            <v>-29.745911019707798</v>
          </cell>
          <cell r="AN53">
            <v>-30.421954460321693</v>
          </cell>
          <cell r="AO53">
            <v>-31.353979805044247</v>
          </cell>
          <cell r="AP53">
            <v>-32.034521357426421</v>
          </cell>
          <cell r="AQ53">
            <v>-33.043469783580626</v>
          </cell>
          <cell r="AR53">
            <v>-34.426669299511239</v>
          </cell>
          <cell r="AS53">
            <v>-35.882379069355203</v>
          </cell>
          <cell r="AT53">
            <v>-37.115863924529634</v>
          </cell>
          <cell r="AU53">
            <v>-38.028651286834155</v>
          </cell>
          <cell r="AV53">
            <v>-38.934964278844184</v>
          </cell>
          <cell r="AW53">
            <v>-39.85455989077338</v>
          </cell>
          <cell r="AX53">
            <v>-40.631764206064396</v>
          </cell>
          <cell r="AY53">
            <v>-41.538280598817977</v>
          </cell>
          <cell r="AZ53">
            <v>-42.641253010891845</v>
          </cell>
          <cell r="BA53">
            <v>-43.682377296245427</v>
          </cell>
          <cell r="BB53">
            <v>-44.581530984338606</v>
          </cell>
          <cell r="BC53">
            <v>-45.3235152849484</v>
          </cell>
          <cell r="BD53">
            <v>-45.997563503931275</v>
          </cell>
          <cell r="BE53">
            <v>-46.593051230717336</v>
          </cell>
          <cell r="BF53">
            <v>-47.321362499011677</v>
          </cell>
          <cell r="BG53">
            <v>-47.473797453470063</v>
          </cell>
          <cell r="BH53">
            <v>-46.582394679420858</v>
          </cell>
          <cell r="BI53">
            <v>-45.144802523745227</v>
          </cell>
          <cell r="BJ53">
            <v>-44.535769380404616</v>
          </cell>
          <cell r="BK53">
            <v>-44.847999732180035</v>
          </cell>
          <cell r="BL53">
            <v>-44.144269250936105</v>
          </cell>
          <cell r="BM53">
            <v>-45.895378529674375</v>
          </cell>
          <cell r="BN53">
            <v>-47.842187533461022</v>
          </cell>
          <cell r="BO53">
            <v>-50.4782485649907</v>
          </cell>
          <cell r="BP53">
            <v>-53.136939282267122</v>
          </cell>
          <cell r="BQ53">
            <v>-56.366471495170615</v>
          </cell>
          <cell r="BR53">
            <v>-60.412907959296369</v>
          </cell>
          <cell r="BS53">
            <v>-62.476141157737231</v>
          </cell>
        </row>
        <row r="54">
          <cell r="B54" t="str">
            <v>[1,0]</v>
          </cell>
          <cell r="C54">
            <v>4.7767284211169461</v>
          </cell>
          <cell r="D54">
            <v>7.4940418633002261</v>
          </cell>
          <cell r="E54">
            <v>6.6619765082100351</v>
          </cell>
          <cell r="F54">
            <v>2.7034829416014543</v>
          </cell>
          <cell r="G54">
            <v>3.1807818899036211</v>
          </cell>
          <cell r="H54">
            <v>1.2567737946306297</v>
          </cell>
          <cell r="I54">
            <v>-1.058919905920513</v>
          </cell>
          <cell r="J54">
            <v>-9.281601784255967</v>
          </cell>
          <cell r="K54">
            <v>-14.811349272014661</v>
          </cell>
          <cell r="L54">
            <v>-13.97230620947451</v>
          </cell>
          <cell r="M54">
            <v>-13.841357588645828</v>
          </cell>
          <cell r="N54">
            <v>-12.29663472830056</v>
          </cell>
          <cell r="O54">
            <v>-10.689459120126616</v>
          </cell>
          <cell r="P54">
            <v>-9.589693318980979</v>
          </cell>
          <cell r="Q54">
            <v>-3.955908819461416</v>
          </cell>
          <cell r="R54">
            <v>-2.1703708678703988</v>
          </cell>
          <cell r="S54">
            <v>-3.5054167257922817</v>
          </cell>
          <cell r="T54">
            <v>-4.6654892116747799</v>
          </cell>
          <cell r="U54">
            <v>-5.4506336913893465</v>
          </cell>
          <cell r="V54">
            <v>-6.804917149467685</v>
          </cell>
          <cell r="W54">
            <v>-7.9775874124920811</v>
          </cell>
          <cell r="X54">
            <v>-8.488248996023497</v>
          </cell>
          <cell r="Y54">
            <v>-10.014303757794551</v>
          </cell>
          <cell r="Z54">
            <v>-12.264376759484177</v>
          </cell>
          <cell r="AA54">
            <v>-14.675984316151705</v>
          </cell>
          <cell r="AB54">
            <v>-16.752608585655629</v>
          </cell>
          <cell r="AC54">
            <v>-18.983348740472632</v>
          </cell>
          <cell r="AD54">
            <v>-21.28913953858812</v>
          </cell>
          <cell r="AE54">
            <v>-23.2226103891253</v>
          </cell>
          <cell r="AF54">
            <v>-24.71661679346871</v>
          </cell>
          <cell r="AG54">
            <v>-26.16689837127889</v>
          </cell>
          <cell r="AH54">
            <v>-28.357446961804992</v>
          </cell>
          <cell r="AI54">
            <v>-30.546883962976107</v>
          </cell>
          <cell r="AJ54">
            <v>-32.625729871230028</v>
          </cell>
          <cell r="AK54">
            <v>-34.521019639968522</v>
          </cell>
          <cell r="AL54">
            <v>-36.494687287589421</v>
          </cell>
          <cell r="AM54">
            <v>-38.367983695027768</v>
          </cell>
          <cell r="AN54">
            <v>-40.013895193691596</v>
          </cell>
          <cell r="AO54">
            <v>-41.967398219508233</v>
          </cell>
          <cell r="AP54">
            <v>-43.727310666355308</v>
          </cell>
          <cell r="AQ54">
            <v>-45.848837936876805</v>
          </cell>
          <cell r="AR54">
            <v>-48.36628392865439</v>
          </cell>
          <cell r="AS54">
            <v>-51.006325435223289</v>
          </cell>
          <cell r="AT54">
            <v>-53.418877840296247</v>
          </cell>
          <cell r="AU54">
            <v>-55.561206748510941</v>
          </cell>
          <cell r="AV54">
            <v>-57.722636520456291</v>
          </cell>
          <cell r="AW54">
            <v>-59.947481665745961</v>
          </cell>
          <cell r="AX54">
            <v>-62.091076690470331</v>
          </cell>
          <cell r="AY54">
            <v>-64.395284628256803</v>
          </cell>
          <cell r="AZ54">
            <v>-66.96297166454768</v>
          </cell>
          <cell r="BA54">
            <v>-69.537338125014557</v>
          </cell>
          <cell r="BB54">
            <v>-72.013553280328637</v>
          </cell>
          <cell r="BC54">
            <v>-74.393759086055681</v>
          </cell>
          <cell r="BD54">
            <v>-76.785381674613106</v>
          </cell>
          <cell r="BE54">
            <v>-79.167495534045742</v>
          </cell>
          <cell r="BF54">
            <v>-81.753421281452404</v>
          </cell>
          <cell r="BG54">
            <v>-83.77743480531872</v>
          </cell>
          <cell r="BH54">
            <v>-84.854202776232739</v>
          </cell>
          <cell r="BI54">
            <v>-85.476740374829149</v>
          </cell>
          <cell r="BJ54">
            <v>-86.947410816618714</v>
          </cell>
          <cell r="BK54">
            <v>-89.348643104207696</v>
          </cell>
          <cell r="BL54">
            <v>-90.887962125693448</v>
          </cell>
          <cell r="BM54">
            <v>-94.757895349784988</v>
          </cell>
          <cell r="BN54">
            <v>-98.774926355596392</v>
          </cell>
          <cell r="BO54">
            <v>-103.48902631749958</v>
          </cell>
          <cell r="BP54">
            <v>-108.22976969116903</v>
          </cell>
          <cell r="BQ54">
            <v>-113.53745388920093</v>
          </cell>
          <cell r="BR54">
            <v>-119.70635384941707</v>
          </cell>
          <cell r="BS54">
            <v>-124.00914828364947</v>
          </cell>
        </row>
        <row r="55">
          <cell r="B55" t="str">
            <v>[4,5-1,8]</v>
          </cell>
          <cell r="C55">
            <v>4.7767284211169461</v>
          </cell>
          <cell r="D55">
            <v>7.4940418633001977</v>
          </cell>
          <cell r="E55">
            <v>6.6619765082100351</v>
          </cell>
          <cell r="F55">
            <v>2.7034829416014543</v>
          </cell>
          <cell r="G55">
            <v>3.18078188990365</v>
          </cell>
          <cell r="H55">
            <v>1.2567737946306587</v>
          </cell>
          <cell r="I55">
            <v>-1.058919905920513</v>
          </cell>
          <cell r="J55">
            <v>-9.281601784255967</v>
          </cell>
          <cell r="K55">
            <v>-14.434212462896859</v>
          </cell>
          <cell r="L55">
            <v>-13.666069614525243</v>
          </cell>
          <cell r="M55">
            <v>-13.529994763042662</v>
          </cell>
          <cell r="N55">
            <v>-7.691274323350517</v>
          </cell>
          <cell r="O55">
            <v>-6.0289858123866145</v>
          </cell>
          <cell r="P55">
            <v>-4.8857020106110136</v>
          </cell>
          <cell r="Q55">
            <v>-3.9671092694313845</v>
          </cell>
          <cell r="R55">
            <v>-1.222160437821818</v>
          </cell>
          <cell r="S55">
            <v>-2.8723396339642933</v>
          </cell>
          <cell r="T55">
            <v>-4.0141438164793657</v>
          </cell>
          <cell r="U55">
            <v>-6.8678576775434195</v>
          </cell>
          <cell r="V55">
            <v>-8.4019946483628001</v>
          </cell>
          <cell r="W55">
            <v>-10.067806445900292</v>
          </cell>
          <cell r="X55">
            <v>-9.9440552302605933</v>
          </cell>
          <cell r="Y55">
            <v>-10.584147385554912</v>
          </cell>
          <cell r="Z55">
            <v>-12.316891782081104</v>
          </cell>
          <cell r="AA55">
            <v>-12.754740900564705</v>
          </cell>
          <cell r="AB55">
            <v>-12.595480634853594</v>
          </cell>
          <cell r="AC55">
            <v>-12.313623644144624</v>
          </cell>
          <cell r="AD55">
            <v>-12.058580043539404</v>
          </cell>
          <cell r="AE55">
            <v>-11.150224418580299</v>
          </cell>
          <cell r="AF55">
            <v>-10.090348390564381</v>
          </cell>
          <cell r="AG55">
            <v>-8.6765660013214809</v>
          </cell>
          <cell r="AH55">
            <v>-8.702387544149417</v>
          </cell>
          <cell r="AI55">
            <v>-8.5026935246799837</v>
          </cell>
          <cell r="AJ55">
            <v>-8.0765869330994313</v>
          </cell>
          <cell r="AK55">
            <v>-7.3931067008150277</v>
          </cell>
          <cell r="AL55">
            <v>-6.7345506468776151</v>
          </cell>
          <cell r="AM55">
            <v>-5.8591965293650281</v>
          </cell>
          <cell r="AN55">
            <v>-4.7104558294881134</v>
          </cell>
          <cell r="AO55">
            <v>-3.6709947892593919</v>
          </cell>
          <cell r="AP55">
            <v>-2.3455172255013603</v>
          </cell>
          <cell r="AQ55">
            <v>-1.3051377387018874</v>
          </cell>
          <cell r="AR55">
            <v>-0.59355926921067292</v>
          </cell>
          <cell r="AS55">
            <v>0.14262762433977333</v>
          </cell>
          <cell r="AT55">
            <v>1.0170247560011922</v>
          </cell>
          <cell r="AU55">
            <v>2.2236281865525527</v>
          </cell>
          <cell r="AV55">
            <v>3.5955251846263416</v>
          </cell>
          <cell r="AW55">
            <v>5.1737234975000614</v>
          </cell>
          <cell r="AX55">
            <v>6.9437786528987342</v>
          </cell>
          <cell r="AY55">
            <v>8.585359500745545</v>
          </cell>
          <cell r="AZ55">
            <v>10.132845487090991</v>
          </cell>
          <cell r="BA55">
            <v>11.760359796275967</v>
          </cell>
          <cell r="BB55">
            <v>13.513690211087582</v>
          </cell>
          <cell r="BC55">
            <v>15.579464179953794</v>
          </cell>
          <cell r="BD55">
            <v>17.698585656882962</v>
          </cell>
          <cell r="BE55">
            <v>21.339264006443788</v>
          </cell>
          <cell r="BF55">
            <v>25.006665380502817</v>
          </cell>
          <cell r="BG55">
            <v>29.142093689470318</v>
          </cell>
          <cell r="BH55">
            <v>33.497450906650862</v>
          </cell>
          <cell r="BI55">
            <v>38.085137408307055</v>
          </cell>
          <cell r="BJ55">
            <v>42.564427839623761</v>
          </cell>
          <cell r="BK55">
            <v>46.861340062463654</v>
          </cell>
          <cell r="BL55">
            <v>52.896328956600279</v>
          </cell>
          <cell r="BM55">
            <v>56.974076295946489</v>
          </cell>
          <cell r="BN55">
            <v>60.413465137596241</v>
          </cell>
          <cell r="BO55">
            <v>63.36951119944942</v>
          </cell>
          <cell r="BP55">
            <v>66.26330111829634</v>
          </cell>
          <cell r="BQ55">
            <v>69.192544389860245</v>
          </cell>
          <cell r="BR55">
            <v>71.347663260235677</v>
          </cell>
          <cell r="BS55">
            <v>73.086449409635733</v>
          </cell>
        </row>
        <row r="56">
          <cell r="B56" t="str">
            <v>[10,0-1,0]</v>
          </cell>
          <cell r="C56">
            <v>4.7767284211169461</v>
          </cell>
          <cell r="D56">
            <v>7.4940418633001977</v>
          </cell>
          <cell r="E56">
            <v>6.6619765082100351</v>
          </cell>
          <cell r="F56">
            <v>2.7034829416014543</v>
          </cell>
          <cell r="G56">
            <v>3.18078188990365</v>
          </cell>
          <cell r="H56">
            <v>1.2567737946306587</v>
          </cell>
          <cell r="I56">
            <v>-1.058919905920513</v>
          </cell>
          <cell r="J56">
            <v>-9.281601784255967</v>
          </cell>
          <cell r="K56">
            <v>-14.434212462896859</v>
          </cell>
          <cell r="L56">
            <v>-13.666069614525243</v>
          </cell>
          <cell r="M56">
            <v>-13.529994763042662</v>
          </cell>
          <cell r="N56">
            <v>-7.691274323350517</v>
          </cell>
          <cell r="O56">
            <v>-6.0289858123866145</v>
          </cell>
          <cell r="P56">
            <v>-4.8857020106110136</v>
          </cell>
          <cell r="Q56">
            <v>-3.9671092694313845</v>
          </cell>
          <cell r="R56">
            <v>-1.222160437821818</v>
          </cell>
          <cell r="S56">
            <v>-2.8723396339642933</v>
          </cell>
          <cell r="T56">
            <v>-4.0141438164793657</v>
          </cell>
          <cell r="U56">
            <v>-6.8678576775434195</v>
          </cell>
          <cell r="V56">
            <v>-8.4019960940005252</v>
          </cell>
          <cell r="W56">
            <v>-10.06781221608445</v>
          </cell>
          <cell r="X56">
            <v>-10.092975973761233</v>
          </cell>
          <cell r="Y56">
            <v>-12.220919662472909</v>
          </cell>
          <cell r="Z56">
            <v>-15.506194504356362</v>
          </cell>
          <cell r="AA56">
            <v>-18.064256706953049</v>
          </cell>
          <cell r="AB56">
            <v>-20.32134582093131</v>
          </cell>
          <cell r="AC56">
            <v>-22.756583535282758</v>
          </cell>
          <cell r="AD56">
            <v>-25.492400046303054</v>
          </cell>
          <cell r="AE56">
            <v>-27.948477726614392</v>
          </cell>
          <cell r="AF56">
            <v>-30.587642615072664</v>
          </cell>
          <cell r="AG56">
            <v>-33.262302004484226</v>
          </cell>
          <cell r="AH56">
            <v>-35.952956756276429</v>
          </cell>
          <cell r="AI56">
            <v>-38.583114962973809</v>
          </cell>
          <cell r="AJ56">
            <v>-41.077199471291564</v>
          </cell>
          <cell r="AK56">
            <v>-43.414604364203868</v>
          </cell>
          <cell r="AL56">
            <v>-45.930252458199625</v>
          </cell>
          <cell r="AM56">
            <v>-48.347163759492801</v>
          </cell>
          <cell r="AN56">
            <v>-50.613381074447183</v>
          </cell>
          <cell r="AO56">
            <v>-53.151237482156141</v>
          </cell>
          <cell r="AP56">
            <v>-55.551415641847186</v>
          </cell>
          <cell r="AQ56">
            <v>-58.319817464777969</v>
          </cell>
          <cell r="AR56">
            <v>-61.521040031883985</v>
          </cell>
          <cell r="AS56">
            <v>-64.850089731465204</v>
          </cell>
          <cell r="AT56">
            <v>-68.106330089782716</v>
          </cell>
          <cell r="AU56">
            <v>-71.097998248923332</v>
          </cell>
          <cell r="AV56">
            <v>-74.14027025022672</v>
          </cell>
          <cell r="AW56">
            <v>-77.139031442240935</v>
          </cell>
          <cell r="AX56">
            <v>-80.055347822439273</v>
          </cell>
          <cell r="AY56">
            <v>-83.181105601908286</v>
          </cell>
          <cell r="AZ56">
            <v>-86.502980089021037</v>
          </cell>
          <cell r="BA56">
            <v>-90.042564340235899</v>
          </cell>
          <cell r="BB56">
            <v>-93.543234434170415</v>
          </cell>
          <cell r="BC56">
            <v>-97.031432011247034</v>
          </cell>
          <cell r="BD56">
            <v>-100.13807390903332</v>
          </cell>
          <cell r="BE56">
            <v>-102.58561199614172</v>
          </cell>
          <cell r="BF56">
            <v>-104.9554738670052</v>
          </cell>
          <cell r="BG56">
            <v>-107.14655176696077</v>
          </cell>
          <cell r="BH56">
            <v>-109.34227610664942</v>
          </cell>
          <cell r="BI56">
            <v>-111.53998530581151</v>
          </cell>
          <cell r="BJ56">
            <v>-113.79282627299241</v>
          </cell>
          <cell r="BK56">
            <v>-116.33299199775607</v>
          </cell>
          <cell r="BL56">
            <v>-117.71358691472234</v>
          </cell>
          <cell r="BM56">
            <v>-120.70044302779878</v>
          </cell>
          <cell r="BN56">
            <v>-124.2067864824154</v>
          </cell>
          <cell r="BO56">
            <v>-128.0667169225039</v>
          </cell>
          <cell r="BP56">
            <v>-132.11779041074797</v>
          </cell>
          <cell r="BQ56">
            <v>-136.15667524880868</v>
          </cell>
          <cell r="BR56">
            <v>-140.86264528509463</v>
          </cell>
          <cell r="BS56">
            <v>-145.84940553332422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tif"/>
      <sheetName val="Hypothèses"/>
      <sheetName val="Données DSS"/>
      <sheetName val="Données COR"/>
      <sheetName val="Agirc-Ret"/>
      <sheetName val="Agirc-Gest"/>
      <sheetName val="Agirc-Act Soc"/>
      <sheetName val="Récap"/>
      <sheetName val="PF Gest-AS"/>
      <sheetName val="CR à Preg DSS"/>
      <sheetName val="Preg DSS"/>
      <sheetName val="CR à Preg COR"/>
      <sheetName val="Comptes "/>
      <sheetName val="Années "/>
      <sheetName val="Générations"/>
    </sheetNames>
    <sheetDataSet>
      <sheetData sheetId="0" refreshError="1"/>
      <sheetData sheetId="1" refreshError="1">
        <row r="3">
          <cell r="S3" t="str">
            <v>Employeur</v>
          </cell>
          <cell r="T3" t="str">
            <v>Salarié</v>
          </cell>
          <cell r="U3" t="str">
            <v>Ensemble</v>
          </cell>
          <cell r="V3" t="str">
            <v>Employeur</v>
          </cell>
          <cell r="W3" t="str">
            <v>Salarié</v>
          </cell>
          <cell r="X3" t="str">
            <v>Ensemble</v>
          </cell>
          <cell r="Y3" t="str">
            <v>Part employeur</v>
          </cell>
          <cell r="Z3" t="str">
            <v>Part salarié</v>
          </cell>
          <cell r="AA3" t="str">
            <v>Part employeur</v>
          </cell>
          <cell r="AB3" t="str">
            <v>Part salarié</v>
          </cell>
          <cell r="AD3" t="str">
            <v>T_hypo_TauxFi</v>
          </cell>
          <cell r="AE3" t="str">
            <v>Taux de rendement réel</v>
          </cell>
          <cell r="AH3" t="str">
            <v>Taux de rendement nominal</v>
          </cell>
        </row>
        <row r="4">
          <cell r="B4" t="str">
            <v>SMPT</v>
          </cell>
          <cell r="C4" t="str">
            <v>PSS</v>
          </cell>
          <cell r="D4" t="str">
            <v>Prix</v>
          </cell>
          <cell r="E4" t="str">
            <v>Effectifs cotisations</v>
          </cell>
          <cell r="F4" t="str">
            <v>Déflateur (Meur 2011)</v>
          </cell>
          <cell r="I4" t="str">
            <v>Personnel</v>
          </cell>
          <cell r="J4" t="str">
            <v>Informatique hors UR</v>
          </cell>
          <cell r="K4" t="str">
            <v xml:space="preserve">Autres </v>
          </cell>
          <cell r="L4" t="str">
            <v>Liées à l'UR</v>
          </cell>
          <cell r="M4" t="str">
            <v>Personnel</v>
          </cell>
          <cell r="N4" t="str">
            <v>Informatique hors UR</v>
          </cell>
          <cell r="O4" t="str">
            <v xml:space="preserve">Autres </v>
          </cell>
          <cell r="P4" t="str">
            <v>Liées à l'UR</v>
          </cell>
          <cell r="R4">
            <v>2010</v>
          </cell>
          <cell r="S4">
            <v>0.1008</v>
          </cell>
          <cell r="T4">
            <v>6.1600000000000002E-2</v>
          </cell>
          <cell r="U4">
            <v>0.16239999999999999</v>
          </cell>
          <cell r="V4">
            <v>2.2000000000000001E-3</v>
          </cell>
          <cell r="W4">
            <v>1.2999999999999999E-3</v>
          </cell>
          <cell r="X4">
            <v>3.5000000000000001E-3</v>
          </cell>
          <cell r="Y4">
            <v>0.62068965517241381</v>
          </cell>
          <cell r="Z4">
            <v>0.37931034482758624</v>
          </cell>
          <cell r="AA4">
            <v>0.62857142857142856</v>
          </cell>
          <cell r="AB4">
            <v>0.37142857142857139</v>
          </cell>
          <cell r="AE4" t="str">
            <v>Réserves de retraite</v>
          </cell>
          <cell r="AF4" t="str">
            <v>Réserves de gestion</v>
          </cell>
          <cell r="AG4" t="str">
            <v>Réserves d'action sociale</v>
          </cell>
          <cell r="AH4" t="str">
            <v>Réserves de retraite</v>
          </cell>
          <cell r="AI4" t="str">
            <v>Réserves de gestion</v>
          </cell>
          <cell r="AJ4" t="str">
            <v>Réserves d'action sociale</v>
          </cell>
        </row>
        <row r="5">
          <cell r="A5">
            <v>2011</v>
          </cell>
          <cell r="B5">
            <v>2.5000000000000001E-2</v>
          </cell>
          <cell r="C5">
            <v>2.1100000000000001E-2</v>
          </cell>
          <cell r="D5">
            <v>2.0500000000000001E-2</v>
          </cell>
          <cell r="E5">
            <v>8.9999999999999993E-3</v>
          </cell>
          <cell r="F5">
            <v>1</v>
          </cell>
          <cell r="H5">
            <v>2011</v>
          </cell>
          <cell r="J5">
            <v>0.01</v>
          </cell>
          <cell r="K5">
            <v>-0.08</v>
          </cell>
          <cell r="L5">
            <v>0.52</v>
          </cell>
          <cell r="N5">
            <v>3.0704999999999982E-2</v>
          </cell>
          <cell r="O5">
            <v>-6.1139999999999972E-2</v>
          </cell>
          <cell r="P5">
            <v>0.55115999999999987</v>
          </cell>
          <cell r="R5">
            <v>2011</v>
          </cell>
          <cell r="S5">
            <v>0.1008</v>
          </cell>
          <cell r="T5">
            <v>6.1600000000000002E-2</v>
          </cell>
          <cell r="U5">
            <v>0.16239999999999999</v>
          </cell>
          <cell r="V5">
            <v>2.2000000000000001E-3</v>
          </cell>
          <cell r="W5">
            <v>1.2999999999999999E-3</v>
          </cell>
          <cell r="X5">
            <v>3.5000000000000001E-3</v>
          </cell>
          <cell r="Y5">
            <v>0.62068965517241381</v>
          </cell>
          <cell r="Z5">
            <v>0.37931034482758624</v>
          </cell>
          <cell r="AA5">
            <v>0.62857142857142856</v>
          </cell>
          <cell r="AB5">
            <v>0.37142857142857139</v>
          </cell>
          <cell r="AD5">
            <v>2011</v>
          </cell>
        </row>
        <row r="6">
          <cell r="A6">
            <v>2012</v>
          </cell>
          <cell r="B6">
            <v>2.5100000000000001E-2</v>
          </cell>
          <cell r="C6">
            <v>2.8899999999999999E-2</v>
          </cell>
          <cell r="D6">
            <v>1.9E-2</v>
          </cell>
          <cell r="E6">
            <v>-9.9999999999988987E-4</v>
          </cell>
          <cell r="F6">
            <v>0.9813542688910698</v>
          </cell>
          <cell r="H6">
            <v>2012</v>
          </cell>
          <cell r="I6">
            <v>-2.2964166130679531E-2</v>
          </cell>
          <cell r="J6">
            <v>0</v>
          </cell>
          <cell r="K6">
            <v>-0.03</v>
          </cell>
          <cell r="L6">
            <v>7.0000000000000007E-2</v>
          </cell>
          <cell r="M6">
            <v>-4.4004852871625255E-3</v>
          </cell>
          <cell r="N6">
            <v>1.8999999999999906E-2</v>
          </cell>
          <cell r="O6">
            <v>-1.157000000000008E-2</v>
          </cell>
          <cell r="P6">
            <v>9.0330000000000021E-2</v>
          </cell>
          <cell r="R6">
            <v>2012</v>
          </cell>
          <cell r="S6">
            <v>0.1008</v>
          </cell>
          <cell r="T6">
            <v>6.1600000000000002E-2</v>
          </cell>
          <cell r="U6">
            <v>0.16239999999999999</v>
          </cell>
          <cell r="V6">
            <v>2.2000000000000001E-3</v>
          </cell>
          <cell r="W6">
            <v>1.2999999999999999E-3</v>
          </cell>
          <cell r="X6">
            <v>3.5000000000000001E-3</v>
          </cell>
          <cell r="Y6">
            <v>0.62068965517241381</v>
          </cell>
          <cell r="Z6">
            <v>0.37931034482758624</v>
          </cell>
          <cell r="AA6">
            <v>0.62857142857142856</v>
          </cell>
          <cell r="AB6">
            <v>0.37142857142857139</v>
          </cell>
          <cell r="AD6">
            <v>2012</v>
          </cell>
          <cell r="AE6">
            <v>1.4999999999999999E-2</v>
          </cell>
          <cell r="AF6">
            <v>1.4999999999999999E-2</v>
          </cell>
          <cell r="AG6">
            <v>1.4999999999999999E-2</v>
          </cell>
          <cell r="AH6">
            <v>3.4284999999999899E-2</v>
          </cell>
          <cell r="AI6">
            <v>3.4284999999999899E-2</v>
          </cell>
          <cell r="AJ6">
            <v>3.4284999999999899E-2</v>
          </cell>
        </row>
        <row r="7">
          <cell r="A7">
            <v>2013</v>
          </cell>
          <cell r="B7">
            <v>2.5100000000000001E-2</v>
          </cell>
          <cell r="C7">
            <v>2.01E-2</v>
          </cell>
          <cell r="D7">
            <v>1.6E-2</v>
          </cell>
          <cell r="E7">
            <v>2.0000000000000018E-3</v>
          </cell>
          <cell r="F7">
            <v>0.96589987095577734</v>
          </cell>
          <cell r="H7">
            <v>2013</v>
          </cell>
          <cell r="I7">
            <v>-2.698977176461903E-2</v>
          </cell>
          <cell r="J7">
            <v>0</v>
          </cell>
          <cell r="K7">
            <v>0.02</v>
          </cell>
          <cell r="L7">
            <v>-0.23</v>
          </cell>
          <cell r="M7">
            <v>-1.1421608112852977E-2</v>
          </cell>
          <cell r="N7">
            <v>1.6000000000000014E-2</v>
          </cell>
          <cell r="O7">
            <v>3.632000000000013E-2</v>
          </cell>
          <cell r="P7">
            <v>-0.21767999999999998</v>
          </cell>
          <cell r="R7">
            <v>2013</v>
          </cell>
          <cell r="S7">
            <v>0.1008</v>
          </cell>
          <cell r="T7">
            <v>6.1600000000000002E-2</v>
          </cell>
          <cell r="U7">
            <v>0.16239999999999999</v>
          </cell>
          <cell r="V7">
            <v>2.2000000000000001E-3</v>
          </cell>
          <cell r="W7">
            <v>1.2999999999999999E-3</v>
          </cell>
          <cell r="X7">
            <v>3.5000000000000001E-3</v>
          </cell>
          <cell r="Y7">
            <v>0.62068965517241381</v>
          </cell>
          <cell r="Z7">
            <v>0.37931034482758624</v>
          </cell>
          <cell r="AA7">
            <v>0.62857142857142856</v>
          </cell>
          <cell r="AB7">
            <v>0.37142857142857139</v>
          </cell>
          <cell r="AD7">
            <v>2013</v>
          </cell>
          <cell r="AE7">
            <v>1.4999999999999999E-2</v>
          </cell>
          <cell r="AF7">
            <v>1.4999999999999999E-2</v>
          </cell>
          <cell r="AG7">
            <v>1.4999999999999999E-2</v>
          </cell>
          <cell r="AH7">
            <v>3.1239999999999934E-2</v>
          </cell>
          <cell r="AI7">
            <v>3.1239999999999934E-2</v>
          </cell>
          <cell r="AJ7">
            <v>3.1239999999999934E-2</v>
          </cell>
        </row>
        <row r="8">
          <cell r="A8">
            <v>2014</v>
          </cell>
          <cell r="B8">
            <v>2.7699999999999999E-2</v>
          </cell>
          <cell r="C8">
            <v>2.5000000000000001E-2</v>
          </cell>
          <cell r="D8">
            <v>1.7500000000000002E-2</v>
          </cell>
          <cell r="E8">
            <v>1.2000000000000011E-2</v>
          </cell>
          <cell r="F8">
            <v>0.94928734246268032</v>
          </cell>
          <cell r="H8">
            <v>2014</v>
          </cell>
          <cell r="I8">
            <v>-1.7532681664388261E-2</v>
          </cell>
          <cell r="J8">
            <v>-0.02</v>
          </cell>
          <cell r="K8">
            <v>0.03</v>
          </cell>
          <cell r="L8">
            <v>-0.64</v>
          </cell>
          <cell r="M8">
            <v>-3.3950359351497816E-4</v>
          </cell>
          <cell r="N8">
            <v>-2.8499999999999082E-3</v>
          </cell>
          <cell r="O8">
            <v>4.8025000000000206E-2</v>
          </cell>
          <cell r="P8">
            <v>-0.63369999999999993</v>
          </cell>
          <cell r="R8">
            <v>2014</v>
          </cell>
          <cell r="S8">
            <v>0.1008</v>
          </cell>
          <cell r="T8">
            <v>6.1600000000000002E-2</v>
          </cell>
          <cell r="U8">
            <v>0.16239999999999999</v>
          </cell>
          <cell r="V8">
            <v>2.2000000000000001E-3</v>
          </cell>
          <cell r="W8">
            <v>1.2999999999999999E-3</v>
          </cell>
          <cell r="X8">
            <v>3.5000000000000001E-3</v>
          </cell>
          <cell r="Y8">
            <v>0.62068965517241381</v>
          </cell>
          <cell r="Z8">
            <v>0.37931034482758624</v>
          </cell>
          <cell r="AA8">
            <v>0.62857142857142856</v>
          </cell>
          <cell r="AB8">
            <v>0.37142857142857139</v>
          </cell>
          <cell r="AD8">
            <v>2014</v>
          </cell>
          <cell r="AE8">
            <v>1.4999999999999999E-2</v>
          </cell>
          <cell r="AF8">
            <v>1.4999999999999999E-2</v>
          </cell>
          <cell r="AG8">
            <v>1.4999999999999999E-2</v>
          </cell>
          <cell r="AH8">
            <v>3.2762500000000028E-2</v>
          </cell>
          <cell r="AI8">
            <v>3.2762500000000028E-2</v>
          </cell>
          <cell r="AJ8">
            <v>3.2762500000000028E-2</v>
          </cell>
        </row>
        <row r="9">
          <cell r="A9">
            <v>2015</v>
          </cell>
          <cell r="B9">
            <v>2.7699999999999999E-2</v>
          </cell>
          <cell r="C9">
            <v>2.8000000000000001E-2</v>
          </cell>
          <cell r="D9">
            <v>1.7500000000000002E-2</v>
          </cell>
          <cell r="E9">
            <v>1.2000000000000011E-2</v>
          </cell>
          <cell r="F9">
            <v>0.93296053313285532</v>
          </cell>
          <cell r="H9">
            <v>2015</v>
          </cell>
          <cell r="I9">
            <v>0</v>
          </cell>
          <cell r="J9">
            <v>0</v>
          </cell>
          <cell r="K9">
            <v>0.01</v>
          </cell>
          <cell r="L9">
            <v>-0.33</v>
          </cell>
          <cell r="M9">
            <v>1.7500000000000071E-2</v>
          </cell>
          <cell r="N9">
            <v>1.7500000000000071E-2</v>
          </cell>
          <cell r="O9">
            <v>2.7675000000000116E-2</v>
          </cell>
          <cell r="P9">
            <v>-0.31827499999999997</v>
          </cell>
          <cell r="R9">
            <v>2015</v>
          </cell>
          <cell r="S9">
            <v>0.1008</v>
          </cell>
          <cell r="T9">
            <v>6.1600000000000002E-2</v>
          </cell>
          <cell r="U9">
            <v>0.16239999999999999</v>
          </cell>
          <cell r="V9">
            <v>2.2000000000000001E-3</v>
          </cell>
          <cell r="W9">
            <v>1.2999999999999999E-3</v>
          </cell>
          <cell r="X9">
            <v>3.5000000000000001E-3</v>
          </cell>
          <cell r="Y9">
            <v>0.62068965517241381</v>
          </cell>
          <cell r="Z9">
            <v>0.37931034482758624</v>
          </cell>
          <cell r="AA9">
            <v>0.62857142857142856</v>
          </cell>
          <cell r="AB9">
            <v>0.37142857142857139</v>
          </cell>
          <cell r="AD9">
            <v>2015</v>
          </cell>
          <cell r="AE9">
            <v>1.4999999999999999E-2</v>
          </cell>
          <cell r="AF9">
            <v>1.4999999999999999E-2</v>
          </cell>
          <cell r="AG9">
            <v>1.4999999999999999E-2</v>
          </cell>
          <cell r="AH9">
            <v>3.2762500000000028E-2</v>
          </cell>
          <cell r="AI9">
            <v>3.2762500000000028E-2</v>
          </cell>
          <cell r="AJ9">
            <v>3.2762500000000028E-2</v>
          </cell>
        </row>
        <row r="10">
          <cell r="A10">
            <v>2016</v>
          </cell>
          <cell r="B10">
            <v>2.7699999999999999E-2</v>
          </cell>
          <cell r="C10">
            <v>2.8000000000000001E-2</v>
          </cell>
          <cell r="D10">
            <v>1.7500000000000002E-2</v>
          </cell>
          <cell r="E10">
            <v>1.2000000000000011E-2</v>
          </cell>
          <cell r="F10">
            <v>0.91691452887749902</v>
          </cell>
          <cell r="H10">
            <v>2016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1.7500000000000071E-2</v>
          </cell>
          <cell r="N10">
            <v>1.7500000000000071E-2</v>
          </cell>
          <cell r="O10">
            <v>1.7500000000000071E-2</v>
          </cell>
          <cell r="P10">
            <v>1.7500000000000071E-2</v>
          </cell>
          <cell r="R10">
            <v>2016</v>
          </cell>
          <cell r="S10">
            <v>0.1008</v>
          </cell>
          <cell r="T10">
            <v>6.1600000000000002E-2</v>
          </cell>
          <cell r="U10">
            <v>0.16239999999999999</v>
          </cell>
          <cell r="V10">
            <v>2.2000000000000001E-3</v>
          </cell>
          <cell r="W10">
            <v>1.2999999999999999E-3</v>
          </cell>
          <cell r="X10">
            <v>3.5000000000000001E-3</v>
          </cell>
          <cell r="Y10">
            <v>0.62068965517241381</v>
          </cell>
          <cell r="Z10">
            <v>0.37931034482758624</v>
          </cell>
          <cell r="AA10">
            <v>0.62857142857142856</v>
          </cell>
          <cell r="AB10">
            <v>0.37142857142857139</v>
          </cell>
          <cell r="AD10">
            <v>2016</v>
          </cell>
          <cell r="AE10">
            <v>1.4999999999999999E-2</v>
          </cell>
          <cell r="AF10">
            <v>1.4999999999999999E-2</v>
          </cell>
          <cell r="AG10">
            <v>1.4999999999999999E-2</v>
          </cell>
          <cell r="AH10">
            <v>3.2762500000000028E-2</v>
          </cell>
          <cell r="AI10">
            <v>3.2762500000000028E-2</v>
          </cell>
          <cell r="AJ10">
            <v>3.2762500000000028E-2</v>
          </cell>
        </row>
        <row r="11">
          <cell r="A11">
            <v>2017</v>
          </cell>
          <cell r="B11">
            <v>2.7699999999999999E-2</v>
          </cell>
          <cell r="C11">
            <v>2.46E-2</v>
          </cell>
          <cell r="D11">
            <v>1.7500000000000002E-2</v>
          </cell>
          <cell r="E11">
            <v>1.2000000000000011E-2</v>
          </cell>
          <cell r="F11">
            <v>0.90114450012530611</v>
          </cell>
          <cell r="H11">
            <v>2017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1.7500000000000071E-2</v>
          </cell>
          <cell r="N11">
            <v>1.7500000000000071E-2</v>
          </cell>
          <cell r="O11">
            <v>1.7500000000000071E-2</v>
          </cell>
          <cell r="P11">
            <v>1.7500000000000071E-2</v>
          </cell>
          <cell r="R11">
            <v>2017</v>
          </cell>
          <cell r="S11">
            <v>0.1008</v>
          </cell>
          <cell r="T11">
            <v>6.1600000000000002E-2</v>
          </cell>
          <cell r="U11">
            <v>0.16239999999999999</v>
          </cell>
          <cell r="V11">
            <v>2.2000000000000001E-3</v>
          </cell>
          <cell r="W11">
            <v>1.2999999999999999E-3</v>
          </cell>
          <cell r="X11">
            <v>3.5000000000000001E-3</v>
          </cell>
          <cell r="Y11">
            <v>0.62068965517241381</v>
          </cell>
          <cell r="Z11">
            <v>0.37931034482758624</v>
          </cell>
          <cell r="AA11">
            <v>0.62857142857142856</v>
          </cell>
          <cell r="AB11">
            <v>0.37142857142857139</v>
          </cell>
          <cell r="AD11">
            <v>2017</v>
          </cell>
          <cell r="AE11">
            <v>1.4999999999999999E-2</v>
          </cell>
          <cell r="AF11">
            <v>1.4999999999999999E-2</v>
          </cell>
          <cell r="AG11">
            <v>1.4999999999999999E-2</v>
          </cell>
          <cell r="AH11">
            <v>3.2762500000000028E-2</v>
          </cell>
          <cell r="AI11">
            <v>3.2762500000000028E-2</v>
          </cell>
          <cell r="AJ11">
            <v>3.2762500000000028E-2</v>
          </cell>
        </row>
        <row r="12">
          <cell r="A12">
            <v>2018</v>
          </cell>
          <cell r="B12">
            <v>3.4799999999999998E-2</v>
          </cell>
          <cell r="C12">
            <v>2.46E-2</v>
          </cell>
          <cell r="D12">
            <v>1.7500000000000002E-2</v>
          </cell>
          <cell r="E12">
            <v>6.2515319465115127E-3</v>
          </cell>
          <cell r="F12">
            <v>0.88564570036885115</v>
          </cell>
          <cell r="H12">
            <v>2018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1.7500000000000071E-2</v>
          </cell>
          <cell r="N12">
            <v>1.7500000000000071E-2</v>
          </cell>
          <cell r="O12">
            <v>1.7500000000000071E-2</v>
          </cell>
          <cell r="P12">
            <v>1.7500000000000071E-2</v>
          </cell>
          <cell r="R12">
            <v>2018</v>
          </cell>
          <cell r="S12">
            <v>0.1008</v>
          </cell>
          <cell r="T12">
            <v>6.1600000000000002E-2</v>
          </cell>
          <cell r="U12">
            <v>0.16239999999999999</v>
          </cell>
          <cell r="V12">
            <v>2.2000000000000001E-3</v>
          </cell>
          <cell r="W12">
            <v>1.2999999999999999E-3</v>
          </cell>
          <cell r="X12">
            <v>3.5000000000000001E-3</v>
          </cell>
          <cell r="Y12">
            <v>0.62068965517241381</v>
          </cell>
          <cell r="Z12">
            <v>0.37931034482758624</v>
          </cell>
          <cell r="AA12">
            <v>0.62857142857142856</v>
          </cell>
          <cell r="AB12">
            <v>0.37142857142857139</v>
          </cell>
          <cell r="AD12">
            <v>2018</v>
          </cell>
          <cell r="AE12">
            <v>1.4999999999999999E-2</v>
          </cell>
          <cell r="AF12">
            <v>1.4999999999999999E-2</v>
          </cell>
          <cell r="AG12">
            <v>1.4999999999999999E-2</v>
          </cell>
          <cell r="AH12">
            <v>3.2762500000000028E-2</v>
          </cell>
          <cell r="AI12">
            <v>3.2762500000000028E-2</v>
          </cell>
          <cell r="AJ12">
            <v>3.2762500000000028E-2</v>
          </cell>
        </row>
        <row r="13">
          <cell r="A13">
            <v>2019</v>
          </cell>
          <cell r="B13">
            <v>3.3799999999999997E-2</v>
          </cell>
          <cell r="C13">
            <v>3.4799999999999998E-2</v>
          </cell>
          <cell r="D13">
            <v>1.7500000000000002E-2</v>
          </cell>
          <cell r="E13">
            <v>9.2902153151264155E-3</v>
          </cell>
          <cell r="F13">
            <v>0.87041346473597159</v>
          </cell>
          <cell r="H13">
            <v>2019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1.7500000000000071E-2</v>
          </cell>
          <cell r="N13">
            <v>1.7500000000000071E-2</v>
          </cell>
          <cell r="O13">
            <v>1.7500000000000071E-2</v>
          </cell>
          <cell r="P13">
            <v>1.7500000000000071E-2</v>
          </cell>
          <cell r="R13">
            <v>2019</v>
          </cell>
          <cell r="S13">
            <v>0.1008</v>
          </cell>
          <cell r="T13">
            <v>6.1600000000000002E-2</v>
          </cell>
          <cell r="U13">
            <v>0.16239999999999999</v>
          </cell>
          <cell r="V13">
            <v>2.2000000000000001E-3</v>
          </cell>
          <cell r="W13">
            <v>1.2999999999999999E-3</v>
          </cell>
          <cell r="X13">
            <v>3.5000000000000001E-3</v>
          </cell>
          <cell r="Y13">
            <v>0.62068965517241381</v>
          </cell>
          <cell r="Z13">
            <v>0.37931034482758624</v>
          </cell>
          <cell r="AA13">
            <v>0.62857142857142856</v>
          </cell>
          <cell r="AB13">
            <v>0.37142857142857139</v>
          </cell>
          <cell r="AD13">
            <v>2019</v>
          </cell>
          <cell r="AE13">
            <v>1.4999999999999999E-2</v>
          </cell>
          <cell r="AF13">
            <v>1.4999999999999999E-2</v>
          </cell>
          <cell r="AG13">
            <v>1.4999999999999999E-2</v>
          </cell>
          <cell r="AH13">
            <v>3.2762500000000028E-2</v>
          </cell>
          <cell r="AI13">
            <v>3.2762500000000028E-2</v>
          </cell>
          <cell r="AJ13">
            <v>3.2762500000000028E-2</v>
          </cell>
        </row>
        <row r="14">
          <cell r="A14">
            <v>2020</v>
          </cell>
          <cell r="B14">
            <v>3.2800000000000003E-2</v>
          </cell>
          <cell r="C14">
            <v>3.3799999999999997E-2</v>
          </cell>
          <cell r="D14">
            <v>1.7500000000000002E-2</v>
          </cell>
          <cell r="E14">
            <v>1.2397635127170181E-2</v>
          </cell>
          <cell r="F14">
            <v>0.85544320858572143</v>
          </cell>
          <cell r="H14">
            <v>2020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1.7500000000000071E-2</v>
          </cell>
          <cell r="N14">
            <v>1.7500000000000071E-2</v>
          </cell>
          <cell r="O14">
            <v>1.7500000000000071E-2</v>
          </cell>
          <cell r="P14">
            <v>1.7500000000000071E-2</v>
          </cell>
          <cell r="R14">
            <v>2020</v>
          </cell>
          <cell r="S14">
            <v>0.1008</v>
          </cell>
          <cell r="T14">
            <v>6.1600000000000002E-2</v>
          </cell>
          <cell r="U14">
            <v>0.16239999999999999</v>
          </cell>
          <cell r="V14">
            <v>2.2000000000000001E-3</v>
          </cell>
          <cell r="W14">
            <v>1.2999999999999999E-3</v>
          </cell>
          <cell r="X14">
            <v>3.5000000000000001E-3</v>
          </cell>
          <cell r="Y14">
            <v>0.62068965517241381</v>
          </cell>
          <cell r="Z14">
            <v>0.37931034482758624</v>
          </cell>
          <cell r="AA14">
            <v>0.62857142857142856</v>
          </cell>
          <cell r="AB14">
            <v>0.37142857142857139</v>
          </cell>
          <cell r="AD14">
            <v>2020</v>
          </cell>
          <cell r="AE14">
            <v>1.4999999999999999E-2</v>
          </cell>
          <cell r="AF14">
            <v>1.4999999999999999E-2</v>
          </cell>
          <cell r="AG14">
            <v>1.4999999999999999E-2</v>
          </cell>
          <cell r="AH14">
            <v>3.2762500000000028E-2</v>
          </cell>
          <cell r="AI14">
            <v>3.2762500000000028E-2</v>
          </cell>
          <cell r="AJ14">
            <v>3.2762500000000028E-2</v>
          </cell>
        </row>
        <row r="15">
          <cell r="A15">
            <v>2021</v>
          </cell>
          <cell r="B15">
            <v>3.3799999999999997E-2</v>
          </cell>
          <cell r="C15">
            <v>3.2800000000000003E-2</v>
          </cell>
          <cell r="D15">
            <v>1.7500000000000002E-2</v>
          </cell>
          <cell r="E15">
            <v>1.197601923008329E-2</v>
          </cell>
          <cell r="F15">
            <v>0.84073042612847304</v>
          </cell>
          <cell r="H15">
            <v>2021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1.7500000000000071E-2</v>
          </cell>
          <cell r="N15">
            <v>1.7500000000000071E-2</v>
          </cell>
          <cell r="O15">
            <v>1.7500000000000071E-2</v>
          </cell>
          <cell r="P15">
            <v>1.7500000000000071E-2</v>
          </cell>
          <cell r="R15">
            <v>2021</v>
          </cell>
          <cell r="S15">
            <v>0.1008</v>
          </cell>
          <cell r="T15">
            <v>6.1600000000000002E-2</v>
          </cell>
          <cell r="U15">
            <v>0.16239999999999999</v>
          </cell>
          <cell r="V15">
            <v>2.2000000000000001E-3</v>
          </cell>
          <cell r="W15">
            <v>1.2999999999999999E-3</v>
          </cell>
          <cell r="X15">
            <v>3.5000000000000001E-3</v>
          </cell>
          <cell r="Y15">
            <v>0.62068965517241381</v>
          </cell>
          <cell r="Z15">
            <v>0.37931034482758624</v>
          </cell>
          <cell r="AA15">
            <v>0.62857142857142856</v>
          </cell>
          <cell r="AB15">
            <v>0.37142857142857139</v>
          </cell>
          <cell r="AD15">
            <v>2021</v>
          </cell>
          <cell r="AE15">
            <v>1.4999999999999999E-2</v>
          </cell>
          <cell r="AF15">
            <v>1.4999999999999999E-2</v>
          </cell>
          <cell r="AG15">
            <v>1.4999999999999999E-2</v>
          </cell>
          <cell r="AH15">
            <v>3.2762500000000028E-2</v>
          </cell>
          <cell r="AI15">
            <v>3.2762500000000028E-2</v>
          </cell>
          <cell r="AJ15">
            <v>3.2762500000000028E-2</v>
          </cell>
        </row>
        <row r="16">
          <cell r="A16">
            <v>2022</v>
          </cell>
          <cell r="B16">
            <v>3.3799999999999997E-2</v>
          </cell>
          <cell r="C16">
            <v>3.3799999999999997E-2</v>
          </cell>
          <cell r="D16">
            <v>1.7500000000000002E-2</v>
          </cell>
          <cell r="E16">
            <v>9.6256456142802538E-3</v>
          </cell>
          <cell r="F16">
            <v>0.82627068906975232</v>
          </cell>
          <cell r="H16">
            <v>2022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1.7500000000000071E-2</v>
          </cell>
          <cell r="N16">
            <v>1.7500000000000071E-2</v>
          </cell>
          <cell r="O16">
            <v>1.7500000000000071E-2</v>
          </cell>
          <cell r="P16">
            <v>1.7500000000000071E-2</v>
          </cell>
          <cell r="R16">
            <v>2022</v>
          </cell>
          <cell r="S16">
            <v>0.1008</v>
          </cell>
          <cell r="T16">
            <v>6.1600000000000002E-2</v>
          </cell>
          <cell r="U16">
            <v>0.16239999999999999</v>
          </cell>
          <cell r="V16">
            <v>2.2000000000000001E-3</v>
          </cell>
          <cell r="W16">
            <v>1.2999999999999999E-3</v>
          </cell>
          <cell r="X16">
            <v>3.5000000000000001E-3</v>
          </cell>
          <cell r="Y16">
            <v>0.62068965517241381</v>
          </cell>
          <cell r="Z16">
            <v>0.37931034482758624</v>
          </cell>
          <cell r="AA16">
            <v>0.62857142857142856</v>
          </cell>
          <cell r="AB16">
            <v>0.37142857142857139</v>
          </cell>
          <cell r="AD16">
            <v>2022</v>
          </cell>
          <cell r="AE16">
            <v>1.4999999999999999E-2</v>
          </cell>
          <cell r="AF16">
            <v>1.4999999999999999E-2</v>
          </cell>
          <cell r="AG16">
            <v>1.4999999999999999E-2</v>
          </cell>
          <cell r="AH16">
            <v>3.2762500000000028E-2</v>
          </cell>
          <cell r="AI16">
            <v>3.2762500000000028E-2</v>
          </cell>
          <cell r="AJ16">
            <v>3.2762500000000028E-2</v>
          </cell>
        </row>
        <row r="17">
          <cell r="A17">
            <v>2023</v>
          </cell>
          <cell r="B17">
            <v>3.4799999999999998E-2</v>
          </cell>
          <cell r="C17">
            <v>3.3799999999999997E-2</v>
          </cell>
          <cell r="D17">
            <v>1.7500000000000002E-2</v>
          </cell>
          <cell r="E17">
            <v>1.0804602169662392E-2</v>
          </cell>
          <cell r="F17">
            <v>0.81205964527739782</v>
          </cell>
          <cell r="H17">
            <v>2023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1.7500000000000071E-2</v>
          </cell>
          <cell r="N17">
            <v>1.7500000000000071E-2</v>
          </cell>
          <cell r="O17">
            <v>1.7500000000000071E-2</v>
          </cell>
          <cell r="P17">
            <v>1.7500000000000071E-2</v>
          </cell>
          <cell r="R17">
            <v>2023</v>
          </cell>
          <cell r="S17">
            <v>0.1008</v>
          </cell>
          <cell r="T17">
            <v>6.1600000000000002E-2</v>
          </cell>
          <cell r="U17">
            <v>0.16239999999999999</v>
          </cell>
          <cell r="V17">
            <v>2.2000000000000001E-3</v>
          </cell>
          <cell r="W17">
            <v>1.2999999999999999E-3</v>
          </cell>
          <cell r="X17">
            <v>3.5000000000000001E-3</v>
          </cell>
          <cell r="Y17">
            <v>0.62068965517241381</v>
          </cell>
          <cell r="Z17">
            <v>0.37931034482758624</v>
          </cell>
          <cell r="AA17">
            <v>0.62857142857142856</v>
          </cell>
          <cell r="AB17">
            <v>0.37142857142857139</v>
          </cell>
          <cell r="AD17">
            <v>2023</v>
          </cell>
          <cell r="AE17">
            <v>1.4999999999999999E-2</v>
          </cell>
          <cell r="AF17">
            <v>1.4999999999999999E-2</v>
          </cell>
          <cell r="AG17">
            <v>1.4999999999999999E-2</v>
          </cell>
          <cell r="AH17">
            <v>3.2762500000000028E-2</v>
          </cell>
          <cell r="AI17">
            <v>3.2762500000000028E-2</v>
          </cell>
          <cell r="AJ17">
            <v>3.2762500000000028E-2</v>
          </cell>
        </row>
        <row r="18">
          <cell r="A18">
            <v>2024</v>
          </cell>
          <cell r="B18">
            <v>3.5799999999999998E-2</v>
          </cell>
          <cell r="C18">
            <v>3.4799999999999998E-2</v>
          </cell>
          <cell r="D18">
            <v>1.7500000000000002E-2</v>
          </cell>
          <cell r="E18">
            <v>9.6616773482112173E-3</v>
          </cell>
          <cell r="F18">
            <v>0.79809301747164396</v>
          </cell>
          <cell r="H18">
            <v>2024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1.7500000000000071E-2</v>
          </cell>
          <cell r="N18">
            <v>1.7500000000000071E-2</v>
          </cell>
          <cell r="O18">
            <v>1.7500000000000071E-2</v>
          </cell>
          <cell r="P18">
            <v>1.7500000000000071E-2</v>
          </cell>
          <cell r="R18">
            <v>2024</v>
          </cell>
          <cell r="S18">
            <v>0.1008</v>
          </cell>
          <cell r="T18">
            <v>6.1600000000000002E-2</v>
          </cell>
          <cell r="U18">
            <v>0.16239999999999999</v>
          </cell>
          <cell r="V18">
            <v>2.2000000000000001E-3</v>
          </cell>
          <cell r="W18">
            <v>1.2999999999999999E-3</v>
          </cell>
          <cell r="X18">
            <v>3.5000000000000001E-3</v>
          </cell>
          <cell r="Y18">
            <v>0.62068965517241381</v>
          </cell>
          <cell r="Z18">
            <v>0.37931034482758624</v>
          </cell>
          <cell r="AA18">
            <v>0.62857142857142856</v>
          </cell>
          <cell r="AB18">
            <v>0.37142857142857139</v>
          </cell>
          <cell r="AD18">
            <v>2024</v>
          </cell>
          <cell r="AE18">
            <v>1.4999999999999999E-2</v>
          </cell>
          <cell r="AF18">
            <v>1.4999999999999999E-2</v>
          </cell>
          <cell r="AG18">
            <v>1.4999999999999999E-2</v>
          </cell>
          <cell r="AH18">
            <v>3.2762500000000028E-2</v>
          </cell>
          <cell r="AI18">
            <v>3.2762500000000028E-2</v>
          </cell>
          <cell r="AJ18">
            <v>3.2762500000000028E-2</v>
          </cell>
        </row>
        <row r="19">
          <cell r="A19">
            <v>2025</v>
          </cell>
          <cell r="B19">
            <v>3.4799999999999998E-2</v>
          </cell>
          <cell r="C19">
            <v>3.5799999999999998E-2</v>
          </cell>
          <cell r="D19">
            <v>1.7500000000000002E-2</v>
          </cell>
          <cell r="E19">
            <v>8.3446538455718144E-3</v>
          </cell>
          <cell r="F19">
            <v>0.78436660193773355</v>
          </cell>
          <cell r="H19">
            <v>2025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1.7500000000000071E-2</v>
          </cell>
          <cell r="N19">
            <v>1.7500000000000071E-2</v>
          </cell>
          <cell r="O19">
            <v>1.7500000000000071E-2</v>
          </cell>
          <cell r="P19">
            <v>1.7500000000000071E-2</v>
          </cell>
          <cell r="R19">
            <v>2025</v>
          </cell>
          <cell r="S19">
            <v>0.1008</v>
          </cell>
          <cell r="T19">
            <v>6.1600000000000002E-2</v>
          </cell>
          <cell r="U19">
            <v>0.16239999999999999</v>
          </cell>
          <cell r="V19">
            <v>2.2000000000000001E-3</v>
          </cell>
          <cell r="W19">
            <v>1.2999999999999999E-3</v>
          </cell>
          <cell r="X19">
            <v>3.5000000000000001E-3</v>
          </cell>
          <cell r="Y19">
            <v>0.62068965517241381</v>
          </cell>
          <cell r="Z19">
            <v>0.37931034482758624</v>
          </cell>
          <cell r="AA19">
            <v>0.62857142857142856</v>
          </cell>
          <cell r="AB19">
            <v>0.37142857142857139</v>
          </cell>
          <cell r="AD19">
            <v>2025</v>
          </cell>
          <cell r="AE19">
            <v>1.4999999999999999E-2</v>
          </cell>
          <cell r="AF19">
            <v>1.4999999999999999E-2</v>
          </cell>
          <cell r="AG19">
            <v>1.4999999999999999E-2</v>
          </cell>
          <cell r="AH19">
            <v>3.2762500000000028E-2</v>
          </cell>
          <cell r="AI19">
            <v>3.2762500000000028E-2</v>
          </cell>
          <cell r="AJ19">
            <v>3.2762500000000028E-2</v>
          </cell>
        </row>
        <row r="20">
          <cell r="A20">
            <v>2026</v>
          </cell>
          <cell r="B20">
            <v>3.5799999999999998E-2</v>
          </cell>
          <cell r="C20">
            <v>3.4799999999999998E-2</v>
          </cell>
          <cell r="D20">
            <v>1.7500000000000002E-2</v>
          </cell>
          <cell r="E20">
            <v>7.4846426991406201E-3</v>
          </cell>
          <cell r="F20">
            <v>0.77087626726067171</v>
          </cell>
          <cell r="H20">
            <v>2026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1.7500000000000071E-2</v>
          </cell>
          <cell r="N20">
            <v>1.7500000000000071E-2</v>
          </cell>
          <cell r="O20">
            <v>1.7500000000000071E-2</v>
          </cell>
          <cell r="P20">
            <v>1.7500000000000071E-2</v>
          </cell>
          <cell r="R20">
            <v>2026</v>
          </cell>
          <cell r="S20">
            <v>0.1008</v>
          </cell>
          <cell r="T20">
            <v>6.1600000000000002E-2</v>
          </cell>
          <cell r="U20">
            <v>0.16239999999999999</v>
          </cell>
          <cell r="V20">
            <v>2.2000000000000001E-3</v>
          </cell>
          <cell r="W20">
            <v>1.2999999999999999E-3</v>
          </cell>
          <cell r="X20">
            <v>3.5000000000000001E-3</v>
          </cell>
          <cell r="Y20">
            <v>0.62068965517241381</v>
          </cell>
          <cell r="Z20">
            <v>0.37931034482758624</v>
          </cell>
          <cell r="AA20">
            <v>0.62857142857142856</v>
          </cell>
          <cell r="AB20">
            <v>0.37142857142857139</v>
          </cell>
          <cell r="AD20">
            <v>2026</v>
          </cell>
          <cell r="AE20">
            <v>1.4999999999999999E-2</v>
          </cell>
          <cell r="AF20">
            <v>1.4999999999999999E-2</v>
          </cell>
          <cell r="AG20">
            <v>1.4999999999999999E-2</v>
          </cell>
          <cell r="AH20">
            <v>3.2762500000000028E-2</v>
          </cell>
          <cell r="AI20">
            <v>3.2762500000000028E-2</v>
          </cell>
          <cell r="AJ20">
            <v>3.2762500000000028E-2</v>
          </cell>
        </row>
        <row r="21">
          <cell r="A21">
            <v>2027</v>
          </cell>
          <cell r="B21">
            <v>3.5799999999999998E-2</v>
          </cell>
          <cell r="C21">
            <v>3.5799999999999998E-2</v>
          </cell>
          <cell r="D21">
            <v>1.7500000000000002E-2</v>
          </cell>
          <cell r="E21">
            <v>6.971242038621428E-3</v>
          </cell>
          <cell r="F21">
            <v>0.75761795308174118</v>
          </cell>
          <cell r="H21">
            <v>2027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1.7500000000000071E-2</v>
          </cell>
          <cell r="N21">
            <v>1.7500000000000071E-2</v>
          </cell>
          <cell r="O21">
            <v>1.7500000000000071E-2</v>
          </cell>
          <cell r="P21">
            <v>1.7500000000000071E-2</v>
          </cell>
          <cell r="R21">
            <v>2027</v>
          </cell>
          <cell r="S21">
            <v>0.1008</v>
          </cell>
          <cell r="T21">
            <v>6.1600000000000002E-2</v>
          </cell>
          <cell r="U21">
            <v>0.16239999999999999</v>
          </cell>
          <cell r="V21">
            <v>2.2000000000000001E-3</v>
          </cell>
          <cell r="W21">
            <v>1.2999999999999999E-3</v>
          </cell>
          <cell r="X21">
            <v>3.5000000000000001E-3</v>
          </cell>
          <cell r="Y21">
            <v>0.62068965517241381</v>
          </cell>
          <cell r="Z21">
            <v>0.37931034482758624</v>
          </cell>
          <cell r="AA21">
            <v>0.62857142857142856</v>
          </cell>
          <cell r="AB21">
            <v>0.37142857142857139</v>
          </cell>
          <cell r="AD21">
            <v>2027</v>
          </cell>
          <cell r="AE21">
            <v>1.4999999999999999E-2</v>
          </cell>
          <cell r="AF21">
            <v>1.4999999999999999E-2</v>
          </cell>
          <cell r="AG21">
            <v>1.4999999999999999E-2</v>
          </cell>
          <cell r="AH21">
            <v>3.2762500000000028E-2</v>
          </cell>
          <cell r="AI21">
            <v>3.2762500000000028E-2</v>
          </cell>
          <cell r="AJ21">
            <v>3.2762500000000028E-2</v>
          </cell>
        </row>
        <row r="22">
          <cell r="A22">
            <v>2028</v>
          </cell>
          <cell r="B22">
            <v>3.5799999999999998E-2</v>
          </cell>
          <cell r="C22">
            <v>3.5799999999999998E-2</v>
          </cell>
          <cell r="D22">
            <v>1.7500000000000002E-2</v>
          </cell>
          <cell r="E22">
            <v>1.3235235300013137E-3</v>
          </cell>
          <cell r="F22">
            <v>0.74458766887640404</v>
          </cell>
          <cell r="H22">
            <v>2028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1.7500000000000071E-2</v>
          </cell>
          <cell r="N22">
            <v>1.7500000000000071E-2</v>
          </cell>
          <cell r="O22">
            <v>1.7500000000000071E-2</v>
          </cell>
          <cell r="P22">
            <v>1.7500000000000071E-2</v>
          </cell>
          <cell r="R22">
            <v>2028</v>
          </cell>
          <cell r="S22">
            <v>0.1008</v>
          </cell>
          <cell r="T22">
            <v>6.1600000000000002E-2</v>
          </cell>
          <cell r="U22">
            <v>0.16239999999999999</v>
          </cell>
          <cell r="V22">
            <v>2.2000000000000001E-3</v>
          </cell>
          <cell r="W22">
            <v>1.2999999999999999E-3</v>
          </cell>
          <cell r="X22">
            <v>3.5000000000000001E-3</v>
          </cell>
          <cell r="Y22">
            <v>0.62068965517241381</v>
          </cell>
          <cell r="Z22">
            <v>0.37931034482758624</v>
          </cell>
          <cell r="AA22">
            <v>0.62857142857142856</v>
          </cell>
          <cell r="AB22">
            <v>0.37142857142857139</v>
          </cell>
          <cell r="AD22">
            <v>2028</v>
          </cell>
          <cell r="AE22">
            <v>1.4999999999999999E-2</v>
          </cell>
          <cell r="AF22">
            <v>1.4999999999999999E-2</v>
          </cell>
          <cell r="AG22">
            <v>1.4999999999999999E-2</v>
          </cell>
          <cell r="AH22">
            <v>3.2762500000000028E-2</v>
          </cell>
          <cell r="AI22">
            <v>3.2762500000000028E-2</v>
          </cell>
          <cell r="AJ22">
            <v>3.2762500000000028E-2</v>
          </cell>
        </row>
        <row r="23">
          <cell r="A23">
            <v>2029</v>
          </cell>
          <cell r="B23">
            <v>3.5799999999999998E-2</v>
          </cell>
          <cell r="C23">
            <v>3.5799999999999998E-2</v>
          </cell>
          <cell r="D23">
            <v>1.7500000000000002E-2</v>
          </cell>
          <cell r="E23">
            <v>1.1013046968917362E-3</v>
          </cell>
          <cell r="F23">
            <v>0.73178149275322257</v>
          </cell>
          <cell r="H23">
            <v>2029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1.7500000000000071E-2</v>
          </cell>
          <cell r="N23">
            <v>1.7500000000000071E-2</v>
          </cell>
          <cell r="O23">
            <v>1.7500000000000071E-2</v>
          </cell>
          <cell r="P23">
            <v>1.7500000000000071E-2</v>
          </cell>
          <cell r="R23">
            <v>2029</v>
          </cell>
          <cell r="S23">
            <v>0.1008</v>
          </cell>
          <cell r="T23">
            <v>6.1600000000000002E-2</v>
          </cell>
          <cell r="U23">
            <v>0.16239999999999999</v>
          </cell>
          <cell r="V23">
            <v>2.2000000000000001E-3</v>
          </cell>
          <cell r="W23">
            <v>1.2999999999999999E-3</v>
          </cell>
          <cell r="X23">
            <v>3.5000000000000001E-3</v>
          </cell>
          <cell r="Y23">
            <v>0.62068965517241381</v>
          </cell>
          <cell r="Z23">
            <v>0.37931034482758624</v>
          </cell>
          <cell r="AA23">
            <v>0.62857142857142856</v>
          </cell>
          <cell r="AB23">
            <v>0.37142857142857139</v>
          </cell>
          <cell r="AD23">
            <v>2029</v>
          </cell>
          <cell r="AE23">
            <v>1.4999999999999999E-2</v>
          </cell>
          <cell r="AF23">
            <v>1.4999999999999999E-2</v>
          </cell>
          <cell r="AG23">
            <v>1.4999999999999999E-2</v>
          </cell>
          <cell r="AH23">
            <v>3.2762500000000028E-2</v>
          </cell>
          <cell r="AI23">
            <v>3.2762500000000028E-2</v>
          </cell>
          <cell r="AJ23">
            <v>3.2762500000000028E-2</v>
          </cell>
        </row>
        <row r="24">
          <cell r="A24">
            <v>2030</v>
          </cell>
          <cell r="B24">
            <v>3.5799999999999998E-2</v>
          </cell>
          <cell r="C24">
            <v>3.5799999999999998E-2</v>
          </cell>
          <cell r="D24">
            <v>1.7500000000000002E-2</v>
          </cell>
          <cell r="E24">
            <v>1.0685776761323318E-3</v>
          </cell>
          <cell r="F24">
            <v>0.71919557027343739</v>
          </cell>
          <cell r="H24">
            <v>2030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1.7500000000000071E-2</v>
          </cell>
          <cell r="N24">
            <v>1.7500000000000071E-2</v>
          </cell>
          <cell r="O24">
            <v>1.7500000000000071E-2</v>
          </cell>
          <cell r="P24">
            <v>1.7500000000000071E-2</v>
          </cell>
          <cell r="R24">
            <v>2030</v>
          </cell>
          <cell r="S24">
            <v>0.1008</v>
          </cell>
          <cell r="T24">
            <v>6.1600000000000002E-2</v>
          </cell>
          <cell r="U24">
            <v>0.16239999999999999</v>
          </cell>
          <cell r="V24">
            <v>2.2000000000000001E-3</v>
          </cell>
          <cell r="W24">
            <v>1.2999999999999999E-3</v>
          </cell>
          <cell r="X24">
            <v>3.5000000000000001E-3</v>
          </cell>
          <cell r="Y24">
            <v>0.62068965517241381</v>
          </cell>
          <cell r="Z24">
            <v>0.37931034482758624</v>
          </cell>
          <cell r="AA24">
            <v>0.62857142857142856</v>
          </cell>
          <cell r="AB24">
            <v>0.37142857142857139</v>
          </cell>
          <cell r="AD24">
            <v>2030</v>
          </cell>
          <cell r="AE24">
            <v>1.4999999999999999E-2</v>
          </cell>
          <cell r="AF24">
            <v>1.4999999999999999E-2</v>
          </cell>
          <cell r="AG24">
            <v>1.4999999999999999E-2</v>
          </cell>
          <cell r="AH24">
            <v>3.2762500000000028E-2</v>
          </cell>
          <cell r="AI24">
            <v>3.2762500000000028E-2</v>
          </cell>
          <cell r="AJ24">
            <v>3.2762500000000028E-2</v>
          </cell>
        </row>
        <row r="25">
          <cell r="A25">
            <v>2031</v>
          </cell>
          <cell r="B25">
            <v>3.5799999999999998E-2</v>
          </cell>
          <cell r="C25">
            <v>3.5799999999999998E-2</v>
          </cell>
          <cell r="D25">
            <v>1.7500000000000002E-2</v>
          </cell>
          <cell r="E25">
            <v>9.0119713940817192E-4</v>
          </cell>
          <cell r="F25">
            <v>0.70682611329084755</v>
          </cell>
          <cell r="H25">
            <v>2031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1.7500000000000071E-2</v>
          </cell>
          <cell r="N25">
            <v>1.7500000000000071E-2</v>
          </cell>
          <cell r="O25">
            <v>1.7500000000000071E-2</v>
          </cell>
          <cell r="P25">
            <v>1.7500000000000071E-2</v>
          </cell>
          <cell r="R25">
            <v>2031</v>
          </cell>
          <cell r="S25">
            <v>0.1008</v>
          </cell>
          <cell r="T25">
            <v>6.1600000000000002E-2</v>
          </cell>
          <cell r="U25">
            <v>0.16239999999999999</v>
          </cell>
          <cell r="V25">
            <v>2.2000000000000001E-3</v>
          </cell>
          <cell r="W25">
            <v>1.2999999999999999E-3</v>
          </cell>
          <cell r="X25">
            <v>3.5000000000000001E-3</v>
          </cell>
          <cell r="Y25">
            <v>0.62068965517241381</v>
          </cell>
          <cell r="Z25">
            <v>0.37931034482758624</v>
          </cell>
          <cell r="AA25">
            <v>0.62857142857142856</v>
          </cell>
          <cell r="AB25">
            <v>0.37142857142857139</v>
          </cell>
          <cell r="AD25">
            <v>2031</v>
          </cell>
          <cell r="AE25">
            <v>1.4999999999999999E-2</v>
          </cell>
          <cell r="AF25">
            <v>1.4999999999999999E-2</v>
          </cell>
          <cell r="AG25">
            <v>1.4999999999999999E-2</v>
          </cell>
          <cell r="AH25">
            <v>3.2762500000000028E-2</v>
          </cell>
          <cell r="AI25">
            <v>3.2762500000000028E-2</v>
          </cell>
          <cell r="AJ25">
            <v>3.2762500000000028E-2</v>
          </cell>
        </row>
        <row r="26">
          <cell r="A26">
            <v>2032</v>
          </cell>
          <cell r="B26">
            <v>3.5799999999999998E-2</v>
          </cell>
          <cell r="C26">
            <v>3.5799999999999998E-2</v>
          </cell>
          <cell r="D26">
            <v>1.7500000000000002E-2</v>
          </cell>
          <cell r="E26">
            <v>4.3781667110653899E-4</v>
          </cell>
          <cell r="F26">
            <v>0.69466939881164369</v>
          </cell>
          <cell r="H26">
            <v>2032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1.7500000000000071E-2</v>
          </cell>
          <cell r="N26">
            <v>1.7500000000000071E-2</v>
          </cell>
          <cell r="O26">
            <v>1.7500000000000071E-2</v>
          </cell>
          <cell r="P26">
            <v>1.7500000000000071E-2</v>
          </cell>
          <cell r="R26">
            <v>2032</v>
          </cell>
          <cell r="S26">
            <v>0.1008</v>
          </cell>
          <cell r="T26">
            <v>6.1600000000000002E-2</v>
          </cell>
          <cell r="U26">
            <v>0.16239999999999999</v>
          </cell>
          <cell r="V26">
            <v>2.2000000000000001E-3</v>
          </cell>
          <cell r="W26">
            <v>1.2999999999999999E-3</v>
          </cell>
          <cell r="X26">
            <v>3.5000000000000001E-3</v>
          </cell>
          <cell r="Y26">
            <v>0.62068965517241381</v>
          </cell>
          <cell r="Z26">
            <v>0.37931034482758624</v>
          </cell>
          <cell r="AA26">
            <v>0.62857142857142856</v>
          </cell>
          <cell r="AB26">
            <v>0.37142857142857139</v>
          </cell>
          <cell r="AD26">
            <v>2032</v>
          </cell>
          <cell r="AE26">
            <v>1.4999999999999999E-2</v>
          </cell>
          <cell r="AF26">
            <v>1.4999999999999999E-2</v>
          </cell>
          <cell r="AG26">
            <v>1.4999999999999999E-2</v>
          </cell>
          <cell r="AH26">
            <v>3.2762500000000028E-2</v>
          </cell>
          <cell r="AI26">
            <v>3.2762500000000028E-2</v>
          </cell>
          <cell r="AJ26">
            <v>3.2762500000000028E-2</v>
          </cell>
        </row>
        <row r="27">
          <cell r="A27">
            <v>2033</v>
          </cell>
          <cell r="B27">
            <v>3.5799999999999998E-2</v>
          </cell>
          <cell r="C27">
            <v>3.5799999999999998E-2</v>
          </cell>
          <cell r="D27">
            <v>1.7500000000000002E-2</v>
          </cell>
          <cell r="E27">
            <v>1.0693031187036794E-4</v>
          </cell>
          <cell r="F27">
            <v>0.68272176787385119</v>
          </cell>
          <cell r="H27">
            <v>2033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1.7500000000000071E-2</v>
          </cell>
          <cell r="N27">
            <v>1.7500000000000071E-2</v>
          </cell>
          <cell r="O27">
            <v>1.7500000000000071E-2</v>
          </cell>
          <cell r="P27">
            <v>1.7500000000000071E-2</v>
          </cell>
          <cell r="R27">
            <v>2033</v>
          </cell>
          <cell r="S27">
            <v>0.1008</v>
          </cell>
          <cell r="T27">
            <v>6.1600000000000002E-2</v>
          </cell>
          <cell r="U27">
            <v>0.16239999999999999</v>
          </cell>
          <cell r="V27">
            <v>2.2000000000000001E-3</v>
          </cell>
          <cell r="W27">
            <v>1.2999999999999999E-3</v>
          </cell>
          <cell r="X27">
            <v>3.5000000000000001E-3</v>
          </cell>
          <cell r="Y27">
            <v>0.62068965517241381</v>
          </cell>
          <cell r="Z27">
            <v>0.37931034482758624</v>
          </cell>
          <cell r="AA27">
            <v>0.62857142857142856</v>
          </cell>
          <cell r="AB27">
            <v>0.37142857142857139</v>
          </cell>
          <cell r="AD27">
            <v>2033</v>
          </cell>
          <cell r="AE27">
            <v>1.4999999999999999E-2</v>
          </cell>
          <cell r="AF27">
            <v>1.4999999999999999E-2</v>
          </cell>
          <cell r="AG27">
            <v>1.4999999999999999E-2</v>
          </cell>
          <cell r="AH27">
            <v>3.2762500000000028E-2</v>
          </cell>
          <cell r="AI27">
            <v>3.2762500000000028E-2</v>
          </cell>
          <cell r="AJ27">
            <v>3.2762500000000028E-2</v>
          </cell>
        </row>
        <row r="28">
          <cell r="A28">
            <v>2034</v>
          </cell>
          <cell r="B28">
            <v>3.5799999999999998E-2</v>
          </cell>
          <cell r="C28">
            <v>3.5799999999999998E-2</v>
          </cell>
          <cell r="D28">
            <v>1.7500000000000002E-2</v>
          </cell>
          <cell r="E28">
            <v>4.8563464912865228E-4</v>
          </cell>
          <cell r="F28">
            <v>0.67097962444604531</v>
          </cell>
          <cell r="H28">
            <v>2034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1.7500000000000071E-2</v>
          </cell>
          <cell r="N28">
            <v>1.7500000000000071E-2</v>
          </cell>
          <cell r="O28">
            <v>1.7500000000000071E-2</v>
          </cell>
          <cell r="P28">
            <v>1.7500000000000071E-2</v>
          </cell>
          <cell r="R28">
            <v>2034</v>
          </cell>
          <cell r="S28">
            <v>0.1008</v>
          </cell>
          <cell r="T28">
            <v>6.1600000000000002E-2</v>
          </cell>
          <cell r="U28">
            <v>0.16239999999999999</v>
          </cell>
          <cell r="V28">
            <v>2.2000000000000001E-3</v>
          </cell>
          <cell r="W28">
            <v>1.2999999999999999E-3</v>
          </cell>
          <cell r="X28">
            <v>3.5000000000000001E-3</v>
          </cell>
          <cell r="Y28">
            <v>0.62068965517241381</v>
          </cell>
          <cell r="Z28">
            <v>0.37931034482758624</v>
          </cell>
          <cell r="AA28">
            <v>0.62857142857142856</v>
          </cell>
          <cell r="AB28">
            <v>0.37142857142857139</v>
          </cell>
          <cell r="AD28">
            <v>2034</v>
          </cell>
          <cell r="AE28">
            <v>1.4999999999999999E-2</v>
          </cell>
          <cell r="AF28">
            <v>1.4999999999999999E-2</v>
          </cell>
          <cell r="AG28">
            <v>1.4999999999999999E-2</v>
          </cell>
          <cell r="AH28">
            <v>3.2762500000000028E-2</v>
          </cell>
          <cell r="AI28">
            <v>3.2762500000000028E-2</v>
          </cell>
          <cell r="AJ28">
            <v>3.2762500000000028E-2</v>
          </cell>
        </row>
        <row r="29">
          <cell r="A29">
            <v>2035</v>
          </cell>
          <cell r="B29">
            <v>3.5799999999999998E-2</v>
          </cell>
          <cell r="C29">
            <v>3.5799999999999998E-2</v>
          </cell>
          <cell r="D29">
            <v>1.7500000000000002E-2</v>
          </cell>
          <cell r="E29">
            <v>1.1552858994816617E-3</v>
          </cell>
          <cell r="F29">
            <v>0.65943943434500762</v>
          </cell>
          <cell r="H29">
            <v>2035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1.7500000000000071E-2</v>
          </cell>
          <cell r="N29">
            <v>1.7500000000000071E-2</v>
          </cell>
          <cell r="O29">
            <v>1.7500000000000071E-2</v>
          </cell>
          <cell r="P29">
            <v>1.7500000000000071E-2</v>
          </cell>
          <cell r="R29">
            <v>2035</v>
          </cell>
          <cell r="S29">
            <v>0.1008</v>
          </cell>
          <cell r="T29">
            <v>6.1600000000000002E-2</v>
          </cell>
          <cell r="U29">
            <v>0.16239999999999999</v>
          </cell>
          <cell r="V29">
            <v>2.2000000000000001E-3</v>
          </cell>
          <cell r="W29">
            <v>1.2999999999999999E-3</v>
          </cell>
          <cell r="X29">
            <v>3.5000000000000001E-3</v>
          </cell>
          <cell r="Y29">
            <v>0.62068965517241381</v>
          </cell>
          <cell r="Z29">
            <v>0.37931034482758624</v>
          </cell>
          <cell r="AA29">
            <v>0.62857142857142856</v>
          </cell>
          <cell r="AB29">
            <v>0.37142857142857139</v>
          </cell>
          <cell r="AD29">
            <v>2035</v>
          </cell>
          <cell r="AE29">
            <v>1.4999999999999999E-2</v>
          </cell>
          <cell r="AF29">
            <v>1.4999999999999999E-2</v>
          </cell>
          <cell r="AG29">
            <v>1.4999999999999999E-2</v>
          </cell>
          <cell r="AH29">
            <v>3.2762500000000028E-2</v>
          </cell>
          <cell r="AI29">
            <v>3.2762500000000028E-2</v>
          </cell>
          <cell r="AJ29">
            <v>3.2762500000000028E-2</v>
          </cell>
        </row>
        <row r="30">
          <cell r="A30">
            <v>2036</v>
          </cell>
          <cell r="B30">
            <v>3.5799999999999998E-2</v>
          </cell>
          <cell r="C30">
            <v>3.5799999999999998E-2</v>
          </cell>
          <cell r="D30">
            <v>1.7500000000000002E-2</v>
          </cell>
          <cell r="E30">
            <v>1.986136522839077E-3</v>
          </cell>
          <cell r="F30">
            <v>0.64809772417199762</v>
          </cell>
          <cell r="H30">
            <v>2036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1.7500000000000071E-2</v>
          </cell>
          <cell r="N30">
            <v>1.7500000000000071E-2</v>
          </cell>
          <cell r="O30">
            <v>1.7500000000000071E-2</v>
          </cell>
          <cell r="P30">
            <v>1.7500000000000071E-2</v>
          </cell>
          <cell r="R30">
            <v>2036</v>
          </cell>
          <cell r="S30">
            <v>0.1008</v>
          </cell>
          <cell r="T30">
            <v>6.1600000000000002E-2</v>
          </cell>
          <cell r="U30">
            <v>0.16239999999999999</v>
          </cell>
          <cell r="V30">
            <v>2.2000000000000001E-3</v>
          </cell>
          <cell r="W30">
            <v>1.2999999999999999E-3</v>
          </cell>
          <cell r="X30">
            <v>3.5000000000000001E-3</v>
          </cell>
          <cell r="Y30">
            <v>0.62068965517241381</v>
          </cell>
          <cell r="Z30">
            <v>0.37931034482758624</v>
          </cell>
          <cell r="AA30">
            <v>0.62857142857142856</v>
          </cell>
          <cell r="AB30">
            <v>0.37142857142857139</v>
          </cell>
          <cell r="AD30">
            <v>2036</v>
          </cell>
          <cell r="AE30">
            <v>1.4999999999999999E-2</v>
          </cell>
          <cell r="AF30">
            <v>1.4999999999999999E-2</v>
          </cell>
          <cell r="AG30">
            <v>1.4999999999999999E-2</v>
          </cell>
          <cell r="AH30">
            <v>3.2762500000000028E-2</v>
          </cell>
          <cell r="AI30">
            <v>3.2762500000000028E-2</v>
          </cell>
          <cell r="AJ30">
            <v>3.2762500000000028E-2</v>
          </cell>
        </row>
        <row r="31">
          <cell r="A31">
            <v>2037</v>
          </cell>
          <cell r="B31">
            <v>3.5799999999999998E-2</v>
          </cell>
          <cell r="C31">
            <v>3.5799999999999998E-2</v>
          </cell>
          <cell r="D31">
            <v>1.7500000000000002E-2</v>
          </cell>
          <cell r="E31">
            <v>2.3801925094888432E-3</v>
          </cell>
          <cell r="F31">
            <v>0.6369510802673195</v>
          </cell>
          <cell r="H31">
            <v>2037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1.7500000000000071E-2</v>
          </cell>
          <cell r="N31">
            <v>1.7500000000000071E-2</v>
          </cell>
          <cell r="O31">
            <v>1.7500000000000071E-2</v>
          </cell>
          <cell r="P31">
            <v>1.7500000000000071E-2</v>
          </cell>
          <cell r="R31">
            <v>2037</v>
          </cell>
          <cell r="S31">
            <v>0.1008</v>
          </cell>
          <cell r="T31">
            <v>6.1600000000000002E-2</v>
          </cell>
          <cell r="U31">
            <v>0.16239999999999999</v>
          </cell>
          <cell r="V31">
            <v>2.2000000000000001E-3</v>
          </cell>
          <cell r="W31">
            <v>1.2999999999999999E-3</v>
          </cell>
          <cell r="X31">
            <v>3.5000000000000001E-3</v>
          </cell>
          <cell r="Y31">
            <v>0.62068965517241381</v>
          </cell>
          <cell r="Z31">
            <v>0.37931034482758624</v>
          </cell>
          <cell r="AA31">
            <v>0.62857142857142856</v>
          </cell>
          <cell r="AB31">
            <v>0.37142857142857139</v>
          </cell>
          <cell r="AD31">
            <v>2037</v>
          </cell>
          <cell r="AE31">
            <v>1.4999999999999999E-2</v>
          </cell>
          <cell r="AF31">
            <v>1.4999999999999999E-2</v>
          </cell>
          <cell r="AG31">
            <v>1.4999999999999999E-2</v>
          </cell>
          <cell r="AH31">
            <v>3.2762500000000028E-2</v>
          </cell>
          <cell r="AI31">
            <v>3.2762500000000028E-2</v>
          </cell>
          <cell r="AJ31">
            <v>3.2762500000000028E-2</v>
          </cell>
        </row>
        <row r="32">
          <cell r="A32">
            <v>2038</v>
          </cell>
          <cell r="B32">
            <v>3.5799999999999998E-2</v>
          </cell>
          <cell r="C32">
            <v>3.5799999999999998E-2</v>
          </cell>
          <cell r="D32">
            <v>1.7500000000000002E-2</v>
          </cell>
          <cell r="E32">
            <v>3.0199597817988089E-3</v>
          </cell>
          <cell r="F32">
            <v>0.62599614768286926</v>
          </cell>
          <cell r="H32">
            <v>2038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1.7500000000000071E-2</v>
          </cell>
          <cell r="N32">
            <v>1.7500000000000071E-2</v>
          </cell>
          <cell r="O32">
            <v>1.7500000000000071E-2</v>
          </cell>
          <cell r="P32">
            <v>1.7500000000000071E-2</v>
          </cell>
          <cell r="R32">
            <v>2038</v>
          </cell>
          <cell r="S32">
            <v>0.1008</v>
          </cell>
          <cell r="T32">
            <v>6.1600000000000002E-2</v>
          </cell>
          <cell r="U32">
            <v>0.16239999999999999</v>
          </cell>
          <cell r="V32">
            <v>2.2000000000000001E-3</v>
          </cell>
          <cell r="W32">
            <v>1.2999999999999999E-3</v>
          </cell>
          <cell r="X32">
            <v>3.5000000000000001E-3</v>
          </cell>
          <cell r="Y32">
            <v>0.62068965517241381</v>
          </cell>
          <cell r="Z32">
            <v>0.37931034482758624</v>
          </cell>
          <cell r="AA32">
            <v>0.62857142857142856</v>
          </cell>
          <cell r="AB32">
            <v>0.37142857142857139</v>
          </cell>
          <cell r="AD32">
            <v>2038</v>
          </cell>
          <cell r="AE32">
            <v>1.4999999999999999E-2</v>
          </cell>
          <cell r="AF32">
            <v>1.4999999999999999E-2</v>
          </cell>
          <cell r="AG32">
            <v>1.4999999999999999E-2</v>
          </cell>
          <cell r="AH32">
            <v>3.2762500000000028E-2</v>
          </cell>
          <cell r="AI32">
            <v>3.2762500000000028E-2</v>
          </cell>
          <cell r="AJ32">
            <v>3.2762500000000028E-2</v>
          </cell>
        </row>
        <row r="33">
          <cell r="A33">
            <v>2039</v>
          </cell>
          <cell r="B33">
            <v>3.5799999999999998E-2</v>
          </cell>
          <cell r="C33">
            <v>3.5799999999999998E-2</v>
          </cell>
          <cell r="D33">
            <v>1.7500000000000002E-2</v>
          </cell>
          <cell r="E33">
            <v>2.8430559864687233E-3</v>
          </cell>
          <cell r="F33">
            <v>0.61522962917235302</v>
          </cell>
          <cell r="H33">
            <v>2039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1.7500000000000071E-2</v>
          </cell>
          <cell r="N33">
            <v>1.7500000000000071E-2</v>
          </cell>
          <cell r="O33">
            <v>1.7500000000000071E-2</v>
          </cell>
          <cell r="P33">
            <v>1.7500000000000071E-2</v>
          </cell>
          <cell r="R33">
            <v>2039</v>
          </cell>
          <cell r="S33">
            <v>0.1008</v>
          </cell>
          <cell r="T33">
            <v>6.1600000000000002E-2</v>
          </cell>
          <cell r="U33">
            <v>0.16239999999999999</v>
          </cell>
          <cell r="V33">
            <v>2.2000000000000001E-3</v>
          </cell>
          <cell r="W33">
            <v>1.2999999999999999E-3</v>
          </cell>
          <cell r="X33">
            <v>3.5000000000000001E-3</v>
          </cell>
          <cell r="Y33">
            <v>0.62068965517241381</v>
          </cell>
          <cell r="Z33">
            <v>0.37931034482758624</v>
          </cell>
          <cell r="AA33">
            <v>0.62857142857142856</v>
          </cell>
          <cell r="AB33">
            <v>0.37142857142857139</v>
          </cell>
          <cell r="AD33">
            <v>2039</v>
          </cell>
          <cell r="AE33">
            <v>1.4999999999999999E-2</v>
          </cell>
          <cell r="AF33">
            <v>1.4999999999999999E-2</v>
          </cell>
          <cell r="AG33">
            <v>1.4999999999999999E-2</v>
          </cell>
          <cell r="AH33">
            <v>3.2762500000000028E-2</v>
          </cell>
          <cell r="AI33">
            <v>3.2762500000000028E-2</v>
          </cell>
          <cell r="AJ33">
            <v>3.2762500000000028E-2</v>
          </cell>
        </row>
        <row r="34">
          <cell r="A34">
            <v>2040</v>
          </cell>
          <cell r="B34">
            <v>3.5799999999999998E-2</v>
          </cell>
          <cell r="C34">
            <v>3.5799999999999998E-2</v>
          </cell>
          <cell r="D34">
            <v>1.7500000000000002E-2</v>
          </cell>
          <cell r="E34">
            <v>2.3953634483715458E-3</v>
          </cell>
          <cell r="F34">
            <v>0.60464828419887273</v>
          </cell>
          <cell r="H34">
            <v>2040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1.7500000000000071E-2</v>
          </cell>
          <cell r="N34">
            <v>1.7500000000000071E-2</v>
          </cell>
          <cell r="O34">
            <v>1.7500000000000071E-2</v>
          </cell>
          <cell r="P34">
            <v>1.7500000000000071E-2</v>
          </cell>
          <cell r="R34">
            <v>2040</v>
          </cell>
          <cell r="S34">
            <v>0.1008</v>
          </cell>
          <cell r="T34">
            <v>6.1600000000000002E-2</v>
          </cell>
          <cell r="U34">
            <v>0.16239999999999999</v>
          </cell>
          <cell r="V34">
            <v>2.2000000000000001E-3</v>
          </cell>
          <cell r="W34">
            <v>1.2999999999999999E-3</v>
          </cell>
          <cell r="X34">
            <v>3.5000000000000001E-3</v>
          </cell>
          <cell r="Y34">
            <v>0.62068965517241381</v>
          </cell>
          <cell r="Z34">
            <v>0.37931034482758624</v>
          </cell>
          <cell r="AA34">
            <v>0.62857142857142856</v>
          </cell>
          <cell r="AB34">
            <v>0.37142857142857139</v>
          </cell>
          <cell r="AD34">
            <v>2040</v>
          </cell>
          <cell r="AE34">
            <v>1.4999999999999999E-2</v>
          </cell>
          <cell r="AF34">
            <v>1.4999999999999999E-2</v>
          </cell>
          <cell r="AG34">
            <v>1.4999999999999999E-2</v>
          </cell>
          <cell r="AH34">
            <v>3.2762500000000028E-2</v>
          </cell>
          <cell r="AI34">
            <v>3.2762500000000028E-2</v>
          </cell>
          <cell r="AJ34">
            <v>3.2762500000000028E-2</v>
          </cell>
        </row>
        <row r="35">
          <cell r="A35">
            <v>2041</v>
          </cell>
          <cell r="B35">
            <v>3.5799999999999998E-2</v>
          </cell>
          <cell r="C35">
            <v>3.5799999999999998E-2</v>
          </cell>
          <cell r="D35">
            <v>1.7500000000000002E-2</v>
          </cell>
          <cell r="E35">
            <v>1.8544600536498645E-3</v>
          </cell>
          <cell r="F35">
            <v>0.59424892795958006</v>
          </cell>
          <cell r="H35">
            <v>2041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1.7500000000000071E-2</v>
          </cell>
          <cell r="N35">
            <v>1.7500000000000071E-2</v>
          </cell>
          <cell r="O35">
            <v>1.7500000000000071E-2</v>
          </cell>
          <cell r="P35">
            <v>1.7500000000000071E-2</v>
          </cell>
          <cell r="R35">
            <v>2041</v>
          </cell>
          <cell r="S35">
            <v>0.1008</v>
          </cell>
          <cell r="T35">
            <v>6.1600000000000002E-2</v>
          </cell>
          <cell r="U35">
            <v>0.16239999999999999</v>
          </cell>
          <cell r="V35">
            <v>2.2000000000000001E-3</v>
          </cell>
          <cell r="W35">
            <v>1.2999999999999999E-3</v>
          </cell>
          <cell r="X35">
            <v>3.5000000000000001E-3</v>
          </cell>
          <cell r="Y35">
            <v>0.62068965517241381</v>
          </cell>
          <cell r="Z35">
            <v>0.37931034482758624</v>
          </cell>
          <cell r="AA35">
            <v>0.62857142857142856</v>
          </cell>
          <cell r="AB35">
            <v>0.37142857142857139</v>
          </cell>
          <cell r="AD35">
            <v>2041</v>
          </cell>
          <cell r="AE35">
            <v>1.4999999999999999E-2</v>
          </cell>
          <cell r="AF35">
            <v>1.4999999999999999E-2</v>
          </cell>
          <cell r="AG35">
            <v>1.4999999999999999E-2</v>
          </cell>
          <cell r="AH35">
            <v>3.2762500000000028E-2</v>
          </cell>
          <cell r="AI35">
            <v>3.2762500000000028E-2</v>
          </cell>
          <cell r="AJ35">
            <v>3.2762500000000028E-2</v>
          </cell>
        </row>
        <row r="36">
          <cell r="A36">
            <v>2042</v>
          </cell>
          <cell r="B36">
            <v>3.5799999999999998E-2</v>
          </cell>
          <cell r="C36">
            <v>3.5799999999999998E-2</v>
          </cell>
          <cell r="D36">
            <v>1.7500000000000002E-2</v>
          </cell>
          <cell r="E36">
            <v>1.241095890462951E-3</v>
          </cell>
          <cell r="F36">
            <v>0.58402843042710573</v>
          </cell>
          <cell r="H36">
            <v>2042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1.7500000000000071E-2</v>
          </cell>
          <cell r="N36">
            <v>1.7500000000000071E-2</v>
          </cell>
          <cell r="O36">
            <v>1.7500000000000071E-2</v>
          </cell>
          <cell r="P36">
            <v>1.7500000000000071E-2</v>
          </cell>
          <cell r="R36">
            <v>2042</v>
          </cell>
          <cell r="S36">
            <v>0.1008</v>
          </cell>
          <cell r="T36">
            <v>6.1600000000000002E-2</v>
          </cell>
          <cell r="U36">
            <v>0.16239999999999999</v>
          </cell>
          <cell r="V36">
            <v>2.2000000000000001E-3</v>
          </cell>
          <cell r="W36">
            <v>1.2999999999999999E-3</v>
          </cell>
          <cell r="X36">
            <v>3.5000000000000001E-3</v>
          </cell>
          <cell r="Y36">
            <v>0.62068965517241381</v>
          </cell>
          <cell r="Z36">
            <v>0.37931034482758624</v>
          </cell>
          <cell r="AA36">
            <v>0.62857142857142856</v>
          </cell>
          <cell r="AB36">
            <v>0.37142857142857139</v>
          </cell>
          <cell r="AD36">
            <v>2042</v>
          </cell>
          <cell r="AE36">
            <v>1.4999999999999999E-2</v>
          </cell>
          <cell r="AF36">
            <v>1.4999999999999999E-2</v>
          </cell>
          <cell r="AG36">
            <v>1.4999999999999999E-2</v>
          </cell>
          <cell r="AH36">
            <v>3.2762500000000028E-2</v>
          </cell>
          <cell r="AI36">
            <v>3.2762500000000028E-2</v>
          </cell>
          <cell r="AJ36">
            <v>3.2762500000000028E-2</v>
          </cell>
        </row>
        <row r="37">
          <cell r="A37">
            <v>2043</v>
          </cell>
          <cell r="B37">
            <v>3.5799999999999998E-2</v>
          </cell>
          <cell r="C37">
            <v>3.5799999999999998E-2</v>
          </cell>
          <cell r="D37">
            <v>1.7500000000000002E-2</v>
          </cell>
          <cell r="E37">
            <v>9.7421973450106947E-4</v>
          </cell>
          <cell r="F37">
            <v>0.57398371540747484</v>
          </cell>
          <cell r="H37">
            <v>2043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1.7500000000000071E-2</v>
          </cell>
          <cell r="N37">
            <v>1.7500000000000071E-2</v>
          </cell>
          <cell r="O37">
            <v>1.7500000000000071E-2</v>
          </cell>
          <cell r="P37">
            <v>1.7500000000000071E-2</v>
          </cell>
          <cell r="R37">
            <v>2043</v>
          </cell>
          <cell r="S37">
            <v>0.1008</v>
          </cell>
          <cell r="T37">
            <v>6.1600000000000002E-2</v>
          </cell>
          <cell r="U37">
            <v>0.16239999999999999</v>
          </cell>
          <cell r="V37">
            <v>2.2000000000000001E-3</v>
          </cell>
          <cell r="W37">
            <v>1.2999999999999999E-3</v>
          </cell>
          <cell r="X37">
            <v>3.5000000000000001E-3</v>
          </cell>
          <cell r="Y37">
            <v>0.62068965517241381</v>
          </cell>
          <cell r="Z37">
            <v>0.37931034482758624</v>
          </cell>
          <cell r="AA37">
            <v>0.62857142857142856</v>
          </cell>
          <cell r="AB37">
            <v>0.37142857142857139</v>
          </cell>
          <cell r="AD37">
            <v>2043</v>
          </cell>
          <cell r="AE37">
            <v>1.4999999999999999E-2</v>
          </cell>
          <cell r="AF37">
            <v>1.4999999999999999E-2</v>
          </cell>
          <cell r="AG37">
            <v>1.4999999999999999E-2</v>
          </cell>
          <cell r="AH37">
            <v>3.2762500000000028E-2</v>
          </cell>
          <cell r="AI37">
            <v>3.2762500000000028E-2</v>
          </cell>
          <cell r="AJ37">
            <v>3.2762500000000028E-2</v>
          </cell>
        </row>
        <row r="38">
          <cell r="A38">
            <v>2044</v>
          </cell>
          <cell r="B38">
            <v>3.5799999999999998E-2</v>
          </cell>
          <cell r="C38">
            <v>3.5799999999999998E-2</v>
          </cell>
          <cell r="D38">
            <v>1.7500000000000002E-2</v>
          </cell>
          <cell r="E38">
            <v>1.3309661700025011E-3</v>
          </cell>
          <cell r="F38">
            <v>0.56411175961422588</v>
          </cell>
          <cell r="H38">
            <v>2044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1.7500000000000071E-2</v>
          </cell>
          <cell r="N38">
            <v>1.7500000000000071E-2</v>
          </cell>
          <cell r="O38">
            <v>1.7500000000000071E-2</v>
          </cell>
          <cell r="P38">
            <v>1.7500000000000071E-2</v>
          </cell>
          <cell r="R38">
            <v>2044</v>
          </cell>
          <cell r="S38">
            <v>0.1008</v>
          </cell>
          <cell r="T38">
            <v>6.1600000000000002E-2</v>
          </cell>
          <cell r="U38">
            <v>0.16239999999999999</v>
          </cell>
          <cell r="V38">
            <v>2.2000000000000001E-3</v>
          </cell>
          <cell r="W38">
            <v>1.2999999999999999E-3</v>
          </cell>
          <cell r="X38">
            <v>3.5000000000000001E-3</v>
          </cell>
          <cell r="Y38">
            <v>0.62068965517241381</v>
          </cell>
          <cell r="Z38">
            <v>0.37931034482758624</v>
          </cell>
          <cell r="AA38">
            <v>0.62857142857142856</v>
          </cell>
          <cell r="AB38">
            <v>0.37142857142857139</v>
          </cell>
          <cell r="AD38">
            <v>2044</v>
          </cell>
          <cell r="AE38">
            <v>1.4999999999999999E-2</v>
          </cell>
          <cell r="AF38">
            <v>1.4999999999999999E-2</v>
          </cell>
          <cell r="AG38">
            <v>1.4999999999999999E-2</v>
          </cell>
          <cell r="AH38">
            <v>3.2762500000000028E-2</v>
          </cell>
          <cell r="AI38">
            <v>3.2762500000000028E-2</v>
          </cell>
          <cell r="AJ38">
            <v>3.2762500000000028E-2</v>
          </cell>
        </row>
        <row r="39">
          <cell r="A39">
            <v>2045</v>
          </cell>
          <cell r="B39">
            <v>3.5799999999999998E-2</v>
          </cell>
          <cell r="C39">
            <v>3.5799999999999998E-2</v>
          </cell>
          <cell r="D39">
            <v>1.7500000000000002E-2</v>
          </cell>
          <cell r="E39">
            <v>1.1435966484136806E-3</v>
          </cell>
          <cell r="F39">
            <v>0.55440959175845295</v>
          </cell>
          <cell r="H39">
            <v>2045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1.7500000000000071E-2</v>
          </cell>
          <cell r="N39">
            <v>1.7500000000000071E-2</v>
          </cell>
          <cell r="O39">
            <v>1.7500000000000071E-2</v>
          </cell>
          <cell r="P39">
            <v>1.7500000000000071E-2</v>
          </cell>
          <cell r="R39">
            <v>2045</v>
          </cell>
          <cell r="S39">
            <v>0.1008</v>
          </cell>
          <cell r="T39">
            <v>6.1600000000000002E-2</v>
          </cell>
          <cell r="U39">
            <v>0.16239999999999999</v>
          </cell>
          <cell r="V39">
            <v>2.2000000000000001E-3</v>
          </cell>
          <cell r="W39">
            <v>1.2999999999999999E-3</v>
          </cell>
          <cell r="X39">
            <v>3.5000000000000001E-3</v>
          </cell>
          <cell r="Y39">
            <v>0.62068965517241381</v>
          </cell>
          <cell r="Z39">
            <v>0.37931034482758624</v>
          </cell>
          <cell r="AA39">
            <v>0.62857142857142856</v>
          </cell>
          <cell r="AB39">
            <v>0.37142857142857139</v>
          </cell>
          <cell r="AD39">
            <v>2045</v>
          </cell>
          <cell r="AE39">
            <v>1.4999999999999999E-2</v>
          </cell>
          <cell r="AF39">
            <v>1.4999999999999999E-2</v>
          </cell>
          <cell r="AG39">
            <v>1.4999999999999999E-2</v>
          </cell>
          <cell r="AH39">
            <v>3.2762500000000028E-2</v>
          </cell>
          <cell r="AI39">
            <v>3.2762500000000028E-2</v>
          </cell>
          <cell r="AJ39">
            <v>3.2762500000000028E-2</v>
          </cell>
        </row>
        <row r="40">
          <cell r="A40">
            <v>2046</v>
          </cell>
          <cell r="B40">
            <v>3.5799999999999998E-2</v>
          </cell>
          <cell r="C40">
            <v>3.5799999999999998E-2</v>
          </cell>
          <cell r="D40">
            <v>1.7500000000000002E-2</v>
          </cell>
          <cell r="E40">
            <v>1.3675091132094863E-3</v>
          </cell>
          <cell r="F40">
            <v>0.54487429165449919</v>
          </cell>
          <cell r="H40">
            <v>2046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1.7500000000000071E-2</v>
          </cell>
          <cell r="N40">
            <v>1.7500000000000071E-2</v>
          </cell>
          <cell r="O40">
            <v>1.7500000000000071E-2</v>
          </cell>
          <cell r="P40">
            <v>1.7500000000000071E-2</v>
          </cell>
          <cell r="R40">
            <v>2046</v>
          </cell>
          <cell r="S40">
            <v>0.1008</v>
          </cell>
          <cell r="T40">
            <v>6.1600000000000002E-2</v>
          </cell>
          <cell r="U40">
            <v>0.16239999999999999</v>
          </cell>
          <cell r="V40">
            <v>2.2000000000000001E-3</v>
          </cell>
          <cell r="W40">
            <v>1.2999999999999999E-3</v>
          </cell>
          <cell r="X40">
            <v>3.5000000000000001E-3</v>
          </cell>
          <cell r="Y40">
            <v>0.62068965517241381</v>
          </cell>
          <cell r="Z40">
            <v>0.37931034482758624</v>
          </cell>
          <cell r="AA40">
            <v>0.62857142857142856</v>
          </cell>
          <cell r="AB40">
            <v>0.37142857142857139</v>
          </cell>
          <cell r="AD40">
            <v>2046</v>
          </cell>
          <cell r="AE40">
            <v>1.4999999999999999E-2</v>
          </cell>
          <cell r="AF40">
            <v>1.4999999999999999E-2</v>
          </cell>
          <cell r="AG40">
            <v>1.4999999999999999E-2</v>
          </cell>
          <cell r="AH40">
            <v>3.2762500000000028E-2</v>
          </cell>
          <cell r="AI40">
            <v>3.2762500000000028E-2</v>
          </cell>
          <cell r="AJ40">
            <v>3.2762500000000028E-2</v>
          </cell>
        </row>
        <row r="41">
          <cell r="A41">
            <v>2047</v>
          </cell>
          <cell r="B41">
            <v>3.5799999999999998E-2</v>
          </cell>
          <cell r="C41">
            <v>3.5799999999999998E-2</v>
          </cell>
          <cell r="D41">
            <v>1.7500000000000002E-2</v>
          </cell>
          <cell r="E41">
            <v>1.7295894635527276E-3</v>
          </cell>
          <cell r="F41">
            <v>0.53550298934103113</v>
          </cell>
          <cell r="H41">
            <v>2047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1.7500000000000071E-2</v>
          </cell>
          <cell r="N41">
            <v>1.7500000000000071E-2</v>
          </cell>
          <cell r="O41">
            <v>1.7500000000000071E-2</v>
          </cell>
          <cell r="P41">
            <v>1.7500000000000071E-2</v>
          </cell>
          <cell r="R41">
            <v>2047</v>
          </cell>
          <cell r="S41">
            <v>0.1008</v>
          </cell>
          <cell r="T41">
            <v>6.1600000000000002E-2</v>
          </cell>
          <cell r="U41">
            <v>0.16239999999999999</v>
          </cell>
          <cell r="V41">
            <v>2.2000000000000001E-3</v>
          </cell>
          <cell r="W41">
            <v>1.2999999999999999E-3</v>
          </cell>
          <cell r="X41">
            <v>3.5000000000000001E-3</v>
          </cell>
          <cell r="Y41">
            <v>0.62068965517241381</v>
          </cell>
          <cell r="Z41">
            <v>0.37931034482758624</v>
          </cell>
          <cell r="AA41">
            <v>0.62857142857142856</v>
          </cell>
          <cell r="AB41">
            <v>0.37142857142857139</v>
          </cell>
          <cell r="AD41">
            <v>2047</v>
          </cell>
          <cell r="AE41">
            <v>1.4999999999999999E-2</v>
          </cell>
          <cell r="AF41">
            <v>1.4999999999999999E-2</v>
          </cell>
          <cell r="AG41">
            <v>1.4999999999999999E-2</v>
          </cell>
          <cell r="AH41">
            <v>3.2762500000000028E-2</v>
          </cell>
          <cell r="AI41">
            <v>3.2762500000000028E-2</v>
          </cell>
          <cell r="AJ41">
            <v>3.2762500000000028E-2</v>
          </cell>
        </row>
        <row r="42">
          <cell r="A42">
            <v>2048</v>
          </cell>
          <cell r="B42">
            <v>3.5799999999999998E-2</v>
          </cell>
          <cell r="C42">
            <v>3.5799999999999998E-2</v>
          </cell>
          <cell r="D42">
            <v>1.7500000000000002E-2</v>
          </cell>
          <cell r="E42">
            <v>2.2218486583627239E-3</v>
          </cell>
          <cell r="F42">
            <v>0.52629286421722954</v>
          </cell>
          <cell r="H42">
            <v>2048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1.7500000000000071E-2</v>
          </cell>
          <cell r="N42">
            <v>1.7500000000000071E-2</v>
          </cell>
          <cell r="O42">
            <v>1.7500000000000071E-2</v>
          </cell>
          <cell r="P42">
            <v>1.7500000000000071E-2</v>
          </cell>
          <cell r="R42">
            <v>2048</v>
          </cell>
          <cell r="S42">
            <v>0.1008</v>
          </cell>
          <cell r="T42">
            <v>6.1600000000000002E-2</v>
          </cell>
          <cell r="U42">
            <v>0.16239999999999999</v>
          </cell>
          <cell r="V42">
            <v>2.2000000000000001E-3</v>
          </cell>
          <cell r="W42">
            <v>1.2999999999999999E-3</v>
          </cell>
          <cell r="X42">
            <v>3.5000000000000001E-3</v>
          </cell>
          <cell r="Y42">
            <v>0.62068965517241381</v>
          </cell>
          <cell r="Z42">
            <v>0.37931034482758624</v>
          </cell>
          <cell r="AA42">
            <v>0.62857142857142856</v>
          </cell>
          <cell r="AB42">
            <v>0.37142857142857139</v>
          </cell>
          <cell r="AD42">
            <v>2048</v>
          </cell>
          <cell r="AE42">
            <v>1.4999999999999999E-2</v>
          </cell>
          <cell r="AF42">
            <v>1.4999999999999999E-2</v>
          </cell>
          <cell r="AG42">
            <v>1.4999999999999999E-2</v>
          </cell>
          <cell r="AH42">
            <v>3.2762500000000028E-2</v>
          </cell>
          <cell r="AI42">
            <v>3.2762500000000028E-2</v>
          </cell>
          <cell r="AJ42">
            <v>3.2762500000000028E-2</v>
          </cell>
        </row>
        <row r="43">
          <cell r="A43">
            <v>2049</v>
          </cell>
          <cell r="B43">
            <v>3.5799999999999998E-2</v>
          </cell>
          <cell r="C43">
            <v>3.5799999999999998E-2</v>
          </cell>
          <cell r="D43">
            <v>1.7500000000000002E-2</v>
          </cell>
          <cell r="E43">
            <v>2.3702887037448939E-3</v>
          </cell>
          <cell r="F43">
            <v>0.51724114419383738</v>
          </cell>
          <cell r="H43">
            <v>2049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1.7500000000000071E-2</v>
          </cell>
          <cell r="N43">
            <v>1.7500000000000071E-2</v>
          </cell>
          <cell r="O43">
            <v>1.7500000000000071E-2</v>
          </cell>
          <cell r="P43">
            <v>1.7500000000000071E-2</v>
          </cell>
          <cell r="R43">
            <v>2049</v>
          </cell>
          <cell r="S43">
            <v>0.1008</v>
          </cell>
          <cell r="T43">
            <v>6.1600000000000002E-2</v>
          </cell>
          <cell r="U43">
            <v>0.16239999999999999</v>
          </cell>
          <cell r="V43">
            <v>2.2000000000000001E-3</v>
          </cell>
          <cell r="W43">
            <v>1.2999999999999999E-3</v>
          </cell>
          <cell r="X43">
            <v>3.5000000000000001E-3</v>
          </cell>
          <cell r="Y43">
            <v>0.62068965517241381</v>
          </cell>
          <cell r="Z43">
            <v>0.37931034482758624</v>
          </cell>
          <cell r="AA43">
            <v>0.62857142857142856</v>
          </cell>
          <cell r="AB43">
            <v>0.37142857142857139</v>
          </cell>
          <cell r="AD43">
            <v>2049</v>
          </cell>
          <cell r="AE43">
            <v>1.4999999999999999E-2</v>
          </cell>
          <cell r="AF43">
            <v>1.4999999999999999E-2</v>
          </cell>
          <cell r="AG43">
            <v>1.4999999999999999E-2</v>
          </cell>
          <cell r="AH43">
            <v>3.2762500000000028E-2</v>
          </cell>
          <cell r="AI43">
            <v>3.2762500000000028E-2</v>
          </cell>
          <cell r="AJ43">
            <v>3.2762500000000028E-2</v>
          </cell>
        </row>
        <row r="44">
          <cell r="A44">
            <v>2050</v>
          </cell>
          <cell r="B44">
            <v>3.5799999999999998E-2</v>
          </cell>
          <cell r="C44">
            <v>3.5799999999999998E-2</v>
          </cell>
          <cell r="D44">
            <v>1.7500000000000002E-2</v>
          </cell>
          <cell r="E44">
            <v>1.8672041505800596E-3</v>
          </cell>
          <cell r="F44">
            <v>0.50834510485880824</v>
          </cell>
          <cell r="H44">
            <v>2050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1.7500000000000071E-2</v>
          </cell>
          <cell r="N44">
            <v>1.7500000000000071E-2</v>
          </cell>
          <cell r="O44">
            <v>1.7500000000000071E-2</v>
          </cell>
          <cell r="P44">
            <v>1.7500000000000071E-2</v>
          </cell>
          <cell r="R44">
            <v>2050</v>
          </cell>
          <cell r="S44">
            <v>0.1008</v>
          </cell>
          <cell r="T44">
            <v>6.1600000000000002E-2</v>
          </cell>
          <cell r="U44">
            <v>0.16239999999999999</v>
          </cell>
          <cell r="V44">
            <v>2.2000000000000001E-3</v>
          </cell>
          <cell r="W44">
            <v>1.2999999999999999E-3</v>
          </cell>
          <cell r="X44">
            <v>3.5000000000000001E-3</v>
          </cell>
          <cell r="Y44">
            <v>0.62068965517241381</v>
          </cell>
          <cell r="Z44">
            <v>0.37931034482758624</v>
          </cell>
          <cell r="AA44">
            <v>0.62857142857142856</v>
          </cell>
          <cell r="AB44">
            <v>0.37142857142857139</v>
          </cell>
          <cell r="AD44">
            <v>2050</v>
          </cell>
          <cell r="AE44">
            <v>1.4999999999999999E-2</v>
          </cell>
          <cell r="AF44">
            <v>1.4999999999999999E-2</v>
          </cell>
          <cell r="AG44">
            <v>1.4999999999999999E-2</v>
          </cell>
          <cell r="AH44">
            <v>3.2762500000000028E-2</v>
          </cell>
          <cell r="AI44">
            <v>3.2762500000000028E-2</v>
          </cell>
          <cell r="AJ44">
            <v>3.2762500000000028E-2</v>
          </cell>
        </row>
        <row r="45">
          <cell r="A45">
            <v>2051</v>
          </cell>
          <cell r="B45">
            <v>3.5799999999999998E-2</v>
          </cell>
          <cell r="C45">
            <v>3.5799999999999998E-2</v>
          </cell>
          <cell r="D45">
            <v>1.7500000000000002E-2</v>
          </cell>
          <cell r="E45">
            <v>1.6378228176430198E-3</v>
          </cell>
          <cell r="F45">
            <v>0.49960206865730539</v>
          </cell>
          <cell r="H45">
            <v>2051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1.7500000000000071E-2</v>
          </cell>
          <cell r="N45">
            <v>1.7500000000000071E-2</v>
          </cell>
          <cell r="O45">
            <v>1.7500000000000071E-2</v>
          </cell>
          <cell r="P45">
            <v>1.7500000000000071E-2</v>
          </cell>
          <cell r="R45">
            <v>2051</v>
          </cell>
          <cell r="S45">
            <v>0.1008</v>
          </cell>
          <cell r="T45">
            <v>6.1600000000000002E-2</v>
          </cell>
          <cell r="U45">
            <v>0.16239999999999999</v>
          </cell>
          <cell r="V45">
            <v>2.2000000000000001E-3</v>
          </cell>
          <cell r="W45">
            <v>1.2999999999999999E-3</v>
          </cell>
          <cell r="X45">
            <v>3.5000000000000001E-3</v>
          </cell>
          <cell r="Y45">
            <v>0.62068965517241381</v>
          </cell>
          <cell r="Z45">
            <v>0.37931034482758624</v>
          </cell>
          <cell r="AA45">
            <v>0.62857142857142856</v>
          </cell>
          <cell r="AB45">
            <v>0.37142857142857139</v>
          </cell>
          <cell r="AD45">
            <v>2051</v>
          </cell>
          <cell r="AE45">
            <v>1.4999999999999999E-2</v>
          </cell>
          <cell r="AF45">
            <v>1.4999999999999999E-2</v>
          </cell>
          <cell r="AG45">
            <v>1.4999999999999999E-2</v>
          </cell>
          <cell r="AH45">
            <v>3.2762500000000028E-2</v>
          </cell>
          <cell r="AI45">
            <v>3.2762500000000028E-2</v>
          </cell>
          <cell r="AJ45">
            <v>3.2762500000000028E-2</v>
          </cell>
        </row>
        <row r="46">
          <cell r="A46">
            <v>2052</v>
          </cell>
          <cell r="B46">
            <v>3.5799999999999998E-2</v>
          </cell>
          <cell r="C46">
            <v>3.5799999999999998E-2</v>
          </cell>
          <cell r="D46">
            <v>1.7500000000000002E-2</v>
          </cell>
          <cell r="E46">
            <v>1.6099040511641238E-3</v>
          </cell>
          <cell r="F46">
            <v>0.49100940408580379</v>
          </cell>
          <cell r="H46">
            <v>2052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1.7500000000000071E-2</v>
          </cell>
          <cell r="N46">
            <v>1.7500000000000071E-2</v>
          </cell>
          <cell r="O46">
            <v>1.7500000000000071E-2</v>
          </cell>
          <cell r="P46">
            <v>1.7500000000000071E-2</v>
          </cell>
          <cell r="R46">
            <v>2052</v>
          </cell>
          <cell r="S46">
            <v>0.1008</v>
          </cell>
          <cell r="T46">
            <v>6.1600000000000002E-2</v>
          </cell>
          <cell r="U46">
            <v>0.16239999999999999</v>
          </cell>
          <cell r="V46">
            <v>2.2000000000000001E-3</v>
          </cell>
          <cell r="W46">
            <v>1.2999999999999999E-3</v>
          </cell>
          <cell r="X46">
            <v>3.5000000000000001E-3</v>
          </cell>
          <cell r="Y46">
            <v>0.62068965517241381</v>
          </cell>
          <cell r="Z46">
            <v>0.37931034482758624</v>
          </cell>
          <cell r="AA46">
            <v>0.62857142857142856</v>
          </cell>
          <cell r="AB46">
            <v>0.37142857142857139</v>
          </cell>
          <cell r="AD46">
            <v>2052</v>
          </cell>
          <cell r="AE46">
            <v>1.4999999999999999E-2</v>
          </cell>
          <cell r="AF46">
            <v>1.4999999999999999E-2</v>
          </cell>
          <cell r="AG46">
            <v>1.4999999999999999E-2</v>
          </cell>
          <cell r="AH46">
            <v>3.2762500000000028E-2</v>
          </cell>
          <cell r="AI46">
            <v>3.2762500000000028E-2</v>
          </cell>
          <cell r="AJ46">
            <v>3.2762500000000028E-2</v>
          </cell>
        </row>
        <row r="47">
          <cell r="A47">
            <v>2053</v>
          </cell>
          <cell r="B47">
            <v>3.5799999999999998E-2</v>
          </cell>
          <cell r="C47">
            <v>3.5799999999999998E-2</v>
          </cell>
          <cell r="D47">
            <v>1.7500000000000002E-2</v>
          </cell>
          <cell r="E47">
            <v>1.8018036631901602E-3</v>
          </cell>
          <cell r="F47">
            <v>0.4825645249000528</v>
          </cell>
          <cell r="H47">
            <v>2053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1.7500000000000071E-2</v>
          </cell>
          <cell r="N47">
            <v>1.7500000000000071E-2</v>
          </cell>
          <cell r="O47">
            <v>1.7500000000000071E-2</v>
          </cell>
          <cell r="P47">
            <v>1.7500000000000071E-2</v>
          </cell>
          <cell r="R47">
            <v>2053</v>
          </cell>
          <cell r="S47">
            <v>0.1008</v>
          </cell>
          <cell r="T47">
            <v>6.1600000000000002E-2</v>
          </cell>
          <cell r="U47">
            <v>0.16239999999999999</v>
          </cell>
          <cell r="V47">
            <v>2.2000000000000001E-3</v>
          </cell>
          <cell r="W47">
            <v>1.2999999999999999E-3</v>
          </cell>
          <cell r="X47">
            <v>3.5000000000000001E-3</v>
          </cell>
          <cell r="Y47">
            <v>0.62068965517241381</v>
          </cell>
          <cell r="Z47">
            <v>0.37931034482758624</v>
          </cell>
          <cell r="AA47">
            <v>0.62857142857142856</v>
          </cell>
          <cell r="AB47">
            <v>0.37142857142857139</v>
          </cell>
          <cell r="AD47">
            <v>2053</v>
          </cell>
          <cell r="AE47">
            <v>1.4999999999999999E-2</v>
          </cell>
          <cell r="AF47">
            <v>1.4999999999999999E-2</v>
          </cell>
          <cell r="AG47">
            <v>1.4999999999999999E-2</v>
          </cell>
          <cell r="AH47">
            <v>3.2762500000000028E-2</v>
          </cell>
          <cell r="AI47">
            <v>3.2762500000000028E-2</v>
          </cell>
          <cell r="AJ47">
            <v>3.2762500000000028E-2</v>
          </cell>
        </row>
        <row r="48">
          <cell r="A48">
            <v>2054</v>
          </cell>
          <cell r="B48">
            <v>3.5799999999999998E-2</v>
          </cell>
          <cell r="C48">
            <v>3.5799999999999998E-2</v>
          </cell>
          <cell r="D48">
            <v>1.7500000000000002E-2</v>
          </cell>
          <cell r="E48">
            <v>1.8207614317697907E-3</v>
          </cell>
          <cell r="F48">
            <v>0.47426488933666122</v>
          </cell>
          <cell r="H48">
            <v>2054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1.7500000000000071E-2</v>
          </cell>
          <cell r="N48">
            <v>1.7500000000000071E-2</v>
          </cell>
          <cell r="O48">
            <v>1.7500000000000071E-2</v>
          </cell>
          <cell r="P48">
            <v>1.7500000000000071E-2</v>
          </cell>
          <cell r="R48">
            <v>2054</v>
          </cell>
          <cell r="S48">
            <v>0.1008</v>
          </cell>
          <cell r="T48">
            <v>6.1600000000000002E-2</v>
          </cell>
          <cell r="U48">
            <v>0.16239999999999999</v>
          </cell>
          <cell r="V48">
            <v>2.2000000000000001E-3</v>
          </cell>
          <cell r="W48">
            <v>1.2999999999999999E-3</v>
          </cell>
          <cell r="X48">
            <v>3.5000000000000001E-3</v>
          </cell>
          <cell r="Y48">
            <v>0.62068965517241381</v>
          </cell>
          <cell r="Z48">
            <v>0.37931034482758624</v>
          </cell>
          <cell r="AA48">
            <v>0.62857142857142856</v>
          </cell>
          <cell r="AB48">
            <v>0.37142857142857139</v>
          </cell>
          <cell r="AD48">
            <v>2054</v>
          </cell>
          <cell r="AE48">
            <v>1.4999999999999999E-2</v>
          </cell>
          <cell r="AF48">
            <v>1.4999999999999999E-2</v>
          </cell>
          <cell r="AG48">
            <v>1.4999999999999999E-2</v>
          </cell>
          <cell r="AH48">
            <v>3.2762500000000028E-2</v>
          </cell>
          <cell r="AI48">
            <v>3.2762500000000028E-2</v>
          </cell>
          <cell r="AJ48">
            <v>3.2762500000000028E-2</v>
          </cell>
        </row>
        <row r="49">
          <cell r="A49">
            <v>2055</v>
          </cell>
          <cell r="B49">
            <v>3.5799999999999998E-2</v>
          </cell>
          <cell r="C49">
            <v>3.5799999999999998E-2</v>
          </cell>
          <cell r="D49">
            <v>1.7500000000000002E-2</v>
          </cell>
          <cell r="E49">
            <v>1.8267264785669646E-3</v>
          </cell>
          <cell r="F49">
            <v>0.46610799934806996</v>
          </cell>
          <cell r="H49">
            <v>2055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1.7500000000000071E-2</v>
          </cell>
          <cell r="N49">
            <v>1.7500000000000071E-2</v>
          </cell>
          <cell r="O49">
            <v>1.7500000000000071E-2</v>
          </cell>
          <cell r="P49">
            <v>1.7500000000000071E-2</v>
          </cell>
          <cell r="R49">
            <v>2055</v>
          </cell>
          <cell r="S49">
            <v>0.1008</v>
          </cell>
          <cell r="T49">
            <v>6.1600000000000002E-2</v>
          </cell>
          <cell r="U49">
            <v>0.16239999999999999</v>
          </cell>
          <cell r="V49">
            <v>2.2000000000000001E-3</v>
          </cell>
          <cell r="W49">
            <v>1.2999999999999999E-3</v>
          </cell>
          <cell r="X49">
            <v>3.5000000000000001E-3</v>
          </cell>
          <cell r="Y49">
            <v>0.62068965517241381</v>
          </cell>
          <cell r="Z49">
            <v>0.37931034482758624</v>
          </cell>
          <cell r="AA49">
            <v>0.62857142857142856</v>
          </cell>
          <cell r="AB49">
            <v>0.37142857142857139</v>
          </cell>
          <cell r="AD49">
            <v>2055</v>
          </cell>
          <cell r="AE49">
            <v>1.4999999999999999E-2</v>
          </cell>
          <cell r="AF49">
            <v>1.4999999999999999E-2</v>
          </cell>
          <cell r="AG49">
            <v>1.4999999999999999E-2</v>
          </cell>
          <cell r="AH49">
            <v>3.2762500000000028E-2</v>
          </cell>
          <cell r="AI49">
            <v>3.2762500000000028E-2</v>
          </cell>
          <cell r="AJ49">
            <v>3.2762500000000028E-2</v>
          </cell>
        </row>
        <row r="50">
          <cell r="A50">
            <v>2056</v>
          </cell>
          <cell r="B50">
            <v>3.5799999999999998E-2</v>
          </cell>
          <cell r="C50">
            <v>3.5799999999999998E-2</v>
          </cell>
          <cell r="D50">
            <v>1.7500000000000002E-2</v>
          </cell>
          <cell r="E50">
            <v>1.6794474273846838E-3</v>
          </cell>
          <cell r="F50">
            <v>0.45809139985068298</v>
          </cell>
          <cell r="H50">
            <v>2056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1.7500000000000071E-2</v>
          </cell>
          <cell r="N50">
            <v>1.7500000000000071E-2</v>
          </cell>
          <cell r="O50">
            <v>1.7500000000000071E-2</v>
          </cell>
          <cell r="P50">
            <v>1.7500000000000071E-2</v>
          </cell>
          <cell r="R50">
            <v>2056</v>
          </cell>
          <cell r="S50">
            <v>0.1008</v>
          </cell>
          <cell r="T50">
            <v>6.1600000000000002E-2</v>
          </cell>
          <cell r="U50">
            <v>0.16239999999999999</v>
          </cell>
          <cell r="V50">
            <v>2.2000000000000001E-3</v>
          </cell>
          <cell r="W50">
            <v>1.2999999999999999E-3</v>
          </cell>
          <cell r="X50">
            <v>3.5000000000000001E-3</v>
          </cell>
          <cell r="Y50">
            <v>0.62068965517241381</v>
          </cell>
          <cell r="Z50">
            <v>0.37931034482758624</v>
          </cell>
          <cell r="AA50">
            <v>0.62857142857142856</v>
          </cell>
          <cell r="AB50">
            <v>0.37142857142857139</v>
          </cell>
          <cell r="AD50">
            <v>2056</v>
          </cell>
          <cell r="AE50">
            <v>1.4999999999999999E-2</v>
          </cell>
          <cell r="AF50">
            <v>1.4999999999999999E-2</v>
          </cell>
          <cell r="AG50">
            <v>1.4999999999999999E-2</v>
          </cell>
          <cell r="AH50">
            <v>3.2762500000000028E-2</v>
          </cell>
          <cell r="AI50">
            <v>3.2762500000000028E-2</v>
          </cell>
          <cell r="AJ50">
            <v>3.2762500000000028E-2</v>
          </cell>
        </row>
        <row r="51">
          <cell r="A51">
            <v>2057</v>
          </cell>
          <cell r="B51">
            <v>3.5799999999999998E-2</v>
          </cell>
          <cell r="C51">
            <v>3.5799999999999998E-2</v>
          </cell>
          <cell r="D51">
            <v>1.7500000000000002E-2</v>
          </cell>
          <cell r="E51">
            <v>1.6823032935102677E-3</v>
          </cell>
          <cell r="F51">
            <v>0.45021267798592918</v>
          </cell>
          <cell r="H51">
            <v>2057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1.7500000000000071E-2</v>
          </cell>
          <cell r="N51">
            <v>1.7500000000000071E-2</v>
          </cell>
          <cell r="O51">
            <v>1.7500000000000071E-2</v>
          </cell>
          <cell r="P51">
            <v>1.7500000000000071E-2</v>
          </cell>
          <cell r="R51">
            <v>2057</v>
          </cell>
          <cell r="S51">
            <v>0.1008</v>
          </cell>
          <cell r="T51">
            <v>6.1600000000000002E-2</v>
          </cell>
          <cell r="U51">
            <v>0.16239999999999999</v>
          </cell>
          <cell r="V51">
            <v>2.2000000000000001E-3</v>
          </cell>
          <cell r="W51">
            <v>1.2999999999999999E-3</v>
          </cell>
          <cell r="X51">
            <v>3.5000000000000001E-3</v>
          </cell>
          <cell r="Y51">
            <v>0.62068965517241381</v>
          </cell>
          <cell r="Z51">
            <v>0.37931034482758624</v>
          </cell>
          <cell r="AA51">
            <v>0.62857142857142856</v>
          </cell>
          <cell r="AB51">
            <v>0.37142857142857139</v>
          </cell>
          <cell r="AD51">
            <v>2057</v>
          </cell>
          <cell r="AE51">
            <v>1.4999999999999999E-2</v>
          </cell>
          <cell r="AF51">
            <v>1.4999999999999999E-2</v>
          </cell>
          <cell r="AG51">
            <v>1.4999999999999999E-2</v>
          </cell>
          <cell r="AH51">
            <v>3.2762500000000028E-2</v>
          </cell>
          <cell r="AI51">
            <v>3.2762500000000028E-2</v>
          </cell>
          <cell r="AJ51">
            <v>3.2762500000000028E-2</v>
          </cell>
        </row>
        <row r="52">
          <cell r="A52">
            <v>2058</v>
          </cell>
          <cell r="B52">
            <v>3.5799999999999998E-2</v>
          </cell>
          <cell r="C52">
            <v>3.5799999999999998E-2</v>
          </cell>
          <cell r="D52">
            <v>1.7500000000000002E-2</v>
          </cell>
          <cell r="E52">
            <v>1.9577872156839593E-3</v>
          </cell>
          <cell r="F52">
            <v>0.44246946239403356</v>
          </cell>
          <cell r="H52">
            <v>2058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1.7500000000000071E-2</v>
          </cell>
          <cell r="N52">
            <v>1.7500000000000071E-2</v>
          </cell>
          <cell r="O52">
            <v>1.7500000000000071E-2</v>
          </cell>
          <cell r="P52">
            <v>1.7500000000000071E-2</v>
          </cell>
          <cell r="R52">
            <v>2058</v>
          </cell>
          <cell r="S52">
            <v>0.1008</v>
          </cell>
          <cell r="T52">
            <v>6.1600000000000002E-2</v>
          </cell>
          <cell r="U52">
            <v>0.16239999999999999</v>
          </cell>
          <cell r="V52">
            <v>2.2000000000000001E-3</v>
          </cell>
          <cell r="W52">
            <v>1.2999999999999999E-3</v>
          </cell>
          <cell r="X52">
            <v>3.5000000000000001E-3</v>
          </cell>
          <cell r="Y52">
            <v>0.62068965517241381</v>
          </cell>
          <cell r="Z52">
            <v>0.37931034482758624</v>
          </cell>
          <cell r="AA52">
            <v>0.62857142857142856</v>
          </cell>
          <cell r="AB52">
            <v>0.37142857142857139</v>
          </cell>
          <cell r="AD52">
            <v>2058</v>
          </cell>
          <cell r="AE52">
            <v>1.4999999999999999E-2</v>
          </cell>
          <cell r="AF52">
            <v>1.4999999999999999E-2</v>
          </cell>
          <cell r="AG52">
            <v>1.4999999999999999E-2</v>
          </cell>
          <cell r="AH52">
            <v>3.2762500000000028E-2</v>
          </cell>
          <cell r="AI52">
            <v>3.2762500000000028E-2</v>
          </cell>
          <cell r="AJ52">
            <v>3.2762500000000028E-2</v>
          </cell>
        </row>
        <row r="53">
          <cell r="A53">
            <v>2059</v>
          </cell>
          <cell r="B53">
            <v>3.5799999999999998E-2</v>
          </cell>
          <cell r="C53">
            <v>3.5799999999999998E-2</v>
          </cell>
          <cell r="D53">
            <v>1.7500000000000002E-2</v>
          </cell>
          <cell r="E53">
            <v>1.998647765827144E-3</v>
          </cell>
          <cell r="F53">
            <v>0.43485942250027865</v>
          </cell>
          <cell r="H53">
            <v>2059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1.7500000000000071E-2</v>
          </cell>
          <cell r="N53">
            <v>1.7500000000000071E-2</v>
          </cell>
          <cell r="O53">
            <v>1.7500000000000071E-2</v>
          </cell>
          <cell r="P53">
            <v>1.7500000000000071E-2</v>
          </cell>
          <cell r="R53">
            <v>2059</v>
          </cell>
          <cell r="S53">
            <v>0.1008</v>
          </cell>
          <cell r="T53">
            <v>6.1600000000000002E-2</v>
          </cell>
          <cell r="U53">
            <v>0.16239999999999999</v>
          </cell>
          <cell r="V53">
            <v>2.2000000000000001E-3</v>
          </cell>
          <cell r="W53">
            <v>1.2999999999999999E-3</v>
          </cell>
          <cell r="X53">
            <v>3.5000000000000001E-3</v>
          </cell>
          <cell r="Y53">
            <v>0.62068965517241381</v>
          </cell>
          <cell r="Z53">
            <v>0.37931034482758624</v>
          </cell>
          <cell r="AA53">
            <v>0.62857142857142856</v>
          </cell>
          <cell r="AB53">
            <v>0.37142857142857139</v>
          </cell>
          <cell r="AD53">
            <v>2059</v>
          </cell>
          <cell r="AE53">
            <v>1.4999999999999999E-2</v>
          </cell>
          <cell r="AF53">
            <v>1.4999999999999999E-2</v>
          </cell>
          <cell r="AG53">
            <v>1.4999999999999999E-2</v>
          </cell>
          <cell r="AH53">
            <v>3.2762500000000028E-2</v>
          </cell>
          <cell r="AI53">
            <v>3.2762500000000028E-2</v>
          </cell>
          <cell r="AJ53">
            <v>3.2762500000000028E-2</v>
          </cell>
        </row>
        <row r="54">
          <cell r="A54">
            <v>2060</v>
          </cell>
          <cell r="B54">
            <v>3.5799999999999998E-2</v>
          </cell>
          <cell r="C54">
            <v>3.5799999999999998E-2</v>
          </cell>
          <cell r="D54">
            <v>1.7500000000000002E-2</v>
          </cell>
          <cell r="E54">
            <v>1.8121405293443082E-3</v>
          </cell>
          <cell r="F54">
            <v>0.42738026781354166</v>
          </cell>
          <cell r="H54">
            <v>2060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1.7500000000000071E-2</v>
          </cell>
          <cell r="N54">
            <v>1.7500000000000071E-2</v>
          </cell>
          <cell r="O54">
            <v>1.7500000000000071E-2</v>
          </cell>
          <cell r="P54">
            <v>1.7500000000000071E-2</v>
          </cell>
          <cell r="R54">
            <v>2060</v>
          </cell>
          <cell r="S54">
            <v>0.1008</v>
          </cell>
          <cell r="T54">
            <v>6.1600000000000002E-2</v>
          </cell>
          <cell r="U54">
            <v>0.16239999999999999</v>
          </cell>
          <cell r="V54">
            <v>2.2000000000000001E-3</v>
          </cell>
          <cell r="W54">
            <v>1.2999999999999999E-3</v>
          </cell>
          <cell r="X54">
            <v>3.5000000000000001E-3</v>
          </cell>
          <cell r="Y54">
            <v>0.62068965517241381</v>
          </cell>
          <cell r="Z54">
            <v>0.37931034482758624</v>
          </cell>
          <cell r="AA54">
            <v>0.62857142857142856</v>
          </cell>
          <cell r="AB54">
            <v>0.37142857142857139</v>
          </cell>
          <cell r="AD54">
            <v>2060</v>
          </cell>
          <cell r="AE54">
            <v>1.4999999999999999E-2</v>
          </cell>
          <cell r="AF54">
            <v>1.4999999999999999E-2</v>
          </cell>
          <cell r="AG54">
            <v>1.4999999999999999E-2</v>
          </cell>
          <cell r="AH54">
            <v>3.2762500000000028E-2</v>
          </cell>
          <cell r="AI54">
            <v>3.2762500000000028E-2</v>
          </cell>
          <cell r="AJ54">
            <v>3.2762500000000028E-2</v>
          </cell>
        </row>
      </sheetData>
      <sheetData sheetId="2" refreshError="1">
        <row r="3">
          <cell r="B3" t="str">
            <v>Cotis hors CET</v>
          </cell>
          <cell r="C3" t="str">
            <v>dont tranche B</v>
          </cell>
          <cell r="D3" t="str">
            <v>dont tranche C</v>
          </cell>
          <cell r="E3" t="str">
            <v>CET</v>
          </cell>
          <cell r="F3" t="str">
            <v>UNEDIC</v>
          </cell>
          <cell r="G3" t="str">
            <v>Etat (FSV)</v>
          </cell>
          <cell r="H3" t="str">
            <v>Rachats étude supérieure</v>
          </cell>
          <cell r="I3" t="str">
            <v>Majorations et pénalités de retard</v>
          </cell>
          <cell r="J3" t="str">
            <v>Autres pdts techniques</v>
          </cell>
          <cell r="K3" t="str">
            <v>Reprises sur provisions</v>
          </cell>
          <cell r="L3" t="str">
            <v>Transferts de charges techniques</v>
          </cell>
          <cell r="M3" t="str">
            <v>Autres charges techniques</v>
          </cell>
          <cell r="N3" t="str">
            <v>Dotations aux provisions</v>
          </cell>
          <cell r="O3" t="str">
            <v>Allocations totales</v>
          </cell>
          <cell r="P3" t="str">
            <v>dont Allocations de droits directs</v>
          </cell>
          <cell r="Q3" t="str">
            <v>dont Allocations de droits dérivés</v>
          </cell>
          <cell r="R3" t="str">
            <v>Agff</v>
          </cell>
          <cell r="S3" t="str">
            <v>CMD</v>
          </cell>
          <cell r="T3" t="str">
            <v>Prélèvements gestion</v>
          </cell>
          <cell r="U3" t="str">
            <v>Prélèvements action sociale</v>
          </cell>
          <cell r="V3" t="str">
            <v>Solde technique</v>
          </cell>
          <cell r="W3" t="str">
            <v>Solidarité A36</v>
          </cell>
          <cell r="X3" t="str">
            <v>Contribution d'équilibre Agff</v>
          </cell>
          <cell r="AA3" t="str">
            <v>Produits financiers nets (hors 2,9%)</v>
          </cell>
          <cell r="AB3" t="str">
            <v>Prélèvements sur PF (2,9%)</v>
          </cell>
          <cell r="AC3" t="str">
            <v>Réserve placée</v>
          </cell>
        </row>
        <row r="4">
          <cell r="A4">
            <v>2008</v>
          </cell>
          <cell r="B4">
            <v>15798.627184000001</v>
          </cell>
          <cell r="C4">
            <v>14635.69281</v>
          </cell>
          <cell r="D4">
            <v>1162.9343739999999</v>
          </cell>
          <cell r="E4">
            <v>673.08142899999996</v>
          </cell>
          <cell r="F4">
            <v>737.16267699999992</v>
          </cell>
          <cell r="G4">
            <v>26.970717</v>
          </cell>
          <cell r="H4">
            <v>0.17607400000000001</v>
          </cell>
          <cell r="I4">
            <v>19.534054000000001</v>
          </cell>
          <cell r="J4">
            <v>105.452831</v>
          </cell>
          <cell r="K4">
            <v>391.21961199999998</v>
          </cell>
          <cell r="L4">
            <v>8.7932539999999992</v>
          </cell>
          <cell r="M4">
            <v>92.520224999999996</v>
          </cell>
          <cell r="N4">
            <v>401.00996900000001</v>
          </cell>
          <cell r="O4">
            <v>20463.261243000001</v>
          </cell>
          <cell r="P4">
            <v>17189.782599227772</v>
          </cell>
          <cell r="Q4">
            <v>3273.4786437722287</v>
          </cell>
          <cell r="R4">
            <v>2774.7205983334002</v>
          </cell>
          <cell r="S4">
            <v>120.381604</v>
          </cell>
          <cell r="T4">
            <v>357.10203799999999</v>
          </cell>
          <cell r="U4">
            <v>99.253018999999995</v>
          </cell>
          <cell r="V4">
            <v>-757.02645966659838</v>
          </cell>
          <cell r="W4">
            <v>-888.96880272409669</v>
          </cell>
          <cell r="X4">
            <v>80.385431999999994</v>
          </cell>
          <cell r="Z4">
            <v>2008</v>
          </cell>
        </row>
        <row r="5">
          <cell r="A5">
            <v>2009</v>
          </cell>
          <cell r="B5">
            <v>15363.204584999999</v>
          </cell>
          <cell r="C5">
            <v>14285.518996999999</v>
          </cell>
          <cell r="D5">
            <v>1077.6855880000001</v>
          </cell>
          <cell r="E5">
            <v>675.16040499999997</v>
          </cell>
          <cell r="F5">
            <v>864.21786599999996</v>
          </cell>
          <cell r="G5">
            <v>49.456988000000003</v>
          </cell>
          <cell r="H5">
            <v>8.7202000000000002E-2</v>
          </cell>
          <cell r="I5">
            <v>27.327456999999999</v>
          </cell>
          <cell r="J5">
            <v>84.215146000000004</v>
          </cell>
          <cell r="K5">
            <v>389.34209700000002</v>
          </cell>
          <cell r="L5">
            <v>0.88357699999999995</v>
          </cell>
          <cell r="M5">
            <v>95.009362999999993</v>
          </cell>
          <cell r="N5">
            <v>401.78811899999999</v>
          </cell>
          <cell r="O5">
            <v>21466.116761000008</v>
          </cell>
          <cell r="P5">
            <v>18080.135604286166</v>
          </cell>
          <cell r="Q5">
            <v>3385.9811567138422</v>
          </cell>
          <cell r="R5">
            <v>2836.4867490000001</v>
          </cell>
          <cell r="S5">
            <v>123.572181</v>
          </cell>
          <cell r="T5">
            <v>375.22940499999999</v>
          </cell>
          <cell r="U5">
            <v>102.43380399999999</v>
          </cell>
          <cell r="V5">
            <v>-2026.6231990000051</v>
          </cell>
          <cell r="W5">
            <v>-965.89118232134877</v>
          </cell>
          <cell r="X5">
            <v>0</v>
          </cell>
          <cell r="Z5">
            <v>2009</v>
          </cell>
          <cell r="AA5">
            <v>460.58878799999997</v>
          </cell>
          <cell r="AB5">
            <v>0</v>
          </cell>
          <cell r="AC5">
            <v>9550</v>
          </cell>
        </row>
        <row r="6">
          <cell r="A6">
            <v>2010</v>
          </cell>
          <cell r="B6">
            <v>15811.694058000001</v>
          </cell>
          <cell r="C6">
            <v>14745.672176</v>
          </cell>
          <cell r="D6">
            <v>1066.021882</v>
          </cell>
          <cell r="E6">
            <v>691.92551100000003</v>
          </cell>
          <cell r="F6">
            <v>775.10868400000004</v>
          </cell>
          <cell r="G6">
            <v>31.916741999999999</v>
          </cell>
          <cell r="H6">
            <v>0.20749500000000001</v>
          </cell>
          <cell r="I6">
            <v>18.297695000000001</v>
          </cell>
          <cell r="J6">
            <v>108.01354000000001</v>
          </cell>
          <cell r="K6">
            <v>309.03160100000002</v>
          </cell>
          <cell r="L6">
            <v>7.4601559999999996</v>
          </cell>
          <cell r="M6">
            <v>112.73917400000001</v>
          </cell>
          <cell r="N6">
            <v>314.03762499999999</v>
          </cell>
          <cell r="O6">
            <v>22385.536201999999</v>
          </cell>
          <cell r="P6">
            <v>18913.016583049699</v>
          </cell>
          <cell r="Q6">
            <v>3472.5196189503004</v>
          </cell>
          <cell r="R6">
            <v>2865.0568130000001</v>
          </cell>
          <cell r="S6">
            <v>126.798811</v>
          </cell>
          <cell r="T6">
            <v>357.74650400000002</v>
          </cell>
          <cell r="U6">
            <v>100.232026</v>
          </cell>
          <cell r="V6">
            <v>-2524.7804249999972</v>
          </cell>
          <cell r="W6">
            <v>-1025.886773660633</v>
          </cell>
          <cell r="X6">
            <v>0</v>
          </cell>
          <cell r="Z6">
            <v>2010</v>
          </cell>
          <cell r="AA6">
            <v>775.34841099999994</v>
          </cell>
          <cell r="AB6">
            <v>0</v>
          </cell>
          <cell r="AC6">
            <v>10270.799999999999</v>
          </cell>
        </row>
        <row r="7">
          <cell r="A7">
            <v>2011</v>
          </cell>
          <cell r="B7">
            <v>16563.824558</v>
          </cell>
          <cell r="C7">
            <v>15388.33216</v>
          </cell>
          <cell r="D7">
            <v>1175.4923980000001</v>
          </cell>
          <cell r="E7">
            <v>712.87270000000001</v>
          </cell>
          <cell r="F7">
            <v>490.29308100000003</v>
          </cell>
          <cell r="G7">
            <v>34.081079000000003</v>
          </cell>
          <cell r="H7">
            <v>0.71279099999999995</v>
          </cell>
          <cell r="I7">
            <v>22.752891000000002</v>
          </cell>
          <cell r="J7">
            <v>138.62744799999999</v>
          </cell>
          <cell r="K7">
            <v>214.75853000000001</v>
          </cell>
          <cell r="L7">
            <v>2.9131049999999998</v>
          </cell>
          <cell r="M7">
            <v>148.10067599999999</v>
          </cell>
          <cell r="N7">
            <v>160.26969299999999</v>
          </cell>
          <cell r="O7">
            <v>22964.955346999999</v>
          </cell>
          <cell r="P7">
            <v>19412.215114476763</v>
          </cell>
          <cell r="Q7">
            <v>3552.740232523236</v>
          </cell>
          <cell r="R7">
            <v>2759.9013880000002</v>
          </cell>
          <cell r="S7">
            <v>0</v>
          </cell>
          <cell r="T7">
            <v>370.68195800000001</v>
          </cell>
          <cell r="U7">
            <v>103.870209</v>
          </cell>
          <cell r="V7">
            <v>-2807.1403119999959</v>
          </cell>
          <cell r="W7">
            <v>-1024.1686229968486</v>
          </cell>
          <cell r="X7">
            <v>0</v>
          </cell>
          <cell r="Z7">
            <v>2011</v>
          </cell>
          <cell r="AA7">
            <v>68.820339999999987</v>
          </cell>
          <cell r="AB7">
            <v>0</v>
          </cell>
          <cell r="AC7">
            <v>8197.4500000000007</v>
          </cell>
        </row>
        <row r="8">
          <cell r="A8">
            <v>2012</v>
          </cell>
          <cell r="B8">
            <v>16897.435782240147</v>
          </cell>
          <cell r="C8">
            <v>15706.12517334205</v>
          </cell>
          <cell r="D8">
            <v>1191.3106088980937</v>
          </cell>
          <cell r="E8">
            <v>733.00971416778975</v>
          </cell>
          <cell r="F8">
            <v>716.833134843729</v>
          </cell>
          <cell r="G8">
            <v>37.067186464479256</v>
          </cell>
          <cell r="H8">
            <v>0.72633402899999988</v>
          </cell>
          <cell r="I8">
            <v>23.211155925164672</v>
          </cell>
          <cell r="J8">
            <v>141.46590808254155</v>
          </cell>
          <cell r="K8">
            <v>163.31481716699997</v>
          </cell>
          <cell r="L8">
            <v>2.9727521505322105</v>
          </cell>
          <cell r="M8">
            <v>151.13310473679257</v>
          </cell>
          <cell r="N8">
            <v>163.31481716699997</v>
          </cell>
          <cell r="O8">
            <v>23667.910900353228</v>
          </cell>
          <cell r="P8">
            <v>20004.99356771266</v>
          </cell>
          <cell r="Q8">
            <v>3662.9173326405689</v>
          </cell>
          <cell r="R8">
            <v>2298.4851514411507</v>
          </cell>
          <cell r="S8">
            <v>0</v>
          </cell>
          <cell r="T8">
            <v>367.93883</v>
          </cell>
          <cell r="U8">
            <v>104.17631</v>
          </cell>
          <cell r="V8">
            <v>-3439.952025745486</v>
          </cell>
          <cell r="W8">
            <v>-1108.9264340860611</v>
          </cell>
          <cell r="X8">
            <v>280.67092131565619</v>
          </cell>
          <cell r="Z8">
            <v>2012</v>
          </cell>
          <cell r="AA8">
            <v>319.7</v>
          </cell>
          <cell r="AB8">
            <v>0</v>
          </cell>
          <cell r="AC8">
            <v>6227.2635838221886</v>
          </cell>
        </row>
        <row r="9">
          <cell r="A9">
            <v>2013</v>
          </cell>
          <cell r="B9">
            <v>17440.77097094465</v>
          </cell>
          <cell r="C9">
            <v>16209.777158718478</v>
          </cell>
          <cell r="D9">
            <v>1230.993812226169</v>
          </cell>
          <cell r="E9">
            <v>755.96098132809732</v>
          </cell>
          <cell r="F9">
            <v>739.27796784485838</v>
          </cell>
          <cell r="G9">
            <v>38.395466589537122</v>
          </cell>
          <cell r="H9">
            <v>0.73795537346399986</v>
          </cell>
          <cell r="I9">
            <v>23.957508090497594</v>
          </cell>
          <cell r="J9">
            <v>146.00976533958485</v>
          </cell>
          <cell r="K9">
            <v>165.92785424167198</v>
          </cell>
          <cell r="L9">
            <v>3.0682363672998676</v>
          </cell>
          <cell r="M9">
            <v>155.98747045674449</v>
          </cell>
          <cell r="N9">
            <v>165.92785424167198</v>
          </cell>
          <cell r="O9">
            <v>23359.740053871647</v>
          </cell>
          <cell r="P9">
            <v>19758.267387925549</v>
          </cell>
          <cell r="Q9">
            <v>3601.4726659460975</v>
          </cell>
          <cell r="R9">
            <v>1937.3250390638316</v>
          </cell>
          <cell r="S9">
            <v>0</v>
          </cell>
          <cell r="T9">
            <v>366.34933425439999</v>
          </cell>
          <cell r="U9">
            <v>104.17631</v>
          </cell>
          <cell r="V9">
            <v>-2900.7492776409672</v>
          </cell>
          <cell r="W9">
            <v>-1098.997510246214</v>
          </cell>
          <cell r="X9">
            <v>585.4486710671523</v>
          </cell>
          <cell r="Z9">
            <v>2013</v>
          </cell>
          <cell r="AA9">
            <v>194.53971435860475</v>
          </cell>
          <cell r="AB9">
            <v>0</v>
          </cell>
          <cell r="AC9">
            <v>7937.182384484182</v>
          </cell>
        </row>
        <row r="10">
          <cell r="A10">
            <v>2014</v>
          </cell>
          <cell r="B10">
            <v>18180.474517259099</v>
          </cell>
          <cell r="C10">
            <v>16898.198064135133</v>
          </cell>
          <cell r="D10">
            <v>1282.2764531239657</v>
          </cell>
          <cell r="E10">
            <v>789.43218944294324</v>
          </cell>
          <cell r="F10">
            <v>746.0227630255572</v>
          </cell>
          <cell r="G10">
            <v>38.914962736930491</v>
          </cell>
          <cell r="H10">
            <v>0.75086959249961993</v>
          </cell>
          <cell r="I10">
            <v>24.973601571968178</v>
          </cell>
          <cell r="J10">
            <v>152.21368507400797</v>
          </cell>
          <cell r="K10">
            <v>168.83159169090126</v>
          </cell>
          <cell r="L10">
            <v>3.1986049909648337</v>
          </cell>
          <cell r="M10">
            <v>162.61534047652444</v>
          </cell>
          <cell r="N10">
            <v>168.83159169090126</v>
          </cell>
          <cell r="O10">
            <v>25244.242108583847</v>
          </cell>
          <cell r="P10">
            <v>21366.837260959208</v>
          </cell>
          <cell r="Q10">
            <v>3877.4048476246389</v>
          </cell>
          <cell r="R10">
            <v>1728.1586832688217</v>
          </cell>
          <cell r="S10">
            <v>0</v>
          </cell>
          <cell r="T10">
            <v>365.30523865177497</v>
          </cell>
          <cell r="U10">
            <v>104.17631</v>
          </cell>
          <cell r="V10">
            <v>-4212.199120749352</v>
          </cell>
          <cell r="W10">
            <v>-1257.779749597368</v>
          </cell>
          <cell r="X10">
            <v>790.17566165632547</v>
          </cell>
          <cell r="Z10">
            <v>2014</v>
          </cell>
          <cell r="AA10">
            <v>260.04193787166321</v>
          </cell>
          <cell r="AB10">
            <v>0</v>
          </cell>
          <cell r="AC10">
            <v>5710.2256695548904</v>
          </cell>
        </row>
        <row r="11">
          <cell r="A11">
            <v>2015</v>
          </cell>
          <cell r="B11">
            <v>18892.563494352526</v>
          </cell>
          <cell r="C11">
            <v>17564.578520272305</v>
          </cell>
          <cell r="D11">
            <v>1327.9849740802194</v>
          </cell>
          <cell r="E11">
            <v>824.38538115262918</v>
          </cell>
          <cell r="F11">
            <v>734.16205591122241</v>
          </cell>
          <cell r="G11">
            <v>38.462775373219657</v>
          </cell>
          <cell r="H11">
            <v>0.76400981036836335</v>
          </cell>
          <cell r="I11">
            <v>25.951762311438397</v>
          </cell>
          <cell r="J11">
            <v>158.20791810726936</v>
          </cell>
          <cell r="K11">
            <v>171.78614454549205</v>
          </cell>
          <cell r="L11">
            <v>3.3245672767335148</v>
          </cell>
          <cell r="M11">
            <v>169.01919467087953</v>
          </cell>
          <cell r="N11">
            <v>171.78614454549205</v>
          </cell>
          <cell r="O11">
            <v>26223.759042523248</v>
          </cell>
          <cell r="P11">
            <v>22240.744091035045</v>
          </cell>
          <cell r="Q11">
            <v>3983.0149514882032</v>
          </cell>
          <cell r="R11">
            <v>1537.6856692595411</v>
          </cell>
          <cell r="S11">
            <v>0</v>
          </cell>
          <cell r="T11">
            <v>364.26411872161748</v>
          </cell>
          <cell r="U11">
            <v>104.17631</v>
          </cell>
          <cell r="V11">
            <v>-4645.7110323607994</v>
          </cell>
          <cell r="W11">
            <v>-1343.3322354701859</v>
          </cell>
          <cell r="X11">
            <v>1044.3955047249499</v>
          </cell>
          <cell r="Z11">
            <v>2015</v>
          </cell>
          <cell r="AA11">
            <v>187.08126849879224</v>
          </cell>
          <cell r="AB11">
            <v>0</v>
          </cell>
          <cell r="AC11">
            <v>3396.1269952220391</v>
          </cell>
        </row>
        <row r="12">
          <cell r="A12">
            <v>2016</v>
          </cell>
          <cell r="B12">
            <v>19612.60408222007</v>
          </cell>
          <cell r="C12">
            <v>18237.337611319424</v>
          </cell>
          <cell r="D12">
            <v>1375.266470900644</v>
          </cell>
          <cell r="E12">
            <v>859.19288573824645</v>
          </cell>
          <cell r="F12">
            <v>709.59043228987582</v>
          </cell>
          <cell r="G12">
            <v>37.336399924432015</v>
          </cell>
          <cell r="H12">
            <v>0.77737998204980974</v>
          </cell>
          <cell r="I12">
            <v>26.940845777878124</v>
          </cell>
          <cell r="J12">
            <v>164.26478552363827</v>
          </cell>
          <cell r="K12">
            <v>174.79240207503818</v>
          </cell>
          <cell r="L12">
            <v>3.4518457559201283</v>
          </cell>
          <cell r="M12">
            <v>175.48996342373582</v>
          </cell>
          <cell r="N12">
            <v>174.79240207503818</v>
          </cell>
          <cell r="O12">
            <v>27392.714326329042</v>
          </cell>
          <cell r="P12">
            <v>23306.36585277996</v>
          </cell>
          <cell r="Q12">
            <v>4086.348473549082</v>
          </cell>
          <cell r="R12">
            <v>1349.9741217383594</v>
          </cell>
          <cell r="S12">
            <v>0</v>
          </cell>
          <cell r="T12">
            <v>370.6387407992458</v>
          </cell>
          <cell r="U12">
            <v>105.999395425</v>
          </cell>
          <cell r="V12">
            <v>-5280.7096470265533</v>
          </cell>
          <cell r="W12">
            <v>-1457.7598230361687</v>
          </cell>
          <cell r="X12">
            <v>1341.1727246127548</v>
          </cell>
          <cell r="Z12">
            <v>2016</v>
          </cell>
          <cell r="AA12">
            <v>111.26561068096215</v>
          </cell>
          <cell r="AB12">
            <v>0</v>
          </cell>
          <cell r="AC12">
            <v>769.23351239153351</v>
          </cell>
        </row>
        <row r="13">
          <cell r="A13">
            <v>2017</v>
          </cell>
          <cell r="B13">
            <v>20432.347942267901</v>
          </cell>
          <cell r="C13">
            <v>18998.73720859495</v>
          </cell>
          <cell r="D13">
            <v>1433.6107336729501</v>
          </cell>
          <cell r="E13">
            <v>895.47004566125418</v>
          </cell>
          <cell r="F13">
            <v>691.77957728564013</v>
          </cell>
          <cell r="G13">
            <v>36.556142490375571</v>
          </cell>
          <cell r="H13">
            <v>0.79098413173568149</v>
          </cell>
          <cell r="I13">
            <v>28.066886604396011</v>
          </cell>
          <cell r="J13">
            <v>171.13345999658853</v>
          </cell>
          <cell r="K13">
            <v>177.85126911135137</v>
          </cell>
          <cell r="L13">
            <v>3.5961834771953827</v>
          </cell>
          <cell r="M13">
            <v>182.82801477896152</v>
          </cell>
          <cell r="N13">
            <v>177.85126911135137</v>
          </cell>
          <cell r="O13">
            <v>28295.105006035141</v>
          </cell>
          <cell r="P13">
            <v>24107.255595546765</v>
          </cell>
          <cell r="Q13">
            <v>4187.8494104883757</v>
          </cell>
          <cell r="R13">
            <v>1376.8065237693659</v>
          </cell>
          <cell r="S13">
            <v>0</v>
          </cell>
          <cell r="T13">
            <v>377.12491876323264</v>
          </cell>
          <cell r="U13">
            <v>107.85438484493751</v>
          </cell>
          <cell r="V13">
            <v>-5326.3645787378227</v>
          </cell>
          <cell r="W13">
            <v>-1512.3916467797214</v>
          </cell>
          <cell r="X13">
            <v>1434.2562294077925</v>
          </cell>
          <cell r="Z13">
            <v>2017</v>
          </cell>
          <cell r="AA13">
            <v>25.202012949727639</v>
          </cell>
          <cell r="AB13">
            <v>0</v>
          </cell>
          <cell r="AC13">
            <v>-1846.1343205052883</v>
          </cell>
        </row>
        <row r="14">
          <cell r="A14">
            <v>2018</v>
          </cell>
          <cell r="B14">
            <v>21463.160134682937</v>
          </cell>
          <cell r="C14">
            <v>19946.354603141132</v>
          </cell>
          <cell r="D14">
            <v>1516.8055315418053</v>
          </cell>
          <cell r="E14">
            <v>934.38658283546238</v>
          </cell>
          <cell r="F14">
            <v>721.84388052524525</v>
          </cell>
          <cell r="G14">
            <v>38.308561140086368</v>
          </cell>
          <cell r="H14">
            <v>0.80482635404105596</v>
          </cell>
          <cell r="I14">
            <v>29.482861361515891</v>
          </cell>
          <cell r="J14">
            <v>179.71691559696788</v>
          </cell>
          <cell r="K14">
            <v>180.96366632080003</v>
          </cell>
          <cell r="L14">
            <v>3.7765554582675809</v>
          </cell>
          <cell r="M14">
            <v>191.99802833091098</v>
          </cell>
          <cell r="N14">
            <v>180.96366632080003</v>
          </cell>
          <cell r="O14">
            <v>29348.012325121239</v>
          </cell>
          <cell r="P14">
            <v>25051.063782779518</v>
          </cell>
          <cell r="Q14">
            <v>4296.9485423417209</v>
          </cell>
          <cell r="R14">
            <v>1386.9400360579464</v>
          </cell>
          <cell r="S14">
            <v>0</v>
          </cell>
          <cell r="T14">
            <v>383.72460484158927</v>
          </cell>
          <cell r="U14">
            <v>109.74183657972392</v>
          </cell>
          <cell r="V14">
            <v>-5275.0564408609935</v>
          </cell>
          <cell r="W14">
            <v>-1566.2025676333617</v>
          </cell>
          <cell r="X14">
            <v>1393.3962207139205</v>
          </cell>
          <cell r="Z14">
            <v>2018</v>
          </cell>
          <cell r="AA14">
            <v>-60.483975675554561</v>
          </cell>
          <cell r="AB14">
            <v>0</v>
          </cell>
          <cell r="AC14">
            <v>-4554.9523509668179</v>
          </cell>
        </row>
        <row r="15">
          <cell r="A15">
            <v>2019</v>
          </cell>
          <cell r="B15">
            <v>22329.224166128573</v>
          </cell>
          <cell r="C15">
            <v>20755.456736295968</v>
          </cell>
          <cell r="D15">
            <v>1573.7674298326046</v>
          </cell>
          <cell r="E15">
            <v>976.93895894788579</v>
          </cell>
          <cell r="F15">
            <v>734.00488966870398</v>
          </cell>
          <cell r="G15">
            <v>39.120420933618782</v>
          </cell>
          <cell r="H15">
            <v>0.81891081523677445</v>
          </cell>
          <cell r="I15">
            <v>30.672529873006233</v>
          </cell>
          <cell r="J15">
            <v>187.00761311337982</v>
          </cell>
          <cell r="K15">
            <v>184.13053048141404</v>
          </cell>
          <cell r="L15">
            <v>3.9297615346612487</v>
          </cell>
          <cell r="M15">
            <v>199.78694204367102</v>
          </cell>
          <cell r="N15">
            <v>184.13053048141404</v>
          </cell>
          <cell r="O15">
            <v>30309.605328220459</v>
          </cell>
          <cell r="P15">
            <v>25908.91890649687</v>
          </cell>
          <cell r="Q15">
            <v>4400.6864217235889</v>
          </cell>
          <cell r="R15">
            <v>1404.8534164826863</v>
          </cell>
          <cell r="S15">
            <v>0</v>
          </cell>
          <cell r="T15">
            <v>390.43978542631709</v>
          </cell>
          <cell r="U15">
            <v>111.66231871986911</v>
          </cell>
          <cell r="V15">
            <v>-5304.9237069125702</v>
          </cell>
          <cell r="W15">
            <v>-1626.0431855450497</v>
          </cell>
          <cell r="X15">
            <v>1333.4075579153994</v>
          </cell>
          <cell r="Z15">
            <v>2019</v>
          </cell>
          <cell r="AA15">
            <v>-149.2316263985505</v>
          </cell>
          <cell r="AB15">
            <v>0</v>
          </cell>
          <cell r="AC15">
            <v>-7334.3129530078259</v>
          </cell>
        </row>
        <row r="16">
          <cell r="A16">
            <v>2020</v>
          </cell>
          <cell r="B16">
            <v>23280.300886585217</v>
          </cell>
          <cell r="C16">
            <v>21643.892178162878</v>
          </cell>
          <cell r="D16">
            <v>1636.4087084223406</v>
          </cell>
          <cell r="E16">
            <v>1023.6576453732123</v>
          </cell>
          <cell r="F16">
            <v>725.94095484438924</v>
          </cell>
          <cell r="G16">
            <v>38.855276618527604</v>
          </cell>
          <cell r="H16">
            <v>0.83324175450341809</v>
          </cell>
          <cell r="I16">
            <v>31.978976030861485</v>
          </cell>
          <cell r="J16">
            <v>195.01387894165435</v>
          </cell>
          <cell r="K16">
            <v>187.3528147648388</v>
          </cell>
          <cell r="L16">
            <v>4.0980045006262262</v>
          </cell>
          <cell r="M16">
            <v>208.34032305522334</v>
          </cell>
          <cell r="N16">
            <v>187.3528147648388</v>
          </cell>
          <cell r="O16">
            <v>31253.20266446783</v>
          </cell>
          <cell r="P16">
            <v>26754.074657867724</v>
          </cell>
          <cell r="Q16">
            <v>4499.1280066001054</v>
          </cell>
          <cell r="R16">
            <v>1435.1672638954508</v>
          </cell>
          <cell r="S16">
            <v>0</v>
          </cell>
          <cell r="T16">
            <v>397.27248167127766</v>
          </cell>
          <cell r="U16">
            <v>113.61640929746682</v>
          </cell>
          <cell r="V16">
            <v>-5236.5857499473532</v>
          </cell>
          <cell r="W16">
            <v>-1684.0929779862695</v>
          </cell>
          <cell r="X16">
            <v>1279.0035029318637</v>
          </cell>
          <cell r="Z16">
            <v>2020</v>
          </cell>
          <cell r="AA16">
            <v>-240.29042812291911</v>
          </cell>
          <cell r="AB16">
            <v>0</v>
          </cell>
          <cell r="AC16">
            <v>-10146.938570698101</v>
          </cell>
        </row>
        <row r="17">
          <cell r="A17">
            <v>2021</v>
          </cell>
          <cell r="B17">
            <v>24334.245436942838</v>
          </cell>
          <cell r="C17">
            <v>22625.339790315466</v>
          </cell>
          <cell r="D17">
            <v>1708.905646627373</v>
          </cell>
          <cell r="E17">
            <v>1073.1244679651691</v>
          </cell>
          <cell r="F17">
            <v>716.10248093901782</v>
          </cell>
          <cell r="G17">
            <v>38.491091635035467</v>
          </cell>
          <cell r="H17">
            <v>0.84782348520722794</v>
          </cell>
          <cell r="I17">
            <v>33.426726542246186</v>
          </cell>
          <cell r="J17">
            <v>203.86760256960912</v>
          </cell>
          <cell r="K17">
            <v>190.63148902322348</v>
          </cell>
          <cell r="L17">
            <v>4.2840558702598441</v>
          </cell>
          <cell r="M17">
            <v>217.79907363697879</v>
          </cell>
          <cell r="N17">
            <v>190.63148902322348</v>
          </cell>
          <cell r="O17">
            <v>32255.480676682222</v>
          </cell>
          <cell r="P17">
            <v>27653.713151195159</v>
          </cell>
          <cell r="Q17">
            <v>4601.7675254870628</v>
          </cell>
          <cell r="R17">
            <v>1732.9235924435877</v>
          </cell>
          <cell r="S17">
            <v>0</v>
          </cell>
          <cell r="T17">
            <v>404.22475010052506</v>
          </cell>
          <cell r="U17">
            <v>115.60469646017249</v>
          </cell>
          <cell r="V17">
            <v>-4855.7959184869251</v>
          </cell>
          <cell r="W17">
            <v>-1718.0241185133625</v>
          </cell>
          <cell r="X17">
            <v>1354.6545335879823</v>
          </cell>
          <cell r="Z17">
            <v>2021</v>
          </cell>
          <cell r="AA17">
            <v>-332.43907492249684</v>
          </cell>
          <cell r="AB17">
            <v>0</v>
          </cell>
          <cell r="AC17">
            <v>-12589.601734783892</v>
          </cell>
        </row>
        <row r="18">
          <cell r="A18">
            <v>2022</v>
          </cell>
          <cell r="B18">
            <v>25351.52054853013</v>
          </cell>
          <cell r="C18">
            <v>23574.361372520114</v>
          </cell>
          <cell r="D18">
            <v>1777.1591760100171</v>
          </cell>
          <cell r="E18">
            <v>1122.4374990916999</v>
          </cell>
          <cell r="F18">
            <v>713.99823998954901</v>
          </cell>
          <cell r="G18">
            <v>38.53991940451391</v>
          </cell>
          <cell r="H18">
            <v>0.86266039619835444</v>
          </cell>
          <cell r="I18">
            <v>34.82410609368435</v>
          </cell>
          <cell r="J18">
            <v>212.42585824101712</v>
          </cell>
          <cell r="K18">
            <v>193.9675400811299</v>
          </cell>
          <cell r="L18">
            <v>4.4638983022409695</v>
          </cell>
          <cell r="M18">
            <v>226.94216520075307</v>
          </cell>
          <cell r="N18">
            <v>193.9675400811299</v>
          </cell>
          <cell r="O18">
            <v>33305.754201277872</v>
          </cell>
          <cell r="P18">
            <v>28600.561600617679</v>
          </cell>
          <cell r="Q18">
            <v>4705.1926006601934</v>
          </cell>
          <cell r="R18">
            <v>1838.7342250654754</v>
          </cell>
          <cell r="S18">
            <v>0</v>
          </cell>
          <cell r="T18">
            <v>411.2986832272843</v>
          </cell>
          <cell r="U18">
            <v>117.62777864822552</v>
          </cell>
          <cell r="V18">
            <v>-4743.8158732396296</v>
          </cell>
          <cell r="W18">
            <v>-1774.5478661384877</v>
          </cell>
          <cell r="X18">
            <v>1620.3271685416569</v>
          </cell>
          <cell r="Z18">
            <v>2022</v>
          </cell>
          <cell r="AA18">
            <v>-412.4668268358576</v>
          </cell>
          <cell r="AB18">
            <v>0</v>
          </cell>
          <cell r="AC18">
            <v>-14675.204664018076</v>
          </cell>
        </row>
        <row r="19">
          <cell r="A19">
            <v>2023</v>
          </cell>
          <cell r="B19">
            <v>26496.069498564833</v>
          </cell>
          <cell r="C19">
            <v>24640.386800504661</v>
          </cell>
          <cell r="D19">
            <v>1855.6826980601729</v>
          </cell>
          <cell r="E19">
            <v>1176.5452946466648</v>
          </cell>
          <cell r="F19">
            <v>699.79754259881668</v>
          </cell>
          <cell r="G19">
            <v>37.93211144518056</v>
          </cell>
          <cell r="H19">
            <v>0.87775695313182567</v>
          </cell>
          <cell r="I19">
            <v>36.396315302560957</v>
          </cell>
          <cell r="J19">
            <v>222.04382648967282</v>
          </cell>
          <cell r="K19">
            <v>197.36197203254969</v>
          </cell>
          <cell r="L19">
            <v>4.6660094411187494</v>
          </cell>
          <cell r="M19">
            <v>237.21738572831012</v>
          </cell>
          <cell r="N19">
            <v>197.36197203254969</v>
          </cell>
          <cell r="O19">
            <v>34425.351421677624</v>
          </cell>
          <cell r="P19">
            <v>29609.50095117895</v>
          </cell>
          <cell r="Q19">
            <v>4815.8504704986735</v>
          </cell>
          <cell r="R19">
            <v>1812.5736451145071</v>
          </cell>
          <cell r="S19">
            <v>0</v>
          </cell>
          <cell r="T19">
            <v>418.49641018376178</v>
          </cell>
          <cell r="U19">
            <v>119.68626477456947</v>
          </cell>
          <cell r="V19">
            <v>-4713.8494818077816</v>
          </cell>
          <cell r="W19">
            <v>-1846.615023242256</v>
          </cell>
          <cell r="X19">
            <v>1808.5183056920637</v>
          </cell>
          <cell r="Z19">
            <v>2023</v>
          </cell>
          <cell r="AA19">
            <v>-480.7963928048926</v>
          </cell>
          <cell r="AB19">
            <v>0</v>
          </cell>
          <cell r="AC19">
            <v>-16571.557630416406</v>
          </cell>
        </row>
        <row r="20">
          <cell r="A20">
            <v>2024</v>
          </cell>
          <cell r="B20">
            <v>27686.389124013356</v>
          </cell>
          <cell r="C20">
            <v>25749.120523922196</v>
          </cell>
          <cell r="D20">
            <v>1937.2686000911606</v>
          </cell>
          <cell r="E20">
            <v>1232.998479221648</v>
          </cell>
          <cell r="F20">
            <v>682.79352871651929</v>
          </cell>
          <cell r="G20">
            <v>37.165274250173667</v>
          </cell>
          <cell r="H20">
            <v>0.89311769981163269</v>
          </cell>
          <cell r="I20">
            <v>38.031397381470711</v>
          </cell>
          <cell r="J20">
            <v>232.04787589265206</v>
          </cell>
          <cell r="K20">
            <v>200.81580654311932</v>
          </cell>
          <cell r="L20">
            <v>4.8762336554176802</v>
          </cell>
          <cell r="M20">
            <v>247.90507060380909</v>
          </cell>
          <cell r="N20">
            <v>200.81580654311932</v>
          </cell>
          <cell r="O20">
            <v>35631.243785253748</v>
          </cell>
          <cell r="P20">
            <v>30696.838730597257</v>
          </cell>
          <cell r="Q20">
            <v>4934.4050546564904</v>
          </cell>
          <cell r="R20">
            <v>1832.3717790952726</v>
          </cell>
          <cell r="S20">
            <v>0</v>
          </cell>
          <cell r="T20">
            <v>425.82009736197762</v>
          </cell>
          <cell r="U20">
            <v>121.78077440812444</v>
          </cell>
          <cell r="V20">
            <v>-4679.1829177013387</v>
          </cell>
          <cell r="W20">
            <v>-1920.0627269150407</v>
          </cell>
          <cell r="X20">
            <v>2048.1230791944736</v>
          </cell>
          <cell r="Z20">
            <v>2024</v>
          </cell>
          <cell r="AA20">
            <v>-542.92565686651801</v>
          </cell>
          <cell r="AB20">
            <v>0</v>
          </cell>
          <cell r="AC20">
            <v>-18199.259313791354</v>
          </cell>
        </row>
        <row r="21">
          <cell r="A21">
            <v>2025</v>
          </cell>
          <cell r="B21">
            <v>28803.407760587885</v>
          </cell>
          <cell r="C21">
            <v>26793.270539027613</v>
          </cell>
          <cell r="D21">
            <v>2010.1372215602705</v>
          </cell>
          <cell r="E21">
            <v>1289.2554157944326</v>
          </cell>
          <cell r="F21">
            <v>661.44031256117921</v>
          </cell>
          <cell r="G21">
            <v>36.153005443818039</v>
          </cell>
          <cell r="H21">
            <v>0.90874725955833635</v>
          </cell>
          <cell r="I21">
            <v>39.565789586239255</v>
          </cell>
          <cell r="J21">
            <v>241.46218674600885</v>
          </cell>
          <cell r="K21">
            <v>204.33008315762393</v>
          </cell>
          <cell r="L21">
            <v>5.0740651557022991</v>
          </cell>
          <cell r="M21">
            <v>257.9627166296977</v>
          </cell>
          <cell r="N21">
            <v>204.33008315762393</v>
          </cell>
          <cell r="O21">
            <v>36876.908940388013</v>
          </cell>
          <cell r="P21">
            <v>31823.776818121216</v>
          </cell>
          <cell r="Q21">
            <v>5053.1321222667975</v>
          </cell>
          <cell r="R21">
            <v>1867.6408903502283</v>
          </cell>
          <cell r="S21">
            <v>0</v>
          </cell>
          <cell r="T21">
            <v>433.27194906581224</v>
          </cell>
          <cell r="U21">
            <v>123.91193796026663</v>
          </cell>
          <cell r="V21">
            <v>-4747.1473705587341</v>
          </cell>
          <cell r="W21">
            <v>-1998.7441609302118</v>
          </cell>
          <cell r="X21">
            <v>2339.7274879654433</v>
          </cell>
          <cell r="Z21">
            <v>2025</v>
          </cell>
          <cell r="AA21">
            <v>-596.25323326808973</v>
          </cell>
          <cell r="AB21">
            <v>0</v>
          </cell>
          <cell r="AC21">
            <v>-19563.102807923467</v>
          </cell>
        </row>
        <row r="22">
          <cell r="A22">
            <v>2026</v>
          </cell>
          <cell r="B22">
            <v>30031.670699902286</v>
          </cell>
          <cell r="C22">
            <v>27935.806182271899</v>
          </cell>
          <cell r="D22">
            <v>2095.8645176303858</v>
          </cell>
          <cell r="E22">
            <v>1346.8269874611913</v>
          </cell>
          <cell r="F22">
            <v>636.52174580289147</v>
          </cell>
          <cell r="G22">
            <v>34.935367412670161</v>
          </cell>
          <cell r="H22">
            <v>0.92465033660060725</v>
          </cell>
          <cell r="I22">
            <v>41.252992483112642</v>
          </cell>
          <cell r="J22">
            <v>251.77966549473823</v>
          </cell>
          <cell r="K22">
            <v>207.90585961288235</v>
          </cell>
          <cell r="L22">
            <v>5.2908757467067389</v>
          </cell>
          <cell r="M22">
            <v>268.98524931963408</v>
          </cell>
          <cell r="N22">
            <v>207.90585961288235</v>
          </cell>
          <cell r="O22">
            <v>38282.55492821095</v>
          </cell>
          <cell r="P22">
            <v>33099.951398652178</v>
          </cell>
          <cell r="Q22">
            <v>5182.6035295587717</v>
          </cell>
          <cell r="R22">
            <v>1931.2070785141839</v>
          </cell>
          <cell r="S22">
            <v>0</v>
          </cell>
          <cell r="T22">
            <v>440.85420817446396</v>
          </cell>
          <cell r="U22">
            <v>126.08039687457131</v>
          </cell>
          <cell r="V22">
            <v>-4838.0647194252342</v>
          </cell>
          <cell r="W22">
            <v>-2081.6384996851029</v>
          </cell>
          <cell r="X22">
            <v>2637.8120650240012</v>
          </cell>
          <cell r="Z22">
            <v>2026</v>
          </cell>
          <cell r="AA22">
            <v>-640.93615574459318</v>
          </cell>
          <cell r="AB22">
            <v>0</v>
          </cell>
          <cell r="AC22">
            <v>-20718.719101877188</v>
          </cell>
        </row>
        <row r="23">
          <cell r="A23">
            <v>2027</v>
          </cell>
          <cell r="B23">
            <v>31263.363452713402</v>
          </cell>
          <cell r="C23">
            <v>29083.393394241368</v>
          </cell>
          <cell r="D23">
            <v>2179.970058472034</v>
          </cell>
          <cell r="E23">
            <v>1406.2732370337535</v>
          </cell>
          <cell r="F23">
            <v>608.16683845396039</v>
          </cell>
          <cell r="G23">
            <v>33.517044275131767</v>
          </cell>
          <cell r="H23">
            <v>0.94083171749111794</v>
          </cell>
          <cell r="I23">
            <v>42.944906741928307</v>
          </cell>
          <cell r="J23">
            <v>262.13970724582202</v>
          </cell>
          <cell r="K23">
            <v>211.54421215610782</v>
          </cell>
          <cell r="L23">
            <v>5.5085807528992428</v>
          </cell>
          <cell r="M23">
            <v>280.05325359194626</v>
          </cell>
          <cell r="N23">
            <v>211.54421215610782</v>
          </cell>
          <cell r="O23">
            <v>39796.857305291771</v>
          </cell>
          <cell r="P23">
            <v>34478.284769339203</v>
          </cell>
          <cell r="Q23">
            <v>5318.5725359525677</v>
          </cell>
          <cell r="R23">
            <v>1998.1728967122665</v>
          </cell>
          <cell r="S23">
            <v>0</v>
          </cell>
          <cell r="T23">
            <v>448.56915681751713</v>
          </cell>
          <cell r="U23">
            <v>128.28680381987633</v>
          </cell>
          <cell r="V23">
            <v>-5032.7390238744629</v>
          </cell>
          <cell r="W23">
            <v>-2173.93743734072</v>
          </cell>
          <cell r="X23">
            <v>2967.8452847992098</v>
          </cell>
          <cell r="Z23">
            <v>2027</v>
          </cell>
          <cell r="AA23">
            <v>-678.79703457525193</v>
          </cell>
          <cell r="AB23">
            <v>0</v>
          </cell>
          <cell r="AC23">
            <v>-21693.215478259863</v>
          </cell>
        </row>
        <row r="24">
          <cell r="A24">
            <v>2028</v>
          </cell>
          <cell r="B24">
            <v>32361.828205947186</v>
          </cell>
          <cell r="C24">
            <v>30107.179245937506</v>
          </cell>
          <cell r="D24">
            <v>2254.6489600096797</v>
          </cell>
          <cell r="E24">
            <v>1460.0566351170098</v>
          </cell>
          <cell r="F24">
            <v>631.42636558391609</v>
          </cell>
          <cell r="G24">
            <v>34.942119312885303</v>
          </cell>
          <cell r="H24">
            <v>0.95729627254721261</v>
          </cell>
          <cell r="I24">
            <v>44.453812412243373</v>
          </cell>
          <cell r="J24">
            <v>271.38529500454911</v>
          </cell>
          <cell r="K24">
            <v>215.24623586883973</v>
          </cell>
          <cell r="L24">
            <v>5.7028667209124944</v>
          </cell>
          <cell r="M24">
            <v>289.93064668284995</v>
          </cell>
          <cell r="N24">
            <v>215.24623586883973</v>
          </cell>
          <cell r="O24">
            <v>41396.607052231127</v>
          </cell>
          <cell r="P24">
            <v>35932.705457658005</v>
          </cell>
          <cell r="Q24">
            <v>5463.9015945731226</v>
          </cell>
          <cell r="R24">
            <v>2075.6891558929156</v>
          </cell>
          <cell r="S24">
            <v>0</v>
          </cell>
          <cell r="T24">
            <v>456.41911706182373</v>
          </cell>
          <cell r="U24">
            <v>130.53182288672417</v>
          </cell>
          <cell r="V24">
            <v>-5387.0468865983567</v>
          </cell>
          <cell r="W24">
            <v>-2269.955521726627</v>
          </cell>
          <cell r="X24">
            <v>3301.9233504599028</v>
          </cell>
          <cell r="Z24">
            <v>2028</v>
          </cell>
          <cell r="AA24">
            <v>-710.72397210648933</v>
          </cell>
          <cell r="AB24">
            <v>0</v>
          </cell>
          <cell r="AC24">
            <v>-22611.00743574525</v>
          </cell>
        </row>
        <row r="25">
          <cell r="A25">
            <v>2029</v>
          </cell>
          <cell r="B25">
            <v>33492.14589286843</v>
          </cell>
          <cell r="C25">
            <v>31160.727412821743</v>
          </cell>
          <cell r="D25">
            <v>2331.4184800466919</v>
          </cell>
          <cell r="E25">
            <v>1515.5951162364393</v>
          </cell>
          <cell r="F25">
            <v>655.44492648670655</v>
          </cell>
          <cell r="G25">
            <v>36.419920572265617</v>
          </cell>
          <cell r="H25">
            <v>0.97404895731678887</v>
          </cell>
          <cell r="I25">
            <v>46.006472852218273</v>
          </cell>
          <cell r="J25">
            <v>280.9005519900482</v>
          </cell>
          <cell r="K25">
            <v>219.01304499654444</v>
          </cell>
          <cell r="L25">
            <v>5.9028194943397478</v>
          </cell>
          <cell r="M25">
            <v>300.0961370831792</v>
          </cell>
          <cell r="N25">
            <v>219.01304499654444</v>
          </cell>
          <cell r="O25">
            <v>43026.239669041162</v>
          </cell>
          <cell r="P25">
            <v>37408.013346319756</v>
          </cell>
          <cell r="Q25">
            <v>5618.2263227214062</v>
          </cell>
          <cell r="R25">
            <v>2172.8873458448575</v>
          </cell>
          <cell r="S25">
            <v>0</v>
          </cell>
          <cell r="T25">
            <v>464.40645161040567</v>
          </cell>
          <cell r="U25">
            <v>132.81612978724186</v>
          </cell>
          <cell r="V25">
            <v>-5717.2812922193625</v>
          </cell>
          <cell r="W25">
            <v>-2365.7044444594203</v>
          </cell>
          <cell r="X25">
            <v>3636.7060924453499</v>
          </cell>
          <cell r="Z25">
            <v>2029</v>
          </cell>
          <cell r="AA25">
            <v>-740.79313111360443</v>
          </cell>
          <cell r="AB25">
            <v>0</v>
          </cell>
          <cell r="AC25">
            <v>-23468.742138235779</v>
          </cell>
        </row>
        <row r="26">
          <cell r="A26">
            <v>2030</v>
          </cell>
          <cell r="B26">
            <v>34661.868282150492</v>
          </cell>
          <cell r="C26">
            <v>32251.069448482453</v>
          </cell>
          <cell r="D26">
            <v>2410.7988336680419</v>
          </cell>
          <cell r="E26">
            <v>1573.2462023130083</v>
          </cell>
          <cell r="F26">
            <v>680.37710765301267</v>
          </cell>
          <cell r="G26">
            <v>37.959589179427546</v>
          </cell>
          <cell r="H26">
            <v>0.99109481406983269</v>
          </cell>
          <cell r="I26">
            <v>47.613261545880214</v>
          </cell>
          <cell r="J26">
            <v>290.7489419971759</v>
          </cell>
          <cell r="K26">
            <v>222.84577328398399</v>
          </cell>
          <cell r="L26">
            <v>6.1097726957844847</v>
          </cell>
          <cell r="M26">
            <v>310.6175254417621</v>
          </cell>
          <cell r="N26">
            <v>222.84577328398399</v>
          </cell>
          <cell r="O26">
            <v>44685.011629470231</v>
          </cell>
          <cell r="P26">
            <v>38905.472719405618</v>
          </cell>
          <cell r="Q26">
            <v>5779.5389100646134</v>
          </cell>
          <cell r="R26">
            <v>2286.7452087277666</v>
          </cell>
          <cell r="S26">
            <v>0</v>
          </cell>
          <cell r="T26">
            <v>472.53356451358781</v>
          </cell>
          <cell r="U26">
            <v>135.14041205851859</v>
          </cell>
          <cell r="V26">
            <v>-6017.6436704074877</v>
          </cell>
          <cell r="W26">
            <v>-2461.353991092391</v>
          </cell>
          <cell r="X26">
            <v>3970.6022182529578</v>
          </cell>
          <cell r="Z26">
            <v>2030</v>
          </cell>
          <cell r="AA26">
            <v>-768.89466430395032</v>
          </cell>
          <cell r="AB26">
            <v>0</v>
          </cell>
          <cell r="AC26">
            <v>-24237.359666099026</v>
          </cell>
        </row>
        <row r="27">
          <cell r="A27">
            <v>2031</v>
          </cell>
          <cell r="B27">
            <v>35865.220710789938</v>
          </cell>
          <cell r="C27">
            <v>33372.838187397712</v>
          </cell>
          <cell r="D27">
            <v>2492.3825233922225</v>
          </cell>
          <cell r="E27">
            <v>1632.7649694545976</v>
          </cell>
          <cell r="F27">
            <v>706.11702930187619</v>
          </cell>
          <cell r="G27">
            <v>39.555815496212034</v>
          </cell>
          <cell r="H27">
            <v>1.0084389733160548</v>
          </cell>
          <cell r="I27">
            <v>49.266246129696917</v>
          </cell>
          <cell r="J27">
            <v>300.88216412924561</v>
          </cell>
          <cell r="K27">
            <v>226.74557431645371</v>
          </cell>
          <cell r="L27">
            <v>6.3227113344517916</v>
          </cell>
          <cell r="M27">
            <v>321.44321017785916</v>
          </cell>
          <cell r="N27">
            <v>226.74557431645371</v>
          </cell>
          <cell r="O27">
            <v>46400.049245166148</v>
          </cell>
          <cell r="P27">
            <v>40450.63347578387</v>
          </cell>
          <cell r="Q27">
            <v>5949.4157693822781</v>
          </cell>
          <cell r="R27">
            <v>2388.236936379737</v>
          </cell>
          <cell r="S27">
            <v>0</v>
          </cell>
          <cell r="T27">
            <v>480.80290189257562</v>
          </cell>
          <cell r="U27">
            <v>137.50536926954268</v>
          </cell>
          <cell r="V27">
            <v>-6350.4257045170452</v>
          </cell>
          <cell r="W27">
            <v>-2561.8204927890174</v>
          </cell>
          <cell r="X27">
            <v>4341.7780223391273</v>
          </cell>
          <cell r="Z27">
            <v>2031</v>
          </cell>
          <cell r="AA27">
            <v>-794.07649606056998</v>
          </cell>
          <cell r="AB27">
            <v>0</v>
          </cell>
          <cell r="AC27">
            <v>-24904.928774879569</v>
          </cell>
        </row>
        <row r="28">
          <cell r="A28">
            <v>2032</v>
          </cell>
          <cell r="B28">
            <v>37091.78814113752</v>
          </cell>
          <cell r="C28">
            <v>34516.353708028357</v>
          </cell>
          <cell r="D28">
            <v>2575.4344331091638</v>
          </cell>
          <cell r="E28">
            <v>1693.6914636685985</v>
          </cell>
          <cell r="F28">
            <v>732.46574492140178</v>
          </cell>
          <cell r="G28">
            <v>41.197959239645698</v>
          </cell>
          <cell r="H28">
            <v>1.0260866553490859</v>
          </cell>
          <cell r="I28">
            <v>50.951119991354055</v>
          </cell>
          <cell r="J28">
            <v>311.21295793850976</v>
          </cell>
          <cell r="K28">
            <v>230.71362186699167</v>
          </cell>
          <cell r="L28">
            <v>6.5398017269672506</v>
          </cell>
          <cell r="M28">
            <v>332.47996782464662</v>
          </cell>
          <cell r="N28">
            <v>230.71362186699167</v>
          </cell>
          <cell r="O28">
            <v>48166.609429069606</v>
          </cell>
          <cell r="P28">
            <v>42039.067379155094</v>
          </cell>
          <cell r="Q28">
            <v>6127.5420499145112</v>
          </cell>
          <cell r="R28">
            <v>2461.7776915553882</v>
          </cell>
          <cell r="S28">
            <v>0</v>
          </cell>
          <cell r="T28">
            <v>489.21695267569572</v>
          </cell>
          <cell r="U28">
            <v>139.91171323175968</v>
          </cell>
          <cell r="V28">
            <v>-6737.5670959669733</v>
          </cell>
          <cell r="W28">
            <v>-2668.1839536695061</v>
          </cell>
          <cell r="X28">
            <v>4768.6340074806321</v>
          </cell>
          <cell r="Z28">
            <v>2032</v>
          </cell>
          <cell r="AA28">
            <v>-815.94772898699262</v>
          </cell>
          <cell r="AB28">
            <v>0</v>
          </cell>
          <cell r="AC28">
            <v>-25458.018188440365</v>
          </cell>
        </row>
        <row r="29">
          <cell r="A29">
            <v>2033</v>
          </cell>
          <cell r="B29">
            <v>38348.747587165693</v>
          </cell>
          <cell r="C29">
            <v>35688.28882847826</v>
          </cell>
          <cell r="D29">
            <v>2660.4587586874304</v>
          </cell>
          <cell r="E29">
            <v>1756.3661436695331</v>
          </cell>
          <cell r="F29">
            <v>759.57048878938906</v>
          </cell>
          <cell r="G29">
            <v>42.894749296405941</v>
          </cell>
          <cell r="H29">
            <v>1.044043171817695</v>
          </cell>
          <cell r="I29">
            <v>52.677741833233348</v>
          </cell>
          <cell r="J29">
            <v>321.8016432904173</v>
          </cell>
          <cell r="K29">
            <v>234.75111024966404</v>
          </cell>
          <cell r="L29">
            <v>6.7623114296782791</v>
          </cell>
          <cell r="M29">
            <v>343.79224025837709</v>
          </cell>
          <cell r="N29">
            <v>234.75111024966404</v>
          </cell>
          <cell r="O29">
            <v>49968.958568356327</v>
          </cell>
          <cell r="P29">
            <v>43655.911871305798</v>
          </cell>
          <cell r="Q29">
            <v>6313.0466970505295</v>
          </cell>
          <cell r="R29">
            <v>2529.2086259922748</v>
          </cell>
          <cell r="S29">
            <v>0</v>
          </cell>
          <cell r="T29">
            <v>497.77824934752044</v>
          </cell>
          <cell r="U29">
            <v>142.36016821331549</v>
          </cell>
          <cell r="V29">
            <v>-7133.815891537095</v>
          </cell>
          <cell r="W29">
            <v>-2777.0716193130543</v>
          </cell>
          <cell r="X29">
            <v>5253.6967939193019</v>
          </cell>
          <cell r="Z29">
            <v>2033</v>
          </cell>
          <cell r="AA29">
            <v>-834.0683208987781</v>
          </cell>
          <cell r="AB29">
            <v>0</v>
          </cell>
          <cell r="AC29">
            <v>-25841.811513790326</v>
          </cell>
        </row>
        <row r="30">
          <cell r="A30">
            <v>2034</v>
          </cell>
          <cell r="B30">
            <v>39664.016288464576</v>
          </cell>
          <cell r="C30">
            <v>36914.640195906097</v>
          </cell>
          <cell r="D30">
            <v>2749.376092558482</v>
          </cell>
          <cell r="E30">
            <v>1822.0863789432028</v>
          </cell>
          <cell r="F30">
            <v>787.99233183426372</v>
          </cell>
          <cell r="G30">
            <v>44.678512317357772</v>
          </cell>
          <cell r="H30">
            <v>1.0623139273245048</v>
          </cell>
          <cell r="I30">
            <v>54.484460160367</v>
          </cell>
          <cell r="J30">
            <v>332.88263690478647</v>
          </cell>
          <cell r="K30">
            <v>238.85925467903317</v>
          </cell>
          <cell r="L30">
            <v>6.9951664549182082</v>
          </cell>
          <cell r="M30">
            <v>355.63046327060306</v>
          </cell>
          <cell r="N30">
            <v>238.85925467903317</v>
          </cell>
          <cell r="O30">
            <v>51831.598982520569</v>
          </cell>
          <cell r="P30">
            <v>45325.736253952069</v>
          </cell>
          <cell r="Q30">
            <v>6505.8627285684997</v>
          </cell>
          <cell r="R30">
            <v>2605.1187020723833</v>
          </cell>
          <cell r="S30">
            <v>0</v>
          </cell>
          <cell r="T30">
            <v>506.48936871110209</v>
          </cell>
          <cell r="U30">
            <v>144.85147115704851</v>
          </cell>
          <cell r="V30">
            <v>-7519.2534945801381</v>
          </cell>
          <cell r="W30">
            <v>-2888.9707330707233</v>
          </cell>
          <cell r="X30">
            <v>5834.3307133235785</v>
          </cell>
          <cell r="Z30">
            <v>2034</v>
          </cell>
          <cell r="AA30">
            <v>-846.64234972055624</v>
          </cell>
          <cell r="AB30">
            <v>0</v>
          </cell>
          <cell r="AC30">
            <v>-25950.071456637674</v>
          </cell>
        </row>
        <row r="31">
          <cell r="A31">
            <v>2035</v>
          </cell>
          <cell r="B31">
            <v>41052.913175055699</v>
          </cell>
          <cell r="C31">
            <v>38209.674401150114</v>
          </cell>
          <cell r="D31">
            <v>2843.2387739055835</v>
          </cell>
          <cell r="E31">
            <v>1891.5843247253995</v>
          </cell>
          <cell r="F31">
            <v>818.04784883015498</v>
          </cell>
          <cell r="G31">
            <v>46.568165769187615</v>
          </cell>
          <cell r="H31">
            <v>1.0809044210526837</v>
          </cell>
          <cell r="I31">
            <v>56.392317814871333</v>
          </cell>
          <cell r="J31">
            <v>344.58473197360439</v>
          </cell>
          <cell r="K31">
            <v>243.03929163591627</v>
          </cell>
          <cell r="L31">
            <v>7.241073251496104</v>
          </cell>
          <cell r="M31">
            <v>368.13223124881904</v>
          </cell>
          <cell r="N31">
            <v>243.03929163591627</v>
          </cell>
          <cell r="O31">
            <v>53745.164435124141</v>
          </cell>
          <cell r="P31">
            <v>47040.299532158249</v>
          </cell>
          <cell r="Q31">
            <v>6704.8649029658918</v>
          </cell>
          <cell r="R31">
            <v>2724.7250588941329</v>
          </cell>
          <cell r="S31">
            <v>0</v>
          </cell>
          <cell r="T31">
            <v>515.35293266354643</v>
          </cell>
          <cell r="U31">
            <v>147.38637190229687</v>
          </cell>
          <cell r="V31">
            <v>-7832.8983702032056</v>
          </cell>
          <cell r="W31">
            <v>-2999.7641866090216</v>
          </cell>
          <cell r="X31">
            <v>6398.2100877050361</v>
          </cell>
          <cell r="Z31">
            <v>2035</v>
          </cell>
          <cell r="AA31">
            <v>-850.18921609809252</v>
          </cell>
          <cell r="AB31">
            <v>0</v>
          </cell>
          <cell r="AC31">
            <v>-25722.879474542286</v>
          </cell>
        </row>
        <row r="32">
          <cell r="A32">
            <v>2036</v>
          </cell>
          <cell r="B32">
            <v>42567.779806501188</v>
          </cell>
          <cell r="C32">
            <v>39619.526054040463</v>
          </cell>
          <cell r="D32">
            <v>2948.2537524607219</v>
          </cell>
          <cell r="E32">
            <v>1965.2411050627466</v>
          </cell>
          <cell r="F32">
            <v>849.90191897909619</v>
          </cell>
          <cell r="G32">
            <v>48.574244489665034</v>
          </cell>
          <cell r="H32">
            <v>1.0998202484211057</v>
          </cell>
          <cell r="I32">
            <v>58.47321375916998</v>
          </cell>
          <cell r="J32">
            <v>357.3309729579301</v>
          </cell>
          <cell r="K32">
            <v>247.29247923954483</v>
          </cell>
          <cell r="L32">
            <v>7.5089216385099391</v>
          </cell>
          <cell r="M32">
            <v>381.74949776762236</v>
          </cell>
          <cell r="N32">
            <v>247.29247923954483</v>
          </cell>
          <cell r="O32">
            <v>55704.625813488463</v>
          </cell>
          <cell r="P32">
            <v>48795.983522569833</v>
          </cell>
          <cell r="Q32">
            <v>6908.6422909186294</v>
          </cell>
          <cell r="R32">
            <v>2877.4272764030752</v>
          </cell>
          <cell r="S32">
            <v>0</v>
          </cell>
          <cell r="T32">
            <v>524.37160898515856</v>
          </cell>
          <cell r="U32">
            <v>149.96563341058709</v>
          </cell>
          <cell r="V32">
            <v>-8027.3752736120296</v>
          </cell>
          <cell r="W32">
            <v>-3107.2848941489301</v>
          </cell>
          <cell r="X32">
            <v>6902.6573280776147</v>
          </cell>
          <cell r="Z32">
            <v>2036</v>
          </cell>
          <cell r="AA32">
            <v>-842.7458387846923</v>
          </cell>
          <cell r="AB32">
            <v>0</v>
          </cell>
          <cell r="AC32">
            <v>-25104.524458698295</v>
          </cell>
        </row>
        <row r="33">
          <cell r="A33">
            <v>2037</v>
          </cell>
          <cell r="B33">
            <v>44156.41460984623</v>
          </cell>
          <cell r="C33">
            <v>41098.046457333301</v>
          </cell>
          <cell r="D33">
            <v>3058.3681525129305</v>
          </cell>
          <cell r="E33">
            <v>2042.5794740992133</v>
          </cell>
          <cell r="F33">
            <v>883.34815218354947</v>
          </cell>
          <cell r="G33">
            <v>50.686129623178431</v>
          </cell>
          <cell r="H33">
            <v>1.1190671027684751</v>
          </cell>
          <cell r="I33">
            <v>60.655441323386626</v>
          </cell>
          <cell r="J33">
            <v>370.69866736588591</v>
          </cell>
          <cell r="K33">
            <v>251.62009762623688</v>
          </cell>
          <cell r="L33">
            <v>7.7898291931111618</v>
          </cell>
          <cell r="M33">
            <v>396.03068527371914</v>
          </cell>
          <cell r="N33">
            <v>251.62009762623688</v>
          </cell>
          <cell r="O33">
            <v>57693.93108808581</v>
          </cell>
          <cell r="P33">
            <v>50578.204956364825</v>
          </cell>
          <cell r="Q33">
            <v>7115.726131720985</v>
          </cell>
          <cell r="R33">
            <v>3026.561258916021</v>
          </cell>
          <cell r="S33">
            <v>0</v>
          </cell>
          <cell r="T33">
            <v>533.54811214239885</v>
          </cell>
          <cell r="U33">
            <v>152.59003199527237</v>
          </cell>
          <cell r="V33">
            <v>-8176.2472878438566</v>
          </cell>
          <cell r="W33">
            <v>-3216.1647327344062</v>
          </cell>
          <cell r="X33">
            <v>7362.0480592762351</v>
          </cell>
          <cell r="Z33">
            <v>2037</v>
          </cell>
          <cell r="AA33">
            <v>-822.48698257810361</v>
          </cell>
          <cell r="AB33">
            <v>0</v>
          </cell>
          <cell r="AC33">
            <v>-24066.932482743363</v>
          </cell>
        </row>
        <row r="34">
          <cell r="A34">
            <v>2038</v>
          </cell>
          <cell r="B34">
            <v>45831.989391667637</v>
          </cell>
          <cell r="C34">
            <v>42657.500267487485</v>
          </cell>
          <cell r="D34">
            <v>3174.4891241801488</v>
          </cell>
          <cell r="E34">
            <v>2124.229545996855</v>
          </cell>
          <cell r="F34">
            <v>918.65904144223896</v>
          </cell>
          <cell r="G34">
            <v>52.920601790927691</v>
          </cell>
          <cell r="H34">
            <v>1.1386507770669234</v>
          </cell>
          <cell r="I34">
            <v>62.957093954373832</v>
          </cell>
          <cell r="J34">
            <v>384.79856119370913</v>
          </cell>
          <cell r="K34">
            <v>256.02344933469607</v>
          </cell>
          <cell r="L34">
            <v>8.0861231219246026</v>
          </cell>
          <cell r="M34">
            <v>411.09410768793572</v>
          </cell>
          <cell r="N34">
            <v>256.02344933469607</v>
          </cell>
          <cell r="O34">
            <v>59713.772110024125</v>
          </cell>
          <cell r="P34">
            <v>52389.980823348546</v>
          </cell>
          <cell r="Q34">
            <v>7323.7912866755796</v>
          </cell>
          <cell r="R34">
            <v>3131.4380984246613</v>
          </cell>
          <cell r="S34">
            <v>0</v>
          </cell>
          <cell r="T34">
            <v>542.88520410489082</v>
          </cell>
          <cell r="U34">
            <v>155.26035755518964</v>
          </cell>
          <cell r="V34">
            <v>-8306.7946710027463</v>
          </cell>
          <cell r="W34">
            <v>-3330.1153176673979</v>
          </cell>
          <cell r="X34">
            <v>7819.0252769105409</v>
          </cell>
          <cell r="Z34">
            <v>2038</v>
          </cell>
          <cell r="AA34">
            <v>-788.49287546588005</v>
          </cell>
          <cell r="AB34">
            <v>0</v>
          </cell>
          <cell r="AC34">
            <v>-22578.669230665848</v>
          </cell>
        </row>
        <row r="35">
          <cell r="A35">
            <v>2039</v>
          </cell>
          <cell r="B35">
            <v>47561.974118311948</v>
          </cell>
          <cell r="C35">
            <v>44267.610112247705</v>
          </cell>
          <cell r="D35">
            <v>3294.3640060642406</v>
          </cell>
          <cell r="E35">
            <v>2208.7038673216935</v>
          </cell>
          <cell r="F35">
            <v>955.19136629586103</v>
          </cell>
          <cell r="G35">
            <v>55.241730217913663</v>
          </cell>
          <cell r="H35">
            <v>1.1585771656655945</v>
          </cell>
          <cell r="I35">
            <v>65.333486784373449</v>
          </cell>
          <cell r="J35">
            <v>399.35769964269713</v>
          </cell>
          <cell r="K35">
            <v>260.50385969805325</v>
          </cell>
          <cell r="L35">
            <v>8.3920675768166753</v>
          </cell>
          <cell r="M35">
            <v>426.64815760648224</v>
          </cell>
          <cell r="N35">
            <v>260.50385969805325</v>
          </cell>
          <cell r="O35">
            <v>61800.018152528864</v>
          </cell>
          <cell r="P35">
            <v>54267.41344873987</v>
          </cell>
          <cell r="Q35">
            <v>7532.6047037889948</v>
          </cell>
          <cell r="R35">
            <v>3163.8111941096595</v>
          </cell>
          <cell r="S35">
            <v>0</v>
          </cell>
          <cell r="T35">
            <v>552.38569517672647</v>
          </cell>
          <cell r="U35">
            <v>157.97741381240547</v>
          </cell>
          <cell r="V35">
            <v>-8517.865311697853</v>
          </cell>
          <cell r="W35">
            <v>-3454.7522644435194</v>
          </cell>
          <cell r="X35">
            <v>8389.7094975298278</v>
          </cell>
          <cell r="Z35">
            <v>2039</v>
          </cell>
          <cell r="AA35">
            <v>-739.73365066969052</v>
          </cell>
          <cell r="AB35">
            <v>0</v>
          </cell>
          <cell r="AC35">
            <v>-20575.884441830778</v>
          </cell>
        </row>
        <row r="36">
          <cell r="A36">
            <v>2040</v>
          </cell>
          <cell r="B36">
            <v>49337.910450026255</v>
          </cell>
          <cell r="C36">
            <v>45920.505415189706</v>
          </cell>
          <cell r="D36">
            <v>3417.405034836549</v>
          </cell>
          <cell r="E36">
            <v>2295.623255656868</v>
          </cell>
          <cell r="F36">
            <v>992.78115380445763</v>
          </cell>
          <cell r="G36">
            <v>57.640825695820268</v>
          </cell>
          <cell r="H36">
            <v>1.1788522660647425</v>
          </cell>
          <cell r="I36">
            <v>67.773001018356297</v>
          </cell>
          <cell r="J36">
            <v>414.30517082924473</v>
          </cell>
          <cell r="K36">
            <v>265.06267724276921</v>
          </cell>
          <cell r="L36">
            <v>8.7061724217019947</v>
          </cell>
          <cell r="M36">
            <v>442.61707732011803</v>
          </cell>
          <cell r="N36">
            <v>265.06267724276921</v>
          </cell>
          <cell r="O36">
            <v>63939.585489518722</v>
          </cell>
          <cell r="P36">
            <v>56199.088874300774</v>
          </cell>
          <cell r="Q36">
            <v>7740.4966152179477</v>
          </cell>
          <cell r="R36">
            <v>3179.9794504865813</v>
          </cell>
          <cell r="S36">
            <v>0</v>
          </cell>
          <cell r="T36">
            <v>562.05244484231923</v>
          </cell>
          <cell r="U36">
            <v>160.74201855412258</v>
          </cell>
          <cell r="V36">
            <v>-8749.0986980299349</v>
          </cell>
          <cell r="W36">
            <v>-3583.8239629214395</v>
          </cell>
          <cell r="X36">
            <v>8994.384818287017</v>
          </cell>
          <cell r="Z36">
            <v>2040</v>
          </cell>
          <cell r="AA36">
            <v>-674.11741402548148</v>
          </cell>
          <cell r="AB36">
            <v>0</v>
          </cell>
          <cell r="AC36">
            <v>-18020.393901952761</v>
          </cell>
        </row>
        <row r="37">
          <cell r="A37">
            <v>2041</v>
          </cell>
          <cell r="B37">
            <v>51154.985044052308</v>
          </cell>
          <cell r="C37">
            <v>47611.711575170797</v>
          </cell>
          <cell r="D37">
            <v>3543.2734688815094</v>
          </cell>
          <cell r="E37">
            <v>2384.7754376390462</v>
          </cell>
          <cell r="F37">
            <v>1031.3365479295628</v>
          </cell>
          <cell r="G37">
            <v>60.113253721935322</v>
          </cell>
          <cell r="H37">
            <v>1.1994821807208755</v>
          </cell>
          <cell r="I37">
            <v>70.269024809961593</v>
          </cell>
          <cell r="J37">
            <v>429.60064943380991</v>
          </cell>
          <cell r="K37">
            <v>269.70127409451771</v>
          </cell>
          <cell r="L37">
            <v>9.0275902638623133</v>
          </cell>
          <cell r="M37">
            <v>458.95778584329332</v>
          </cell>
          <cell r="N37">
            <v>269.70127409451771</v>
          </cell>
          <cell r="O37">
            <v>66083.896397587872</v>
          </cell>
          <cell r="P37">
            <v>58137.876734450372</v>
          </cell>
          <cell r="Q37">
            <v>7946.0196631375002</v>
          </cell>
          <cell r="R37">
            <v>3162.8726629967964</v>
          </cell>
          <cell r="S37">
            <v>0</v>
          </cell>
          <cell r="T37">
            <v>571.88836262705991</v>
          </cell>
          <cell r="U37">
            <v>163.55500387881975</v>
          </cell>
          <cell r="V37">
            <v>-8974.1178569090553</v>
          </cell>
          <cell r="W37">
            <v>-3714.9627883782996</v>
          </cell>
          <cell r="X37">
            <v>9748.2875069152688</v>
          </cell>
          <cell r="Z37">
            <v>2041</v>
          </cell>
          <cell r="AA37">
            <v>-590.39315521272783</v>
          </cell>
          <cell r="AB37">
            <v>0</v>
          </cell>
          <cell r="AC37">
            <v>-14731.698491881591</v>
          </cell>
        </row>
        <row r="38">
          <cell r="A38">
            <v>2042</v>
          </cell>
          <cell r="B38">
            <v>53002.306277888958</v>
          </cell>
          <cell r="C38">
            <v>49331.096822762775</v>
          </cell>
          <cell r="D38">
            <v>3671.2094551261835</v>
          </cell>
          <cell r="E38">
            <v>2475.6624728620659</v>
          </cell>
          <cell r="F38">
            <v>1070.6422222326676</v>
          </cell>
          <cell r="G38">
            <v>62.647071772166171</v>
          </cell>
          <cell r="H38">
            <v>1.220473118883491</v>
          </cell>
          <cell r="I38">
            <v>72.806596886283188</v>
          </cell>
          <cell r="J38">
            <v>445.15274611176858</v>
          </cell>
          <cell r="K38">
            <v>274.42104639117179</v>
          </cell>
          <cell r="L38">
            <v>9.3544006556473871</v>
          </cell>
          <cell r="M38">
            <v>475.57264866052583</v>
          </cell>
          <cell r="N38">
            <v>274.42104639117179</v>
          </cell>
          <cell r="O38">
            <v>68261.157803046357</v>
          </cell>
          <cell r="P38">
            <v>60112.874625479977</v>
          </cell>
          <cell r="Q38">
            <v>8148.2831775663799</v>
          </cell>
          <cell r="R38">
            <v>3123.7424198670483</v>
          </cell>
          <cell r="S38">
            <v>0</v>
          </cell>
          <cell r="T38">
            <v>581.89640897303354</v>
          </cell>
          <cell r="U38">
            <v>166.41721644669911</v>
          </cell>
          <cell r="V38">
            <v>-9221.5093957311183</v>
          </cell>
          <cell r="W38">
            <v>-3849.4292326833156</v>
          </cell>
          <cell r="X38">
            <v>10630.159353955984</v>
          </cell>
          <cell r="Z38">
            <v>2042</v>
          </cell>
          <cell r="AA38">
            <v>-482.647271840271</v>
          </cell>
          <cell r="AB38">
            <v>0</v>
          </cell>
          <cell r="AC38">
            <v>-10576.342604868065</v>
          </cell>
        </row>
        <row r="39">
          <cell r="A39">
            <v>2043</v>
          </cell>
          <cell r="B39">
            <v>54905.705053142454</v>
          </cell>
          <cell r="C39">
            <v>51102.70119149518</v>
          </cell>
          <cell r="D39">
            <v>3803.0038616472734</v>
          </cell>
          <cell r="E39">
            <v>2569.5009734984183</v>
          </cell>
          <cell r="F39">
            <v>1111.224287976783</v>
          </cell>
          <cell r="G39">
            <v>65.27369428500208</v>
          </cell>
          <cell r="H39">
            <v>1.2418313984639522</v>
          </cell>
          <cell r="I39">
            <v>75.421199855013597</v>
          </cell>
          <cell r="J39">
            <v>461.1784889069591</v>
          </cell>
          <cell r="K39">
            <v>279.22341470301728</v>
          </cell>
          <cell r="L39">
            <v>9.6911642052828348</v>
          </cell>
          <cell r="M39">
            <v>492.69352461699481</v>
          </cell>
          <cell r="N39">
            <v>279.22341470301728</v>
          </cell>
          <cell r="O39">
            <v>70494.307071360454</v>
          </cell>
          <cell r="P39">
            <v>62146.831814851408</v>
          </cell>
          <cell r="Q39">
            <v>8347.4752565090457</v>
          </cell>
          <cell r="R39">
            <v>3150.9412578744395</v>
          </cell>
          <cell r="S39">
            <v>0</v>
          </cell>
          <cell r="T39">
            <v>592.07959613006165</v>
          </cell>
          <cell r="U39">
            <v>169.32951773451637</v>
          </cell>
          <cell r="V39">
            <v>-9398.2317586992067</v>
          </cell>
          <cell r="W39">
            <v>-3980.8051449234426</v>
          </cell>
          <cell r="X39">
            <v>11310.08812110613</v>
          </cell>
          <cell r="Z39">
            <v>2043</v>
          </cell>
          <cell r="AA39">
            <v>-346.50742459199029</v>
          </cell>
          <cell r="AB39">
            <v>0</v>
          </cell>
          <cell r="AC39">
            <v>-5668.3753199487064</v>
          </cell>
        </row>
        <row r="40">
          <cell r="A40">
            <v>2044</v>
          </cell>
          <cell r="B40">
            <v>56894.791042394216</v>
          </cell>
          <cell r="C40">
            <v>52954.080697265927</v>
          </cell>
          <cell r="D40">
            <v>3940.7103451282906</v>
          </cell>
          <cell r="E40">
            <v>2667.6940420805049</v>
          </cell>
          <cell r="F40">
            <v>1153.6896077527515</v>
          </cell>
          <cell r="G40">
            <v>68.029774654811618</v>
          </cell>
          <cell r="H40">
            <v>1.2635634479370714</v>
          </cell>
          <cell r="I40">
            <v>78.153507031088708</v>
          </cell>
          <cell r="J40">
            <v>477.92672294326286</v>
          </cell>
          <cell r="K40">
            <v>284.10982446032011</v>
          </cell>
          <cell r="L40">
            <v>10.043110122315994</v>
          </cell>
          <cell r="M40">
            <v>510.58626388593666</v>
          </cell>
          <cell r="N40">
            <v>284.10982446032011</v>
          </cell>
          <cell r="O40">
            <v>72844.756324219823</v>
          </cell>
          <cell r="P40">
            <v>64301.649517145095</v>
          </cell>
          <cell r="Q40">
            <v>8543.1068070747278</v>
          </cell>
          <cell r="R40">
            <v>3239.4612900676439</v>
          </cell>
          <cell r="S40">
            <v>0</v>
          </cell>
          <cell r="T40">
            <v>602.44098906233774</v>
          </cell>
          <cell r="U40">
            <v>172.29278429487042</v>
          </cell>
          <cell r="V40">
            <v>-9539.0237009684352</v>
          </cell>
          <cell r="W40">
            <v>-4114.3237818744492</v>
          </cell>
          <cell r="X40">
            <v>11824.837890408136</v>
          </cell>
          <cell r="Z40">
            <v>2044</v>
          </cell>
          <cell r="AA40">
            <v>-185.71014641981967</v>
          </cell>
          <cell r="AB40">
            <v>0</v>
          </cell>
          <cell r="AC40">
            <v>-122.18933999620842</v>
          </cell>
        </row>
        <row r="41">
          <cell r="A41">
            <v>2045</v>
          </cell>
          <cell r="B41">
            <v>58944.509841395397</v>
          </cell>
          <cell r="C41">
            <v>54861.918487022995</v>
          </cell>
          <cell r="D41">
            <v>4082.5913543724041</v>
          </cell>
          <cell r="E41">
            <v>2769.0874371086161</v>
          </cell>
          <cell r="F41">
            <v>1197.5389270162045</v>
          </cell>
          <cell r="G41">
            <v>70.887041387873083</v>
          </cell>
          <cell r="H41">
            <v>1.2856758082759703</v>
          </cell>
          <cell r="I41">
            <v>80.96910244210143</v>
          </cell>
          <cell r="J41">
            <v>495.18715121648955</v>
          </cell>
          <cell r="K41">
            <v>289.08174638837573</v>
          </cell>
          <cell r="L41">
            <v>10.405819243996413</v>
          </cell>
          <cell r="M41">
            <v>529.02619863330642</v>
          </cell>
          <cell r="N41">
            <v>289.08174638837573</v>
          </cell>
          <cell r="O41">
            <v>75313.107205289882</v>
          </cell>
          <cell r="P41">
            <v>66577.541399114503</v>
          </cell>
          <cell r="Q41">
            <v>8735.5658061753784</v>
          </cell>
          <cell r="R41">
            <v>3385.2689705978023</v>
          </cell>
          <cell r="S41">
            <v>0</v>
          </cell>
          <cell r="T41">
            <v>612.98370637092864</v>
          </cell>
          <cell r="U41">
            <v>175.30790802003065</v>
          </cell>
          <cell r="V41">
            <v>-9675.285052097388</v>
          </cell>
          <cell r="W41">
            <v>-4250.487899239226</v>
          </cell>
          <cell r="X41">
            <v>12256.988723855406</v>
          </cell>
          <cell r="Z41">
            <v>2045</v>
          </cell>
          <cell r="AA41">
            <v>-4.0032282516257816</v>
          </cell>
          <cell r="AB41">
            <v>0</v>
          </cell>
          <cell r="AC41">
            <v>6013.7846646181215</v>
          </cell>
        </row>
        <row r="42">
          <cell r="A42">
            <v>2046</v>
          </cell>
          <cell r="B42">
            <v>61025.788104981475</v>
          </cell>
          <cell r="C42">
            <v>56799.157576051046</v>
          </cell>
          <cell r="D42">
            <v>4226.630528930431</v>
          </cell>
          <cell r="E42">
            <v>2872.3287639518035</v>
          </cell>
          <cell r="F42">
            <v>1242.1872838305881</v>
          </cell>
          <cell r="G42">
            <v>73.811677277407426</v>
          </cell>
          <cell r="H42">
            <v>1.3081751349208</v>
          </cell>
          <cell r="I42">
            <v>83.828049499058267</v>
          </cell>
          <cell r="J42">
            <v>512.71563894796191</v>
          </cell>
          <cell r="K42">
            <v>294.14067695017235</v>
          </cell>
          <cell r="L42">
            <v>10.774161343556601</v>
          </cell>
          <cell r="M42">
            <v>547.75251091663404</v>
          </cell>
          <cell r="N42">
            <v>294.14067695017235</v>
          </cell>
          <cell r="O42">
            <v>77916.2517603858</v>
          </cell>
          <cell r="P42">
            <v>68989.141779512225</v>
          </cell>
          <cell r="Q42">
            <v>8927.1099808735744</v>
          </cell>
          <cell r="R42">
            <v>3581.411335458844</v>
          </cell>
          <cell r="S42">
            <v>0</v>
          </cell>
          <cell r="T42">
            <v>623.71092123241999</v>
          </cell>
          <cell r="U42">
            <v>178.37579641038121</v>
          </cell>
          <cell r="V42">
            <v>-9861.9377985196115</v>
          </cell>
          <cell r="W42">
            <v>-4391.393251987377</v>
          </cell>
          <cell r="X42">
            <v>12744.61617843113</v>
          </cell>
          <cell r="Z42">
            <v>2046</v>
          </cell>
          <cell r="AA42">
            <v>197.02662007455137</v>
          </cell>
          <cell r="AB42">
            <v>0</v>
          </cell>
          <cell r="AC42">
            <v>12774.522635082942</v>
          </cell>
        </row>
        <row r="43">
          <cell r="A43">
            <v>2047</v>
          </cell>
          <cell r="B43">
            <v>63199.799509308032</v>
          </cell>
          <cell r="C43">
            <v>58822.738174201651</v>
          </cell>
          <cell r="D43">
            <v>4377.0613351063766</v>
          </cell>
          <cell r="E43">
            <v>2980.3109766106568</v>
          </cell>
          <cell r="F43">
            <v>1288.8859222384847</v>
          </cell>
          <cell r="G43">
            <v>76.878859595130692</v>
          </cell>
          <cell r="H43">
            <v>1.331068199781914</v>
          </cell>
          <cell r="I43">
            <v>86.814379397820005</v>
          </cell>
          <cell r="J43">
            <v>531.0262539197264</v>
          </cell>
          <cell r="K43">
            <v>299.28813879680041</v>
          </cell>
          <cell r="L43">
            <v>11.158938996156266</v>
          </cell>
          <cell r="M43">
            <v>567.31439778981689</v>
          </cell>
          <cell r="N43">
            <v>299.28813879680041</v>
          </cell>
          <cell r="O43">
            <v>80705.463611087776</v>
          </cell>
          <cell r="P43">
            <v>71586.382077545248</v>
          </cell>
          <cell r="Q43">
            <v>9119.0815335425286</v>
          </cell>
          <cell r="R43">
            <v>3862.0093552010194</v>
          </cell>
          <cell r="S43">
            <v>0</v>
          </cell>
          <cell r="T43">
            <v>634.62586235398737</v>
          </cell>
          <cell r="U43">
            <v>181.4973728475629</v>
          </cell>
          <cell r="V43">
            <v>-10050.685980612339</v>
          </cell>
          <cell r="W43">
            <v>-4537.6890843866613</v>
          </cell>
          <cell r="X43">
            <v>13142.291963353302</v>
          </cell>
          <cell r="Z43">
            <v>2047</v>
          </cell>
          <cell r="AA43">
            <v>418.52529783190522</v>
          </cell>
          <cell r="AB43">
            <v>0</v>
          </cell>
          <cell r="AC43">
            <v>20074.933288511336</v>
          </cell>
        </row>
        <row r="44">
          <cell r="A44">
            <v>2048</v>
          </cell>
          <cell r="B44">
            <v>65484.237873557475</v>
          </cell>
          <cell r="C44">
            <v>60949.1341220678</v>
          </cell>
          <cell r="D44">
            <v>4535.1037514896752</v>
          </cell>
          <cell r="E44">
            <v>3093.8946811522173</v>
          </cell>
          <cell r="F44">
            <v>1338.0070539623437</v>
          </cell>
          <cell r="G44">
            <v>80.112269257908295</v>
          </cell>
          <cell r="H44">
            <v>1.3543618932780976</v>
          </cell>
          <cell r="I44">
            <v>89.952397246051902</v>
          </cell>
          <cell r="J44">
            <v>550.26787601218075</v>
          </cell>
          <cell r="K44">
            <v>304.52568122574445</v>
          </cell>
          <cell r="L44">
            <v>11.563280750508111</v>
          </cell>
          <cell r="M44">
            <v>587.87091297019458</v>
          </cell>
          <cell r="N44">
            <v>304.52568122574445</v>
          </cell>
          <cell r="O44">
            <v>83645.109750159507</v>
          </cell>
          <cell r="P44">
            <v>74331.128218010024</v>
          </cell>
          <cell r="Q44">
            <v>9313.9815321494825</v>
          </cell>
          <cell r="R44">
            <v>4091.6063101410855</v>
          </cell>
          <cell r="S44">
            <v>0</v>
          </cell>
          <cell r="T44">
            <v>645.73181494518224</v>
          </cell>
          <cell r="U44">
            <v>184.67357687239527</v>
          </cell>
          <cell r="V44">
            <v>-10322.389950974248</v>
          </cell>
          <cell r="W44">
            <v>-4698.7409115982537</v>
          </cell>
          <cell r="X44">
            <v>13791.598620255421</v>
          </cell>
          <cell r="Z44">
            <v>2048</v>
          </cell>
          <cell r="AA44">
            <v>657.70500186485322</v>
          </cell>
          <cell r="AB44">
            <v>0</v>
          </cell>
          <cell r="AC44">
            <v>28114.505060238844</v>
          </cell>
        </row>
        <row r="45">
          <cell r="A45">
            <v>2049</v>
          </cell>
          <cell r="B45">
            <v>67865.122793850693</v>
          </cell>
          <cell r="C45">
            <v>63165.336297061207</v>
          </cell>
          <cell r="D45">
            <v>4699.7864967894866</v>
          </cell>
          <cell r="E45">
            <v>3212.4475275909058</v>
          </cell>
          <cell r="F45">
            <v>1389.2771130085139</v>
          </cell>
          <cell r="G45">
            <v>83.497112883021103</v>
          </cell>
          <cell r="H45">
            <v>1.3780632264104644</v>
          </cell>
          <cell r="I45">
            <v>93.222898867539527</v>
          </cell>
          <cell r="J45">
            <v>570.32325314026116</v>
          </cell>
          <cell r="K45">
            <v>309.85488064719499</v>
          </cell>
          <cell r="L45">
            <v>11.984722681608918</v>
          </cell>
          <cell r="M45">
            <v>609.29679184883958</v>
          </cell>
          <cell r="N45">
            <v>309.85488064719499</v>
          </cell>
          <cell r="O45">
            <v>86676.93733620597</v>
          </cell>
          <cell r="P45">
            <v>77162.474346724193</v>
          </cell>
          <cell r="Q45">
            <v>9514.4629894817772</v>
          </cell>
          <cell r="R45">
            <v>4268.2897409550887</v>
          </cell>
          <cell r="S45">
            <v>0</v>
          </cell>
          <cell r="T45">
            <v>657.03212170672293</v>
          </cell>
          <cell r="U45">
            <v>187.9053644676622</v>
          </cell>
          <cell r="V45">
            <v>-10635.628388025158</v>
          </cell>
          <cell r="W45">
            <v>-4870.0498536894538</v>
          </cell>
          <cell r="X45">
            <v>14330.57007669033</v>
          </cell>
          <cell r="Z45">
            <v>2049</v>
          </cell>
          <cell r="AA45">
            <v>921.10147203607585</v>
          </cell>
          <cell r="AB45">
            <v>0</v>
          </cell>
          <cell r="AC45">
            <v>36783.704659767616</v>
          </cell>
        </row>
        <row r="46">
          <cell r="A46">
            <v>2050</v>
          </cell>
          <cell r="B46">
            <v>70297.878103964555</v>
          </cell>
          <cell r="C46">
            <v>65429.858701113706</v>
          </cell>
          <cell r="D46">
            <v>4868.0194028508504</v>
          </cell>
          <cell r="E46">
            <v>3333.8809995855668</v>
          </cell>
          <cell r="F46">
            <v>1441.7930238590266</v>
          </cell>
          <cell r="G46">
            <v>86.980371913083573</v>
          </cell>
          <cell r="H46">
            <v>1.4021793328726477</v>
          </cell>
          <cell r="I46">
            <v>96.564652229323229</v>
          </cell>
          <cell r="J46">
            <v>590.81794997301233</v>
          </cell>
          <cell r="K46">
            <v>315.2773410585209</v>
          </cell>
          <cell r="L46">
            <v>12.415396438345546</v>
          </cell>
          <cell r="M46">
            <v>631.19201172871146</v>
          </cell>
          <cell r="N46">
            <v>315.2773410585209</v>
          </cell>
          <cell r="O46">
            <v>89819.273196309689</v>
          </cell>
          <cell r="P46">
            <v>80096.522570256144</v>
          </cell>
          <cell r="Q46">
            <v>9722.7506260535447</v>
          </cell>
          <cell r="R46">
            <v>4337.56735281485</v>
          </cell>
          <cell r="S46">
            <v>0</v>
          </cell>
          <cell r="T46">
            <v>668.5301838365906</v>
          </cell>
          <cell r="U46">
            <v>191.19370834584629</v>
          </cell>
          <cell r="V46">
            <v>-11110.889070110192</v>
          </cell>
          <cell r="W46">
            <v>-5058.1971589364612</v>
          </cell>
          <cell r="X46">
            <v>14828.836514454288</v>
          </cell>
          <cell r="Z46">
            <v>2050</v>
          </cell>
          <cell r="AA46">
            <v>1205.1261239156374</v>
          </cell>
          <cell r="AB46">
            <v>0</v>
          </cell>
          <cell r="AC46">
            <v>45926.78800306881</v>
          </cell>
        </row>
        <row r="47">
          <cell r="A47">
            <v>2051</v>
          </cell>
          <cell r="B47">
            <v>72875.253879485186</v>
          </cell>
          <cell r="C47">
            <v>67824.891710708485</v>
          </cell>
          <cell r="D47">
            <v>5050.3621687767054</v>
          </cell>
          <cell r="E47">
            <v>3458.7591136737237</v>
          </cell>
          <cell r="F47">
            <v>1495.7986862892108</v>
          </cell>
          <cell r="G47">
            <v>90.5776632946841</v>
          </cell>
          <cell r="H47">
            <v>1.4267174711979191</v>
          </cell>
          <cell r="I47">
            <v>100.10506343575189</v>
          </cell>
          <cell r="J47">
            <v>612.50071462243488</v>
          </cell>
          <cell r="K47">
            <v>320.79469452704507</v>
          </cell>
          <cell r="L47">
            <v>12.871036147691246</v>
          </cell>
          <cell r="M47">
            <v>654.35648707942551</v>
          </cell>
          <cell r="N47">
            <v>320.79469452704507</v>
          </cell>
          <cell r="O47">
            <v>93159.411854881328</v>
          </cell>
          <cell r="P47">
            <v>83218.142177670554</v>
          </cell>
          <cell r="Q47">
            <v>9941.2696772107738</v>
          </cell>
          <cell r="R47">
            <v>4450.2179311125437</v>
          </cell>
          <cell r="S47">
            <v>0</v>
          </cell>
          <cell r="T47">
            <v>680.22946205373103</v>
          </cell>
          <cell r="U47">
            <v>194.5395982418986</v>
          </cell>
          <cell r="V47">
            <v>-11591.026596723968</v>
          </cell>
          <cell r="W47">
            <v>-5251.8182073145617</v>
          </cell>
          <cell r="X47">
            <v>14717.235067860305</v>
          </cell>
          <cell r="Z47">
            <v>2051</v>
          </cell>
          <cell r="AA47">
            <v>1504.6763919505431</v>
          </cell>
          <cell r="AB47">
            <v>0</v>
          </cell>
          <cell r="AC47">
            <v>54921.895453807891</v>
          </cell>
        </row>
        <row r="48">
          <cell r="A48">
            <v>2052</v>
          </cell>
          <cell r="B48">
            <v>75548.06118273281</v>
          </cell>
          <cell r="C48">
            <v>70308.526183793132</v>
          </cell>
          <cell r="D48">
            <v>5239.5349989396746</v>
          </cell>
          <cell r="E48">
            <v>3588.3148222471527</v>
          </cell>
          <cell r="F48">
            <v>1551.8272446310832</v>
          </cell>
          <cell r="G48">
            <v>94.322405958485149</v>
          </cell>
          <cell r="H48">
            <v>1.4516850269438828</v>
          </cell>
          <cell r="I48">
            <v>103.77656412219362</v>
          </cell>
          <cell r="J48">
            <v>634.98675040212981</v>
          </cell>
          <cell r="K48">
            <v>326.40860168126835</v>
          </cell>
          <cell r="L48">
            <v>13.343555725920865</v>
          </cell>
          <cell r="M48">
            <v>678.37912579620411</v>
          </cell>
          <cell r="N48">
            <v>326.40860168126835</v>
          </cell>
          <cell r="O48">
            <v>96711.782706221857</v>
          </cell>
          <cell r="P48">
            <v>86539.740905252023</v>
          </cell>
          <cell r="Q48">
            <v>10172.041800969833</v>
          </cell>
          <cell r="R48">
            <v>4631.7196395378705</v>
          </cell>
          <cell r="S48">
            <v>0</v>
          </cell>
          <cell r="T48">
            <v>692.13347763967136</v>
          </cell>
          <cell r="U48">
            <v>197.94404121113183</v>
          </cell>
          <cell r="V48">
            <v>-12112.43550048428</v>
          </cell>
          <cell r="W48">
            <v>-5453.7066179774911</v>
          </cell>
          <cell r="X48">
            <v>14558.068313465465</v>
          </cell>
          <cell r="Z48">
            <v>2052</v>
          </cell>
          <cell r="AA48">
            <v>1799.3785998053825</v>
          </cell>
          <cell r="AB48">
            <v>0</v>
          </cell>
          <cell r="AC48">
            <v>63693.372138396488</v>
          </cell>
        </row>
        <row r="49">
          <cell r="A49">
            <v>2053</v>
          </cell>
          <cell r="B49">
            <v>78335.487468516105</v>
          </cell>
          <cell r="C49">
            <v>72898.608318442246</v>
          </cell>
          <cell r="D49">
            <v>5436.8791500738535</v>
          </cell>
          <cell r="E49">
            <v>3723.4666905707913</v>
          </cell>
          <cell r="F49">
            <v>1610.2759393079416</v>
          </cell>
          <cell r="G49">
            <v>98.240211229033818</v>
          </cell>
          <cell r="H49">
            <v>1.4770895149154009</v>
          </cell>
          <cell r="I49">
            <v>107.60551112829617</v>
          </cell>
          <cell r="J49">
            <v>658.43738712013953</v>
          </cell>
          <cell r="K49">
            <v>332.12075221069057</v>
          </cell>
          <cell r="L49">
            <v>13.836345343431661</v>
          </cell>
          <cell r="M49">
            <v>703.43228230073464</v>
          </cell>
          <cell r="N49">
            <v>332.12075221069057</v>
          </cell>
          <cell r="O49">
            <v>100494.77271016924</v>
          </cell>
          <cell r="P49">
            <v>90076.318908629575</v>
          </cell>
          <cell r="Q49">
            <v>10418.453801539668</v>
          </cell>
          <cell r="R49">
            <v>4952.764325944574</v>
          </cell>
          <cell r="S49">
            <v>0</v>
          </cell>
          <cell r="T49">
            <v>704.24581349836569</v>
          </cell>
          <cell r="U49">
            <v>201.40806193232666</v>
          </cell>
          <cell r="V49">
            <v>-12602.267899225451</v>
          </cell>
          <cell r="W49">
            <v>-5658.7363797099697</v>
          </cell>
          <cell r="X49">
            <v>14573.605881795602</v>
          </cell>
          <cell r="Z49">
            <v>2053</v>
          </cell>
          <cell r="AA49">
            <v>2086.7541046842166</v>
          </cell>
          <cell r="AB49">
            <v>0</v>
          </cell>
          <cell r="AC49">
            <v>72437.204297413526</v>
          </cell>
        </row>
        <row r="50">
          <cell r="A50">
            <v>2054</v>
          </cell>
          <cell r="B50">
            <v>81226.779754345567</v>
          </cell>
          <cell r="C50">
            <v>75585.123595319383</v>
          </cell>
          <cell r="D50">
            <v>5641.6561590261863</v>
          </cell>
          <cell r="E50">
            <v>3863.7089783297938</v>
          </cell>
          <cell r="F50">
            <v>1670.9261254878882</v>
          </cell>
          <cell r="G50">
            <v>102.31933700375642</v>
          </cell>
          <cell r="H50">
            <v>1.5029385814264205</v>
          </cell>
          <cell r="I50">
            <v>111.57713362395016</v>
          </cell>
          <cell r="J50">
            <v>682.76228528698914</v>
          </cell>
          <cell r="K50">
            <v>337.93286537437768</v>
          </cell>
          <cell r="L50">
            <v>14.34750661413716</v>
          </cell>
          <cell r="M50">
            <v>729.41944367545443</v>
          </cell>
          <cell r="N50">
            <v>337.93286537437768</v>
          </cell>
          <cell r="O50">
            <v>104483.38147242053</v>
          </cell>
          <cell r="P50">
            <v>93803.68340620042</v>
          </cell>
          <cell r="Q50">
            <v>10679.698066220109</v>
          </cell>
          <cell r="R50">
            <v>5404.1732362375906</v>
          </cell>
          <cell r="S50">
            <v>0</v>
          </cell>
          <cell r="T50">
            <v>716.57011523458709</v>
          </cell>
          <cell r="U50">
            <v>204.9327030161424</v>
          </cell>
          <cell r="V50">
            <v>-13056.206438835594</v>
          </cell>
          <cell r="W50">
            <v>-5865.7343242945117</v>
          </cell>
          <cell r="X50">
            <v>14953.719373917171</v>
          </cell>
          <cell r="Z50">
            <v>2054</v>
          </cell>
          <cell r="AA50">
            <v>2373.2239057940128</v>
          </cell>
          <cell r="AB50">
            <v>0</v>
          </cell>
          <cell r="AC50">
            <v>81559.466184668345</v>
          </cell>
        </row>
        <row r="51">
          <cell r="A51">
            <v>2055</v>
          </cell>
          <cell r="B51">
            <v>84225.774111923281</v>
          </cell>
          <cell r="C51">
            <v>78371.628133563237</v>
          </cell>
          <cell r="D51">
            <v>5854.1459783600367</v>
          </cell>
          <cell r="E51">
            <v>4009.2334133215581</v>
          </cell>
          <cell r="F51">
            <v>1733.8607148457572</v>
          </cell>
          <cell r="G51">
            <v>106.56637706480312</v>
          </cell>
          <cell r="H51">
            <v>1.5292400066013829</v>
          </cell>
          <cell r="I51">
            <v>115.69670102751968</v>
          </cell>
          <cell r="J51">
            <v>707.99376378616216</v>
          </cell>
          <cell r="K51">
            <v>343.84669051842934</v>
          </cell>
          <cell r="L51">
            <v>14.877718684212443</v>
          </cell>
          <cell r="M51">
            <v>756.37513734303889</v>
          </cell>
          <cell r="N51">
            <v>343.84669051842934</v>
          </cell>
          <cell r="O51">
            <v>108665.77505352622</v>
          </cell>
          <cell r="P51">
            <v>97709.197906577218</v>
          </cell>
          <cell r="Q51">
            <v>10956.577146948999</v>
          </cell>
          <cell r="R51">
            <v>6018.6061519759642</v>
          </cell>
          <cell r="S51">
            <v>0</v>
          </cell>
          <cell r="T51">
            <v>729.11009225119244</v>
          </cell>
          <cell r="U51">
            <v>208.51902531892492</v>
          </cell>
          <cell r="V51">
            <v>-13425.641115803504</v>
          </cell>
          <cell r="W51">
            <v>-6070.7172168703892</v>
          </cell>
          <cell r="X51">
            <v>15509.349562399178</v>
          </cell>
          <cell r="Z51">
            <v>2055</v>
          </cell>
          <cell r="AA51">
            <v>2672.0920108751989</v>
          </cell>
          <cell r="AB51">
            <v>0</v>
          </cell>
          <cell r="AC51">
            <v>91330.521212127656</v>
          </cell>
        </row>
        <row r="52">
          <cell r="A52">
            <v>2056</v>
          </cell>
          <cell r="B52">
            <v>87327.783476972938</v>
          </cell>
          <cell r="C52">
            <v>81253.75074000546</v>
          </cell>
          <cell r="D52">
            <v>6074.0327369674824</v>
          </cell>
          <cell r="E52">
            <v>4159.8236682666511</v>
          </cell>
          <cell r="F52">
            <v>1798.9861402984548</v>
          </cell>
          <cell r="G52">
            <v>110.97711366580195</v>
          </cell>
          <cell r="H52">
            <v>1.5560017067169072</v>
          </cell>
          <cell r="I52">
            <v>119.95777495503032</v>
          </cell>
          <cell r="J52">
            <v>734.09247802257971</v>
          </cell>
          <cell r="K52">
            <v>349.86400760250189</v>
          </cell>
          <cell r="L52">
            <v>15.426154769796872</v>
          </cell>
          <cell r="M52">
            <v>784.25733006106577</v>
          </cell>
          <cell r="N52">
            <v>349.86400760250189</v>
          </cell>
          <cell r="O52">
            <v>113049.82530206052</v>
          </cell>
          <cell r="P52">
            <v>101798.01593369809</v>
          </cell>
          <cell r="Q52">
            <v>11251.809368362432</v>
          </cell>
          <cell r="R52">
            <v>6630.3532208672077</v>
          </cell>
          <cell r="S52">
            <v>0</v>
          </cell>
          <cell r="T52">
            <v>741.86951886558836</v>
          </cell>
          <cell r="U52">
            <v>212.16810826200611</v>
          </cell>
          <cell r="V52">
            <v>-13889.164229724003</v>
          </cell>
          <cell r="W52">
            <v>-6289.277084105599</v>
          </cell>
          <cell r="X52">
            <v>16384.47074948081</v>
          </cell>
          <cell r="Z52">
            <v>2056</v>
          </cell>
          <cell r="AA52">
            <v>2992.2162012123349</v>
          </cell>
          <cell r="AB52">
            <v>0</v>
          </cell>
          <cell r="AC52">
            <v>102011.15045899038</v>
          </cell>
        </row>
        <row r="53">
          <cell r="A53">
            <v>2057</v>
          </cell>
          <cell r="B53">
            <v>90545.065726037108</v>
          </cell>
          <cell r="C53">
            <v>84242.88709605961</v>
          </cell>
          <cell r="D53">
            <v>6302.1786299774976</v>
          </cell>
          <cell r="E53">
            <v>4316.0702226951016</v>
          </cell>
          <cell r="F53">
            <v>1866.5577434017882</v>
          </cell>
          <cell r="G53">
            <v>115.56884702872553</v>
          </cell>
          <cell r="H53">
            <v>1.5832317365844533</v>
          </cell>
          <cell r="I53">
            <v>124.37719343370749</v>
          </cell>
          <cell r="J53">
            <v>761.16152263214042</v>
          </cell>
          <cell r="K53">
            <v>355.98662773554571</v>
          </cell>
          <cell r="L53">
            <v>15.994981292502059</v>
          </cell>
          <cell r="M53">
            <v>813.17616152761696</v>
          </cell>
          <cell r="N53">
            <v>355.98662773554571</v>
          </cell>
          <cell r="O53">
            <v>117667.00769665596</v>
          </cell>
          <cell r="P53">
            <v>106101.70009173483</v>
          </cell>
          <cell r="Q53">
            <v>11565.307604921123</v>
          </cell>
          <cell r="R53">
            <v>7134.7815066712474</v>
          </cell>
          <cell r="S53">
            <v>0</v>
          </cell>
          <cell r="T53">
            <v>754.85223544573626</v>
          </cell>
          <cell r="U53">
            <v>215.88105015659124</v>
          </cell>
          <cell r="V53">
            <v>-14569.756168856984</v>
          </cell>
          <cell r="W53">
            <v>-6533.2076013375681</v>
          </cell>
          <cell r="X53">
            <v>17417.56845862919</v>
          </cell>
          <cell r="Z53">
            <v>2057</v>
          </cell>
          <cell r="AA53">
            <v>3342.1403169126752</v>
          </cell>
          <cell r="AB53">
            <v>0</v>
          </cell>
          <cell r="AC53">
            <v>113592.02185761163</v>
          </cell>
        </row>
        <row r="54">
          <cell r="A54">
            <v>2058</v>
          </cell>
          <cell r="B54">
            <v>93910.040222456228</v>
          </cell>
          <cell r="C54">
            <v>87369.188004499258</v>
          </cell>
          <cell r="D54">
            <v>6540.8522179569709</v>
          </cell>
          <cell r="E54">
            <v>4479.5267077409217</v>
          </cell>
          <cell r="F54">
            <v>1937.2472089166363</v>
          </cell>
          <cell r="G54">
            <v>120.38498153900113</v>
          </cell>
          <cell r="H54">
            <v>1.6109382919746813</v>
          </cell>
          <cell r="I54">
            <v>128.99948930907803</v>
          </cell>
          <cell r="J54">
            <v>789.47349540680523</v>
          </cell>
          <cell r="K54">
            <v>362.21639372091778</v>
          </cell>
          <cell r="L54">
            <v>16.589926598353319</v>
          </cell>
          <cell r="M54">
            <v>843.42285774337256</v>
          </cell>
          <cell r="N54">
            <v>362.21639372091778</v>
          </cell>
          <cell r="O54">
            <v>122482.70277617594</v>
          </cell>
          <cell r="P54">
            <v>110589.44073588059</v>
          </cell>
          <cell r="Q54">
            <v>11893.262040295347</v>
          </cell>
          <cell r="R54">
            <v>7513.5087901033094</v>
          </cell>
          <cell r="S54">
            <v>0</v>
          </cell>
          <cell r="T54">
            <v>768.06214956603674</v>
          </cell>
          <cell r="U54">
            <v>219.65896853433159</v>
          </cell>
          <cell r="V54">
            <v>-15416.464991657369</v>
          </cell>
          <cell r="W54">
            <v>-6801.1208092863981</v>
          </cell>
          <cell r="X54">
            <v>18512.721390551251</v>
          </cell>
          <cell r="Z54">
            <v>2058</v>
          </cell>
          <cell r="AA54">
            <v>3721.5586161100041</v>
          </cell>
          <cell r="AB54">
            <v>0</v>
          </cell>
          <cell r="AC54">
            <v>126017.2421655395</v>
          </cell>
        </row>
        <row r="55">
          <cell r="A55">
            <v>2059</v>
          </cell>
          <cell r="B55">
            <v>97401.133485698956</v>
          </cell>
          <cell r="C55">
            <v>90612.568728647602</v>
          </cell>
          <cell r="D55">
            <v>6788.5647570513493</v>
          </cell>
          <cell r="E55">
            <v>4649.1735514058037</v>
          </cell>
          <cell r="F55">
            <v>2010.6137253298696</v>
          </cell>
          <cell r="G55">
            <v>125.40014554690154</v>
          </cell>
          <cell r="H55">
            <v>1.6391297120842383</v>
          </cell>
          <cell r="I55">
            <v>133.79502817821145</v>
          </cell>
          <cell r="J55">
            <v>818.84711070106312</v>
          </cell>
          <cell r="K55">
            <v>368.55518061103385</v>
          </cell>
          <cell r="L55">
            <v>17.207181166739943</v>
          </cell>
          <cell r="M55">
            <v>874.80374474955568</v>
          </cell>
          <cell r="N55">
            <v>368.55518061103385</v>
          </cell>
          <cell r="O55">
            <v>127494.93013479517</v>
          </cell>
          <cell r="P55">
            <v>115258.65610656986</v>
          </cell>
          <cell r="Q55">
            <v>12236.274028225307</v>
          </cell>
          <cell r="R55">
            <v>7822.1984975289506</v>
          </cell>
          <cell r="S55">
            <v>0</v>
          </cell>
          <cell r="T55">
            <v>781.50323718344248</v>
          </cell>
          <cell r="U55">
            <v>223.5030004836824</v>
          </cell>
          <cell r="V55">
            <v>-16394.732261943267</v>
          </cell>
          <cell r="W55">
            <v>-7087.8040003855112</v>
          </cell>
          <cell r="X55">
            <v>19512.566024142863</v>
          </cell>
          <cell r="Z55">
            <v>2059</v>
          </cell>
          <cell r="AA55">
            <v>4128.6398964484915</v>
          </cell>
          <cell r="AB55">
            <v>0</v>
          </cell>
          <cell r="AC55">
            <v>139111.81442091643</v>
          </cell>
        </row>
        <row r="56">
          <cell r="A56">
            <v>2060</v>
          </cell>
          <cell r="B56">
            <v>101002.93128774007</v>
          </cell>
          <cell r="C56">
            <v>93958.679041435011</v>
          </cell>
          <cell r="D56">
            <v>7044.2522463050545</v>
          </cell>
          <cell r="E56">
            <v>4824.2820696823146</v>
          </cell>
          <cell r="F56">
            <v>2086.3421968233715</v>
          </cell>
          <cell r="G56">
            <v>130.59643678956053</v>
          </cell>
          <cell r="H56">
            <v>1.6678144820457126</v>
          </cell>
          <cell r="I56">
            <v>138.74263629292676</v>
          </cell>
          <cell r="J56">
            <v>849.15283850897833</v>
          </cell>
          <cell r="K56">
            <v>375.00489627172698</v>
          </cell>
          <cell r="L56">
            <v>17.844023065509347</v>
          </cell>
          <cell r="M56">
            <v>907.18044099389715</v>
          </cell>
          <cell r="N56">
            <v>375.00489627172698</v>
          </cell>
          <cell r="O56">
            <v>132698.92541985208</v>
          </cell>
          <cell r="P56">
            <v>120102.82692602879</v>
          </cell>
          <cell r="Q56">
            <v>12596.098493823287</v>
          </cell>
          <cell r="R56">
            <v>8091.2056834972191</v>
          </cell>
          <cell r="S56">
            <v>0</v>
          </cell>
          <cell r="T56">
            <v>795.17954383415281</v>
          </cell>
          <cell r="U56">
            <v>227.41430299214684</v>
          </cell>
          <cell r="V56">
            <v>-17485.93472079029</v>
          </cell>
          <cell r="W56">
            <v>-7390.0943200735101</v>
          </cell>
          <cell r="X56">
            <v>20107.349041645866</v>
          </cell>
          <cell r="Z56">
            <v>2060</v>
          </cell>
          <cell r="AA56">
            <v>4557.6508199652781</v>
          </cell>
          <cell r="AB56">
            <v>0</v>
          </cell>
          <cell r="AC56">
            <v>152399.41889731985</v>
          </cell>
        </row>
      </sheetData>
      <sheetData sheetId="3" refreshError="1">
        <row r="3">
          <cell r="B3" t="str">
            <v>Masse des cotisations</v>
          </cell>
          <cell r="C3" t="str">
            <v>Transferts AGFF</v>
          </cell>
          <cell r="D3" t="str">
            <v>Excédents AGFF</v>
          </cell>
          <cell r="E3" t="str">
            <v>Transferts UNEDIC</v>
          </cell>
          <cell r="F3" t="str">
            <v>Masse des pensions     DD-H</v>
          </cell>
          <cell r="G3" t="str">
            <v>Masse des pensions     DD-F</v>
          </cell>
          <cell r="H3" t="str">
            <v>Masse des pensions     CS-H</v>
          </cell>
          <cell r="I3" t="str">
            <v>Masse des pensions     CS-F</v>
          </cell>
          <cell r="J3" t="str">
            <v>Dépenses de gestion</v>
          </cell>
          <cell r="K3" t="str">
            <v>Action sociale</v>
          </cell>
          <cell r="L3" t="str">
            <v>Transferts de solidarité</v>
          </cell>
          <cell r="M3" t="str">
            <v>Produits financiers</v>
          </cell>
          <cell r="N3" t="str">
            <v>Impôts</v>
          </cell>
          <cell r="O3" t="str">
            <v>Recettes diverses</v>
          </cell>
          <cell r="R3" t="str">
            <v>Effectifs cotisants</v>
          </cell>
          <cell r="S3" t="str">
            <v>Effectifs cotisants - H</v>
          </cell>
          <cell r="T3" t="str">
            <v>Effectifs cotisants - F</v>
          </cell>
          <cell r="U3" t="str">
            <v>Effectifs de pensionnés DD-H</v>
          </cell>
          <cell r="V3" t="str">
            <v>Effectifs de pensionnés DD-F</v>
          </cell>
          <cell r="W3" t="str">
            <v>Effectifs de pensionnés CS-H</v>
          </cell>
          <cell r="X3" t="str">
            <v>Effectifs de pensionnés CS-F</v>
          </cell>
          <cell r="Y3" t="str">
            <v>Effectifs flux nouveaux   DD-H</v>
          </cell>
          <cell r="Z3" t="str">
            <v>Effectifs flux nouveaux   DD-F</v>
          </cell>
          <cell r="AA3" t="str">
            <v>Effectifs flux nouveaux   CS-H</v>
          </cell>
          <cell r="AB3" t="str">
            <v>Effectifs flux nouveaux   CS-F</v>
          </cell>
          <cell r="AC3" t="str">
            <v>Age moyen nouveaux  DD</v>
          </cell>
          <cell r="AD3" t="str">
            <v>Age moyen nouveaux  DD-H</v>
          </cell>
          <cell r="AE3" t="str">
            <v>Age moyen nouveaux  DD-F</v>
          </cell>
          <cell r="AF3" t="str">
            <v>DAT nouveaux  DD</v>
          </cell>
          <cell r="AG3" t="str">
            <v>DAT nouveaux  DD-H</v>
          </cell>
          <cell r="AH3" t="str">
            <v>DAT nouveaux  DD-F</v>
          </cell>
          <cell r="AK3" t="str">
            <v>PM en € flux nouveaux   DD</v>
          </cell>
          <cell r="AL3" t="str">
            <v>PM en € flux nouveaux   DD-H</v>
          </cell>
          <cell r="AM3" t="str">
            <v>PM en € flux nouveaux   DD-F</v>
          </cell>
          <cell r="AN3" t="str">
            <v>PM en € flux nouveaux   CS</v>
          </cell>
          <cell r="AO3" t="str">
            <v>PM en € flux nouveaux   CS-H</v>
          </cell>
          <cell r="AP3" t="str">
            <v>PM en € flux nouveaux   CS-F</v>
          </cell>
          <cell r="BI3" t="str">
            <v>Age moyen de départ</v>
          </cell>
          <cell r="BJ3" t="str">
            <v>Pension moyenne en points</v>
          </cell>
          <cell r="BK3" t="str">
            <v xml:space="preserve">Pension moyenne en euros 2011 </v>
          </cell>
          <cell r="BL3" t="str">
            <v>Part des départs à 60 ans</v>
          </cell>
        </row>
        <row r="4">
          <cell r="A4">
            <v>2008</v>
          </cell>
          <cell r="B4">
            <v>16491.418741000001</v>
          </cell>
          <cell r="C4">
            <v>2774.7205983334002</v>
          </cell>
          <cell r="D4">
            <v>80.385431999999994</v>
          </cell>
          <cell r="E4">
            <v>764.13339399999995</v>
          </cell>
          <cell r="F4">
            <v>15331.945815115794</v>
          </cell>
          <cell r="G4">
            <v>1857.8367841119789</v>
          </cell>
          <cell r="H4">
            <v>43.701514971189646</v>
          </cell>
          <cell r="I4">
            <v>3229.7771288010381</v>
          </cell>
          <cell r="J4">
            <v>357.10203799999999</v>
          </cell>
          <cell r="K4">
            <v>99.253018999999995</v>
          </cell>
          <cell r="L4">
            <v>-888.96880272409669</v>
          </cell>
          <cell r="M4">
            <v>0</v>
          </cell>
          <cell r="O4">
            <v>132.31710699999996</v>
          </cell>
          <cell r="Q4">
            <v>2008</v>
          </cell>
          <cell r="R4">
            <v>3896683</v>
          </cell>
          <cell r="S4">
            <v>2575812</v>
          </cell>
          <cell r="T4">
            <v>1320871</v>
          </cell>
          <cell r="U4">
            <v>1423993</v>
          </cell>
          <cell r="V4">
            <v>428823</v>
          </cell>
          <cell r="W4">
            <v>16702</v>
          </cell>
          <cell r="X4">
            <v>523225</v>
          </cell>
          <cell r="Y4">
            <v>105775</v>
          </cell>
          <cell r="Z4">
            <v>40840</v>
          </cell>
          <cell r="AA4">
            <v>1693</v>
          </cell>
          <cell r="AB4">
            <v>30065</v>
          </cell>
          <cell r="AC4">
            <v>60.8</v>
          </cell>
          <cell r="AD4">
            <v>60.6</v>
          </cell>
          <cell r="AE4">
            <v>61.1</v>
          </cell>
          <cell r="AJ4">
            <v>2008</v>
          </cell>
          <cell r="AK4">
            <v>7557.5027911533607</v>
          </cell>
          <cell r="AL4">
            <v>9036.5260769496581</v>
          </cell>
          <cell r="AM4">
            <v>3726.8542099804113</v>
          </cell>
          <cell r="AN4">
            <v>6271.202250092103</v>
          </cell>
          <cell r="AO4">
            <v>2546.0940244093326</v>
          </cell>
          <cell r="AP4">
            <v>6480.9680317678367</v>
          </cell>
          <cell r="BH4">
            <v>1934</v>
          </cell>
        </row>
        <row r="5">
          <cell r="A5">
            <v>2009</v>
          </cell>
          <cell r="B5">
            <v>16065.779649</v>
          </cell>
          <cell r="C5">
            <v>2836.4867490000001</v>
          </cell>
          <cell r="D5">
            <v>0</v>
          </cell>
          <cell r="E5">
            <v>913.67485399999998</v>
          </cell>
          <cell r="F5">
            <v>16076.300638256469</v>
          </cell>
          <cell r="G5">
            <v>2003.8349660296979</v>
          </cell>
          <cell r="H5">
            <v>45.732726321056788</v>
          </cell>
          <cell r="I5">
            <v>3340.2484303927849</v>
          </cell>
          <cell r="J5">
            <v>375.22940499999999</v>
          </cell>
          <cell r="K5">
            <v>102.43380399999999</v>
          </cell>
          <cell r="L5">
            <v>-965.89118232134877</v>
          </cell>
          <cell r="M5">
            <v>460.58878799999997</v>
          </cell>
          <cell r="O5">
            <v>101.21551900000003</v>
          </cell>
          <cell r="Q5">
            <v>2009</v>
          </cell>
          <cell r="R5">
            <v>3927242</v>
          </cell>
          <cell r="S5">
            <v>2575521</v>
          </cell>
          <cell r="T5">
            <v>1351721</v>
          </cell>
          <cell r="U5">
            <v>1486847</v>
          </cell>
          <cell r="V5">
            <v>462702</v>
          </cell>
          <cell r="W5">
            <v>17516</v>
          </cell>
          <cell r="X5">
            <v>534615</v>
          </cell>
          <cell r="Y5">
            <v>90388</v>
          </cell>
          <cell r="Z5">
            <v>39249</v>
          </cell>
          <cell r="AA5">
            <v>1723</v>
          </cell>
          <cell r="AB5">
            <v>29316</v>
          </cell>
          <cell r="AC5">
            <v>61.3</v>
          </cell>
          <cell r="AD5">
            <v>61.3</v>
          </cell>
          <cell r="AE5">
            <v>61.3</v>
          </cell>
          <cell r="AJ5">
            <v>2009</v>
          </cell>
          <cell r="AK5">
            <v>8054.7774796662998</v>
          </cell>
          <cell r="AL5">
            <v>9883.7663030629064</v>
          </cell>
          <cell r="AM5">
            <v>3842.7302486751255</v>
          </cell>
          <cell r="AN5">
            <v>6287.7800689374662</v>
          </cell>
          <cell r="AO5">
            <v>2704.847462565293</v>
          </cell>
          <cell r="AP5">
            <v>6498.3610786515901</v>
          </cell>
          <cell r="BH5">
            <v>1935</v>
          </cell>
        </row>
        <row r="6">
          <cell r="A6">
            <v>2010</v>
          </cell>
          <cell r="B6">
            <v>16522.124759000002</v>
          </cell>
          <cell r="C6">
            <v>2865.0568130000001</v>
          </cell>
          <cell r="D6">
            <v>0</v>
          </cell>
          <cell r="E6">
            <v>807.02542600000004</v>
          </cell>
          <cell r="F6">
            <v>16766.330532186195</v>
          </cell>
          <cell r="G6">
            <v>2146.686050863505</v>
          </cell>
          <cell r="H6">
            <v>47.582134527594654</v>
          </cell>
          <cell r="I6">
            <v>3424.9374844227054</v>
          </cell>
          <cell r="J6">
            <v>357.74650400000002</v>
          </cell>
          <cell r="K6">
            <v>100.232026</v>
          </cell>
          <cell r="L6">
            <v>-1025.886773660633</v>
          </cell>
          <cell r="M6">
            <v>775.34841099999994</v>
          </cell>
          <cell r="O6">
            <v>124.52730900000006</v>
          </cell>
          <cell r="Q6">
            <v>2010</v>
          </cell>
          <cell r="R6">
            <v>3933955</v>
          </cell>
          <cell r="S6">
            <v>2561815</v>
          </cell>
          <cell r="T6">
            <v>1372140</v>
          </cell>
          <cell r="U6">
            <v>1539044</v>
          </cell>
          <cell r="V6">
            <v>495527</v>
          </cell>
          <cell r="W6">
            <v>18339</v>
          </cell>
          <cell r="X6">
            <v>544467</v>
          </cell>
          <cell r="Y6">
            <v>91766</v>
          </cell>
          <cell r="Z6">
            <v>40727</v>
          </cell>
          <cell r="AA6">
            <v>1778</v>
          </cell>
          <cell r="AB6">
            <v>28951</v>
          </cell>
          <cell r="AC6">
            <v>61.2</v>
          </cell>
          <cell r="AD6">
            <v>61.2</v>
          </cell>
          <cell r="AE6">
            <v>61.3</v>
          </cell>
          <cell r="AJ6">
            <v>2010</v>
          </cell>
          <cell r="AK6">
            <v>7640.8786186021143</v>
          </cell>
          <cell r="AL6">
            <v>9353.311988066931</v>
          </cell>
          <cell r="AM6">
            <v>3782.4269628870284</v>
          </cell>
          <cell r="AN6">
            <v>6337.6137725308345</v>
          </cell>
          <cell r="AO6">
            <v>2624.0033004780653</v>
          </cell>
          <cell r="AP6">
            <v>6565.6818675641598</v>
          </cell>
          <cell r="BH6">
            <v>1936</v>
          </cell>
        </row>
        <row r="7">
          <cell r="A7">
            <v>2011</v>
          </cell>
          <cell r="B7">
            <v>17300.162940000002</v>
          </cell>
          <cell r="C7">
            <v>2759.9013880000002</v>
          </cell>
          <cell r="D7">
            <v>0</v>
          </cell>
          <cell r="E7">
            <v>524.37416000000007</v>
          </cell>
          <cell r="F7">
            <v>17152.39563219617</v>
          </cell>
          <cell r="G7">
            <v>2259.8194822805922</v>
          </cell>
          <cell r="H7">
            <v>49.87684055215901</v>
          </cell>
          <cell r="I7">
            <v>3502.8633919710751</v>
          </cell>
          <cell r="J7">
            <v>370.68195800000001</v>
          </cell>
          <cell r="K7">
            <v>103.870209</v>
          </cell>
          <cell r="L7">
            <v>-1024.1686229968486</v>
          </cell>
          <cell r="M7">
            <v>68.820339999999987</v>
          </cell>
          <cell r="O7">
            <v>47.928714000000014</v>
          </cell>
          <cell r="Q7">
            <v>2011</v>
          </cell>
          <cell r="R7">
            <v>4008700</v>
          </cell>
          <cell r="U7">
            <v>1577667</v>
          </cell>
          <cell r="V7">
            <v>524375</v>
          </cell>
          <cell r="W7">
            <v>19242</v>
          </cell>
          <cell r="X7">
            <v>552385</v>
          </cell>
          <cell r="Y7">
            <v>75012</v>
          </cell>
          <cell r="Z7">
            <v>33275</v>
          </cell>
          <cell r="AA7">
            <v>1838.5518638000001</v>
          </cell>
          <cell r="AB7">
            <v>29707.050009999999</v>
          </cell>
          <cell r="AC7">
            <v>61.9</v>
          </cell>
          <cell r="AD7">
            <v>61.8</v>
          </cell>
          <cell r="AE7">
            <v>61.9</v>
          </cell>
          <cell r="AJ7">
            <v>2011</v>
          </cell>
          <cell r="AK7">
            <v>7510.3203050748934</v>
          </cell>
          <cell r="AL7">
            <v>9201.0290918051451</v>
          </cell>
          <cell r="AM7">
            <v>3698.9469764435016</v>
          </cell>
          <cell r="AN7">
            <v>6536.1849681676485</v>
          </cell>
          <cell r="AO7">
            <v>2422.3364558454018</v>
          </cell>
          <cell r="AP7">
            <v>6790.788634542293</v>
          </cell>
          <cell r="BH7">
            <v>1937</v>
          </cell>
        </row>
        <row r="8">
          <cell r="A8">
            <v>2012</v>
          </cell>
          <cell r="B8">
            <v>17325.204108304322</v>
          </cell>
          <cell r="C8">
            <v>2255.6282153495104</v>
          </cell>
          <cell r="D8">
            <v>275.43760678670878</v>
          </cell>
          <cell r="E8">
            <v>739.8432986341594</v>
          </cell>
          <cell r="F8">
            <v>17291.77152494149</v>
          </cell>
          <cell r="G8">
            <v>2340.2143118717208</v>
          </cell>
          <cell r="H8">
            <v>51.283481211978305</v>
          </cell>
          <cell r="I8">
            <v>3543.3360797699388</v>
          </cell>
          <cell r="J8">
            <v>361.0783415112856</v>
          </cell>
          <cell r="K8">
            <v>102.23386653581944</v>
          </cell>
          <cell r="L8">
            <v>-1088.2496899765076</v>
          </cell>
          <cell r="M8">
            <v>313.738959764475</v>
          </cell>
          <cell r="O8">
            <v>-6.5696216915788161</v>
          </cell>
          <cell r="Q8">
            <v>2012</v>
          </cell>
          <cell r="R8">
            <v>4036761</v>
          </cell>
          <cell r="U8">
            <v>1603974</v>
          </cell>
          <cell r="V8">
            <v>547632</v>
          </cell>
          <cell r="W8">
            <v>20014</v>
          </cell>
          <cell r="X8">
            <v>559565</v>
          </cell>
          <cell r="Y8">
            <v>74550</v>
          </cell>
          <cell r="Z8">
            <v>31358</v>
          </cell>
          <cell r="AA8">
            <v>1907.9254449</v>
          </cell>
          <cell r="AB8">
            <v>30722.551596000001</v>
          </cell>
          <cell r="AC8">
            <v>62</v>
          </cell>
          <cell r="AD8">
            <v>62</v>
          </cell>
          <cell r="AE8">
            <v>62.2</v>
          </cell>
          <cell r="AJ8">
            <v>2012</v>
          </cell>
          <cell r="AK8">
            <v>8047.7341489250575</v>
          </cell>
          <cell r="AL8">
            <v>9845.7307122944731</v>
          </cell>
          <cell r="AM8">
            <v>3773.2063155431474</v>
          </cell>
          <cell r="AN8">
            <v>6468.7859063379328</v>
          </cell>
          <cell r="AO8">
            <v>2404.3881763822783</v>
          </cell>
          <cell r="AP8">
            <v>6721.1922802989357</v>
          </cell>
          <cell r="BH8">
            <v>1938</v>
          </cell>
        </row>
        <row r="9">
          <cell r="A9">
            <v>2013</v>
          </cell>
          <cell r="B9">
            <v>17600.074389490153</v>
          </cell>
          <cell r="C9">
            <v>1871.2620052311513</v>
          </cell>
          <cell r="D9">
            <v>565.48479583499375</v>
          </cell>
          <cell r="E9">
            <v>751.15466996591886</v>
          </cell>
          <cell r="F9">
            <v>16763.688066242066</v>
          </cell>
          <cell r="G9">
            <v>2320.819854064961</v>
          </cell>
          <cell r="H9">
            <v>50.386255067836501</v>
          </cell>
          <cell r="I9">
            <v>3428.2757282202601</v>
          </cell>
          <cell r="J9">
            <v>353.8567746810599</v>
          </cell>
          <cell r="K9">
            <v>100.62388438564906</v>
          </cell>
          <cell r="L9">
            <v>-1061.5215533275386</v>
          </cell>
          <cell r="M9">
            <v>187.90588499475012</v>
          </cell>
          <cell r="O9">
            <v>-6.673854973862527</v>
          </cell>
          <cell r="Q9">
            <v>2013</v>
          </cell>
          <cell r="R9">
            <v>4077129</v>
          </cell>
          <cell r="U9">
            <v>1634504</v>
          </cell>
          <cell r="V9">
            <v>571495</v>
          </cell>
          <cell r="W9">
            <v>20785</v>
          </cell>
          <cell r="X9">
            <v>566918</v>
          </cell>
          <cell r="Y9">
            <v>86412</v>
          </cell>
          <cell r="Z9">
            <v>35353</v>
          </cell>
          <cell r="AA9">
            <v>1971.5105748999999</v>
          </cell>
          <cell r="AB9">
            <v>31570.198701000001</v>
          </cell>
          <cell r="AC9">
            <v>62.2</v>
          </cell>
          <cell r="AD9">
            <v>62.2</v>
          </cell>
          <cell r="AE9">
            <v>62.4</v>
          </cell>
          <cell r="AJ9">
            <v>2013</v>
          </cell>
          <cell r="AK9">
            <v>8226.5132942936107</v>
          </cell>
          <cell r="AL9">
            <v>10041.067744341753</v>
          </cell>
          <cell r="AM9">
            <v>3791.2665220943582</v>
          </cell>
          <cell r="AN9">
            <v>6434.6371381608396</v>
          </cell>
          <cell r="AO9">
            <v>2395.4143996575754</v>
          </cell>
          <cell r="AP9">
            <v>6686.8804141299406</v>
          </cell>
          <cell r="BH9">
            <v>1939</v>
          </cell>
        </row>
        <row r="10">
          <cell r="A10">
            <v>2014</v>
          </cell>
          <cell r="B10">
            <v>18032.312239238134</v>
          </cell>
          <cell r="C10">
            <v>1640.5191637940648</v>
          </cell>
          <cell r="D10">
            <v>750.10375393242327</v>
          </cell>
          <cell r="E10">
            <v>745.13144768777215</v>
          </cell>
          <cell r="F10">
            <v>17773.774215876401</v>
          </cell>
          <cell r="G10">
            <v>2509.4939444121405</v>
          </cell>
          <cell r="H10">
            <v>54.099922161868022</v>
          </cell>
          <cell r="I10">
            <v>3626.6714212916381</v>
          </cell>
          <cell r="J10">
            <v>346.77963918743865</v>
          </cell>
          <cell r="K10">
            <v>98.893252467468344</v>
          </cell>
          <cell r="L10">
            <v>-1193.994395898661</v>
          </cell>
          <cell r="M10">
            <v>246.85452013103659</v>
          </cell>
          <cell r="O10">
            <v>-6.8377645828065887</v>
          </cell>
          <cell r="Q10">
            <v>2014</v>
          </cell>
          <cell r="R10">
            <v>4159078.9999999995</v>
          </cell>
          <cell r="U10">
            <v>1671350</v>
          </cell>
          <cell r="V10">
            <v>598619</v>
          </cell>
          <cell r="W10">
            <v>21552</v>
          </cell>
          <cell r="X10">
            <v>574201</v>
          </cell>
          <cell r="Y10">
            <v>90168</v>
          </cell>
          <cell r="Z10">
            <v>38809</v>
          </cell>
          <cell r="AA10">
            <v>2035.4208666</v>
          </cell>
          <cell r="AB10">
            <v>32340.018985999999</v>
          </cell>
          <cell r="AC10">
            <v>62.4</v>
          </cell>
          <cell r="AD10">
            <v>62.4</v>
          </cell>
          <cell r="AE10">
            <v>62.6</v>
          </cell>
          <cell r="AJ10">
            <v>2014</v>
          </cell>
          <cell r="AK10">
            <v>8258.9246779220666</v>
          </cell>
          <cell r="AL10">
            <v>10190.087061187403</v>
          </cell>
          <cell r="AM10">
            <v>3772.1033278674736</v>
          </cell>
          <cell r="AN10">
            <v>6389.918247333384</v>
          </cell>
          <cell r="AO10">
            <v>2381.5774291223888</v>
          </cell>
          <cell r="AP10">
            <v>6642.1957906880452</v>
          </cell>
          <cell r="BH10">
            <v>1940</v>
          </cell>
        </row>
        <row r="11">
          <cell r="A11">
            <v>2015</v>
          </cell>
          <cell r="B11">
            <v>18420.059895646358</v>
          </cell>
          <cell r="C11">
            <v>1434.6000417831328</v>
          </cell>
          <cell r="D11">
            <v>974.37978688974681</v>
          </cell>
          <cell r="E11">
            <v>720.8284745068155</v>
          </cell>
          <cell r="F11">
            <v>18138.331342286714</v>
          </cell>
          <cell r="G11">
            <v>2611.4051221567433</v>
          </cell>
          <cell r="H11">
            <v>55.412257898562295</v>
          </cell>
          <cell r="I11">
            <v>3660.5834947180101</v>
          </cell>
          <cell r="J11">
            <v>339.84404640368996</v>
          </cell>
          <cell r="K11">
            <v>97.192385717413615</v>
          </cell>
          <cell r="L11">
            <v>-1253.2759585788149</v>
          </cell>
          <cell r="M11">
            <v>174.53943999780407</v>
          </cell>
          <cell r="O11">
            <v>-6.9848042876951881</v>
          </cell>
          <cell r="Q11">
            <v>2015</v>
          </cell>
          <cell r="R11">
            <v>4242676</v>
          </cell>
          <cell r="U11">
            <v>1712742</v>
          </cell>
          <cell r="V11">
            <v>627918</v>
          </cell>
          <cell r="W11">
            <v>22318</v>
          </cell>
          <cell r="X11">
            <v>581301</v>
          </cell>
          <cell r="Y11">
            <v>98594</v>
          </cell>
          <cell r="Z11">
            <v>40695</v>
          </cell>
          <cell r="AA11">
            <v>2096.3056984999998</v>
          </cell>
          <cell r="AB11">
            <v>33053.714660999998</v>
          </cell>
          <cell r="AC11">
            <v>62.8</v>
          </cell>
          <cell r="AD11">
            <v>62.8</v>
          </cell>
          <cell r="AE11">
            <v>63</v>
          </cell>
          <cell r="AJ11">
            <v>2015</v>
          </cell>
          <cell r="AK11">
            <v>8522.4828388108417</v>
          </cell>
          <cell r="AL11">
            <v>10483.524025560706</v>
          </cell>
          <cell r="AM11">
            <v>3771.3612079860181</v>
          </cell>
          <cell r="AN11">
            <v>6342.4299396298302</v>
          </cell>
          <cell r="AO11">
            <v>2368.5223162615089</v>
          </cell>
          <cell r="AP11">
            <v>6594.4598636979044</v>
          </cell>
          <cell r="BH11">
            <v>1941</v>
          </cell>
        </row>
        <row r="12">
          <cell r="A12">
            <v>2016</v>
          </cell>
          <cell r="B12">
            <v>18796.303316065299</v>
          </cell>
          <cell r="C12">
            <v>1237.8108858305434</v>
          </cell>
          <cell r="D12">
            <v>1229.7407569316558</v>
          </cell>
          <cell r="E12">
            <v>684.86806446574485</v>
          </cell>
          <cell r="F12">
            <v>18628.165803477099</v>
          </cell>
          <cell r="G12">
            <v>2741.7796622712681</v>
          </cell>
          <cell r="H12">
            <v>56.68693412252135</v>
          </cell>
          <cell r="I12">
            <v>3690.1453513310221</v>
          </cell>
          <cell r="J12">
            <v>339.84404640368996</v>
          </cell>
          <cell r="K12">
            <v>97.1923857174136</v>
          </cell>
          <cell r="L12">
            <v>-1336.641161355755</v>
          </cell>
          <cell r="M12">
            <v>102.02105499780164</v>
          </cell>
          <cell r="O12">
            <v>-7.1274811807867158</v>
          </cell>
          <cell r="Q12">
            <v>2016</v>
          </cell>
          <cell r="R12">
            <v>4315226</v>
          </cell>
          <cell r="U12">
            <v>1756757</v>
          </cell>
          <cell r="V12">
            <v>658140</v>
          </cell>
          <cell r="W12">
            <v>23081</v>
          </cell>
          <cell r="X12">
            <v>588155</v>
          </cell>
          <cell r="Y12">
            <v>98579</v>
          </cell>
          <cell r="Z12">
            <v>41696</v>
          </cell>
          <cell r="AA12">
            <v>2158.7609407</v>
          </cell>
          <cell r="AB12">
            <v>33734.823571000001</v>
          </cell>
          <cell r="AC12">
            <v>62.9</v>
          </cell>
          <cell r="AD12">
            <v>62.8</v>
          </cell>
          <cell r="AE12">
            <v>63</v>
          </cell>
          <cell r="AJ12">
            <v>2016</v>
          </cell>
          <cell r="AK12">
            <v>8352.7952669782007</v>
          </cell>
          <cell r="AL12">
            <v>10309.190454813759</v>
          </cell>
          <cell r="AM12">
            <v>3727.4239790455113</v>
          </cell>
          <cell r="AN12">
            <v>6288.0807422882781</v>
          </cell>
          <cell r="AO12">
            <v>2353.1391772970346</v>
          </cell>
          <cell r="AP12">
            <v>6539.8857691194353</v>
          </cell>
          <cell r="BH12">
            <v>1942</v>
          </cell>
          <cell r="BI12">
            <v>61.516180387913096</v>
          </cell>
          <cell r="BJ12">
            <v>21940.295357905095</v>
          </cell>
          <cell r="BK12">
            <v>9278.0023994741168</v>
          </cell>
          <cell r="BL12">
            <v>0.57201573295596442</v>
          </cell>
        </row>
        <row r="13">
          <cell r="A13">
            <v>2017</v>
          </cell>
          <cell r="B13">
            <v>19245.450990995123</v>
          </cell>
          <cell r="C13">
            <v>1240.7016266314056</v>
          </cell>
          <cell r="D13">
            <v>1292.4721129012914</v>
          </cell>
          <cell r="E13">
            <v>656.3357281209627</v>
          </cell>
          <cell r="F13">
            <v>18888.546630564178</v>
          </cell>
          <cell r="G13">
            <v>2835.5741624777979</v>
          </cell>
          <cell r="H13">
            <v>57.944265683399585</v>
          </cell>
          <cell r="I13">
            <v>3715.9131979312087</v>
          </cell>
          <cell r="J13">
            <v>339.84404640368996</v>
          </cell>
          <cell r="K13">
            <v>97.1923857174136</v>
          </cell>
          <cell r="L13">
            <v>-1362.8834145310007</v>
          </cell>
          <cell r="M13">
            <v>22.710655361733803</v>
          </cell>
          <cell r="O13">
            <v>-7.2978027616334238</v>
          </cell>
          <cell r="Q13">
            <v>2017</v>
          </cell>
          <cell r="R13">
            <v>4389016</v>
          </cell>
          <cell r="U13">
            <v>1799567</v>
          </cell>
          <cell r="V13">
            <v>690536</v>
          </cell>
          <cell r="W13">
            <v>23846</v>
          </cell>
          <cell r="X13">
            <v>594715</v>
          </cell>
          <cell r="Y13">
            <v>99391</v>
          </cell>
          <cell r="Z13">
            <v>46121</v>
          </cell>
          <cell r="AA13">
            <v>2221.7236773</v>
          </cell>
          <cell r="AB13">
            <v>34346.570606000001</v>
          </cell>
          <cell r="AC13">
            <v>62.7</v>
          </cell>
          <cell r="AD13">
            <v>62.7</v>
          </cell>
          <cell r="AE13">
            <v>62.8</v>
          </cell>
          <cell r="AJ13">
            <v>2017</v>
          </cell>
          <cell r="AK13">
            <v>8032.8894328647311</v>
          </cell>
          <cell r="AL13">
            <v>10051.58655227131</v>
          </cell>
          <cell r="AM13">
            <v>3682.5864169947527</v>
          </cell>
          <cell r="AN13">
            <v>6234.7259896251817</v>
          </cell>
          <cell r="AO13">
            <v>2338.6101068359994</v>
          </cell>
          <cell r="AP13">
            <v>6486.7480329783293</v>
          </cell>
          <cell r="BH13">
            <v>1943</v>
          </cell>
          <cell r="BI13">
            <v>61.570778468144937</v>
          </cell>
          <cell r="BJ13">
            <v>21675.975980167252</v>
          </cell>
          <cell r="BK13">
            <v>9166.2283426132271</v>
          </cell>
          <cell r="BL13">
            <v>0.54792034809705681</v>
          </cell>
        </row>
        <row r="14">
          <cell r="A14">
            <v>2018</v>
          </cell>
          <cell r="B14">
            <v>19863.115109580045</v>
          </cell>
          <cell r="C14">
            <v>1228.3374796041396</v>
          </cell>
          <cell r="D14">
            <v>1234.0553717854905</v>
          </cell>
          <cell r="E14">
            <v>673.22574158578482</v>
          </cell>
          <cell r="F14">
            <v>19228.528227893556</v>
          </cell>
          <cell r="G14">
            <v>2957.8387009909748</v>
          </cell>
          <cell r="H14">
            <v>59.321127194378455</v>
          </cell>
          <cell r="I14">
            <v>3746.2528740367693</v>
          </cell>
          <cell r="J14">
            <v>339.84404640368996</v>
          </cell>
          <cell r="K14">
            <v>97.1923857174136</v>
          </cell>
          <cell r="L14">
            <v>-1387.1005699311415</v>
          </cell>
          <cell r="M14">
            <v>-53.567372998269079</v>
          </cell>
          <cell r="O14">
            <v>-7.5320245847426825</v>
          </cell>
          <cell r="Q14">
            <v>2018</v>
          </cell>
          <cell r="R14">
            <v>4438612</v>
          </cell>
          <cell r="U14">
            <v>1837960</v>
          </cell>
          <cell r="V14">
            <v>724401</v>
          </cell>
          <cell r="W14">
            <v>24612</v>
          </cell>
          <cell r="X14">
            <v>600964</v>
          </cell>
          <cell r="Y14">
            <v>92895</v>
          </cell>
          <cell r="Z14">
            <v>45750</v>
          </cell>
          <cell r="AA14">
            <v>2282.6537133000002</v>
          </cell>
          <cell r="AB14">
            <v>34942.860923</v>
          </cell>
          <cell r="AC14">
            <v>62.8</v>
          </cell>
          <cell r="AD14">
            <v>62.8</v>
          </cell>
          <cell r="AE14">
            <v>62.9</v>
          </cell>
          <cell r="AJ14">
            <v>2018</v>
          </cell>
          <cell r="AK14">
            <v>7883.8874032863323</v>
          </cell>
          <cell r="AL14">
            <v>9961.1420210905835</v>
          </cell>
          <cell r="AM14">
            <v>3666.0389285119923</v>
          </cell>
          <cell r="AN14">
            <v>6191.652160753576</v>
          </cell>
          <cell r="AO14">
            <v>2328.6762885586454</v>
          </cell>
          <cell r="AP14">
            <v>6444.0023114319956</v>
          </cell>
          <cell r="BH14">
            <v>1944</v>
          </cell>
          <cell r="BI14">
            <v>61.596693074174212</v>
          </cell>
          <cell r="BJ14">
            <v>21063.670845365577</v>
          </cell>
          <cell r="BK14">
            <v>8907.2998087339693</v>
          </cell>
          <cell r="BL14">
            <v>0.54631397833197826</v>
          </cell>
        </row>
        <row r="15">
          <cell r="A15">
            <v>2019</v>
          </cell>
          <cell r="B15">
            <v>20313.40876939852</v>
          </cell>
          <cell r="C15">
            <v>1222.8033296868618</v>
          </cell>
          <cell r="D15">
            <v>1160.6158923902735</v>
          </cell>
          <cell r="E15">
            <v>672.93868027644191</v>
          </cell>
          <cell r="F15">
            <v>19486.06823815473</v>
          </cell>
          <cell r="G15">
            <v>3065.4036348125278</v>
          </cell>
          <cell r="H15">
            <v>60.643614765872066</v>
          </cell>
          <cell r="I15">
            <v>3769.7731007831048</v>
          </cell>
          <cell r="J15">
            <v>339.84404640368996</v>
          </cell>
          <cell r="K15">
            <v>97.192385717413615</v>
          </cell>
          <cell r="L15">
            <v>-1415.329882940583</v>
          </cell>
          <cell r="M15">
            <v>-129.89321698174643</v>
          </cell>
          <cell r="O15">
            <v>-7.7027826182447754</v>
          </cell>
          <cell r="Q15">
            <v>2019</v>
          </cell>
          <cell r="R15">
            <v>4502084</v>
          </cell>
          <cell r="U15">
            <v>1872591</v>
          </cell>
          <cell r="V15">
            <v>757310</v>
          </cell>
          <cell r="W15">
            <v>25384</v>
          </cell>
          <cell r="X15">
            <v>606954</v>
          </cell>
          <cell r="Y15">
            <v>94909</v>
          </cell>
          <cell r="Z15">
            <v>45365</v>
          </cell>
          <cell r="AA15">
            <v>2350.6480538999999</v>
          </cell>
          <cell r="AB15">
            <v>35563.930717000003</v>
          </cell>
          <cell r="AC15">
            <v>63</v>
          </cell>
          <cell r="AD15">
            <v>63</v>
          </cell>
          <cell r="AE15">
            <v>63</v>
          </cell>
          <cell r="AJ15">
            <v>2019</v>
          </cell>
          <cell r="AK15">
            <v>7933.12554164229</v>
          </cell>
          <cell r="AL15">
            <v>9982.5895737266856</v>
          </cell>
          <cell r="AM15">
            <v>3645.4019260554364</v>
          </cell>
          <cell r="AN15">
            <v>6139.5503804366999</v>
          </cell>
          <cell r="AO15">
            <v>2314.5699886680018</v>
          </cell>
          <cell r="AP15">
            <v>6392.367842760088</v>
          </cell>
          <cell r="BH15">
            <v>1945</v>
          </cell>
          <cell r="BI15">
            <v>61.887233658360422</v>
          </cell>
          <cell r="BJ15">
            <v>20206.504428937827</v>
          </cell>
          <cell r="BK15">
            <v>8544.8255603870839</v>
          </cell>
          <cell r="BL15">
            <v>0.46725352112676055</v>
          </cell>
        </row>
        <row r="16">
          <cell r="A16">
            <v>2020</v>
          </cell>
          <cell r="B16">
            <v>20818.725256775964</v>
          </cell>
          <cell r="C16">
            <v>1227.7040890839153</v>
          </cell>
          <cell r="D16">
            <v>1094.1148603404106</v>
          </cell>
          <cell r="E16">
            <v>654.23974215690566</v>
          </cell>
          <cell r="F16">
            <v>19717.134903580489</v>
          </cell>
          <cell r="G16">
            <v>3169.4565644878153</v>
          </cell>
          <cell r="H16">
            <v>61.916391087985851</v>
          </cell>
          <cell r="I16">
            <v>3786.8321067158909</v>
          </cell>
          <cell r="J16">
            <v>339.84404640368996</v>
          </cell>
          <cell r="K16">
            <v>97.1923857174136</v>
          </cell>
          <cell r="L16">
            <v>-1440.6459006452571</v>
          </cell>
          <cell r="M16">
            <v>-205.55481482590659</v>
          </cell>
          <cell r="O16">
            <v>-7.8944059927353072</v>
          </cell>
          <cell r="Q16">
            <v>2020</v>
          </cell>
          <cell r="R16">
            <v>4580870</v>
          </cell>
          <cell r="U16">
            <v>1906053</v>
          </cell>
          <cell r="V16">
            <v>789318</v>
          </cell>
          <cell r="W16">
            <v>26166</v>
          </cell>
          <cell r="X16">
            <v>612782</v>
          </cell>
          <cell r="Y16">
            <v>93515</v>
          </cell>
          <cell r="Z16">
            <v>45122</v>
          </cell>
          <cell r="AA16">
            <v>2417.6073959</v>
          </cell>
          <cell r="AB16">
            <v>36228.942797999996</v>
          </cell>
          <cell r="AC16">
            <v>63.1</v>
          </cell>
          <cell r="AD16">
            <v>63.1</v>
          </cell>
          <cell r="AE16">
            <v>63</v>
          </cell>
          <cell r="AJ16">
            <v>2020</v>
          </cell>
          <cell r="AK16">
            <v>7886.6614450647967</v>
          </cell>
          <cell r="AL16">
            <v>9946.9815076166851</v>
          </cell>
          <cell r="AM16">
            <v>3616.6638685048065</v>
          </cell>
          <cell r="AN16">
            <v>6080.3322436850358</v>
          </cell>
          <cell r="AO16">
            <v>2300.7372488213141</v>
          </cell>
          <cell r="AP16">
            <v>6332.5498384417224</v>
          </cell>
          <cell r="BH16">
            <v>1946</v>
          </cell>
          <cell r="BI16">
            <v>61.553039242590557</v>
          </cell>
          <cell r="BJ16">
            <v>19889.507356241225</v>
          </cell>
          <cell r="BK16">
            <v>8410.7754232705083</v>
          </cell>
          <cell r="BL16">
            <v>0.47156284302963775</v>
          </cell>
        </row>
        <row r="17">
          <cell r="A17">
            <v>2021</v>
          </cell>
          <cell r="B17">
            <v>21389.564584006992</v>
          </cell>
          <cell r="C17">
            <v>1456.9215903231818</v>
          </cell>
          <cell r="D17">
            <v>1138.8992832802924</v>
          </cell>
          <cell r="E17">
            <v>634.40977582399069</v>
          </cell>
          <cell r="F17">
            <v>19973.222713109819</v>
          </cell>
          <cell r="G17">
            <v>3276.0953285290452</v>
          </cell>
          <cell r="H17">
            <v>63.265275115840737</v>
          </cell>
          <cell r="I17">
            <v>3805.5806975310657</v>
          </cell>
          <cell r="J17">
            <v>339.84404640368996</v>
          </cell>
          <cell r="K17">
            <v>97.1923857174136</v>
          </cell>
          <cell r="L17">
            <v>-1444.3951492567335</v>
          </cell>
          <cell r="M17">
            <v>-279.49164512134615</v>
          </cell>
          <cell r="O17">
            <v>-8.1108754897044353</v>
          </cell>
          <cell r="Q17">
            <v>2021</v>
          </cell>
          <cell r="R17">
            <v>4658745</v>
          </cell>
          <cell r="U17">
            <v>1938041</v>
          </cell>
          <cell r="V17">
            <v>820624</v>
          </cell>
          <cell r="W17">
            <v>26961</v>
          </cell>
          <cell r="X17">
            <v>618559</v>
          </cell>
          <cell r="Y17">
            <v>94900</v>
          </cell>
          <cell r="Z17">
            <v>45160</v>
          </cell>
          <cell r="AA17">
            <v>2489.2789188000002</v>
          </cell>
          <cell r="AB17">
            <v>36912.547330000001</v>
          </cell>
          <cell r="AC17">
            <v>63</v>
          </cell>
          <cell r="AD17">
            <v>63.1</v>
          </cell>
          <cell r="AE17">
            <v>62.9</v>
          </cell>
          <cell r="AJ17">
            <v>2021</v>
          </cell>
          <cell r="AK17">
            <v>7836.1044588730829</v>
          </cell>
          <cell r="AL17">
            <v>9853.922831336622</v>
          </cell>
          <cell r="AM17">
            <v>3595.8262581027184</v>
          </cell>
          <cell r="AN17">
            <v>6030.9730651988484</v>
          </cell>
          <cell r="AO17">
            <v>2289.5083378096319</v>
          </cell>
          <cell r="AP17">
            <v>6283.2869786240099</v>
          </cell>
          <cell r="BH17">
            <v>1947</v>
          </cell>
          <cell r="BI17">
            <v>61.485191064307564</v>
          </cell>
          <cell r="BJ17">
            <v>19150.389459735688</v>
          </cell>
          <cell r="BK17">
            <v>8098.2209427857297</v>
          </cell>
          <cell r="BL17">
            <v>0.4495076593493102</v>
          </cell>
        </row>
        <row r="18">
          <cell r="A18">
            <v>2022</v>
          </cell>
          <cell r="B18">
            <v>21904.142487550471</v>
          </cell>
          <cell r="C18">
            <v>1519.2921951609874</v>
          </cell>
          <cell r="D18">
            <v>1338.8288460693554</v>
          </cell>
          <cell r="E18">
            <v>621.80022351381547</v>
          </cell>
          <cell r="F18">
            <v>20248.699242999141</v>
          </cell>
          <cell r="G18">
            <v>3383.1064985251251</v>
          </cell>
          <cell r="H18">
            <v>64.638987442664771</v>
          </cell>
          <cell r="I18">
            <v>3823.1237449107343</v>
          </cell>
          <cell r="J18">
            <v>339.84404640368996</v>
          </cell>
          <cell r="K18">
            <v>97.1923857174136</v>
          </cell>
          <cell r="L18">
            <v>-1466.2568881415068</v>
          </cell>
          <cell r="M18">
            <v>-340.80924922807827</v>
          </cell>
          <cell r="O18">
            <v>-8.3060106282390844</v>
          </cell>
          <cell r="Q18">
            <v>2022</v>
          </cell>
          <cell r="R18">
            <v>4727229</v>
          </cell>
          <cell r="U18">
            <v>1970857</v>
          </cell>
          <cell r="V18">
            <v>851889</v>
          </cell>
          <cell r="W18">
            <v>27771</v>
          </cell>
          <cell r="X18">
            <v>624356</v>
          </cell>
          <cell r="Y18">
            <v>98086</v>
          </cell>
          <cell r="Z18">
            <v>46272</v>
          </cell>
          <cell r="AA18">
            <v>2563.6043260000001</v>
          </cell>
          <cell r="AB18">
            <v>37567.475659000003</v>
          </cell>
          <cell r="AC18">
            <v>63.2</v>
          </cell>
          <cell r="AD18">
            <v>63.2</v>
          </cell>
          <cell r="AE18">
            <v>63.1</v>
          </cell>
          <cell r="AJ18">
            <v>2022</v>
          </cell>
          <cell r="AK18">
            <v>7871.7568634682102</v>
          </cell>
          <cell r="AL18">
            <v>9890.5793322146656</v>
          </cell>
          <cell r="AM18">
            <v>3592.3174472021128</v>
          </cell>
          <cell r="AN18">
            <v>5988.3320362897357</v>
          </cell>
          <cell r="AO18">
            <v>2278.5541141180779</v>
          </cell>
          <cell r="AP18">
            <v>6241.4872606679846</v>
          </cell>
          <cell r="BH18">
            <v>1948</v>
          </cell>
          <cell r="BI18">
            <v>61.405633058017727</v>
          </cell>
          <cell r="BJ18">
            <v>18320.285839498803</v>
          </cell>
          <cell r="BK18">
            <v>7747.1908743780568</v>
          </cell>
          <cell r="BL18">
            <v>0.42230308219178081</v>
          </cell>
        </row>
        <row r="19">
          <cell r="A19">
            <v>2023</v>
          </cell>
          <cell r="B19">
            <v>22502.082522767403</v>
          </cell>
          <cell r="C19">
            <v>1471.9179112908466</v>
          </cell>
          <cell r="D19">
            <v>1468.6247337979778</v>
          </cell>
          <cell r="E19">
            <v>599.08048117358578</v>
          </cell>
          <cell r="F19">
            <v>20548.928331367752</v>
          </cell>
          <cell r="G19">
            <v>3495.7525078874032</v>
          </cell>
          <cell r="H19">
            <v>66.117984947368427</v>
          </cell>
          <cell r="I19">
            <v>3844.6398398347742</v>
          </cell>
          <cell r="J19">
            <v>339.84404640368996</v>
          </cell>
          <cell r="K19">
            <v>97.1923857174136</v>
          </cell>
          <cell r="L19">
            <v>-1499.5615407380201</v>
          </cell>
          <cell r="M19">
            <v>-390.43534819179354</v>
          </cell>
          <cell r="O19">
            <v>-8.53275716130746</v>
          </cell>
          <cell r="Q19">
            <v>2023</v>
          </cell>
          <cell r="R19">
            <v>4802392</v>
          </cell>
          <cell r="U19">
            <v>2004243</v>
          </cell>
          <cell r="V19">
            <v>884141</v>
          </cell>
          <cell r="W19">
            <v>28599</v>
          </cell>
          <cell r="X19">
            <v>630223</v>
          </cell>
          <cell r="Y19">
            <v>98991</v>
          </cell>
          <cell r="Z19">
            <v>48414</v>
          </cell>
          <cell r="AA19">
            <v>2637.9993516999998</v>
          </cell>
          <cell r="AB19">
            <v>38226.653564</v>
          </cell>
          <cell r="AC19">
            <v>63.3</v>
          </cell>
          <cell r="AD19">
            <v>63.3</v>
          </cell>
          <cell r="AE19">
            <v>63.1</v>
          </cell>
          <cell r="AJ19">
            <v>2023</v>
          </cell>
          <cell r="AK19">
            <v>7877.2151744818366</v>
          </cell>
          <cell r="AL19">
            <v>9974.3507225780577</v>
          </cell>
          <cell r="AM19">
            <v>3589.2500189154089</v>
          </cell>
          <cell r="AN19">
            <v>5956.8135876245697</v>
          </cell>
          <cell r="AO19">
            <v>2271.1820140360228</v>
          </cell>
          <cell r="AP19">
            <v>6211.1569003462464</v>
          </cell>
          <cell r="BH19">
            <v>1949</v>
          </cell>
          <cell r="BI19">
            <v>61.670427346241667</v>
          </cell>
          <cell r="BJ19">
            <v>17819.634242800101</v>
          </cell>
          <cell r="BK19">
            <v>7535.4778304240926</v>
          </cell>
          <cell r="BL19">
            <v>0.39549575469676845</v>
          </cell>
        </row>
        <row r="20">
          <cell r="A20">
            <v>2024</v>
          </cell>
          <cell r="B20">
            <v>23111.426699392719</v>
          </cell>
          <cell r="C20">
            <v>1462.4031223080308</v>
          </cell>
          <cell r="D20">
            <v>1634.5927284276322</v>
          </cell>
          <cell r="E20">
            <v>574.59409351496072</v>
          </cell>
          <cell r="F20">
            <v>20883.602096803341</v>
          </cell>
          <cell r="G20">
            <v>3615.3305525394521</v>
          </cell>
          <cell r="H20">
            <v>67.699970770361134</v>
          </cell>
          <cell r="I20">
            <v>3870.4142487277677</v>
          </cell>
          <cell r="J20">
            <v>339.84404640368996</v>
          </cell>
          <cell r="K20">
            <v>97.1923857174136</v>
          </cell>
          <cell r="L20">
            <v>-1532.3886554584578</v>
          </cell>
          <cell r="M20">
            <v>-433.30517575137372</v>
          </cell>
          <cell r="O20">
            <v>-8.763828343713632</v>
          </cell>
          <cell r="Q20">
            <v>2024</v>
          </cell>
          <cell r="R20">
            <v>4872987</v>
          </cell>
          <cell r="U20">
            <v>2037467</v>
          </cell>
          <cell r="V20">
            <v>916965</v>
          </cell>
          <cell r="W20">
            <v>29445</v>
          </cell>
          <cell r="X20">
            <v>636224</v>
          </cell>
          <cell r="Y20">
            <v>100756</v>
          </cell>
          <cell r="Z20">
            <v>48765</v>
          </cell>
          <cell r="AA20">
            <v>2717.1303662</v>
          </cell>
          <cell r="AB20">
            <v>38872.552013</v>
          </cell>
          <cell r="AC20">
            <v>63.4</v>
          </cell>
          <cell r="AD20">
            <v>63.4</v>
          </cell>
          <cell r="AE20">
            <v>63.2</v>
          </cell>
          <cell r="AJ20">
            <v>2024</v>
          </cell>
          <cell r="AK20">
            <v>7941.1638464558491</v>
          </cell>
          <cell r="AL20">
            <v>10044.588736402138</v>
          </cell>
          <cell r="AM20">
            <v>3595.1640881983226</v>
          </cell>
          <cell r="AN20">
            <v>5937.4658586451487</v>
          </cell>
          <cell r="AO20">
            <v>2266.1455884228612</v>
          </cell>
          <cell r="AP20">
            <v>6194.0853825428994</v>
          </cell>
          <cell r="BH20">
            <v>1950</v>
          </cell>
          <cell r="BI20">
            <v>62.165185779314797</v>
          </cell>
          <cell r="BJ20">
            <v>18386.156623368508</v>
          </cell>
          <cell r="BK20">
            <v>7775.045982106958</v>
          </cell>
          <cell r="BL20">
            <v>0.33362673305486401</v>
          </cell>
        </row>
        <row r="21">
          <cell r="A21">
            <v>2025</v>
          </cell>
          <cell r="B21">
            <v>23635.426833846501</v>
          </cell>
          <cell r="C21">
            <v>1464.9151388039718</v>
          </cell>
          <cell r="D21">
            <v>1835.2040991957642</v>
          </cell>
          <cell r="E21">
            <v>547.16890037804853</v>
          </cell>
          <cell r="F21">
            <v>21226.096883706214</v>
          </cell>
          <cell r="G21">
            <v>3735.4107999483458</v>
          </cell>
          <cell r="H21">
            <v>69.264765019129896</v>
          </cell>
          <cell r="I21">
            <v>3894.2433068656828</v>
          </cell>
          <cell r="J21">
            <v>339.8440464036899</v>
          </cell>
          <cell r="K21">
            <v>97.192385717413586</v>
          </cell>
          <cell r="L21">
            <v>-1567.7481656517168</v>
          </cell>
          <cell r="M21">
            <v>-467.68112247287831</v>
          </cell>
          <cell r="O21">
            <v>-8.9625373108521718</v>
          </cell>
          <cell r="Q21">
            <v>2025</v>
          </cell>
          <cell r="R21">
            <v>4938285</v>
          </cell>
          <cell r="U21">
            <v>2072148</v>
          </cell>
          <cell r="V21">
            <v>951137</v>
          </cell>
          <cell r="W21">
            <v>30308</v>
          </cell>
          <cell r="X21">
            <v>642434</v>
          </cell>
          <cell r="Y21">
            <v>104955</v>
          </cell>
          <cell r="Z21">
            <v>52530</v>
          </cell>
          <cell r="AA21">
            <v>2793.3214066999999</v>
          </cell>
          <cell r="AB21">
            <v>39562.753743000001</v>
          </cell>
          <cell r="AC21">
            <v>63.6</v>
          </cell>
          <cell r="AD21">
            <v>63.7</v>
          </cell>
          <cell r="AE21">
            <v>63.4</v>
          </cell>
          <cell r="AJ21">
            <v>2025</v>
          </cell>
          <cell r="AK21">
            <v>8022.1409924556283</v>
          </cell>
          <cell r="AL21">
            <v>10229.291760289609</v>
          </cell>
          <cell r="AM21">
            <v>3612.2512373059003</v>
          </cell>
          <cell r="AN21">
            <v>5915.3112475418038</v>
          </cell>
          <cell r="AO21">
            <v>2261.2294430719894</v>
          </cell>
          <cell r="AP21">
            <v>6173.3070633175057</v>
          </cell>
          <cell r="BH21">
            <v>1951</v>
          </cell>
          <cell r="BI21">
            <v>62.523724499697792</v>
          </cell>
          <cell r="BJ21">
            <v>18698.80470331206</v>
          </cell>
          <cell r="BK21">
            <v>7907.2570389130879</v>
          </cell>
          <cell r="BL21">
            <v>0.24661058771993058</v>
          </cell>
        </row>
        <row r="22">
          <cell r="A22">
            <v>2026</v>
          </cell>
          <cell r="B22">
            <v>24221.452913341094</v>
          </cell>
          <cell r="C22">
            <v>1488.721703992401</v>
          </cell>
          <cell r="D22">
            <v>2033.4267184208663</v>
          </cell>
          <cell r="E22">
            <v>517.61035306123847</v>
          </cell>
          <cell r="F22">
            <v>21645.148494564244</v>
          </cell>
          <cell r="G22">
            <v>3870.8184861383934</v>
          </cell>
          <cell r="H22">
            <v>70.940426882933508</v>
          </cell>
          <cell r="I22">
            <v>3924.2056366753172</v>
          </cell>
          <cell r="J22">
            <v>339.8440464036899</v>
          </cell>
          <cell r="K22">
            <v>97.192385717413586</v>
          </cell>
          <cell r="L22">
            <v>-1604.685716423357</v>
          </cell>
          <cell r="M22">
            <v>-494.08247129279653</v>
          </cell>
          <cell r="O22">
            <v>-9.1847656888149913</v>
          </cell>
          <cell r="Q22">
            <v>2026</v>
          </cell>
          <cell r="R22">
            <v>4990137</v>
          </cell>
          <cell r="U22">
            <v>2109947</v>
          </cell>
          <cell r="V22">
            <v>987996</v>
          </cell>
          <cell r="W22">
            <v>31185</v>
          </cell>
          <cell r="X22">
            <v>648932</v>
          </cell>
          <cell r="Y22">
            <v>110149</v>
          </cell>
          <cell r="Z22">
            <v>55659</v>
          </cell>
          <cell r="AA22">
            <v>2870.6558957000002</v>
          </cell>
          <cell r="AB22">
            <v>40290.362354999997</v>
          </cell>
          <cell r="AC22">
            <v>63.7</v>
          </cell>
          <cell r="AD22">
            <v>63.8</v>
          </cell>
          <cell r="AE22">
            <v>63.6</v>
          </cell>
          <cell r="AJ22">
            <v>2026</v>
          </cell>
          <cell r="AK22">
            <v>8106.0689325744424</v>
          </cell>
          <cell r="AL22">
            <v>10367.690263021675</v>
          </cell>
          <cell r="AM22">
            <v>3630.3268616167834</v>
          </cell>
          <cell r="AN22">
            <v>5900.974181535511</v>
          </cell>
          <cell r="AO22">
            <v>2258.5487199523668</v>
          </cell>
          <cell r="AP22">
            <v>6160.4940645738388</v>
          </cell>
          <cell r="BH22">
            <v>1952</v>
          </cell>
          <cell r="BI22">
            <v>63.118104828076802</v>
          </cell>
          <cell r="BJ22">
            <v>19301.753138280583</v>
          </cell>
          <cell r="BK22">
            <v>8162.2288583504014</v>
          </cell>
          <cell r="BL22">
            <v>0.13560683645372762</v>
          </cell>
        </row>
        <row r="23">
          <cell r="A23">
            <v>2027</v>
          </cell>
          <cell r="B23">
            <v>24784.351900151498</v>
          </cell>
          <cell r="C23">
            <v>1513.8516599105608</v>
          </cell>
          <cell r="D23">
            <v>2248.4928697328746</v>
          </cell>
          <cell r="E23">
            <v>486.15122975875886</v>
          </cell>
          <cell r="F23">
            <v>22109.049777697517</v>
          </cell>
          <cell r="G23">
            <v>4012.3177550186238</v>
          </cell>
          <cell r="H23">
            <v>72.649914793819732</v>
          </cell>
          <cell r="I23">
            <v>3956.796123211328</v>
          </cell>
          <cell r="J23">
            <v>339.8440464036899</v>
          </cell>
          <cell r="K23">
            <v>97.1923857174136</v>
          </cell>
          <cell r="L23">
            <v>-1647.0140314058422</v>
          </cell>
          <cell r="M23">
            <v>-514.26881989285823</v>
          </cell>
          <cell r="O23">
            <v>-9.3982246407885093</v>
          </cell>
          <cell r="Q23">
            <v>2027</v>
          </cell>
          <cell r="R23">
            <v>5040038</v>
          </cell>
          <cell r="U23">
            <v>2150310</v>
          </cell>
          <cell r="V23">
            <v>1026367</v>
          </cell>
          <cell r="W23">
            <v>32073</v>
          </cell>
          <cell r="X23">
            <v>655783</v>
          </cell>
          <cell r="Y23">
            <v>113381</v>
          </cell>
          <cell r="Z23">
            <v>57182</v>
          </cell>
          <cell r="AA23">
            <v>2947.3387432</v>
          </cell>
          <cell r="AB23">
            <v>41023.699673000003</v>
          </cell>
          <cell r="AC23">
            <v>63.9</v>
          </cell>
          <cell r="AD23">
            <v>63.9</v>
          </cell>
          <cell r="AE23">
            <v>63.7</v>
          </cell>
          <cell r="AJ23">
            <v>2027</v>
          </cell>
          <cell r="AK23">
            <v>8211.9786350701816</v>
          </cell>
          <cell r="AL23">
            <v>10511.427143666018</v>
          </cell>
          <cell r="AM23">
            <v>3652.6108033555788</v>
          </cell>
          <cell r="AN23">
            <v>5890.5408007891301</v>
          </cell>
          <cell r="AO23">
            <v>2257.3986852436074</v>
          </cell>
          <cell r="AP23">
            <v>6151.5631025818311</v>
          </cell>
          <cell r="BH23">
            <v>1953</v>
          </cell>
          <cell r="BI23">
            <v>63.453154202616552</v>
          </cell>
          <cell r="BJ23">
            <v>19563.746364474257</v>
          </cell>
          <cell r="BK23">
            <v>8273.0192438770518</v>
          </cell>
          <cell r="BL23">
            <v>0.13783635013697226</v>
          </cell>
        </row>
        <row r="24">
          <cell r="A24">
            <v>2028</v>
          </cell>
          <cell r="B24">
            <v>25217.170942370878</v>
          </cell>
          <cell r="C24">
            <v>1545.5325498983368</v>
          </cell>
          <cell r="D24">
            <v>2458.571410327505</v>
          </cell>
          <cell r="E24">
            <v>496.16975678201061</v>
          </cell>
          <cell r="F24">
            <v>22596.935151506899</v>
          </cell>
          <cell r="G24">
            <v>4158.1142416331122</v>
          </cell>
          <cell r="H24">
            <v>74.413010912251082</v>
          </cell>
          <cell r="I24">
            <v>3993.9407403610148</v>
          </cell>
          <cell r="J24">
            <v>339.8440464036899</v>
          </cell>
          <cell r="K24">
            <v>97.1923857174136</v>
          </cell>
          <cell r="L24">
            <v>-1690.1808903755507</v>
          </cell>
          <cell r="M24">
            <v>-529.19630560534927</v>
          </cell>
          <cell r="O24">
            <v>-9.5623559370020885</v>
          </cell>
          <cell r="Q24">
            <v>2028</v>
          </cell>
          <cell r="R24">
            <v>5061710</v>
          </cell>
          <cell r="U24">
            <v>2191137</v>
          </cell>
          <cell r="V24">
            <v>1065254</v>
          </cell>
          <cell r="W24">
            <v>32969</v>
          </cell>
          <cell r="X24">
            <v>663042</v>
          </cell>
          <cell r="Y24">
            <v>114500</v>
          </cell>
          <cell r="Z24">
            <v>58426</v>
          </cell>
          <cell r="AA24">
            <v>3023.4773882999998</v>
          </cell>
          <cell r="AB24">
            <v>41785.306194999997</v>
          </cell>
          <cell r="AC24">
            <v>63.8</v>
          </cell>
          <cell r="AD24">
            <v>63.9</v>
          </cell>
          <cell r="AE24">
            <v>63.6</v>
          </cell>
          <cell r="AJ24">
            <v>2028</v>
          </cell>
          <cell r="AK24">
            <v>8254.3240141497972</v>
          </cell>
          <cell r="AL24">
            <v>10593.421895542726</v>
          </cell>
          <cell r="AM24">
            <v>3670.2910935409882</v>
          </cell>
          <cell r="AN24">
            <v>5882.5177780597851</v>
          </cell>
          <cell r="AO24">
            <v>2257.4288807494686</v>
          </cell>
          <cell r="AP24">
            <v>6144.8198959489346</v>
          </cell>
          <cell r="BH24">
            <v>1954</v>
          </cell>
          <cell r="BI24">
            <v>63.341697071390946</v>
          </cell>
          <cell r="BJ24">
            <v>19310.468772559656</v>
          </cell>
          <cell r="BK24">
            <v>8165.9144821961645</v>
          </cell>
          <cell r="BL24">
            <v>0.13133540150495254</v>
          </cell>
        </row>
        <row r="25">
          <cell r="A25">
            <v>2029</v>
          </cell>
          <cell r="B25">
            <v>25652.396449941072</v>
          </cell>
          <cell r="C25">
            <v>1590.0787455269376</v>
          </cell>
          <cell r="D25">
            <v>2661.2742130343972</v>
          </cell>
          <cell r="E25">
            <v>506.29389056429466</v>
          </cell>
          <cell r="F25">
            <v>23071.329119583959</v>
          </cell>
          <cell r="G25">
            <v>4303.1627279183831</v>
          </cell>
          <cell r="H25">
            <v>76.20747671195916</v>
          </cell>
          <cell r="I25">
            <v>4035.1065683545585</v>
          </cell>
          <cell r="J25">
            <v>339.8440464036899</v>
          </cell>
          <cell r="K25">
            <v>97.1923857174136</v>
          </cell>
          <cell r="L25">
            <v>-1731.1787297794476</v>
          </cell>
          <cell r="M25">
            <v>-542.09870330764716</v>
          </cell>
          <cell r="O25">
            <v>-9.7273998527021437</v>
          </cell>
          <cell r="Q25">
            <v>2029</v>
          </cell>
          <cell r="R25">
            <v>5082463</v>
          </cell>
          <cell r="U25">
            <v>2229980</v>
          </cell>
          <cell r="V25">
            <v>1103595</v>
          </cell>
          <cell r="W25">
            <v>33868</v>
          </cell>
          <cell r="X25">
            <v>670701</v>
          </cell>
          <cell r="Y25">
            <v>112933</v>
          </cell>
          <cell r="Z25">
            <v>57952</v>
          </cell>
          <cell r="AA25">
            <v>3099.3981327000001</v>
          </cell>
          <cell r="AB25">
            <v>42502.974013999999</v>
          </cell>
          <cell r="AC25">
            <v>63.8</v>
          </cell>
          <cell r="AD25">
            <v>63.9</v>
          </cell>
          <cell r="AE25">
            <v>63.6</v>
          </cell>
          <cell r="AJ25">
            <v>2029</v>
          </cell>
          <cell r="AK25">
            <v>8297.1645392831906</v>
          </cell>
          <cell r="AL25">
            <v>10661.78524567611</v>
          </cell>
          <cell r="AM25">
            <v>3689.149108666963</v>
          </cell>
          <cell r="AN25">
            <v>5879.9634954922958</v>
          </cell>
          <cell r="AO25">
            <v>2257.0907185387809</v>
          </cell>
          <cell r="AP25">
            <v>6144.1503054835393</v>
          </cell>
          <cell r="BH25">
            <v>1955</v>
          </cell>
          <cell r="BI25">
            <v>63.310759740818447</v>
          </cell>
          <cell r="BJ25">
            <v>18978.132251424639</v>
          </cell>
          <cell r="BK25">
            <v>8025.3776758211943</v>
          </cell>
          <cell r="BL25">
            <v>0.13680497183816376</v>
          </cell>
        </row>
        <row r="26">
          <cell r="A26">
            <v>2030</v>
          </cell>
          <cell r="B26">
            <v>26095.08986336708</v>
          </cell>
          <cell r="C26">
            <v>1644.6170244610166</v>
          </cell>
          <cell r="D26">
            <v>2855.6395266854115</v>
          </cell>
          <cell r="E26">
            <v>516.62457032674411</v>
          </cell>
          <cell r="F26">
            <v>23535.580987068413</v>
          </cell>
          <cell r="G26">
            <v>4445.0626521221684</v>
          </cell>
          <cell r="H26">
            <v>77.992871229130401</v>
          </cell>
          <cell r="I26">
            <v>4078.6259111123118</v>
          </cell>
          <cell r="J26">
            <v>339.8440464036899</v>
          </cell>
          <cell r="K26">
            <v>97.1923857174136</v>
          </cell>
          <cell r="L26">
            <v>-1770.1948872684932</v>
          </cell>
          <cell r="M26">
            <v>-552.98563657428281</v>
          </cell>
          <cell r="O26">
            <v>-9.8952757427687335</v>
          </cell>
          <cell r="Q26">
            <v>2030</v>
          </cell>
          <cell r="R26">
            <v>5103301</v>
          </cell>
          <cell r="U26">
            <v>2266966</v>
          </cell>
          <cell r="V26">
            <v>1140927</v>
          </cell>
          <cell r="W26">
            <v>34765</v>
          </cell>
          <cell r="X26">
            <v>678711</v>
          </cell>
          <cell r="Y26">
            <v>114333</v>
          </cell>
          <cell r="Z26">
            <v>58392</v>
          </cell>
          <cell r="AA26">
            <v>3175.7502424999998</v>
          </cell>
          <cell r="AB26">
            <v>43189.289081000003</v>
          </cell>
          <cell r="AC26">
            <v>63.7</v>
          </cell>
          <cell r="AD26">
            <v>63.8</v>
          </cell>
          <cell r="AE26">
            <v>63.6</v>
          </cell>
          <cell r="AJ26">
            <v>2030</v>
          </cell>
          <cell r="AK26">
            <v>8347.1730717779192</v>
          </cell>
          <cell r="AL26">
            <v>10714.348453777726</v>
          </cell>
          <cell r="AM26">
            <v>3712.1843241723618</v>
          </cell>
          <cell r="AN26">
            <v>5880.4881341594873</v>
          </cell>
          <cell r="AO26">
            <v>2255.6621581402992</v>
          </cell>
          <cell r="AP26">
            <v>6147.0250977750202</v>
          </cell>
          <cell r="BH26">
            <v>1956</v>
          </cell>
          <cell r="BI26">
            <v>63.306914926195873</v>
          </cell>
          <cell r="BJ26">
            <v>18822.109443797934</v>
          </cell>
          <cell r="BK26">
            <v>7959.3995310460514</v>
          </cell>
          <cell r="BL26">
            <v>0.13947585118038969</v>
          </cell>
        </row>
        <row r="27">
          <cell r="A27">
            <v>2031</v>
          </cell>
          <cell r="B27">
            <v>26540.09093487139</v>
          </cell>
          <cell r="C27">
            <v>1688.0682313589307</v>
          </cell>
          <cell r="D27">
            <v>3068.8820843015878</v>
          </cell>
          <cell r="E27">
            <v>527.06103867516208</v>
          </cell>
          <cell r="F27">
            <v>24004.163240131886</v>
          </cell>
          <cell r="G27">
            <v>4587.400799709073</v>
          </cell>
          <cell r="H27">
            <v>79.776112020757864</v>
          </cell>
          <cell r="I27">
            <v>4125.4263126029955</v>
          </cell>
          <cell r="J27">
            <v>339.8440464036899</v>
          </cell>
          <cell r="K27">
            <v>97.1923857174136</v>
          </cell>
          <cell r="L27">
            <v>-1810.761621866905</v>
          </cell>
          <cell r="M27">
            <v>-561.27400336610765</v>
          </cell>
          <cell r="O27">
            <v>-10.064026785745051</v>
          </cell>
          <cell r="Q27">
            <v>2031</v>
          </cell>
          <cell r="R27">
            <v>5123204</v>
          </cell>
          <cell r="U27">
            <v>2303488</v>
          </cell>
          <cell r="V27">
            <v>1177870</v>
          </cell>
          <cell r="W27">
            <v>35653</v>
          </cell>
          <cell r="X27">
            <v>687009</v>
          </cell>
          <cell r="Y27">
            <v>115568</v>
          </cell>
          <cell r="Z27">
            <v>59285</v>
          </cell>
          <cell r="AA27">
            <v>3243.3842565</v>
          </cell>
          <cell r="AB27">
            <v>43835.975087999999</v>
          </cell>
          <cell r="AC27">
            <v>63.7</v>
          </cell>
          <cell r="AD27">
            <v>63.7</v>
          </cell>
          <cell r="AE27">
            <v>63.5</v>
          </cell>
          <cell r="AJ27">
            <v>2031</v>
          </cell>
          <cell r="AK27">
            <v>8381.9632650093572</v>
          </cell>
          <cell r="AL27">
            <v>10765.847216056911</v>
          </cell>
          <cell r="AM27">
            <v>3734.9075096806282</v>
          </cell>
          <cell r="AN27">
            <v>5885.6175036242494</v>
          </cell>
          <cell r="AO27">
            <v>2256.346728325148</v>
          </cell>
          <cell r="AP27">
            <v>6154.143974668872</v>
          </cell>
          <cell r="BH27">
            <v>1957</v>
          </cell>
          <cell r="BI27">
            <v>63.304512573200135</v>
          </cell>
          <cell r="BJ27">
            <v>18750.960585601104</v>
          </cell>
          <cell r="BK27">
            <v>7929.3124576360669</v>
          </cell>
          <cell r="BL27">
            <v>0.13532208060626938</v>
          </cell>
        </row>
        <row r="28">
          <cell r="A28">
            <v>2032</v>
          </cell>
          <cell r="B28">
            <v>26979.19277458511</v>
          </cell>
          <cell r="C28">
            <v>1710.1216290006976</v>
          </cell>
          <cell r="D28">
            <v>3312.6241191293298</v>
          </cell>
          <cell r="E28">
            <v>537.44050025194417</v>
          </cell>
          <cell r="F28">
            <v>24472.014351747435</v>
          </cell>
          <cell r="G28">
            <v>4731.2393111324145</v>
          </cell>
          <cell r="H28">
            <v>81.537758324107827</v>
          </cell>
          <cell r="I28">
            <v>4175.0781936830736</v>
          </cell>
          <cell r="J28">
            <v>339.8440464036899</v>
          </cell>
          <cell r="K28">
            <v>97.192385717413586</v>
          </cell>
          <cell r="L28">
            <v>-1853.5057430144705</v>
          </cell>
          <cell r="M28">
            <v>-566.81391835712009</v>
          </cell>
          <cell r="O28">
            <v>-10.230540838104323</v>
          </cell>
          <cell r="Q28">
            <v>2032</v>
          </cell>
          <cell r="R28">
            <v>5140623</v>
          </cell>
          <cell r="U28">
            <v>2338538</v>
          </cell>
          <cell r="V28">
            <v>1214518</v>
          </cell>
          <cell r="W28">
            <v>36519</v>
          </cell>
          <cell r="X28">
            <v>695519</v>
          </cell>
          <cell r="Y28">
            <v>114981</v>
          </cell>
          <cell r="Z28">
            <v>60046</v>
          </cell>
          <cell r="AA28">
            <v>3305.4978531000002</v>
          </cell>
          <cell r="AB28">
            <v>44455.426420999996</v>
          </cell>
          <cell r="AC28">
            <v>63.6</v>
          </cell>
          <cell r="AD28">
            <v>63.7</v>
          </cell>
          <cell r="AE28">
            <v>63.4</v>
          </cell>
          <cell r="AJ28">
            <v>2032</v>
          </cell>
          <cell r="AK28">
            <v>8432.0510864491953</v>
          </cell>
          <cell r="AL28">
            <v>10871.438934949281</v>
          </cell>
          <cell r="AM28">
            <v>3760.9113900766029</v>
          </cell>
          <cell r="AN28">
            <v>5893.8025853309491</v>
          </cell>
          <cell r="AO28">
            <v>2257.807651041262</v>
          </cell>
          <cell r="AP28">
            <v>6164.1581845632545</v>
          </cell>
          <cell r="BH28">
            <v>1958</v>
          </cell>
          <cell r="BI28">
            <v>63.332258766560571</v>
          </cell>
          <cell r="BJ28">
            <v>18750.948985282517</v>
          </cell>
          <cell r="BK28">
            <v>7929.3075521513447</v>
          </cell>
          <cell r="BL28">
            <v>0.13165483283005522</v>
          </cell>
        </row>
        <row r="29">
          <cell r="A29">
            <v>2033</v>
          </cell>
          <cell r="B29">
            <v>27417.311179129676</v>
          </cell>
          <cell r="C29">
            <v>1726.74578445924</v>
          </cell>
          <cell r="D29">
            <v>3586.81316301777</v>
          </cell>
          <cell r="E29">
            <v>547.86048600324489</v>
          </cell>
          <cell r="F29">
            <v>24927.468544803349</v>
          </cell>
          <cell r="G29">
            <v>4877.372786119593</v>
          </cell>
          <cell r="H29">
            <v>83.245859671256909</v>
          </cell>
          <cell r="I29">
            <v>4226.8085420092639</v>
          </cell>
          <cell r="J29">
            <v>339.84404640368984</v>
          </cell>
          <cell r="K29">
            <v>97.192385717413586</v>
          </cell>
          <cell r="L29">
            <v>-1895.967245449707</v>
          </cell>
          <cell r="M29">
            <v>-569.43659857158843</v>
          </cell>
          <cell r="O29">
            <v>-10.396682024383336</v>
          </cell>
          <cell r="Q29">
            <v>2033</v>
          </cell>
          <cell r="R29">
            <v>5156559</v>
          </cell>
          <cell r="U29">
            <v>2371646</v>
          </cell>
          <cell r="V29">
            <v>1251346</v>
          </cell>
          <cell r="W29">
            <v>37356</v>
          </cell>
          <cell r="X29">
            <v>704182</v>
          </cell>
          <cell r="Y29">
            <v>115269</v>
          </cell>
          <cell r="Z29">
            <v>62026</v>
          </cell>
          <cell r="AA29">
            <v>3361.4837600999999</v>
          </cell>
          <cell r="AB29">
            <v>45083.711975999999</v>
          </cell>
          <cell r="AC29">
            <v>63.6</v>
          </cell>
          <cell r="AD29">
            <v>63.7</v>
          </cell>
          <cell r="AE29">
            <v>63.4</v>
          </cell>
          <cell r="AJ29">
            <v>2033</v>
          </cell>
          <cell r="AK29">
            <v>8480.1169285195683</v>
          </cell>
          <cell r="AL29">
            <v>11001.893206775572</v>
          </cell>
          <cell r="AM29">
            <v>3793.6527067691477</v>
          </cell>
          <cell r="AN29">
            <v>5901.7227296752926</v>
          </cell>
          <cell r="AO29">
            <v>2259.235202370086</v>
          </cell>
          <cell r="AP29">
            <v>6173.3100088221681</v>
          </cell>
          <cell r="BH29">
            <v>1959</v>
          </cell>
          <cell r="BI29">
            <v>63.266463815040929</v>
          </cell>
          <cell r="BJ29">
            <v>18680.481245977102</v>
          </cell>
          <cell r="BK29">
            <v>7899.5085068925673</v>
          </cell>
          <cell r="BL29">
            <v>0.12850520457456421</v>
          </cell>
        </row>
        <row r="30">
          <cell r="A30">
            <v>2034</v>
          </cell>
          <cell r="B30">
            <v>27873.6003411239</v>
          </cell>
          <cell r="C30">
            <v>1747.9815683538968</v>
          </cell>
          <cell r="D30">
            <v>3914.7170309198823</v>
          </cell>
          <cell r="E30">
            <v>558.70517029602649</v>
          </cell>
          <cell r="F30">
            <v>25387.226100951524</v>
          </cell>
          <cell r="G30">
            <v>5025.4193884657325</v>
          </cell>
          <cell r="H30">
            <v>84.883251934624184</v>
          </cell>
          <cell r="I30">
            <v>4280.4180783777874</v>
          </cell>
          <cell r="J30">
            <v>339.84404640368984</v>
          </cell>
          <cell r="K30">
            <v>97.192385717413572</v>
          </cell>
          <cell r="L30">
            <v>-1938.4404975114101</v>
          </cell>
          <cell r="M30">
            <v>-568.07976585561619</v>
          </cell>
          <cell r="O30">
            <v>-10.569713831040817</v>
          </cell>
          <cell r="Q30">
            <v>2034</v>
          </cell>
          <cell r="R30">
            <v>5174607</v>
          </cell>
          <cell r="U30">
            <v>2402969</v>
          </cell>
          <cell r="V30">
            <v>1288240</v>
          </cell>
          <cell r="W30">
            <v>38151</v>
          </cell>
          <cell r="X30">
            <v>712919</v>
          </cell>
          <cell r="Y30">
            <v>114957</v>
          </cell>
          <cell r="Z30">
            <v>62694</v>
          </cell>
          <cell r="AA30">
            <v>3408.9775359999999</v>
          </cell>
          <cell r="AB30">
            <v>45671.254799000002</v>
          </cell>
          <cell r="AC30">
            <v>63.5</v>
          </cell>
          <cell r="AD30">
            <v>63.7</v>
          </cell>
          <cell r="AE30">
            <v>63.3</v>
          </cell>
          <cell r="AJ30">
            <v>2034</v>
          </cell>
          <cell r="AK30">
            <v>8591.89106103023</v>
          </cell>
          <cell r="AL30">
            <v>11185.597555799553</v>
          </cell>
          <cell r="AM30">
            <v>3836.0178112902695</v>
          </cell>
          <cell r="AN30">
            <v>5911.2108840959072</v>
          </cell>
          <cell r="AO30">
            <v>2261.9536550769699</v>
          </cell>
          <cell r="AP30">
            <v>6183.5974425901031</v>
          </cell>
          <cell r="BH30">
            <v>1960</v>
          </cell>
          <cell r="BI30">
            <v>63.205478222974186</v>
          </cell>
          <cell r="BJ30">
            <v>18700.971224589197</v>
          </cell>
          <cell r="BK30">
            <v>7908.1732065981569</v>
          </cell>
          <cell r="BL30">
            <v>0.12675920941321234</v>
          </cell>
        </row>
        <row r="31">
          <cell r="A31">
            <v>2035</v>
          </cell>
          <cell r="B31">
            <v>28357.195248647484</v>
          </cell>
          <cell r="C31">
            <v>1796.7911515828146</v>
          </cell>
          <cell r="D31">
            <v>4219.2320410567308</v>
          </cell>
          <cell r="E31">
            <v>570.16189559302541</v>
          </cell>
          <cell r="F31">
            <v>25846.863510449821</v>
          </cell>
          <cell r="G31">
            <v>5173.3650044563419</v>
          </cell>
          <cell r="H31">
            <v>86.436720861329732</v>
          </cell>
          <cell r="I31">
            <v>4335.0155981101952</v>
          </cell>
          <cell r="J31">
            <v>339.84404640368984</v>
          </cell>
          <cell r="K31">
            <v>97.192385717413572</v>
          </cell>
          <cell r="L31">
            <v>-1978.162798385865</v>
          </cell>
          <cell r="M31">
            <v>-560.64829574995156</v>
          </cell>
          <cell r="O31">
            <v>-10.753100353269641</v>
          </cell>
          <cell r="Q31">
            <v>2035</v>
          </cell>
          <cell r="R31">
            <v>5196340</v>
          </cell>
          <cell r="U31">
            <v>2432105</v>
          </cell>
          <cell r="V31">
            <v>1323982</v>
          </cell>
          <cell r="W31">
            <v>38898</v>
          </cell>
          <cell r="X31">
            <v>721589</v>
          </cell>
          <cell r="Y31">
            <v>114377</v>
          </cell>
          <cell r="Z31">
            <v>62368</v>
          </cell>
          <cell r="AA31">
            <v>3453.4529336000001</v>
          </cell>
          <cell r="AB31">
            <v>46152.983992000001</v>
          </cell>
          <cell r="AC31">
            <v>63.6</v>
          </cell>
          <cell r="AD31">
            <v>63.7</v>
          </cell>
          <cell r="AE31">
            <v>63.3</v>
          </cell>
          <cell r="AJ31">
            <v>2035</v>
          </cell>
          <cell r="AK31">
            <v>8731.2892216216514</v>
          </cell>
          <cell r="AL31">
            <v>11375.529589177091</v>
          </cell>
          <cell r="AM31">
            <v>3882.0030408897287</v>
          </cell>
          <cell r="AN31">
            <v>5924.7503442603047</v>
          </cell>
          <cell r="AO31">
            <v>2264.1896239247076</v>
          </cell>
          <cell r="AP31">
            <v>6198.6562342988582</v>
          </cell>
          <cell r="BH31">
            <v>1961</v>
          </cell>
          <cell r="BI31">
            <v>63.244853519619873</v>
          </cell>
          <cell r="BJ31">
            <v>18676.781717486392</v>
          </cell>
          <cell r="BK31">
            <v>7897.9440687820579</v>
          </cell>
          <cell r="BL31">
            <v>0.12366657226470311</v>
          </cell>
        </row>
        <row r="32">
          <cell r="A32">
            <v>2036</v>
          </cell>
          <cell r="B32">
            <v>28900.358651050909</v>
          </cell>
          <cell r="C32">
            <v>1864.8540693072625</v>
          </cell>
          <cell r="D32">
            <v>4473.5965050662644</v>
          </cell>
          <cell r="E32">
            <v>582.30035676689181</v>
          </cell>
          <cell r="F32">
            <v>26306.908121473087</v>
          </cell>
          <cell r="G32">
            <v>5317.6577482387174</v>
          </cell>
          <cell r="H32">
            <v>87.890703443806913</v>
          </cell>
          <cell r="I32">
            <v>4389.584642418974</v>
          </cell>
          <cell r="J32">
            <v>339.8440464036899</v>
          </cell>
          <cell r="K32">
            <v>97.192385717413586</v>
          </cell>
          <cell r="L32">
            <v>-2013.8242682519481</v>
          </cell>
          <cell r="M32">
            <v>-546.18166017178032</v>
          </cell>
          <cell r="O32">
            <v>-10.959075331894812</v>
          </cell>
          <cell r="Q32">
            <v>2036</v>
          </cell>
          <cell r="R32">
            <v>5217125</v>
          </cell>
          <cell r="U32">
            <v>2459123</v>
          </cell>
          <cell r="V32">
            <v>1358042</v>
          </cell>
          <cell r="W32">
            <v>39590</v>
          </cell>
          <cell r="X32">
            <v>730022</v>
          </cell>
          <cell r="Y32">
            <v>114101</v>
          </cell>
          <cell r="Z32">
            <v>62093</v>
          </cell>
          <cell r="AA32">
            <v>3488.8265181000002</v>
          </cell>
          <cell r="AB32">
            <v>46559.048060000001</v>
          </cell>
          <cell r="AC32">
            <v>63.6</v>
          </cell>
          <cell r="AD32">
            <v>63.8</v>
          </cell>
          <cell r="AE32">
            <v>63.4</v>
          </cell>
          <cell r="AJ32">
            <v>2036</v>
          </cell>
          <cell r="AK32">
            <v>8871.7255561348593</v>
          </cell>
          <cell r="AL32">
            <v>11560.331243973171</v>
          </cell>
          <cell r="AM32">
            <v>3931.1912352284908</v>
          </cell>
          <cell r="AN32">
            <v>5939.5403830883633</v>
          </cell>
          <cell r="AO32">
            <v>2267.7860168560596</v>
          </cell>
          <cell r="AP32">
            <v>6214.6773228374868</v>
          </cell>
          <cell r="BH32">
            <v>1962</v>
          </cell>
          <cell r="BI32">
            <v>63.275623867760721</v>
          </cell>
          <cell r="BJ32">
            <v>18702.605682979269</v>
          </cell>
          <cell r="BK32">
            <v>7908.8643781898581</v>
          </cell>
          <cell r="BL32">
            <v>0.11814152912636573</v>
          </cell>
        </row>
        <row r="33">
          <cell r="A33">
            <v>2037</v>
          </cell>
          <cell r="B33">
            <v>29465.846528907576</v>
          </cell>
          <cell r="C33">
            <v>1927.7714633617779</v>
          </cell>
          <cell r="D33">
            <v>4689.2644643359208</v>
          </cell>
          <cell r="E33">
            <v>594.93414480350532</v>
          </cell>
          <cell r="F33">
            <v>26758.886011766976</v>
          </cell>
          <cell r="G33">
            <v>5456.9562731714941</v>
          </cell>
          <cell r="H33">
            <v>89.228887331998166</v>
          </cell>
          <cell r="I33">
            <v>4443.1405591540806</v>
          </cell>
          <cell r="J33">
            <v>339.8440464036899</v>
          </cell>
          <cell r="K33">
            <v>97.192385717413586</v>
          </cell>
          <cell r="L33">
            <v>-2048.5396008328348</v>
          </cell>
          <cell r="M33">
            <v>-523.88397205893114</v>
          </cell>
          <cell r="O33">
            <v>-11.173516052095387</v>
          </cell>
          <cell r="Q33">
            <v>2037</v>
          </cell>
          <cell r="R33">
            <v>5240080</v>
          </cell>
          <cell r="U33">
            <v>2483624</v>
          </cell>
          <cell r="V33">
            <v>1389822</v>
          </cell>
          <cell r="W33">
            <v>40218</v>
          </cell>
          <cell r="X33">
            <v>738062</v>
          </cell>
          <cell r="Y33">
            <v>112585</v>
          </cell>
          <cell r="Z33">
            <v>60657</v>
          </cell>
          <cell r="AA33">
            <v>3518.0230433000002</v>
          </cell>
          <cell r="AB33">
            <v>46891.342504</v>
          </cell>
          <cell r="AC33">
            <v>63.7</v>
          </cell>
          <cell r="AD33">
            <v>63.8</v>
          </cell>
          <cell r="AE33">
            <v>63.5</v>
          </cell>
          <cell r="AJ33">
            <v>2037</v>
          </cell>
          <cell r="AK33">
            <v>9020.3622526039926</v>
          </cell>
          <cell r="AL33">
            <v>11733.534749175133</v>
          </cell>
          <cell r="AM33">
            <v>3984.4632545252566</v>
          </cell>
          <cell r="AN33">
            <v>5955.7980818925907</v>
          </cell>
          <cell r="AO33">
            <v>2271.0766666383383</v>
          </cell>
          <cell r="AP33">
            <v>6232.2443117248822</v>
          </cell>
          <cell r="BH33">
            <v>1963</v>
          </cell>
          <cell r="BI33">
            <v>63.322714390993568</v>
          </cell>
          <cell r="BJ33">
            <v>18715.81743887168</v>
          </cell>
          <cell r="BK33">
            <v>7914.4512994628612</v>
          </cell>
          <cell r="BL33">
            <v>0.10872183244159782</v>
          </cell>
        </row>
        <row r="34">
          <cell r="A34">
            <v>2038</v>
          </cell>
          <cell r="B34">
            <v>30060.532001698979</v>
          </cell>
          <cell r="C34">
            <v>1960.2681863212076</v>
          </cell>
          <cell r="D34">
            <v>4894.6797019809783</v>
          </cell>
          <cell r="E34">
            <v>608.20511383105884</v>
          </cell>
          <cell r="F34">
            <v>27205.809211903397</v>
          </cell>
          <cell r="G34">
            <v>5590.1169606921903</v>
          </cell>
          <cell r="H34">
            <v>90.431735613671165</v>
          </cell>
          <cell r="I34">
            <v>4494.2333962786042</v>
          </cell>
          <cell r="J34">
            <v>339.84404640368984</v>
          </cell>
          <cell r="K34">
            <v>97.192385717413586</v>
          </cell>
          <cell r="L34">
            <v>-2084.6393601995055</v>
          </cell>
          <cell r="M34">
            <v>-493.59350251702926</v>
          </cell>
          <cell r="O34">
            <v>-11.399028882587462</v>
          </cell>
          <cell r="Q34">
            <v>2038</v>
          </cell>
          <cell r="R34">
            <v>5266280</v>
          </cell>
          <cell r="U34">
            <v>2505891</v>
          </cell>
          <cell r="V34">
            <v>1419300</v>
          </cell>
          <cell r="W34">
            <v>40778</v>
          </cell>
          <cell r="X34">
            <v>745548</v>
          </cell>
          <cell r="Y34">
            <v>112703</v>
          </cell>
          <cell r="Z34">
            <v>60396</v>
          </cell>
          <cell r="AA34">
            <v>3541.1486912</v>
          </cell>
          <cell r="AB34">
            <v>47129.382019999997</v>
          </cell>
          <cell r="AC34">
            <v>63.8</v>
          </cell>
          <cell r="AD34">
            <v>63.9</v>
          </cell>
          <cell r="AE34">
            <v>63.6</v>
          </cell>
          <cell r="AJ34">
            <v>2038</v>
          </cell>
          <cell r="AK34">
            <v>9167.0321622343599</v>
          </cell>
          <cell r="AL34">
            <v>11914.962225846273</v>
          </cell>
          <cell r="AM34">
            <v>4039.2097574517024</v>
          </cell>
          <cell r="AN34">
            <v>5972.8998238718877</v>
          </cell>
          <cell r="AO34">
            <v>2275.159015581979</v>
          </cell>
          <cell r="AP34">
            <v>6250.7360581368721</v>
          </cell>
          <cell r="BH34">
            <v>1964</v>
          </cell>
          <cell r="BI34">
            <v>63.35352853944346</v>
          </cell>
          <cell r="BJ34">
            <v>18713.420051757726</v>
          </cell>
          <cell r="BK34">
            <v>7913.4375043870486</v>
          </cell>
          <cell r="BL34">
            <v>9.9962199412637023E-2</v>
          </cell>
        </row>
        <row r="35">
          <cell r="A35">
            <v>2039</v>
          </cell>
          <cell r="B35">
            <v>30661.30364860487</v>
          </cell>
          <cell r="C35">
            <v>1946.4703877234251</v>
          </cell>
          <cell r="D35">
            <v>5161.5978630290438</v>
          </cell>
          <cell r="E35">
            <v>621.64837927164194</v>
          </cell>
          <cell r="F35">
            <v>27661.613931301155</v>
          </cell>
          <cell r="G35">
            <v>5725.3067209098326</v>
          </cell>
          <cell r="H35">
            <v>91.512027428905739</v>
          </cell>
          <cell r="I35">
            <v>4542.7695711851275</v>
          </cell>
          <cell r="J35">
            <v>339.84404640368984</v>
          </cell>
          <cell r="K35">
            <v>97.192385717413586</v>
          </cell>
          <cell r="L35">
            <v>-2125.4659545359332</v>
          </cell>
          <cell r="M35">
            <v>-455.10605958782463</v>
          </cell>
          <cell r="O35">
            <v>-11.626849709729001</v>
          </cell>
          <cell r="Q35">
            <v>2039</v>
          </cell>
          <cell r="R35">
            <v>5291558</v>
          </cell>
          <cell r="U35">
            <v>2527297</v>
          </cell>
          <cell r="V35">
            <v>1448074</v>
          </cell>
          <cell r="W35">
            <v>41266</v>
          </cell>
          <cell r="X35">
            <v>752329</v>
          </cell>
          <cell r="Y35">
            <v>113738</v>
          </cell>
          <cell r="Z35">
            <v>62184</v>
          </cell>
          <cell r="AA35">
            <v>3556.3507934999998</v>
          </cell>
          <cell r="AB35">
            <v>47289.353174999997</v>
          </cell>
          <cell r="AC35">
            <v>63.7</v>
          </cell>
          <cell r="AD35">
            <v>63.9</v>
          </cell>
          <cell r="AE35">
            <v>63.5</v>
          </cell>
          <cell r="AJ35">
            <v>2039</v>
          </cell>
          <cell r="AK35">
            <v>9208.8453882414433</v>
          </cell>
          <cell r="AL35">
            <v>12009.773374565226</v>
          </cell>
          <cell r="AM35">
            <v>4085.7920737474524</v>
          </cell>
          <cell r="AN35">
            <v>5992.8543459598186</v>
          </cell>
          <cell r="AO35">
            <v>2281.1946917879059</v>
          </cell>
          <cell r="AP35">
            <v>6271.9861773356506</v>
          </cell>
          <cell r="BH35">
            <v>1965</v>
          </cell>
          <cell r="BI35">
            <v>63.395152413944921</v>
          </cell>
          <cell r="BJ35">
            <v>18891.846914066573</v>
          </cell>
          <cell r="BK35">
            <v>7988.8897637859018</v>
          </cell>
          <cell r="BL35">
            <v>9.0428798183313827E-2</v>
          </cell>
        </row>
        <row r="36">
          <cell r="A36">
            <v>2040</v>
          </cell>
          <cell r="B36">
            <v>31261.819182046718</v>
          </cell>
          <cell r="C36">
            <v>1922.7691185243855</v>
          </cell>
          <cell r="D36">
            <v>5438.4393478016345</v>
          </cell>
          <cell r="E36">
            <v>635.13584758962656</v>
          </cell>
          <cell r="F36">
            <v>28120.583954023186</v>
          </cell>
          <cell r="G36">
            <v>5860.0987073627375</v>
          </cell>
          <cell r="H36">
            <v>92.467665984762917</v>
          </cell>
          <cell r="I36">
            <v>4587.8103312539452</v>
          </cell>
          <cell r="J36">
            <v>339.8440464036899</v>
          </cell>
          <cell r="K36">
            <v>97.192385717413586</v>
          </cell>
          <cell r="L36">
            <v>-2166.9530100512529</v>
          </cell>
          <cell r="M36">
            <v>-407.60393773908851</v>
          </cell>
          <cell r="O36">
            <v>-11.854573465383821</v>
          </cell>
          <cell r="Q36">
            <v>2040</v>
          </cell>
          <cell r="R36">
            <v>5314841</v>
          </cell>
          <cell r="U36">
            <v>2547614</v>
          </cell>
          <cell r="V36">
            <v>1475827</v>
          </cell>
          <cell r="W36">
            <v>41682</v>
          </cell>
          <cell r="X36">
            <v>758250</v>
          </cell>
          <cell r="Y36">
            <v>113189</v>
          </cell>
          <cell r="Z36">
            <v>61299</v>
          </cell>
          <cell r="AA36">
            <v>3565.9983947000001</v>
          </cell>
          <cell r="AB36">
            <v>47325.503070999999</v>
          </cell>
          <cell r="AC36">
            <v>63.7</v>
          </cell>
          <cell r="AD36">
            <v>63.8</v>
          </cell>
          <cell r="AE36">
            <v>63.5</v>
          </cell>
          <cell r="AJ36">
            <v>2040</v>
          </cell>
          <cell r="AK36">
            <v>9326.1934859168923</v>
          </cell>
          <cell r="AL36">
            <v>12134.355222140697</v>
          </cell>
          <cell r="AM36">
            <v>4140.9046759618186</v>
          </cell>
          <cell r="AN36">
            <v>6018.9225634384466</v>
          </cell>
          <cell r="AO36">
            <v>2288.6327179816976</v>
          </cell>
          <cell r="AP36">
            <v>6300.0016167494678</v>
          </cell>
          <cell r="BH36">
            <v>1966</v>
          </cell>
          <cell r="BI36">
            <v>63.438787392089942</v>
          </cell>
          <cell r="BJ36">
            <v>18954.205173946713</v>
          </cell>
          <cell r="BK36">
            <v>8015.2595129327165</v>
          </cell>
          <cell r="BL36">
            <v>7.8154128545616194E-2</v>
          </cell>
        </row>
        <row r="37">
          <cell r="A37">
            <v>2041</v>
          </cell>
          <cell r="B37">
            <v>31858.415353119861</v>
          </cell>
          <cell r="C37">
            <v>1879.5336892585085</v>
          </cell>
          <cell r="D37">
            <v>5792.909400426166</v>
          </cell>
          <cell r="E37">
            <v>648.59287455309902</v>
          </cell>
          <cell r="F37">
            <v>28558.100639303564</v>
          </cell>
          <cell r="G37">
            <v>5990.2702839897856</v>
          </cell>
          <cell r="H37">
            <v>93.299679325117296</v>
          </cell>
          <cell r="I37">
            <v>4628.6139870400821</v>
          </cell>
          <cell r="J37">
            <v>339.8440464036899</v>
          </cell>
          <cell r="K37">
            <v>97.1923857174136</v>
          </cell>
          <cell r="L37">
            <v>-2207.6126544035369</v>
          </cell>
          <cell r="M37">
            <v>-350.8404995598375</v>
          </cell>
          <cell r="O37">
            <v>-12.080811002940166</v>
          </cell>
          <cell r="Q37">
            <v>2041</v>
          </cell>
          <cell r="R37">
            <v>5335569</v>
          </cell>
          <cell r="U37">
            <v>2565239</v>
          </cell>
          <cell r="V37">
            <v>1501619</v>
          </cell>
          <cell r="W37">
            <v>42027</v>
          </cell>
          <cell r="X37">
            <v>763188</v>
          </cell>
          <cell r="Y37">
            <v>110776</v>
          </cell>
          <cell r="Z37">
            <v>61169</v>
          </cell>
          <cell r="AA37">
            <v>3570.8326372000001</v>
          </cell>
          <cell r="AB37">
            <v>47293.265406999999</v>
          </cell>
          <cell r="AC37">
            <v>63.7</v>
          </cell>
          <cell r="AD37">
            <v>63.8</v>
          </cell>
          <cell r="AE37">
            <v>63.5</v>
          </cell>
          <cell r="AJ37">
            <v>2041</v>
          </cell>
          <cell r="AK37">
            <v>9423.1365144283554</v>
          </cell>
          <cell r="AL37">
            <v>12312.076742949068</v>
          </cell>
          <cell r="AM37">
            <v>4191.3157759070373</v>
          </cell>
          <cell r="AN37">
            <v>6047.6559858894834</v>
          </cell>
          <cell r="AO37">
            <v>2296.7810810754258</v>
          </cell>
          <cell r="AP37">
            <v>6330.8621974483513</v>
          </cell>
          <cell r="BH37">
            <v>1967</v>
          </cell>
          <cell r="BI37">
            <v>63.475041310732614</v>
          </cell>
          <cell r="BJ37">
            <v>19138.929202454703</v>
          </cell>
          <cell r="BK37">
            <v>8093.3746864880322</v>
          </cell>
          <cell r="BL37">
            <v>6.9699818407945674E-2</v>
          </cell>
        </row>
        <row r="38">
          <cell r="A38">
            <v>2042</v>
          </cell>
          <cell r="B38">
            <v>32443.944926289376</v>
          </cell>
          <cell r="C38">
            <v>1824.3543825335214</v>
          </cell>
          <cell r="D38">
            <v>6208.3152826809292</v>
          </cell>
          <cell r="E38">
            <v>661.8731675974858</v>
          </cell>
          <cell r="F38">
            <v>28988.139178161859</v>
          </cell>
          <cell r="G38">
            <v>6119.4886378185984</v>
          </cell>
          <cell r="H38">
            <v>94.023594393720131</v>
          </cell>
          <cell r="I38">
            <v>4664.8054404759623</v>
          </cell>
          <cell r="J38">
            <v>339.84404640368996</v>
          </cell>
          <cell r="K38">
            <v>97.192385717413615</v>
          </cell>
          <cell r="L38">
            <v>-2248.1761128042549</v>
          </cell>
          <cell r="M38">
            <v>-281.8797286227981</v>
          </cell>
          <cell r="O38">
            <v>-12.302852006792172</v>
          </cell>
          <cell r="Q38">
            <v>2042</v>
          </cell>
          <cell r="R38">
            <v>5352643</v>
          </cell>
          <cell r="U38">
            <v>2580474</v>
          </cell>
          <cell r="V38">
            <v>1526175</v>
          </cell>
          <cell r="W38">
            <v>42305</v>
          </cell>
          <cell r="X38">
            <v>767055</v>
          </cell>
          <cell r="Y38">
            <v>110541</v>
          </cell>
          <cell r="Z38">
            <v>61645</v>
          </cell>
          <cell r="AA38">
            <v>3577.5354874999998</v>
          </cell>
          <cell r="AB38">
            <v>47166.201837000001</v>
          </cell>
          <cell r="AC38">
            <v>63.7</v>
          </cell>
          <cell r="AD38">
            <v>63.8</v>
          </cell>
          <cell r="AE38">
            <v>63.4</v>
          </cell>
          <cell r="AJ38">
            <v>2042</v>
          </cell>
          <cell r="AK38">
            <v>9505.2126301302796</v>
          </cell>
          <cell r="AL38">
            <v>12438.205984879161</v>
          </cell>
          <cell r="AM38">
            <v>4245.8076755144002</v>
          </cell>
          <cell r="AN38">
            <v>6081.6734998953734</v>
          </cell>
          <cell r="AO38">
            <v>2305.1152876936749</v>
          </cell>
          <cell r="AP38">
            <v>6368.1237650969788</v>
          </cell>
          <cell r="BH38">
            <v>1968</v>
          </cell>
          <cell r="BI38">
            <v>63.511549011534512</v>
          </cell>
          <cell r="BJ38">
            <v>19321.045163797055</v>
          </cell>
          <cell r="BK38">
            <v>8170.3869736406796</v>
          </cell>
          <cell r="BL38">
            <v>6.4196614454966688E-2</v>
          </cell>
        </row>
        <row r="39">
          <cell r="A39">
            <v>2043</v>
          </cell>
          <cell r="B39">
            <v>33033.835630494694</v>
          </cell>
          <cell r="C39">
            <v>1808.5889702254731</v>
          </cell>
          <cell r="D39">
            <v>6491.8064013384428</v>
          </cell>
          <cell r="E39">
            <v>675.29068302801693</v>
          </cell>
          <cell r="F39">
            <v>29423.44224163557</v>
          </cell>
          <cell r="G39">
            <v>6247.8271842562999</v>
          </cell>
          <cell r="H39">
            <v>94.671002075646342</v>
          </cell>
          <cell r="I39">
            <v>4696.6438599273806</v>
          </cell>
          <cell r="J39">
            <v>339.84404640368996</v>
          </cell>
          <cell r="K39">
            <v>97.192385717413615</v>
          </cell>
          <cell r="L39">
            <v>-2284.9173273963488</v>
          </cell>
          <cell r="M39">
            <v>-198.88961898358599</v>
          </cell>
          <cell r="O39">
            <v>-12.526546850873356</v>
          </cell>
          <cell r="Q39">
            <v>2043</v>
          </cell>
          <cell r="R39">
            <v>5368701</v>
          </cell>
          <cell r="U39">
            <v>2595023</v>
          </cell>
          <cell r="V39">
            <v>1549452</v>
          </cell>
          <cell r="W39">
            <v>42527</v>
          </cell>
          <cell r="X39">
            <v>769784</v>
          </cell>
          <cell r="Y39">
            <v>111252</v>
          </cell>
          <cell r="Z39">
            <v>61297</v>
          </cell>
          <cell r="AA39">
            <v>3582.9478297999999</v>
          </cell>
          <cell r="AB39">
            <v>46943.961002999997</v>
          </cell>
          <cell r="AC39">
            <v>63.7</v>
          </cell>
          <cell r="AD39">
            <v>63.8</v>
          </cell>
          <cell r="AE39">
            <v>63.4</v>
          </cell>
          <cell r="AJ39">
            <v>2043</v>
          </cell>
          <cell r="AK39">
            <v>9680.1888379378179</v>
          </cell>
          <cell r="AL39">
            <v>12641.356432878489</v>
          </cell>
          <cell r="AM39">
            <v>4305.7689271372983</v>
          </cell>
          <cell r="AN39">
            <v>6122.595189198144</v>
          </cell>
          <cell r="AO39">
            <v>2314.7383385067019</v>
          </cell>
          <cell r="AP39">
            <v>6413.2258080865258</v>
          </cell>
          <cell r="BH39">
            <v>1969</v>
          </cell>
          <cell r="BI39">
            <v>63.547348914176908</v>
          </cell>
          <cell r="BJ39">
            <v>19433.167146484109</v>
          </cell>
          <cell r="BK39">
            <v>8217.8005570694677</v>
          </cell>
          <cell r="BL39">
            <v>6.017364102099107E-2</v>
          </cell>
        </row>
        <row r="40">
          <cell r="A40">
            <v>2044</v>
          </cell>
          <cell r="B40">
            <v>33644.698371370447</v>
          </cell>
          <cell r="C40">
            <v>1827.4182085422287</v>
          </cell>
          <cell r="D40">
            <v>6670.5301095111045</v>
          </cell>
          <cell r="E40">
            <v>689.18627056473576</v>
          </cell>
          <cell r="F40">
            <v>29893.930884937803</v>
          </cell>
          <cell r="G40">
            <v>6379.3857702761561</v>
          </cell>
          <cell r="H40">
            <v>95.259127836163998</v>
          </cell>
          <cell r="I40">
            <v>4724.007885675037</v>
          </cell>
          <cell r="J40">
            <v>339.84404640368996</v>
          </cell>
          <cell r="K40">
            <v>97.192385717413615</v>
          </cell>
          <cell r="L40">
            <v>-2320.9384282158521</v>
          </cell>
          <cell r="M40">
            <v>-104.7612774751</v>
          </cell>
          <cell r="O40">
            <v>-12.758194586265468</v>
          </cell>
          <cell r="Q40">
            <v>2044</v>
          </cell>
          <cell r="R40">
            <v>5386418</v>
          </cell>
          <cell r="U40">
            <v>2610118</v>
          </cell>
          <cell r="V40">
            <v>1572188</v>
          </cell>
          <cell r="W40">
            <v>42703</v>
          </cell>
          <cell r="X40">
            <v>771370</v>
          </cell>
          <cell r="Y40">
            <v>113201</v>
          </cell>
          <cell r="Z40">
            <v>63088</v>
          </cell>
          <cell r="AA40">
            <v>3585.9333932</v>
          </cell>
          <cell r="AB40">
            <v>46665.001139</v>
          </cell>
          <cell r="AC40">
            <v>63.7</v>
          </cell>
          <cell r="AD40">
            <v>63.8</v>
          </cell>
          <cell r="AE40">
            <v>63.5</v>
          </cell>
          <cell r="AJ40">
            <v>2044</v>
          </cell>
          <cell r="AK40">
            <v>9825.7807521192371</v>
          </cell>
          <cell r="AL40">
            <v>12868.763803185924</v>
          </cell>
          <cell r="AM40">
            <v>4365.650071739452</v>
          </cell>
          <cell r="AN40">
            <v>6169.1665368134018</v>
          </cell>
          <cell r="AO40">
            <v>2325.5122214916573</v>
          </cell>
          <cell r="AP40">
            <v>6464.5289717177566</v>
          </cell>
          <cell r="BH40">
            <v>1970</v>
          </cell>
          <cell r="BI40">
            <v>63.563329993523354</v>
          </cell>
          <cell r="BJ40">
            <v>19532.831319298752</v>
          </cell>
          <cell r="BK40">
            <v>8259.9460441484589</v>
          </cell>
          <cell r="BL40">
            <v>5.9684803126504989E-2</v>
          </cell>
        </row>
        <row r="41">
          <cell r="A41">
            <v>2045</v>
          </cell>
          <cell r="B41">
            <v>34260.213111150959</v>
          </cell>
          <cell r="C41">
            <v>1876.8255879816859</v>
          </cell>
          <cell r="D41">
            <v>6795.3921145806362</v>
          </cell>
          <cell r="E41">
            <v>703.22752331872505</v>
          </cell>
          <cell r="F41">
            <v>30397.780059767156</v>
          </cell>
          <cell r="G41">
            <v>6513.4474875974129</v>
          </cell>
          <cell r="H41">
            <v>95.805345756485281</v>
          </cell>
          <cell r="I41">
            <v>4747.276126624306</v>
          </cell>
          <cell r="J41">
            <v>339.84404640368996</v>
          </cell>
          <cell r="K41">
            <v>97.192385717413615</v>
          </cell>
          <cell r="L41">
            <v>-2356.5112609914636</v>
          </cell>
          <cell r="M41">
            <v>-2.2194281406997547</v>
          </cell>
          <cell r="O41">
            <v>-12.991606464876041</v>
          </cell>
          <cell r="Q41">
            <v>2045</v>
          </cell>
          <cell r="R41">
            <v>5403116</v>
          </cell>
          <cell r="U41">
            <v>2626210</v>
          </cell>
          <cell r="V41">
            <v>1594621</v>
          </cell>
          <cell r="W41">
            <v>42838</v>
          </cell>
          <cell r="X41">
            <v>771880</v>
          </cell>
          <cell r="Y41">
            <v>114554</v>
          </cell>
          <cell r="Z41">
            <v>63032</v>
          </cell>
          <cell r="AA41">
            <v>3586.2255828000002</v>
          </cell>
          <cell r="AB41">
            <v>46373.482617000001</v>
          </cell>
          <cell r="AC41">
            <v>63.7</v>
          </cell>
          <cell r="AD41">
            <v>63.9</v>
          </cell>
          <cell r="AE41">
            <v>63.5</v>
          </cell>
          <cell r="AJ41">
            <v>2045</v>
          </cell>
          <cell r="AK41">
            <v>10008.134999931195</v>
          </cell>
          <cell r="AL41">
            <v>13078.687215214104</v>
          </cell>
          <cell r="AM41">
            <v>4427.7307850955822</v>
          </cell>
          <cell r="AN41">
            <v>6220.7608038094922</v>
          </cell>
          <cell r="AO41">
            <v>2337.5160538309719</v>
          </cell>
          <cell r="AP41">
            <v>6521.0658678406671</v>
          </cell>
          <cell r="BH41">
            <v>1971</v>
          </cell>
          <cell r="BI41">
            <v>63.602279977432232</v>
          </cell>
          <cell r="BJ41">
            <v>19680.270227945013</v>
          </cell>
          <cell r="BK41">
            <v>8322.294272642248</v>
          </cell>
          <cell r="BL41">
            <v>5.5860501658309213E-2</v>
          </cell>
        </row>
        <row r="42">
          <cell r="A42">
            <v>2046</v>
          </cell>
          <cell r="B42">
            <v>34862.829707108009</v>
          </cell>
          <cell r="C42">
            <v>1951.4189645315316</v>
          </cell>
          <cell r="D42">
            <v>6944.2137126311327</v>
          </cell>
          <cell r="E42">
            <v>717.0540017517759</v>
          </cell>
          <cell r="F42">
            <v>30938.301948503529</v>
          </cell>
          <cell r="G42">
            <v>6652.1078104600056</v>
          </cell>
          <cell r="H42">
            <v>96.33472841414266</v>
          </cell>
          <cell r="I42">
            <v>4767.8179989361615</v>
          </cell>
          <cell r="J42">
            <v>339.84404640368996</v>
          </cell>
          <cell r="K42">
            <v>97.192385717413629</v>
          </cell>
          <cell r="L42">
            <v>-2392.7572875529695</v>
          </cell>
          <cell r="M42">
            <v>107.35474005020131</v>
          </cell>
          <cell r="O42">
            <v>-13.22012726547797</v>
          </cell>
          <cell r="Q42">
            <v>2046</v>
          </cell>
          <cell r="R42">
            <v>5416083</v>
          </cell>
          <cell r="U42">
            <v>2643733</v>
          </cell>
          <cell r="V42">
            <v>1616766</v>
          </cell>
          <cell r="W42">
            <v>42940</v>
          </cell>
          <cell r="X42">
            <v>771476</v>
          </cell>
          <cell r="Y42">
            <v>117133</v>
          </cell>
          <cell r="Z42">
            <v>64629</v>
          </cell>
          <cell r="AA42">
            <v>3589.0109483000001</v>
          </cell>
          <cell r="AB42">
            <v>46143.705627000003</v>
          </cell>
          <cell r="AC42">
            <v>63.7</v>
          </cell>
          <cell r="AD42">
            <v>63.9</v>
          </cell>
          <cell r="AE42">
            <v>63.5</v>
          </cell>
          <cell r="AJ42">
            <v>2046</v>
          </cell>
          <cell r="AK42">
            <v>10139.127771151938</v>
          </cell>
          <cell r="AL42">
            <v>13256.874919981261</v>
          </cell>
          <cell r="AM42">
            <v>4488.551763727638</v>
          </cell>
          <cell r="AN42">
            <v>6273.4657307799407</v>
          </cell>
          <cell r="AO42">
            <v>2350.6344162774526</v>
          </cell>
          <cell r="AP42">
            <v>6578.5795993948941</v>
          </cell>
          <cell r="BH42">
            <v>1972</v>
          </cell>
          <cell r="BI42">
            <v>63.629265078136442</v>
          </cell>
          <cell r="BJ42">
            <v>19859.672349950837</v>
          </cell>
          <cell r="BK42">
            <v>8398.15894498546</v>
          </cell>
          <cell r="BL42">
            <v>5.0197694608899397E-2</v>
          </cell>
        </row>
        <row r="43">
          <cell r="A43">
            <v>2047</v>
          </cell>
          <cell r="B43">
            <v>35486.849150814502</v>
          </cell>
          <cell r="C43">
            <v>2068.1175545731739</v>
          </cell>
          <cell r="D43">
            <v>7037.7366331683024</v>
          </cell>
          <cell r="E43">
            <v>731.37112340860222</v>
          </cell>
          <cell r="F43">
            <v>31537.854031625633</v>
          </cell>
          <cell r="G43">
            <v>6796.8675670090615</v>
          </cell>
          <cell r="H43">
            <v>96.865946160792134</v>
          </cell>
          <cell r="I43">
            <v>4786.4294750958261</v>
          </cell>
          <cell r="J43">
            <v>339.84404640369002</v>
          </cell>
          <cell r="K43">
            <v>97.192385717413629</v>
          </cell>
          <cell r="L43">
            <v>-2429.9460693892238</v>
          </cell>
          <cell r="M43">
            <v>224.12154810383063</v>
          </cell>
          <cell r="O43">
            <v>-13.456764329755011</v>
          </cell>
          <cell r="Q43">
            <v>2047</v>
          </cell>
          <cell r="R43">
            <v>5430706</v>
          </cell>
          <cell r="U43">
            <v>2663940</v>
          </cell>
          <cell r="V43">
            <v>1639058</v>
          </cell>
          <cell r="W43">
            <v>43021</v>
          </cell>
          <cell r="X43">
            <v>770364</v>
          </cell>
          <cell r="Y43">
            <v>120799</v>
          </cell>
          <cell r="Z43">
            <v>65242</v>
          </cell>
          <cell r="AA43">
            <v>3593.7687744</v>
          </cell>
          <cell r="AB43">
            <v>45935.624500999998</v>
          </cell>
          <cell r="AC43">
            <v>63.7</v>
          </cell>
          <cell r="AD43">
            <v>63.9</v>
          </cell>
          <cell r="AE43">
            <v>63.5</v>
          </cell>
          <cell r="AJ43">
            <v>2047</v>
          </cell>
          <cell r="AK43">
            <v>10328.758961554438</v>
          </cell>
          <cell r="AL43">
            <v>13446.586867403903</v>
          </cell>
          <cell r="AM43">
            <v>4555.9363442418262</v>
          </cell>
          <cell r="AN43">
            <v>6326.8892907104728</v>
          </cell>
          <cell r="AO43">
            <v>2364.2846865388992</v>
          </cell>
          <cell r="AP43">
            <v>6636.9032471214823</v>
          </cell>
          <cell r="BH43">
            <v>1973</v>
          </cell>
          <cell r="BI43">
            <v>63.654790753906482</v>
          </cell>
          <cell r="BJ43">
            <v>20047.563137594752</v>
          </cell>
          <cell r="BK43">
            <v>8477.6132618103802</v>
          </cell>
          <cell r="BL43">
            <v>4.4085313989504264E-2</v>
          </cell>
        </row>
        <row r="44">
          <cell r="A44">
            <v>2048</v>
          </cell>
          <cell r="B44">
            <v>36140.235900676824</v>
          </cell>
          <cell r="C44">
            <v>2153.3832042134418</v>
          </cell>
          <cell r="D44">
            <v>7258.4199399886165</v>
          </cell>
          <cell r="E44">
            <v>746.34608041938554</v>
          </cell>
          <cell r="F44">
            <v>32177.979129585779</v>
          </cell>
          <cell r="G44">
            <v>6941.9632407688514</v>
          </cell>
          <cell r="H44">
            <v>97.431247841700852</v>
          </cell>
          <cell r="I44">
            <v>4804.4507699796259</v>
          </cell>
          <cell r="J44">
            <v>339.84404640368996</v>
          </cell>
          <cell r="K44">
            <v>97.192385717413629</v>
          </cell>
          <cell r="L44">
            <v>-2472.9138125797213</v>
          </cell>
          <cell r="M44">
            <v>346.1454492414519</v>
          </cell>
          <cell r="O44">
            <v>-13.704537877966628</v>
          </cell>
          <cell r="Q44">
            <v>2048</v>
          </cell>
          <cell r="R44">
            <v>5448084</v>
          </cell>
          <cell r="U44">
            <v>2685580</v>
          </cell>
          <cell r="V44">
            <v>1660501</v>
          </cell>
          <cell r="W44">
            <v>43091</v>
          </cell>
          <cell r="X44">
            <v>768748</v>
          </cell>
          <cell r="Y44">
            <v>120747</v>
          </cell>
          <cell r="Z44">
            <v>64696</v>
          </cell>
          <cell r="AA44">
            <v>3598.6366667000002</v>
          </cell>
          <cell r="AB44">
            <v>45763.992342999998</v>
          </cell>
          <cell r="AC44">
            <v>63.8</v>
          </cell>
          <cell r="AD44">
            <v>63.9</v>
          </cell>
          <cell r="AE44">
            <v>63.5</v>
          </cell>
          <cell r="AJ44">
            <v>2048</v>
          </cell>
          <cell r="AK44">
            <v>10514.241011579514</v>
          </cell>
          <cell r="AL44">
            <v>13669.997716065905</v>
          </cell>
          <cell r="AM44">
            <v>4624.4154459090187</v>
          </cell>
          <cell r="AN44">
            <v>6381.4177895277726</v>
          </cell>
          <cell r="AO44">
            <v>2378.8491836905014</v>
          </cell>
          <cell r="AP44">
            <v>6696.1584711971573</v>
          </cell>
          <cell r="BH44">
            <v>1974</v>
          </cell>
          <cell r="BI44">
            <v>63.670030119637218</v>
          </cell>
          <cell r="BJ44">
            <v>20248.43693105015</v>
          </cell>
          <cell r="BK44">
            <v>8562.5577672178315</v>
          </cell>
          <cell r="BL44">
            <v>3.7528955796487726E-2</v>
          </cell>
        </row>
        <row r="45">
          <cell r="A45">
            <v>2049</v>
          </cell>
          <cell r="B45">
            <v>36813.175309455699</v>
          </cell>
          <cell r="C45">
            <v>2207.735069362428</v>
          </cell>
          <cell r="D45">
            <v>7412.3604634172743</v>
          </cell>
          <cell r="E45">
            <v>761.77942573933069</v>
          </cell>
          <cell r="F45">
            <v>32827.412650925209</v>
          </cell>
          <cell r="G45">
            <v>7084.193869002037</v>
          </cell>
          <cell r="H45">
            <v>98.046204518893404</v>
          </cell>
          <cell r="I45">
            <v>4823.2255185505792</v>
          </cell>
          <cell r="J45">
            <v>339.84404640368996</v>
          </cell>
          <cell r="K45">
            <v>97.192385717413629</v>
          </cell>
          <cell r="L45">
            <v>-2518.9901586033634</v>
          </cell>
          <cell r="M45">
            <v>476.43157931456778</v>
          </cell>
          <cell r="O45">
            <v>-13.959726082226718</v>
          </cell>
          <cell r="Q45">
            <v>2049</v>
          </cell>
          <cell r="R45">
            <v>5466607</v>
          </cell>
          <cell r="U45">
            <v>2706525</v>
          </cell>
          <cell r="V45">
            <v>1680193</v>
          </cell>
          <cell r="W45">
            <v>43157</v>
          </cell>
          <cell r="X45">
            <v>766845</v>
          </cell>
          <cell r="Y45">
            <v>120021</v>
          </cell>
          <cell r="Z45">
            <v>63342</v>
          </cell>
          <cell r="AA45">
            <v>3602.3216553000002</v>
          </cell>
          <cell r="AB45">
            <v>45651.417822000003</v>
          </cell>
          <cell r="AC45">
            <v>63.8</v>
          </cell>
          <cell r="AD45">
            <v>63.9</v>
          </cell>
          <cell r="AE45">
            <v>63.6</v>
          </cell>
          <cell r="AJ45">
            <v>2049</v>
          </cell>
          <cell r="AK45">
            <v>10726.157867067419</v>
          </cell>
          <cell r="AL45">
            <v>13909.314171135968</v>
          </cell>
          <cell r="AM45">
            <v>4694.6842355020835</v>
          </cell>
          <cell r="AN45">
            <v>6439.0311535093397</v>
          </cell>
          <cell r="AO45">
            <v>2394.7489714370208</v>
          </cell>
          <cell r="AP45">
            <v>6758.1626499598651</v>
          </cell>
          <cell r="BH45">
            <v>1975</v>
          </cell>
          <cell r="BI45">
            <v>63.68878715842493</v>
          </cell>
          <cell r="BJ45">
            <v>20497.444483018335</v>
          </cell>
          <cell r="BK45">
            <v>8667.8568357563781</v>
          </cell>
          <cell r="BL45">
            <v>3.4169275307741193E-2</v>
          </cell>
        </row>
        <row r="46">
          <cell r="A46">
            <v>2050</v>
          </cell>
          <cell r="B46">
            <v>37480.145261695863</v>
          </cell>
          <cell r="C46">
            <v>2204.9811307988084</v>
          </cell>
          <cell r="D46">
            <v>7538.1664528743895</v>
          </cell>
          <cell r="E46">
            <v>777.14447217912971</v>
          </cell>
          <cell r="F46">
            <v>33491.868766960331</v>
          </cell>
          <cell r="G46">
            <v>7224.8063978424279</v>
          </cell>
          <cell r="H46">
            <v>98.700456256958063</v>
          </cell>
          <cell r="I46">
            <v>4843.8122302602742</v>
          </cell>
          <cell r="J46">
            <v>339.84404640369002</v>
          </cell>
          <cell r="K46">
            <v>97.192385717413629</v>
          </cell>
          <cell r="L46">
            <v>-2571.3097651560811</v>
          </cell>
          <cell r="M46">
            <v>612.61996582998381</v>
          </cell>
          <cell r="O46">
            <v>-14.21265065246248</v>
          </cell>
          <cell r="Q46">
            <v>2050</v>
          </cell>
          <cell r="R46">
            <v>5482460</v>
          </cell>
          <cell r="U46">
            <v>2727395</v>
          </cell>
          <cell r="V46">
            <v>1698455</v>
          </cell>
          <cell r="W46">
            <v>43214</v>
          </cell>
          <cell r="X46">
            <v>764842</v>
          </cell>
          <cell r="Y46">
            <v>121053</v>
          </cell>
          <cell r="Z46">
            <v>63244</v>
          </cell>
          <cell r="AA46">
            <v>3605.3086632999998</v>
          </cell>
          <cell r="AB46">
            <v>45595.542439999997</v>
          </cell>
          <cell r="AC46">
            <v>63.8</v>
          </cell>
          <cell r="AD46">
            <v>63.9</v>
          </cell>
          <cell r="AE46">
            <v>63.5</v>
          </cell>
          <cell r="AJ46">
            <v>2050</v>
          </cell>
          <cell r="AK46">
            <v>10874.824955965962</v>
          </cell>
          <cell r="AL46">
            <v>14068.501666382954</v>
          </cell>
          <cell r="AM46">
            <v>4761.9265493802277</v>
          </cell>
          <cell r="AN46">
            <v>6499.9060898019943</v>
          </cell>
          <cell r="AO46">
            <v>2411.8912885011814</v>
          </cell>
          <cell r="AP46">
            <v>6823.1516175467987</v>
          </cell>
          <cell r="BH46">
            <v>1976</v>
          </cell>
          <cell r="BI46">
            <v>63.709467391825193</v>
          </cell>
          <cell r="BJ46">
            <v>20803.314749149456</v>
          </cell>
          <cell r="BK46">
            <v>8797.2017245465759</v>
          </cell>
          <cell r="BL46">
            <v>3.4459006181417416E-2</v>
          </cell>
        </row>
        <row r="47">
          <cell r="A47">
            <v>2051</v>
          </cell>
          <cell r="B47">
            <v>38187.356288071387</v>
          </cell>
          <cell r="C47">
            <v>2223.3380843596606</v>
          </cell>
          <cell r="D47">
            <v>7352.7610848188469</v>
          </cell>
          <cell r="E47">
            <v>792.55690592113854</v>
          </cell>
          <cell r="F47">
            <v>34203.821866767859</v>
          </cell>
          <cell r="G47">
            <v>7372.1341150141106</v>
          </cell>
          <cell r="H47">
            <v>99.396773687487993</v>
          </cell>
          <cell r="I47">
            <v>4867.2821221271561</v>
          </cell>
          <cell r="J47">
            <v>339.84404640369002</v>
          </cell>
          <cell r="K47">
            <v>97.192385717413629</v>
          </cell>
          <cell r="L47">
            <v>-2623.8192405864561</v>
          </cell>
          <cell r="M47">
            <v>751.73943807830176</v>
          </cell>
          <cell r="O47">
            <v>-14.480834219612474</v>
          </cell>
          <cell r="Q47">
            <v>2051</v>
          </cell>
          <cell r="R47">
            <v>5491232</v>
          </cell>
          <cell r="U47">
            <v>2750053</v>
          </cell>
          <cell r="V47">
            <v>1716723</v>
          </cell>
          <cell r="W47">
            <v>43265</v>
          </cell>
          <cell r="X47">
            <v>762923</v>
          </cell>
          <cell r="Y47">
            <v>123979</v>
          </cell>
          <cell r="Z47">
            <v>64634</v>
          </cell>
          <cell r="AA47">
            <v>3604.2473804000001</v>
          </cell>
          <cell r="AB47">
            <v>45591.313083000001</v>
          </cell>
          <cell r="AC47">
            <v>63.7</v>
          </cell>
          <cell r="AD47">
            <v>63.9</v>
          </cell>
          <cell r="AE47">
            <v>63.5</v>
          </cell>
          <cell r="AJ47">
            <v>2051</v>
          </cell>
          <cell r="AK47">
            <v>11017.177459767932</v>
          </cell>
          <cell r="AL47">
            <v>14243.210977891009</v>
          </cell>
          <cell r="AM47">
            <v>4829.0967353290789</v>
          </cell>
          <cell r="AN47">
            <v>6564.7181879414975</v>
          </cell>
          <cell r="AO47">
            <v>2430.3526216441164</v>
          </cell>
          <cell r="AP47">
            <v>6891.5628268492464</v>
          </cell>
          <cell r="BH47">
            <v>1977</v>
          </cell>
          <cell r="BI47">
            <v>63.72737550036338</v>
          </cell>
          <cell r="BJ47">
            <v>20966.443861247939</v>
          </cell>
          <cell r="BK47">
            <v>8866.1849478252225</v>
          </cell>
          <cell r="BL47">
            <v>3.467647974898197E-2</v>
          </cell>
        </row>
        <row r="48">
          <cell r="A48">
            <v>2052</v>
          </cell>
          <cell r="B48">
            <v>38908.372883623022</v>
          </cell>
          <cell r="C48">
            <v>2274.2179001020036</v>
          </cell>
          <cell r="D48">
            <v>7148.1484472351003</v>
          </cell>
          <cell r="E48">
            <v>808.27495897203812</v>
          </cell>
          <cell r="F48">
            <v>34962.515916535529</v>
          </cell>
          <cell r="G48">
            <v>7529.3106950921238</v>
          </cell>
          <cell r="H48">
            <v>100.14013369617874</v>
          </cell>
          <cell r="I48">
            <v>4894.4280493339093</v>
          </cell>
          <cell r="J48">
            <v>339.84404640369002</v>
          </cell>
          <cell r="K48">
            <v>97.192385717413629</v>
          </cell>
          <cell r="L48">
            <v>-2677.8212365519321</v>
          </cell>
          <cell r="M48">
            <v>883.51181401518886</v>
          </cell>
          <cell r="O48">
            <v>-14.754253038741801</v>
          </cell>
          <cell r="Q48">
            <v>2052</v>
          </cell>
          <cell r="R48">
            <v>5500018</v>
          </cell>
          <cell r="U48">
            <v>2775148</v>
          </cell>
          <cell r="V48">
            <v>1735845</v>
          </cell>
          <cell r="W48">
            <v>43313</v>
          </cell>
          <cell r="X48">
            <v>761255</v>
          </cell>
          <cell r="Y48">
            <v>126407</v>
          </cell>
          <cell r="Z48">
            <v>66258</v>
          </cell>
          <cell r="AA48">
            <v>3599.1773287999999</v>
          </cell>
          <cell r="AB48">
            <v>45609.098328</v>
          </cell>
          <cell r="AC48">
            <v>63.7</v>
          </cell>
          <cell r="AD48">
            <v>63.8</v>
          </cell>
          <cell r="AE48">
            <v>63.5</v>
          </cell>
          <cell r="AJ48">
            <v>2052</v>
          </cell>
          <cell r="AK48">
            <v>11144.493555869127</v>
          </cell>
          <cell r="AL48">
            <v>14417.897465045427</v>
          </cell>
          <cell r="AM48">
            <v>4899.4941905509959</v>
          </cell>
          <cell r="AN48">
            <v>6634.0622199204645</v>
          </cell>
          <cell r="AO48">
            <v>2450.3643017882268</v>
          </cell>
          <cell r="AP48">
            <v>6964.2128093752244</v>
          </cell>
          <cell r="BH48">
            <v>1978</v>
          </cell>
          <cell r="BI48">
            <v>63.747466556208323</v>
          </cell>
          <cell r="BJ48">
            <v>21260.590436796629</v>
          </cell>
          <cell r="BK48">
            <v>8990.5721809603747</v>
          </cell>
          <cell r="BL48">
            <v>3.5016072855834357E-2</v>
          </cell>
        </row>
        <row r="49">
          <cell r="A49">
            <v>2053</v>
          </cell>
          <cell r="B49">
            <v>39651.379620929227</v>
          </cell>
          <cell r="C49">
            <v>2390.0283638913738</v>
          </cell>
          <cell r="D49">
            <v>7032.7051984293093</v>
          </cell>
          <cell r="E49">
            <v>824.46928446794266</v>
          </cell>
          <cell r="F49">
            <v>35772.51583078866</v>
          </cell>
          <cell r="G49">
            <v>7695.1202080998137</v>
          </cell>
          <cell r="H49">
            <v>100.93720386923535</v>
          </cell>
          <cell r="I49">
            <v>4926.6390050639011</v>
          </cell>
          <cell r="J49">
            <v>339.84404640369002</v>
          </cell>
          <cell r="K49">
            <v>97.192385717413629</v>
          </cell>
          <cell r="L49">
            <v>-2730.7054326093862</v>
          </cell>
          <cell r="M49">
            <v>1006.9935031101741</v>
          </cell>
          <cell r="O49">
            <v>-15.036010798745446</v>
          </cell>
          <cell r="Q49">
            <v>2053</v>
          </cell>
          <cell r="R49">
            <v>5509918</v>
          </cell>
          <cell r="U49">
            <v>2802466</v>
          </cell>
          <cell r="V49">
            <v>1755753</v>
          </cell>
          <cell r="W49">
            <v>43354</v>
          </cell>
          <cell r="X49">
            <v>759943</v>
          </cell>
          <cell r="Y49">
            <v>128948</v>
          </cell>
          <cell r="Z49">
            <v>67460</v>
          </cell>
          <cell r="AA49">
            <v>3591.5149345</v>
          </cell>
          <cell r="AB49">
            <v>45636.217424000002</v>
          </cell>
          <cell r="AC49">
            <v>63.7</v>
          </cell>
          <cell r="AD49">
            <v>63.8</v>
          </cell>
          <cell r="AE49">
            <v>63.4</v>
          </cell>
          <cell r="AJ49">
            <v>2053</v>
          </cell>
          <cell r="AK49">
            <v>11303.776192781419</v>
          </cell>
          <cell r="AL49">
            <v>14616.582643319773</v>
          </cell>
          <cell r="AM49">
            <v>4971.4345653871196</v>
          </cell>
          <cell r="AN49">
            <v>6708.3090556576781</v>
          </cell>
          <cell r="AO49">
            <v>2472.1295872710202</v>
          </cell>
          <cell r="AP49">
            <v>7041.6912394740739</v>
          </cell>
          <cell r="BH49">
            <v>1979</v>
          </cell>
          <cell r="BI49">
            <v>63.756626172588952</v>
          </cell>
          <cell r="BJ49">
            <v>21489.795527009184</v>
          </cell>
          <cell r="BK49">
            <v>9087.4972834840082</v>
          </cell>
          <cell r="BL49">
            <v>4.2625446117123406E-2</v>
          </cell>
        </row>
        <row r="50">
          <cell r="A50">
            <v>2054</v>
          </cell>
          <cell r="B50">
            <v>40409.061130335373</v>
          </cell>
          <cell r="C50">
            <v>2563.0096218403673</v>
          </cell>
          <cell r="D50">
            <v>7092.0240640423135</v>
          </cell>
          <cell r="E50">
            <v>840.98806303533638</v>
          </cell>
          <cell r="F50">
            <v>36621.694034239204</v>
          </cell>
          <cell r="G50">
            <v>7866.0994957736484</v>
          </cell>
          <cell r="H50">
            <v>101.76407645967177</v>
          </cell>
          <cell r="I50">
            <v>4963.2417450651665</v>
          </cell>
          <cell r="J50">
            <v>339.84404640369002</v>
          </cell>
          <cell r="K50">
            <v>97.192385717413629</v>
          </cell>
          <cell r="L50">
            <v>-2781.9118401897917</v>
          </cell>
          <cell r="M50">
            <v>1125.5367730525163</v>
          </cell>
          <cell r="O50">
            <v>-15.323333423257736</v>
          </cell>
          <cell r="Q50">
            <v>2054</v>
          </cell>
          <cell r="R50">
            <v>5519836</v>
          </cell>
          <cell r="U50">
            <v>2831232</v>
          </cell>
          <cell r="V50">
            <v>1775675</v>
          </cell>
          <cell r="W50">
            <v>43381</v>
          </cell>
          <cell r="X50">
            <v>758960</v>
          </cell>
          <cell r="Y50">
            <v>129827</v>
          </cell>
          <cell r="Z50">
            <v>67423</v>
          </cell>
          <cell r="AA50">
            <v>3580.7216106000001</v>
          </cell>
          <cell r="AB50">
            <v>45655.934464999998</v>
          </cell>
          <cell r="AC50">
            <v>63.6</v>
          </cell>
          <cell r="AD50">
            <v>63.8</v>
          </cell>
          <cell r="AE50">
            <v>63.4</v>
          </cell>
          <cell r="AJ50">
            <v>2054</v>
          </cell>
          <cell r="AK50">
            <v>11485.378569181024</v>
          </cell>
          <cell r="AL50">
            <v>14829.820319468263</v>
          </cell>
          <cell r="AM50">
            <v>5045.4568938693137</v>
          </cell>
          <cell r="AN50">
            <v>6786.984002181187</v>
          </cell>
          <cell r="AO50">
            <v>2495.4456808992586</v>
          </cell>
          <cell r="AP50">
            <v>7123.5624599392349</v>
          </cell>
          <cell r="BH50">
            <v>1980</v>
          </cell>
          <cell r="BI50">
            <v>63.794883697518472</v>
          </cell>
          <cell r="BJ50">
            <v>21732.228058008623</v>
          </cell>
          <cell r="BK50">
            <v>9190.0159400303965</v>
          </cell>
          <cell r="BL50">
            <v>4.4278275848569082E-2</v>
          </cell>
        </row>
        <row r="51">
          <cell r="A51">
            <v>2055</v>
          </cell>
          <cell r="B51">
            <v>41181.682778900882</v>
          </cell>
          <cell r="C51">
            <v>2805.3204723615027</v>
          </cell>
          <cell r="D51">
            <v>7229.0318957197451</v>
          </cell>
          <cell r="E51">
            <v>857.83778975641781</v>
          </cell>
          <cell r="F51">
            <v>37502.050096322659</v>
          </cell>
          <cell r="G51">
            <v>8040.9886578166734</v>
          </cell>
          <cell r="H51">
            <v>102.61856693645251</v>
          </cell>
          <cell r="I51">
            <v>5004.329686730729</v>
          </cell>
          <cell r="J51">
            <v>339.84404640369002</v>
          </cell>
          <cell r="K51">
            <v>97.192385717413643</v>
          </cell>
          <cell r="L51">
            <v>-2829.6098565633406</v>
          </cell>
          <cell r="M51">
            <v>1245.4834612630002</v>
          </cell>
          <cell r="O51">
            <v>-15.616321543545798</v>
          </cell>
          <cell r="Q51">
            <v>2055</v>
          </cell>
          <cell r="R51">
            <v>5529772</v>
          </cell>
          <cell r="U51">
            <v>2860233</v>
          </cell>
          <cell r="V51">
            <v>1795215</v>
          </cell>
          <cell r="W51">
            <v>43395</v>
          </cell>
          <cell r="X51">
            <v>758313</v>
          </cell>
          <cell r="Y51">
            <v>130043</v>
          </cell>
          <cell r="Z51">
            <v>67843</v>
          </cell>
          <cell r="AA51">
            <v>3566.0663045000001</v>
          </cell>
          <cell r="AB51">
            <v>45652.705693000004</v>
          </cell>
          <cell r="AC51">
            <v>63.6</v>
          </cell>
          <cell r="AD51">
            <v>63.8</v>
          </cell>
          <cell r="AE51">
            <v>63.4</v>
          </cell>
          <cell r="AJ51">
            <v>2055</v>
          </cell>
          <cell r="AK51">
            <v>11673.549582383554</v>
          </cell>
          <cell r="AL51">
            <v>15090.346546300063</v>
          </cell>
          <cell r="AM51">
            <v>5124.155723347325</v>
          </cell>
          <cell r="AN51">
            <v>6869.6826415665064</v>
          </cell>
          <cell r="AO51">
            <v>2520.2810030142609</v>
          </cell>
          <cell r="AP51">
            <v>7209.42711875653</v>
          </cell>
          <cell r="BH51">
            <v>1981</v>
          </cell>
          <cell r="BI51">
            <v>63.799885178663104</v>
          </cell>
          <cell r="BJ51">
            <v>22040.100054650538</v>
          </cell>
          <cell r="BK51">
            <v>9320.2073106103471</v>
          </cell>
          <cell r="BL51">
            <v>4.4570551639240188E-2</v>
          </cell>
        </row>
        <row r="52">
          <cell r="A52">
            <v>2056</v>
          </cell>
          <cell r="B52">
            <v>41965.350442204275</v>
          </cell>
          <cell r="C52">
            <v>3037.3077884515437</v>
          </cell>
          <cell r="D52">
            <v>7505.5851414422332</v>
          </cell>
          <cell r="E52">
            <v>874.93774067185188</v>
          </cell>
          <cell r="F52">
            <v>38411.413251527338</v>
          </cell>
          <cell r="G52">
            <v>8221.3823695625506</v>
          </cell>
          <cell r="H52">
            <v>103.50936457345256</v>
          </cell>
          <cell r="I52">
            <v>5050.8477398327213</v>
          </cell>
          <cell r="J52">
            <v>339.84404640369002</v>
          </cell>
          <cell r="K52">
            <v>97.192385717413643</v>
          </cell>
          <cell r="L52">
            <v>-2881.0637435067556</v>
          </cell>
          <cell r="M52">
            <v>1370.7085082692513</v>
          </cell>
          <cell r="O52">
            <v>-15.913498460803002</v>
          </cell>
          <cell r="Q52">
            <v>2056</v>
          </cell>
          <cell r="R52">
            <v>5539173</v>
          </cell>
          <cell r="U52">
            <v>2889646</v>
          </cell>
          <cell r="V52">
            <v>1814658</v>
          </cell>
          <cell r="W52">
            <v>43404</v>
          </cell>
          <cell r="X52">
            <v>758050</v>
          </cell>
          <cell r="Y52">
            <v>131466</v>
          </cell>
          <cell r="Z52">
            <v>68515</v>
          </cell>
          <cell r="AA52">
            <v>3550.9287134000001</v>
          </cell>
          <cell r="AB52">
            <v>45616.875271999997</v>
          </cell>
          <cell r="AC52">
            <v>63.7</v>
          </cell>
          <cell r="AD52">
            <v>63.8</v>
          </cell>
          <cell r="AE52">
            <v>63.4</v>
          </cell>
          <cell r="AJ52">
            <v>2056</v>
          </cell>
          <cell r="AK52">
            <v>11882.958262558786</v>
          </cell>
          <cell r="AL52">
            <v>15362.384533671962</v>
          </cell>
          <cell r="AM52">
            <v>5206.6646894993792</v>
          </cell>
          <cell r="AN52">
            <v>6956.2316621434757</v>
          </cell>
          <cell r="AO52">
            <v>2546.1662874176004</v>
          </cell>
          <cell r="AP52">
            <v>7299.5218957184461</v>
          </cell>
          <cell r="BH52">
            <v>1982</v>
          </cell>
          <cell r="BI52">
            <v>63.788821806639504</v>
          </cell>
          <cell r="BJ52">
            <v>22247.062064715283</v>
          </cell>
          <cell r="BK52">
            <v>9407.7263706164758</v>
          </cell>
          <cell r="BL52">
            <v>4.9057303511728483E-2</v>
          </cell>
        </row>
        <row r="53">
          <cell r="A53">
            <v>2057</v>
          </cell>
          <cell r="B53">
            <v>42764.395032602188</v>
          </cell>
          <cell r="C53">
            <v>3212.1690889629449</v>
          </cell>
          <cell r="D53">
            <v>7841.6101397626999</v>
          </cell>
          <cell r="E53">
            <v>892.37852038484061</v>
          </cell>
          <cell r="F53">
            <v>39360.823099110545</v>
          </cell>
          <cell r="G53">
            <v>8407.5074380493043</v>
          </cell>
          <cell r="H53">
            <v>104.42297351220142</v>
          </cell>
          <cell r="I53">
            <v>5102.4251350303721</v>
          </cell>
          <cell r="J53">
            <v>339.84404640369007</v>
          </cell>
          <cell r="K53">
            <v>97.192385717413643</v>
          </cell>
          <cell r="L53">
            <v>-2941.3328900362153</v>
          </cell>
          <cell r="M53">
            <v>1504.6739422819976</v>
          </cell>
          <cell r="O53">
            <v>-16.216506509571392</v>
          </cell>
          <cell r="Q53">
            <v>2057</v>
          </cell>
          <cell r="R53">
            <v>5548590</v>
          </cell>
          <cell r="U53">
            <v>2919919</v>
          </cell>
          <cell r="V53">
            <v>1833999</v>
          </cell>
          <cell r="W53">
            <v>43398</v>
          </cell>
          <cell r="X53">
            <v>758105</v>
          </cell>
          <cell r="Y53">
            <v>132609</v>
          </cell>
          <cell r="Z53">
            <v>68852</v>
          </cell>
          <cell r="AA53">
            <v>3534.1855716999999</v>
          </cell>
          <cell r="AB53">
            <v>45550.288546000003</v>
          </cell>
          <cell r="AC53">
            <v>63.6</v>
          </cell>
          <cell r="AD53">
            <v>63.8</v>
          </cell>
          <cell r="AE53">
            <v>63.4</v>
          </cell>
          <cell r="AJ53">
            <v>2057</v>
          </cell>
          <cell r="AK53">
            <v>12083.866041812546</v>
          </cell>
          <cell r="AL53">
            <v>15610.989313219861</v>
          </cell>
          <cell r="AM53">
            <v>5290.6241621568679</v>
          </cell>
          <cell r="AN53">
            <v>7047.0091976102167</v>
          </cell>
          <cell r="AO53">
            <v>2573.2812940344461</v>
          </cell>
          <cell r="AP53">
            <v>7394.1197234318497</v>
          </cell>
          <cell r="BH53">
            <v>1983</v>
          </cell>
          <cell r="BI53">
            <v>63.781894752899774</v>
          </cell>
          <cell r="BJ53">
            <v>22527.472713008516</v>
          </cell>
          <cell r="BK53">
            <v>9526.305023513476</v>
          </cell>
          <cell r="BL53">
            <v>4.5421113708056161E-2</v>
          </cell>
        </row>
        <row r="54">
          <cell r="A54">
            <v>2058</v>
          </cell>
          <cell r="B54">
            <v>43592.169910469805</v>
          </cell>
          <cell r="C54">
            <v>3324.4981950498568</v>
          </cell>
          <cell r="D54">
            <v>8191.3138811277377</v>
          </cell>
          <cell r="E54">
            <v>910.43940911556365</v>
          </cell>
          <cell r="F54">
            <v>40334.808459269538</v>
          </cell>
          <cell r="G54">
            <v>8597.6419295923824</v>
          </cell>
          <cell r="H54">
            <v>105.33369269459705</v>
          </cell>
          <cell r="I54">
            <v>5157.0715683862536</v>
          </cell>
          <cell r="J54">
            <v>339.84404640369007</v>
          </cell>
          <cell r="K54">
            <v>97.192385717413629</v>
          </cell>
          <cell r="L54">
            <v>-3009.2882681618271</v>
          </cell>
          <cell r="M54">
            <v>1646.676040138077</v>
          </cell>
          <cell r="O54">
            <v>-16.530409446431999</v>
          </cell>
          <cell r="Q54">
            <v>2058</v>
          </cell>
          <cell r="R54">
            <v>5559687</v>
          </cell>
          <cell r="U54">
            <v>2950346</v>
          </cell>
          <cell r="V54">
            <v>1853001</v>
          </cell>
          <cell r="W54">
            <v>43369</v>
          </cell>
          <cell r="X54">
            <v>758293</v>
          </cell>
          <cell r="Y54">
            <v>132563</v>
          </cell>
          <cell r="Z54">
            <v>68940</v>
          </cell>
          <cell r="AA54">
            <v>3515.9198274999999</v>
          </cell>
          <cell r="AB54">
            <v>45452.172551000003</v>
          </cell>
          <cell r="AC54">
            <v>63.6</v>
          </cell>
          <cell r="AD54">
            <v>63.8</v>
          </cell>
          <cell r="AE54">
            <v>63.4</v>
          </cell>
          <cell r="AJ54">
            <v>2058</v>
          </cell>
          <cell r="AK54">
            <v>12278.98965943754</v>
          </cell>
          <cell r="AL54">
            <v>15868.331754858427</v>
          </cell>
          <cell r="AM54">
            <v>5377.1336078669137</v>
          </cell>
          <cell r="AN54">
            <v>7141.3101138142438</v>
          </cell>
          <cell r="AO54">
            <v>2601.4887297796568</v>
          </cell>
          <cell r="AP54">
            <v>7492.4847028732338</v>
          </cell>
          <cell r="BH54">
            <v>1984</v>
          </cell>
          <cell r="BI54">
            <v>63.785712762554645</v>
          </cell>
          <cell r="BJ54">
            <v>22810.813290329461</v>
          </cell>
          <cell r="BK54">
            <v>9646.12267014807</v>
          </cell>
          <cell r="BL54">
            <v>4.274976010235633E-2</v>
          </cell>
        </row>
        <row r="55">
          <cell r="A55">
            <v>2059</v>
          </cell>
          <cell r="B55">
            <v>44436.432403818486</v>
          </cell>
          <cell r="C55">
            <v>3401.5567213179866</v>
          </cell>
          <cell r="D55">
            <v>8485.223192757323</v>
          </cell>
          <cell r="E55">
            <v>928.86575834205757</v>
          </cell>
          <cell r="F55">
            <v>41329.34830958103</v>
          </cell>
          <cell r="G55">
            <v>8791.9643230801448</v>
          </cell>
          <cell r="H55">
            <v>106.23454393569796</v>
          </cell>
          <cell r="I55">
            <v>5214.8245135335228</v>
          </cell>
          <cell r="J55">
            <v>339.84404640369007</v>
          </cell>
          <cell r="K55">
            <v>97.192385717413629</v>
          </cell>
          <cell r="L55">
            <v>-3082.198354402808</v>
          </cell>
          <cell r="M55">
            <v>1795.3779610812012</v>
          </cell>
          <cell r="O55">
            <v>-16.850564702360657</v>
          </cell>
          <cell r="Q55">
            <v>2059</v>
          </cell>
          <cell r="R55">
            <v>5570806</v>
          </cell>
          <cell r="U55">
            <v>2980301</v>
          </cell>
          <cell r="V55">
            <v>1871554</v>
          </cell>
          <cell r="W55">
            <v>43314</v>
          </cell>
          <cell r="X55">
            <v>758583</v>
          </cell>
          <cell r="Y55">
            <v>132590</v>
          </cell>
          <cell r="Z55">
            <v>69204</v>
          </cell>
          <cell r="AA55">
            <v>3495.8687126999998</v>
          </cell>
          <cell r="AB55">
            <v>45325.866632999998</v>
          </cell>
          <cell r="AC55">
            <v>63.7</v>
          </cell>
          <cell r="AD55">
            <v>63.8</v>
          </cell>
          <cell r="AE55">
            <v>63.4</v>
          </cell>
          <cell r="AJ55">
            <v>2059</v>
          </cell>
          <cell r="AK55">
            <v>12486.108687431295</v>
          </cell>
          <cell r="AL55">
            <v>16149.822704447028</v>
          </cell>
          <cell r="AM55">
            <v>5466.6901348025967</v>
          </cell>
          <cell r="AN55">
            <v>7239.3614176025158</v>
          </cell>
          <cell r="AO55">
            <v>2630.9732607669089</v>
          </cell>
          <cell r="AP55">
            <v>7594.7946651100119</v>
          </cell>
          <cell r="BH55">
            <v>1985</v>
          </cell>
          <cell r="BI55">
            <v>63.786143412394146</v>
          </cell>
          <cell r="BJ55">
            <v>23086.858475308742</v>
          </cell>
          <cell r="BK55">
            <v>9762.8552777461846</v>
          </cell>
          <cell r="BL55">
            <v>3.9562222611074879E-2</v>
          </cell>
        </row>
        <row r="56">
          <cell r="A56">
            <v>2060</v>
          </cell>
          <cell r="B56">
            <v>45288.47144271202</v>
          </cell>
          <cell r="C56">
            <v>3458.021651947492</v>
          </cell>
          <cell r="D56">
            <v>8593.4842184389709</v>
          </cell>
          <cell r="E56">
            <v>947.47582695968197</v>
          </cell>
          <cell r="F56">
            <v>42340.39163949553</v>
          </cell>
          <cell r="G56">
            <v>8989.1866973141023</v>
          </cell>
          <cell r="H56">
            <v>107.12466763570534</v>
          </cell>
          <cell r="I56">
            <v>5276.199280060242</v>
          </cell>
          <cell r="J56">
            <v>339.84404640369013</v>
          </cell>
          <cell r="K56">
            <v>97.192385717413629</v>
          </cell>
          <cell r="L56">
            <v>-3158.3804896803499</v>
          </cell>
          <cell r="M56">
            <v>1947.8500280373682</v>
          </cell>
          <cell r="O56">
            <v>-17.173668933973886</v>
          </cell>
          <cell r="Q56">
            <v>2060</v>
          </cell>
          <cell r="R56">
            <v>5580833</v>
          </cell>
          <cell r="U56">
            <v>3009521</v>
          </cell>
          <cell r="V56">
            <v>1889437</v>
          </cell>
          <cell r="W56">
            <v>43232</v>
          </cell>
          <cell r="X56">
            <v>759025</v>
          </cell>
          <cell r="Y56">
            <v>132116</v>
          </cell>
          <cell r="Z56">
            <v>68975</v>
          </cell>
          <cell r="AA56">
            <v>3473.7569429999999</v>
          </cell>
          <cell r="AB56">
            <v>45173.682587000003</v>
          </cell>
          <cell r="AC56">
            <v>63.7</v>
          </cell>
          <cell r="AD56">
            <v>63.8</v>
          </cell>
          <cell r="AE56">
            <v>63.4</v>
          </cell>
          <cell r="AJ56">
            <v>2060</v>
          </cell>
          <cell r="AK56">
            <v>12699.092419654015</v>
          </cell>
          <cell r="AL56">
            <v>16427.22435709391</v>
          </cell>
          <cell r="AM56">
            <v>5558.159051813358</v>
          </cell>
          <cell r="AN56">
            <v>7341.2601502704929</v>
          </cell>
          <cell r="AO56">
            <v>2661.7194077055856</v>
          </cell>
          <cell r="AP56">
            <v>7701.1065522818772</v>
          </cell>
          <cell r="BH56">
            <v>1986</v>
          </cell>
          <cell r="BI56">
            <v>63.795064833174813</v>
          </cell>
          <cell r="BJ56">
            <v>23426.485337976173</v>
          </cell>
          <cell r="BK56">
            <v>9906.474987296675</v>
          </cell>
          <cell r="BL56">
            <v>4.3107478518805115E-2</v>
          </cell>
        </row>
        <row r="57">
          <cell r="BH57">
            <v>1987</v>
          </cell>
          <cell r="BI57">
            <v>63.725553569353202</v>
          </cell>
          <cell r="BJ57">
            <v>23728.114028922304</v>
          </cell>
          <cell r="BK57">
            <v>10034.02621998052</v>
          </cell>
          <cell r="BL57">
            <v>4.5287258358191612E-2</v>
          </cell>
        </row>
        <row r="58">
          <cell r="BH58">
            <v>1988</v>
          </cell>
          <cell r="BI58">
            <v>63.672369293888771</v>
          </cell>
          <cell r="BJ58">
            <v>23961.313042460322</v>
          </cell>
          <cell r="BK58">
            <v>10132.640252830408</v>
          </cell>
          <cell r="BL58">
            <v>4.4506134644435896E-2</v>
          </cell>
        </row>
        <row r="59">
          <cell r="BH59">
            <v>1989</v>
          </cell>
          <cell r="BI59">
            <v>63.624854312354316</v>
          </cell>
          <cell r="BJ59">
            <v>24209.278247215749</v>
          </cell>
          <cell r="BK59">
            <v>10237.49853879136</v>
          </cell>
          <cell r="BL59">
            <v>4.2195458862125529E-2</v>
          </cell>
        </row>
        <row r="60">
          <cell r="BH60">
            <v>1990</v>
          </cell>
          <cell r="BI60">
            <v>63.570150931109453</v>
          </cell>
          <cell r="BJ60">
            <v>24415.76324717201</v>
          </cell>
          <cell r="BK60">
            <v>10324.815883147863</v>
          </cell>
          <cell r="BL60">
            <v>4.3882406075055932E-2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"/>
      <sheetName val="MTP"/>
      <sheetName val="MRL"/>
      <sheetName val="MS"/>
      <sheetName val="MTS"/>
      <sheetName val="MTR"/>
      <sheetName val="MCTA"/>
      <sheetName val="SI(07)"/>
      <sheetName val="I(08)"/>
      <sheetName val="F.E.A.-M.I.R."/>
      <sheetName val="D.U.E."/>
      <sheetName val="T.E.L.-T.E.R."/>
      <sheetName val="AUX-SAN"/>
      <sheetName val="RESTO"/>
      <sheetName val="A(07)"/>
      <sheetName val="R(08)"/>
      <sheetName val="Desliz.Antigued.Z,I,T,S(08)"/>
      <sheetName val="IT(08)"/>
      <sheetName val="Antiguedad(08)"/>
      <sheetName val="NUEVOACUERDO(08)"/>
      <sheetName val="DEMANDA VARIABLE"/>
      <sheetName val="VARIACIONES 07"/>
      <sheetName val="VARIACIONES 08"/>
      <sheetName val="DESARROLLO-PROFESIONAL"/>
      <sheetName val="Prevision"/>
      <sheetName val="Gastos Reales"/>
      <sheetName val="Dif Prev y GReales"/>
      <sheetName val="Prevision II"/>
      <sheetName val="Extras sin Incr."/>
      <sheetName val="I(Extras)"/>
      <sheetName val="Prevision (I)"/>
      <sheetName val="PrevxConceptos"/>
      <sheetName val="PrevxCategorias"/>
      <sheetName val="PrevxRetribuciones"/>
      <sheetName val="resumen previsiones 2006"/>
      <sheetName val="Resumen previsiones 2007"/>
      <sheetName val="Resumen previsiones 2008"/>
    </sheetNames>
    <sheetDataSet>
      <sheetData sheetId="0"/>
      <sheetData sheetId="1"/>
      <sheetData sheetId="2"/>
      <sheetData sheetId="3">
        <row r="3">
          <cell r="B3" t="str">
            <v>A. Patológica</v>
          </cell>
        </row>
        <row r="4">
          <cell r="B4" t="str">
            <v>Admisión</v>
          </cell>
        </row>
        <row r="5">
          <cell r="B5" t="str">
            <v>Alergología</v>
          </cell>
        </row>
        <row r="6">
          <cell r="B6" t="str">
            <v>Almacen</v>
          </cell>
        </row>
        <row r="7">
          <cell r="B7" t="str">
            <v>Anest-Reanimación</v>
          </cell>
        </row>
        <row r="8">
          <cell r="B8" t="str">
            <v>Autoconcertación</v>
          </cell>
        </row>
        <row r="9">
          <cell r="B9" t="str">
            <v>Banco Sangre</v>
          </cell>
        </row>
        <row r="10">
          <cell r="B10" t="str">
            <v>C. General</v>
          </cell>
        </row>
        <row r="11">
          <cell r="B11" t="str">
            <v>C. Vascular</v>
          </cell>
        </row>
        <row r="12">
          <cell r="B12" t="str">
            <v>Calidad</v>
          </cell>
        </row>
        <row r="13">
          <cell r="B13" t="str">
            <v>Cardiología</v>
          </cell>
        </row>
        <row r="14">
          <cell r="B14" t="str">
            <v>Cocina</v>
          </cell>
        </row>
        <row r="15">
          <cell r="B15" t="str">
            <v>Consultas</v>
          </cell>
        </row>
        <row r="16">
          <cell r="B16" t="str">
            <v>Contabilidad</v>
          </cell>
        </row>
        <row r="17">
          <cell r="B17" t="str">
            <v>Dermatología</v>
          </cell>
        </row>
        <row r="18">
          <cell r="B18" t="str">
            <v>Desintoxicación</v>
          </cell>
        </row>
        <row r="19">
          <cell r="B19" t="str">
            <v>Digestivo</v>
          </cell>
        </row>
        <row r="20">
          <cell r="B20" t="str">
            <v>Docencia</v>
          </cell>
        </row>
        <row r="21">
          <cell r="B21" t="str">
            <v>Dolor</v>
          </cell>
        </row>
        <row r="22">
          <cell r="B22" t="str">
            <v>Endocrinología</v>
          </cell>
        </row>
        <row r="23">
          <cell r="B23" t="str">
            <v>Esterilización</v>
          </cell>
        </row>
        <row r="24">
          <cell r="B24" t="str">
            <v>Facturación</v>
          </cell>
        </row>
        <row r="25">
          <cell r="B25" t="str">
            <v>Farmacia</v>
          </cell>
        </row>
        <row r="26">
          <cell r="B26" t="str">
            <v>Ginecología</v>
          </cell>
        </row>
        <row r="27">
          <cell r="B27" t="str">
            <v>H. Domicilio</v>
          </cell>
        </row>
        <row r="28">
          <cell r="B28" t="str">
            <v>Hematología</v>
          </cell>
        </row>
        <row r="29">
          <cell r="B29" t="str">
            <v>Infecciosos</v>
          </cell>
        </row>
        <row r="30">
          <cell r="B30" t="str">
            <v>Informática</v>
          </cell>
        </row>
        <row r="31">
          <cell r="B31" t="str">
            <v>Investigación</v>
          </cell>
        </row>
        <row r="32">
          <cell r="B32" t="str">
            <v>Lab. Bioquímica</v>
          </cell>
        </row>
        <row r="33">
          <cell r="B33" t="str">
            <v>Lab. Hematología</v>
          </cell>
        </row>
        <row r="34">
          <cell r="B34" t="str">
            <v>Lab. Microbiología</v>
          </cell>
        </row>
        <row r="35">
          <cell r="B35" t="str">
            <v>Lab. Urgencias</v>
          </cell>
        </row>
        <row r="36">
          <cell r="B36" t="str">
            <v>Laboratorio</v>
          </cell>
        </row>
        <row r="37">
          <cell r="B37" t="str">
            <v>Lavandería</v>
          </cell>
        </row>
        <row r="38">
          <cell r="B38" t="str">
            <v>Lencería</v>
          </cell>
        </row>
        <row r="39">
          <cell r="B39" t="str">
            <v>M. Interna</v>
          </cell>
        </row>
        <row r="40">
          <cell r="B40" t="str">
            <v>M. Preventiva</v>
          </cell>
        </row>
        <row r="41">
          <cell r="B41" t="str">
            <v>M.I.R.</v>
          </cell>
        </row>
        <row r="42">
          <cell r="B42" t="str">
            <v>Mantenimiento</v>
          </cell>
        </row>
        <row r="43">
          <cell r="B43" t="str">
            <v>Nefrología</v>
          </cell>
        </row>
        <row r="44">
          <cell r="B44" t="str">
            <v>Neumología</v>
          </cell>
        </row>
        <row r="45">
          <cell r="B45" t="str">
            <v>Neurofisiología</v>
          </cell>
        </row>
        <row r="46">
          <cell r="B46" t="str">
            <v>Neurología</v>
          </cell>
        </row>
        <row r="47">
          <cell r="B47" t="str">
            <v>O.R.L.</v>
          </cell>
        </row>
        <row r="48">
          <cell r="B48" t="str">
            <v>Oftalmología</v>
          </cell>
        </row>
        <row r="49">
          <cell r="B49" t="str">
            <v>Personal</v>
          </cell>
        </row>
        <row r="50">
          <cell r="B50" t="str">
            <v>Planta Hospitalización</v>
          </cell>
        </row>
        <row r="51">
          <cell r="B51" t="str">
            <v>Psiquiatría</v>
          </cell>
        </row>
        <row r="52">
          <cell r="B52" t="str">
            <v>Quirófano</v>
          </cell>
        </row>
        <row r="53">
          <cell r="B53" t="str">
            <v>Radiología</v>
          </cell>
        </row>
        <row r="54">
          <cell r="B54" t="str">
            <v>Rehabilitación</v>
          </cell>
        </row>
        <row r="55">
          <cell r="B55" t="str">
            <v>S. Documentación</v>
          </cell>
        </row>
        <row r="56">
          <cell r="B56" t="str">
            <v>S.A.P.U.</v>
          </cell>
        </row>
        <row r="57">
          <cell r="B57" t="str">
            <v>Salud Laboral</v>
          </cell>
        </row>
        <row r="58">
          <cell r="B58" t="str">
            <v>Suministros</v>
          </cell>
        </row>
        <row r="59">
          <cell r="B59" t="str">
            <v>Traumatología</v>
          </cell>
        </row>
        <row r="60">
          <cell r="B60" t="str">
            <v>U. Básica Prevención</v>
          </cell>
        </row>
        <row r="61">
          <cell r="B61" t="str">
            <v>U.C.I.</v>
          </cell>
        </row>
        <row r="62">
          <cell r="B62" t="str">
            <v>Urgencias</v>
          </cell>
        </row>
        <row r="63">
          <cell r="B63" t="str">
            <v>Urología</v>
          </cell>
        </row>
      </sheetData>
      <sheetData sheetId="4"/>
      <sheetData sheetId="5">
        <row r="3">
          <cell r="B3" t="str">
            <v>A.T.S.: A.T.S. Con Turnicidad</v>
          </cell>
        </row>
        <row r="4">
          <cell r="B4" t="str">
            <v>A.T.S.: A.T.S. Con Turnicidad y Variables</v>
          </cell>
        </row>
        <row r="5">
          <cell r="B5" t="str">
            <v>A.T.S.: A.T.S. Sin Turnicidad</v>
          </cell>
        </row>
        <row r="6">
          <cell r="B6" t="str">
            <v>A.T.S.: Dif. Superv. - A.T.S. Con turnicidad</v>
          </cell>
        </row>
        <row r="7">
          <cell r="B7" t="str">
            <v>ADM.: Auxiliar Administrativo</v>
          </cell>
        </row>
        <row r="8">
          <cell r="B8" t="str">
            <v>ADM.: Compl. Hosp. Aux. Administrativo</v>
          </cell>
        </row>
        <row r="9">
          <cell r="B9" t="str">
            <v>ADM.: Compl. Hosp. Grupo Administrativo - C</v>
          </cell>
        </row>
        <row r="10">
          <cell r="B10" t="str">
            <v>ADM.: Compl. Hosp. Trabajador Social</v>
          </cell>
        </row>
        <row r="11">
          <cell r="B11" t="str">
            <v>ADM.: Dif. Adm. - FPI Esp. Resp. (Aux. Adm.) (5)</v>
          </cell>
        </row>
        <row r="12">
          <cell r="B12" t="str">
            <v>ADM.: Dif. J. Sec. Adm. - Téc. Sup. F.A.</v>
          </cell>
        </row>
        <row r="13">
          <cell r="B13" t="str">
            <v>ADM.: Dif. J. Serv. Adm. - Téc. Sup. F.A.</v>
          </cell>
        </row>
        <row r="14">
          <cell r="B14" t="str">
            <v>ADM.: Grupo Administrativo</v>
          </cell>
        </row>
        <row r="15">
          <cell r="B15" t="str">
            <v>ADM.: Ingeniero Superior</v>
          </cell>
        </row>
        <row r="16">
          <cell r="B16" t="str">
            <v>ADM.: J. de Taller (Mantenimiento)</v>
          </cell>
        </row>
        <row r="17">
          <cell r="B17" t="str">
            <v>ADM.: J.Equipo Administrativo</v>
          </cell>
        </row>
        <row r="18">
          <cell r="B18" t="str">
            <v>ADM.: J.Grupo Administrativo</v>
          </cell>
        </row>
        <row r="19">
          <cell r="B19" t="str">
            <v>ADM.: J.Sección Administrativo</v>
          </cell>
        </row>
        <row r="20">
          <cell r="B20" t="str">
            <v>ADM.: J.Servicio Administrativo</v>
          </cell>
        </row>
        <row r="21">
          <cell r="B21" t="str">
            <v>ADM.: Maestro Industrial/Jefatura</v>
          </cell>
        </row>
        <row r="22">
          <cell r="B22" t="str">
            <v>ADM.: Subdirección Gestión HG-2</v>
          </cell>
        </row>
        <row r="23">
          <cell r="B23" t="str">
            <v>ADM.: Técnico Medio F. Administrativa</v>
          </cell>
        </row>
        <row r="24">
          <cell r="B24" t="str">
            <v>ADM.: Técnico Superior F. Administrativa</v>
          </cell>
        </row>
        <row r="25">
          <cell r="B25" t="str">
            <v>AUX. ENF.: Aux. Enf. Con Turnicidad</v>
          </cell>
        </row>
        <row r="26">
          <cell r="B26" t="str">
            <v>AUX. ENF.: Aux. Enf. Con Turnicidad y Variables</v>
          </cell>
        </row>
        <row r="27">
          <cell r="B27" t="str">
            <v>AUX. ENF.: Aux. Enf. Sin Turnicidad</v>
          </cell>
        </row>
        <row r="28">
          <cell r="B28" t="str">
            <v>CEL.: Celador  E. Turno Con Turnicidad</v>
          </cell>
        </row>
        <row r="29">
          <cell r="B29" t="str">
            <v>CEL.: Celador  E. Turno Sin Turnicidad</v>
          </cell>
        </row>
        <row r="30">
          <cell r="B30" t="str">
            <v>CEL.: Celador At. Pcte. Con Turnicidad</v>
          </cell>
        </row>
        <row r="31">
          <cell r="B31" t="str">
            <v>CEL.: Celador At. Pcte. Sin Turnicidad</v>
          </cell>
        </row>
        <row r="32">
          <cell r="B32" t="str">
            <v>CEL.: Celador Espta. Con Turnicidad</v>
          </cell>
        </row>
        <row r="33">
          <cell r="B33" t="str">
            <v>CEL.: Celador Espta. Sin Turnicidad</v>
          </cell>
        </row>
        <row r="34">
          <cell r="B34" t="str">
            <v>CEL.: Dif. Enc. Turno - Celador Con Turnicidad</v>
          </cell>
        </row>
        <row r="35">
          <cell r="B35" t="str">
            <v>Cocinero</v>
          </cell>
        </row>
        <row r="36">
          <cell r="B36" t="str">
            <v>Contrato Guardias ICTUS</v>
          </cell>
        </row>
        <row r="37">
          <cell r="B37" t="str">
            <v>Contrato Guardias Psiquiatría</v>
          </cell>
        </row>
        <row r="38">
          <cell r="B38" t="str">
            <v>F.E.A.: Dif. J.Secc. - F.E.A. Con espec.</v>
          </cell>
        </row>
        <row r="39">
          <cell r="B39" t="str">
            <v>F.E.A.: Dif. J.Serv. - F.E.A. Con espec.</v>
          </cell>
        </row>
        <row r="40">
          <cell r="B40" t="str">
            <v>F.E.A.: Dif. J.Serv. - J. Secc. Con espec.</v>
          </cell>
        </row>
        <row r="41">
          <cell r="B41" t="str">
            <v>F.E.A.: F.E.A. Con especifico</v>
          </cell>
        </row>
        <row r="42">
          <cell r="B42" t="str">
            <v>F.E.A.: Guardias Loc.(Sab.) 6g. x 14h.</v>
          </cell>
        </row>
        <row r="43">
          <cell r="B43" t="str">
            <v>F.E.A.: Guardias P.F. (L-V) 21g. x 7h.</v>
          </cell>
        </row>
        <row r="44">
          <cell r="B44" t="str">
            <v>F.E.A.: Guardias P.F.(Sab.+Fest.) 2g. x 14h.</v>
          </cell>
        </row>
        <row r="45">
          <cell r="B45" t="str">
            <v>F.E.A.: J.Sección Con especifico</v>
          </cell>
        </row>
        <row r="46">
          <cell r="B46" t="str">
            <v>F.E.A.: J.Servicio Con especifico</v>
          </cell>
        </row>
        <row r="47">
          <cell r="B47" t="str">
            <v>Fisioterapeuta</v>
          </cell>
        </row>
        <row r="48">
          <cell r="B48" t="str">
            <v>Gobernanta</v>
          </cell>
        </row>
        <row r="49">
          <cell r="B49" t="str">
            <v>M.I.R.: 1 - M.I.R. - 1 - 5 Guardias/Mensuales</v>
          </cell>
        </row>
        <row r="50">
          <cell r="B50" t="str">
            <v>M.I.R.: 3 - M.I.R. - 1 - 5 Guardias/Mensuales</v>
          </cell>
        </row>
        <row r="51">
          <cell r="B51" t="str">
            <v>M.I.R.: 4 - M.I.R. - 1 - 5 Guardias/Mensuales</v>
          </cell>
        </row>
        <row r="52">
          <cell r="B52" t="str">
            <v>M.I.R.: 5 - M.I.R. - 1 - 5 Guardias/Mensuales</v>
          </cell>
        </row>
        <row r="53">
          <cell r="B53" t="str">
            <v>Oficial Lencería-Costura</v>
          </cell>
        </row>
        <row r="54">
          <cell r="B54" t="str">
            <v>Oficial Mantenimiento</v>
          </cell>
        </row>
        <row r="55">
          <cell r="B55" t="str">
            <v>OP.S.: Operario de Servicios</v>
          </cell>
        </row>
        <row r="56">
          <cell r="B56" t="str">
            <v>Optico</v>
          </cell>
        </row>
        <row r="57">
          <cell r="B57" t="str">
            <v>Psicólogo</v>
          </cell>
        </row>
        <row r="58">
          <cell r="B58" t="str">
            <v>T.E.: T.E.L./T.E.R. Con Turnicidad</v>
          </cell>
        </row>
        <row r="59">
          <cell r="B59" t="str">
            <v>T.E.: T.E.L./T.E.R. Con Turnicidad y Variables</v>
          </cell>
        </row>
        <row r="60">
          <cell r="B60" t="str">
            <v>T.E.: T.E.L./T.E.R. Sin Turnicidad</v>
          </cell>
        </row>
        <row r="61">
          <cell r="B61" t="str">
            <v>Terapeuta Ocupacional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"/>
      <sheetName val="MTP"/>
      <sheetName val="MRL"/>
      <sheetName val="MS"/>
      <sheetName val="MTS"/>
      <sheetName val="MTR"/>
      <sheetName val="MCTA"/>
      <sheetName val="SI(07)"/>
      <sheetName val="I(08)"/>
      <sheetName val="F.E.A.-M.I.R."/>
      <sheetName val="D.U.E."/>
      <sheetName val="T.E.L.-T.E.R."/>
      <sheetName val="AUX-SAN"/>
      <sheetName val="RESTO"/>
      <sheetName val="A(07)"/>
      <sheetName val="R(08)"/>
      <sheetName val="A(08)"/>
      <sheetName val="IT(08)"/>
      <sheetName val="C.Permanencia(08)"/>
      <sheetName val="NUEVOACUERDO(08)"/>
      <sheetName val="DEMANDA VARIABLE"/>
      <sheetName val="VARIACIONES 07"/>
      <sheetName val="VARIACIONES 08"/>
      <sheetName val="DESARROLLO-PROFESIONAL"/>
      <sheetName val="Prevision"/>
      <sheetName val="PrevxConceptos"/>
      <sheetName val="PrevxRetribuciones"/>
      <sheetName val="PrevxCategorias"/>
      <sheetName val="resumen previsiones 2006"/>
      <sheetName val="Resumen previsiones 2007"/>
      <sheetName val="Resumen previsiones 2008"/>
    </sheetNames>
    <sheetDataSet>
      <sheetData sheetId="0"/>
      <sheetData sheetId="1"/>
      <sheetData sheetId="2"/>
      <sheetData sheetId="3">
        <row r="3">
          <cell r="B3" t="str">
            <v>A. Patológica</v>
          </cell>
        </row>
        <row r="4">
          <cell r="B4" t="str">
            <v>Admisión</v>
          </cell>
        </row>
        <row r="5">
          <cell r="B5" t="str">
            <v>Alergología</v>
          </cell>
        </row>
        <row r="6">
          <cell r="B6" t="str">
            <v>Almacen</v>
          </cell>
        </row>
        <row r="7">
          <cell r="B7" t="str">
            <v>Anest-Reanimación</v>
          </cell>
        </row>
        <row r="8">
          <cell r="B8" t="str">
            <v>Autoconcertación</v>
          </cell>
        </row>
        <row r="9">
          <cell r="B9" t="str">
            <v>Banco Sangre</v>
          </cell>
        </row>
        <row r="10">
          <cell r="B10" t="str">
            <v>C. General</v>
          </cell>
        </row>
        <row r="11">
          <cell r="B11" t="str">
            <v>C. Vascular</v>
          </cell>
        </row>
        <row r="12">
          <cell r="B12" t="str">
            <v>Calidad</v>
          </cell>
        </row>
        <row r="13">
          <cell r="B13" t="str">
            <v>Cardiología</v>
          </cell>
        </row>
        <row r="14">
          <cell r="B14" t="str">
            <v>Cocina</v>
          </cell>
        </row>
        <row r="15">
          <cell r="B15" t="str">
            <v>Consultas</v>
          </cell>
        </row>
        <row r="16">
          <cell r="B16" t="str">
            <v>Contabilidad</v>
          </cell>
        </row>
        <row r="17">
          <cell r="B17" t="str">
            <v>Dermatología</v>
          </cell>
        </row>
        <row r="18">
          <cell r="B18" t="str">
            <v>Desintoxicación</v>
          </cell>
        </row>
        <row r="19">
          <cell r="B19" t="str">
            <v>Digestivo</v>
          </cell>
        </row>
        <row r="20">
          <cell r="B20" t="str">
            <v>Docencia</v>
          </cell>
        </row>
        <row r="21">
          <cell r="B21" t="str">
            <v>Dolor</v>
          </cell>
        </row>
        <row r="22">
          <cell r="B22" t="str">
            <v>Endocrinología</v>
          </cell>
        </row>
        <row r="23">
          <cell r="B23" t="str">
            <v>Esterilización</v>
          </cell>
        </row>
        <row r="24">
          <cell r="B24" t="str">
            <v>Facturación</v>
          </cell>
        </row>
        <row r="25">
          <cell r="B25" t="str">
            <v>Farmacia</v>
          </cell>
        </row>
        <row r="26">
          <cell r="B26" t="str">
            <v>Ginecología</v>
          </cell>
        </row>
        <row r="27">
          <cell r="B27" t="str">
            <v>H. Domicilio</v>
          </cell>
        </row>
        <row r="28">
          <cell r="B28" t="str">
            <v>Hematología</v>
          </cell>
        </row>
        <row r="29">
          <cell r="B29" t="str">
            <v>Infecciosos</v>
          </cell>
        </row>
        <row r="30">
          <cell r="B30" t="str">
            <v>Informática</v>
          </cell>
        </row>
        <row r="31">
          <cell r="B31" t="str">
            <v>Investigación</v>
          </cell>
        </row>
        <row r="32">
          <cell r="B32" t="str">
            <v>Lab. Bioquímica</v>
          </cell>
        </row>
        <row r="33">
          <cell r="B33" t="str">
            <v>Lab. Hematología</v>
          </cell>
        </row>
        <row r="34">
          <cell r="B34" t="str">
            <v>Lab. Microbiología</v>
          </cell>
        </row>
        <row r="35">
          <cell r="B35" t="str">
            <v>Lab. Urgencias</v>
          </cell>
        </row>
        <row r="36">
          <cell r="B36" t="str">
            <v>Laboratorio</v>
          </cell>
        </row>
        <row r="37">
          <cell r="B37" t="str">
            <v>Lavandería</v>
          </cell>
        </row>
        <row r="38">
          <cell r="B38" t="str">
            <v>Lencería</v>
          </cell>
        </row>
        <row r="39">
          <cell r="B39" t="str">
            <v>M. Interna</v>
          </cell>
        </row>
        <row r="40">
          <cell r="B40" t="str">
            <v>M. Preventiva</v>
          </cell>
        </row>
        <row r="41">
          <cell r="B41" t="str">
            <v>M.I.R.</v>
          </cell>
        </row>
        <row r="42">
          <cell r="B42" t="str">
            <v>Mantenimiento</v>
          </cell>
        </row>
        <row r="43">
          <cell r="B43" t="str">
            <v>Nefrología</v>
          </cell>
        </row>
        <row r="44">
          <cell r="B44" t="str">
            <v>Neumología</v>
          </cell>
        </row>
        <row r="45">
          <cell r="B45" t="str">
            <v>Neurofisiología</v>
          </cell>
        </row>
        <row r="46">
          <cell r="B46" t="str">
            <v>Neurología</v>
          </cell>
        </row>
        <row r="47">
          <cell r="B47" t="str">
            <v>O.R.L.</v>
          </cell>
        </row>
        <row r="48">
          <cell r="B48" t="str">
            <v>Oftalmología</v>
          </cell>
        </row>
        <row r="49">
          <cell r="B49" t="str">
            <v>Personal</v>
          </cell>
        </row>
        <row r="50">
          <cell r="B50" t="str">
            <v>Planta Hospitalización</v>
          </cell>
        </row>
        <row r="51">
          <cell r="B51" t="str">
            <v>Psiquiatría</v>
          </cell>
        </row>
        <row r="52">
          <cell r="B52" t="str">
            <v>Quirófano</v>
          </cell>
        </row>
        <row r="53">
          <cell r="B53" t="str">
            <v>Radiología</v>
          </cell>
        </row>
        <row r="54">
          <cell r="B54" t="str">
            <v>Rehabilitación</v>
          </cell>
        </row>
        <row r="55">
          <cell r="B55" t="str">
            <v>S. Documentación</v>
          </cell>
        </row>
        <row r="56">
          <cell r="B56" t="str">
            <v>S.A.P.U.</v>
          </cell>
        </row>
        <row r="57">
          <cell r="B57" t="str">
            <v>Salud Laboral</v>
          </cell>
        </row>
        <row r="58">
          <cell r="B58" t="str">
            <v>Suministros</v>
          </cell>
        </row>
        <row r="59">
          <cell r="B59" t="str">
            <v>Traumatología</v>
          </cell>
        </row>
        <row r="60">
          <cell r="B60" t="str">
            <v>U. Básica Prevención</v>
          </cell>
        </row>
        <row r="61">
          <cell r="B61" t="str">
            <v>U.C.I.</v>
          </cell>
        </row>
        <row r="62">
          <cell r="B62" t="str">
            <v>Urgencias</v>
          </cell>
        </row>
        <row r="63">
          <cell r="B63" t="str">
            <v>Urología</v>
          </cell>
        </row>
      </sheetData>
      <sheetData sheetId="4"/>
      <sheetData sheetId="5">
        <row r="3">
          <cell r="B3" t="str">
            <v>A.T.S.: A.T.S. Con Turnicidad</v>
          </cell>
        </row>
        <row r="4">
          <cell r="B4" t="str">
            <v>A.T.S.: A.T.S. Con Turnicidad y Variables</v>
          </cell>
        </row>
        <row r="5">
          <cell r="B5" t="str">
            <v>A.T.S.: A.T.S. Sin Turnicidad</v>
          </cell>
        </row>
        <row r="6">
          <cell r="B6" t="str">
            <v>A.T.S.: Dif. Superv. - A.T.S. Con turnicidad</v>
          </cell>
        </row>
        <row r="7">
          <cell r="B7" t="str">
            <v>ADM.: Auxiliar Administrativo</v>
          </cell>
        </row>
        <row r="8">
          <cell r="B8" t="str">
            <v>ADM.: Compl. Hosp. Aux. Administrativo</v>
          </cell>
        </row>
        <row r="9">
          <cell r="B9" t="str">
            <v>ADM.: Compl. Hosp. Grupo Administrativo - C</v>
          </cell>
        </row>
        <row r="10">
          <cell r="B10" t="str">
            <v>ADM.: Compl. Hosp. Trabajador Social</v>
          </cell>
        </row>
        <row r="11">
          <cell r="B11" t="str">
            <v>ADM.: Dif. Adm. - FPI Esp. Resp. (Aux. Adm.) (5)</v>
          </cell>
        </row>
        <row r="12">
          <cell r="B12" t="str">
            <v>ADM.: Dif. J. Sec. Adm. - Téc. Sup. F.A.</v>
          </cell>
        </row>
        <row r="13">
          <cell r="B13" t="str">
            <v>ADM.: Dif. J. Serv. Adm. - Téc. Sup. F.A.</v>
          </cell>
        </row>
        <row r="14">
          <cell r="B14" t="str">
            <v>ADM.: Grupo Administrativo</v>
          </cell>
        </row>
        <row r="15">
          <cell r="B15" t="str">
            <v>ADM.: Ingeniero Superior</v>
          </cell>
        </row>
        <row r="16">
          <cell r="B16" t="str">
            <v>ADM.: J.Sección Administrativo</v>
          </cell>
        </row>
        <row r="17">
          <cell r="B17" t="str">
            <v>ADM.: J.Servicio Administrativo</v>
          </cell>
        </row>
        <row r="18">
          <cell r="B18" t="str">
            <v>ADM.: Subdirección Gestión HG-2</v>
          </cell>
        </row>
        <row r="19">
          <cell r="B19" t="str">
            <v>ADM.: Técnico Medio F. Administrativa</v>
          </cell>
        </row>
        <row r="20">
          <cell r="B20" t="str">
            <v>ADM.: Técnico Superior F. Administrativa</v>
          </cell>
        </row>
        <row r="21">
          <cell r="B21" t="str">
            <v>AUX. ENF.: Aux. Enf. Con Turnicidad</v>
          </cell>
        </row>
        <row r="22">
          <cell r="B22" t="str">
            <v>AUX. ENF.: Aux. Enf. Con Turnicidad y Variables</v>
          </cell>
        </row>
        <row r="23">
          <cell r="B23" t="str">
            <v>AUX. ENF.: Aux. Enf. Sin Turnicidad</v>
          </cell>
        </row>
        <row r="24">
          <cell r="B24" t="str">
            <v>CEL.: Celador  E. Turno Con Turnicidad</v>
          </cell>
        </row>
        <row r="25">
          <cell r="B25" t="str">
            <v>CEL.: Celador  E. Turno Sin Turnicidad</v>
          </cell>
        </row>
        <row r="26">
          <cell r="B26" t="str">
            <v>CEL.: Celador At. Pcte. Con Turnicidad</v>
          </cell>
        </row>
        <row r="27">
          <cell r="B27" t="str">
            <v>CEL.: Celador At. Pcte. Sin Turnicidad</v>
          </cell>
        </row>
        <row r="28">
          <cell r="B28" t="str">
            <v>CEL.: Celador Espta. Con Turnicidad</v>
          </cell>
        </row>
        <row r="29">
          <cell r="B29" t="str">
            <v>CEL.: Celador Espta. Sin Turnicidad</v>
          </cell>
        </row>
        <row r="30">
          <cell r="B30" t="str">
            <v>CEL.: Dif. Enc. Turno - Celador Con Turnicidad</v>
          </cell>
        </row>
        <row r="31">
          <cell r="B31" t="str">
            <v>Cocinero</v>
          </cell>
        </row>
        <row r="32">
          <cell r="B32" t="str">
            <v>Contrato Guardias ICTUS</v>
          </cell>
        </row>
        <row r="33">
          <cell r="B33" t="str">
            <v>Contrato Guardias Psiquiatría</v>
          </cell>
        </row>
        <row r="34">
          <cell r="B34" t="str">
            <v>F.E.A.: Dif. J.Secc. - F.E.A. Con espec.</v>
          </cell>
        </row>
        <row r="35">
          <cell r="B35" t="str">
            <v>F.E.A.: Dif. J.Serv. - F.E.A. Con espec.</v>
          </cell>
        </row>
        <row r="36">
          <cell r="B36" t="str">
            <v>F.E.A.: Dif. J.Serv. - J. Secc. Con espec.</v>
          </cell>
        </row>
        <row r="37">
          <cell r="B37" t="str">
            <v>F.E.A.: F.E.A. Con especifico</v>
          </cell>
        </row>
        <row r="38">
          <cell r="B38" t="str">
            <v>F.E.A.: Guardias Loc.(Sab.) 6g. x 14h.</v>
          </cell>
        </row>
        <row r="39">
          <cell r="B39" t="str">
            <v>F.E.A.: Guardias P.F. (L-V) 21g. x 7h.</v>
          </cell>
        </row>
        <row r="40">
          <cell r="B40" t="str">
            <v>F.E.A.: Guardias P.F.(Sab.+Fest.) 2g. x 14h.</v>
          </cell>
        </row>
        <row r="41">
          <cell r="B41" t="str">
            <v>F.E.A.: J.Sección Con especifico</v>
          </cell>
        </row>
        <row r="42">
          <cell r="B42" t="str">
            <v>F.E.A.: J.Servicio Con especifico</v>
          </cell>
        </row>
        <row r="43">
          <cell r="B43" t="str">
            <v>M.I.R.: 1 - M.I.R. - 1 - 5 Guardias/Mensuales</v>
          </cell>
        </row>
        <row r="44">
          <cell r="B44" t="str">
            <v>M.I.R.: 3 - M.I.R. - 1 - 5 Guardias/Mensuales</v>
          </cell>
        </row>
        <row r="45">
          <cell r="B45" t="str">
            <v>M.I.R.: 4 - M.I.R. - 1 - 5 Guardias/Mensuales</v>
          </cell>
        </row>
        <row r="46">
          <cell r="B46" t="str">
            <v>M.I.R.: 5 - M.I.R. - 1 - 5 Guardias/Mensuales</v>
          </cell>
        </row>
        <row r="47">
          <cell r="B47" t="str">
            <v>OP.S.: Operario de Servicios</v>
          </cell>
        </row>
        <row r="48">
          <cell r="B48" t="str">
            <v>Optico</v>
          </cell>
        </row>
        <row r="49">
          <cell r="B49" t="str">
            <v>Psicólogo</v>
          </cell>
        </row>
        <row r="50">
          <cell r="B50" t="str">
            <v>T.E.: T.E.L./T.E.R. Con Turnicidad</v>
          </cell>
        </row>
        <row r="51">
          <cell r="B51" t="str">
            <v>T.E.: T.E.L./T.E.R. Con Turnicidad y Variables</v>
          </cell>
        </row>
        <row r="52">
          <cell r="B52" t="str">
            <v>T.E.: T.E.L./T.E.R. Sin Turnicidad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"/>
      <sheetName val="Données_v1"/>
      <sheetName val="NATnon03324"/>
      <sheetName val="Métadonnées "/>
    </sheetNames>
    <sheetDataSet>
      <sheetData sheetId="0"/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ATA"/>
      <sheetName val="DATA_preg"/>
      <sheetName val="chk_data"/>
      <sheetName val="chk_preg"/>
      <sheetName val="V_preg"/>
      <sheetName val="STRCTR"/>
      <sheetName val="STRCTR_ssC"/>
      <sheetName val="G_BASE"/>
      <sheetName val="cnieg"/>
      <sheetName val="G_CPTR"/>
      <sheetName val="G_GP"/>
      <sheetName val="G_GP_ssC"/>
      <sheetName val="G_TSRGM"/>
      <sheetName val="tempnon-salariés"/>
      <sheetName val="tempFPE"/>
      <sheetName val="CNRACL (2)"/>
      <sheetName val="G_TSRGM_hrz"/>
      <sheetName val="txcot"/>
      <sheetName val="legende"/>
    </sheetNames>
    <sheetDataSet>
      <sheetData sheetId="0"/>
      <sheetData sheetId="1">
        <row r="8">
          <cell r="AG8">
            <v>49250.247855344016</v>
          </cell>
        </row>
      </sheetData>
      <sheetData sheetId="2">
        <row r="39">
          <cell r="K39">
            <v>1141.8148143999999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Durées"/>
      <sheetName val="Mt Pensions"/>
      <sheetName val="Âge départ"/>
      <sheetName val="SMPT"/>
      <sheetName val="PENSIONS_ENF_MOTIF"/>
      <sheetName val="PENSIONS_3_ENF"/>
      <sheetName val="MDA_UT"/>
      <sheetName val="AVPF_MDA_DECILE"/>
      <sheetName val="PART_BENEF_DF"/>
      <sheetName val="NEW CNAV SURCOTE 63"/>
      <sheetName val="DUREE_VAL_MOY"/>
      <sheetName val="DECOMPO_DUREE"/>
      <sheetName val="PENSIONS"/>
      <sheetName val="MAJO_3ENF_DECILE"/>
      <sheetName val="AGE"/>
    </sheetNames>
    <sheetDataSet>
      <sheetData sheetId="0">
        <row r="10">
          <cell r="E10">
            <v>0.78536850308168227</v>
          </cell>
          <cell r="F10">
            <v>0.79913732988134345</v>
          </cell>
          <cell r="G10">
            <v>0.80384635437237117</v>
          </cell>
          <cell r="H10">
            <v>0.81107167395683322</v>
          </cell>
          <cell r="I10">
            <v>0.81574586974351104</v>
          </cell>
          <cell r="J10">
            <v>0.82130398630611123</v>
          </cell>
          <cell r="K10">
            <v>0.82682338649024378</v>
          </cell>
          <cell r="L10">
            <v>0.83257255830768762</v>
          </cell>
          <cell r="M10">
            <v>0.82977422441916704</v>
          </cell>
          <cell r="N10">
            <v>0.83317516928425217</v>
          </cell>
          <cell r="O10">
            <v>0.83607643109415419</v>
          </cell>
          <cell r="P10">
            <v>0.84326253315247324</v>
          </cell>
          <cell r="Q10">
            <v>0.85106922672176299</v>
          </cell>
          <cell r="R10">
            <v>0.86657149745892137</v>
          </cell>
          <cell r="S10">
            <v>0.87504934661239397</v>
          </cell>
          <cell r="T10">
            <v>0.88251675661875661</v>
          </cell>
          <cell r="U10">
            <v>0.88658625466510121</v>
          </cell>
          <cell r="V10">
            <v>0.88907348326080204</v>
          </cell>
          <cell r="W10">
            <v>0.89045376189663994</v>
          </cell>
          <cell r="X10">
            <v>0.8904528803375007</v>
          </cell>
          <cell r="Y10">
            <v>0.88921388209721941</v>
          </cell>
          <cell r="Z10">
            <v>0.88877576229337207</v>
          </cell>
          <cell r="AA10">
            <v>0.88922062819307546</v>
          </cell>
          <cell r="AB10">
            <v>0.89102916874722005</v>
          </cell>
          <cell r="AC10">
            <v>0.89379352485075358</v>
          </cell>
          <cell r="AD10">
            <v>0.89781624603729715</v>
          </cell>
          <cell r="AE10">
            <v>0.90522324718703684</v>
          </cell>
          <cell r="AF10">
            <v>0.91103882188551621</v>
          </cell>
          <cell r="AG10">
            <v>0.91520516993585077</v>
          </cell>
          <cell r="AH10">
            <v>0.91815764761193219</v>
          </cell>
          <cell r="AI10">
            <v>0.91979370993287579</v>
          </cell>
          <cell r="AJ10">
            <v>0.91522137076612964</v>
          </cell>
          <cell r="AK10">
            <v>0.9109178680502481</v>
          </cell>
          <cell r="AL10">
            <v>0.90653560803251909</v>
          </cell>
          <cell r="AM10">
            <v>0.90347610595659589</v>
          </cell>
          <cell r="AN10">
            <v>0.90207583180034379</v>
          </cell>
          <cell r="AO10">
            <v>0.90250378419024124</v>
          </cell>
          <cell r="AP10">
            <v>0.90350169145530335</v>
          </cell>
          <cell r="AQ10">
            <v>0.90522886565396499</v>
          </cell>
          <cell r="AR10">
            <v>0.90619366633022891</v>
          </cell>
          <cell r="AS10">
            <v>0.90853472181064432</v>
          </cell>
          <cell r="AT10">
            <v>0.9097831840259275</v>
          </cell>
          <cell r="AU10">
            <v>0.91000778838179186</v>
          </cell>
          <cell r="AV10">
            <v>0.91014804498253099</v>
          </cell>
          <cell r="AW10">
            <v>0.91085236838194061</v>
          </cell>
          <cell r="AX10">
            <v>0.91026791185705613</v>
          </cell>
          <cell r="AY10">
            <v>0.91033307771695249</v>
          </cell>
          <cell r="AZ10">
            <v>0.91061640223102391</v>
          </cell>
          <cell r="BA10">
            <v>0.91045381062355624</v>
          </cell>
          <cell r="BB10">
            <v>0.90743638938914017</v>
          </cell>
          <cell r="BC10">
            <v>0.90803372884167111</v>
          </cell>
          <cell r="BD10">
            <v>0.90546877237005496</v>
          </cell>
          <cell r="BE10">
            <v>0.90206391677094722</v>
          </cell>
          <cell r="BF10">
            <v>0.89659405481855037</v>
          </cell>
          <cell r="BG10">
            <v>0.89334936904796525</v>
          </cell>
          <cell r="BH10">
            <v>0.88576886285739798</v>
          </cell>
          <cell r="BI10">
            <v>0.8806714727162912</v>
          </cell>
          <cell r="BJ10">
            <v>0.87519708941800756</v>
          </cell>
          <cell r="BK10">
            <v>0.87251213251352644</v>
          </cell>
          <cell r="BL10">
            <v>0.8692909460493754</v>
          </cell>
          <cell r="BM10">
            <v>0.86533368520095288</v>
          </cell>
          <cell r="BN10">
            <v>0.86122749409435695</v>
          </cell>
          <cell r="BO10">
            <v>0.85908268938738974</v>
          </cell>
          <cell r="BP10">
            <v>0.85683268988385142</v>
          </cell>
          <cell r="BQ10">
            <v>0.8564228112600093</v>
          </cell>
          <cell r="BR10">
            <v>0.85644821661165982</v>
          </cell>
          <cell r="BS10">
            <v>0.85742975093169893</v>
          </cell>
          <cell r="BT10">
            <v>0.85640699494368588</v>
          </cell>
        </row>
        <row r="17">
          <cell r="E17">
            <v>0.18866743807117387</v>
          </cell>
          <cell r="F17">
            <v>0.21845886371142034</v>
          </cell>
          <cell r="G17">
            <v>0.23824619717678042</v>
          </cell>
          <cell r="H17">
            <v>0.2604465831966733</v>
          </cell>
          <cell r="I17">
            <v>0.27745345430432067</v>
          </cell>
          <cell r="J17">
            <v>0.2960819239265482</v>
          </cell>
          <cell r="K17">
            <v>0.31108358842826112</v>
          </cell>
          <cell r="L17">
            <v>0.32201447309184589</v>
          </cell>
          <cell r="M17">
            <v>0.33434872128095261</v>
          </cell>
          <cell r="N17">
            <v>0.34740787867354828</v>
          </cell>
          <cell r="O17">
            <v>0.36223246606603043</v>
          </cell>
          <cell r="P17">
            <v>0.38075897704421735</v>
          </cell>
          <cell r="Q17">
            <v>0.4029028713114885</v>
          </cell>
          <cell r="R17">
            <v>0.42454847776397769</v>
          </cell>
          <cell r="S17">
            <v>0.44754419698071074</v>
          </cell>
          <cell r="T17">
            <v>0.46849909913940541</v>
          </cell>
          <cell r="U17">
            <v>0.48985602748505064</v>
          </cell>
          <cell r="V17">
            <v>0.50990502996641596</v>
          </cell>
          <cell r="W17">
            <v>0.52636630104883386</v>
          </cell>
          <cell r="X17">
            <v>0.53828851337875072</v>
          </cell>
          <cell r="Y17">
            <v>0.54824035765444468</v>
          </cell>
          <cell r="Z17">
            <v>0.55432023907558492</v>
          </cell>
          <cell r="AA17">
            <v>0.55821202602780562</v>
          </cell>
          <cell r="AB17">
            <v>0.55981867286971343</v>
          </cell>
          <cell r="AC17">
            <v>0.56076178721901582</v>
          </cell>
          <cell r="AD17">
            <v>0.55750464665061683</v>
          </cell>
          <cell r="AE17">
            <v>0.55571621078135891</v>
          </cell>
          <cell r="AF17">
            <v>0.55367053249750031</v>
          </cell>
          <cell r="AG17">
            <v>0.55220148526248547</v>
          </cell>
          <cell r="AH17">
            <v>0.5520849880138553</v>
          </cell>
          <cell r="AI17">
            <v>0.55507418960508526</v>
          </cell>
          <cell r="AJ17">
            <v>0.55558291925194747</v>
          </cell>
          <cell r="AK17">
            <v>0.55888032792753883</v>
          </cell>
          <cell r="AL17">
            <v>0.56197412729666563</v>
          </cell>
          <cell r="AM17">
            <v>0.565201452155212</v>
          </cell>
          <cell r="AN17">
            <v>0.56647964475042234</v>
          </cell>
          <cell r="AO17">
            <v>0.56849217571507915</v>
          </cell>
          <cell r="AP17">
            <v>0.56648882576234472</v>
          </cell>
          <cell r="AQ17">
            <v>0.56460573746997211</v>
          </cell>
          <cell r="AR17">
            <v>0.56203951459153212</v>
          </cell>
          <cell r="AS17">
            <v>0.56175410248935387</v>
          </cell>
          <cell r="AT17">
            <v>0.56116407044433469</v>
          </cell>
          <cell r="AU17">
            <v>0.56267810584271216</v>
          </cell>
          <cell r="AV17">
            <v>0.56565233833400452</v>
          </cell>
          <cell r="AW17">
            <v>0.5673720031749292</v>
          </cell>
          <cell r="AX17">
            <v>0.56870203003612052</v>
          </cell>
          <cell r="AY17">
            <v>0.56993260380581545</v>
          </cell>
          <cell r="AZ17">
            <v>0.57228242997197465</v>
          </cell>
          <cell r="BA17">
            <v>0.57080453431483591</v>
          </cell>
          <cell r="BB17">
            <v>0.56927770091701768</v>
          </cell>
          <cell r="BC17">
            <v>0.56778279370664786</v>
          </cell>
          <cell r="BD17">
            <v>0.56527776337984981</v>
          </cell>
          <cell r="BE17">
            <v>0.56103457349270669</v>
          </cell>
          <cell r="BF17">
            <v>0.55725154417388389</v>
          </cell>
          <cell r="BG17">
            <v>0.55397235319050586</v>
          </cell>
          <cell r="BH17">
            <v>0.54993870065657058</v>
          </cell>
          <cell r="BI17">
            <v>0.54637082266824477</v>
          </cell>
          <cell r="BJ17">
            <v>0.54196460933957358</v>
          </cell>
          <cell r="BK17">
            <v>0.53911091120406485</v>
          </cell>
          <cell r="BL17">
            <v>0.53749379235834538</v>
          </cell>
          <cell r="BM17">
            <v>0.53518240769303715</v>
          </cell>
          <cell r="BN17">
            <v>0.53503277195428578</v>
          </cell>
          <cell r="BO17">
            <v>0.53509818487124949</v>
          </cell>
          <cell r="BP17">
            <v>0.53517302541401168</v>
          </cell>
          <cell r="BQ17">
            <v>0.5345679417541167</v>
          </cell>
          <cell r="BR17">
            <v>0.53504966412834976</v>
          </cell>
          <cell r="BS17">
            <v>0.53369859574924738</v>
          </cell>
          <cell r="BT17">
            <v>0.53399593149393554</v>
          </cell>
        </row>
        <row r="35">
          <cell r="E35">
            <v>0.47300712990240767</v>
          </cell>
          <cell r="F35">
            <v>0.47336890682709204</v>
          </cell>
          <cell r="G35">
            <v>0.47060481777865493</v>
          </cell>
          <cell r="H35">
            <v>0.46842736332713653</v>
          </cell>
          <cell r="I35">
            <v>0.46391042975899388</v>
          </cell>
          <cell r="J35">
            <v>0.45961751504031917</v>
          </cell>
          <cell r="K35">
            <v>0.45228468822023632</v>
          </cell>
          <cell r="L35">
            <v>0.44464607434808806</v>
          </cell>
          <cell r="M35">
            <v>0.43372334108297839</v>
          </cell>
          <cell r="N35">
            <v>0.422993132550749</v>
          </cell>
          <cell r="O35">
            <v>0.41036376525288631</v>
          </cell>
          <cell r="P35">
            <v>0.39667395918869675</v>
          </cell>
          <cell r="Q35">
            <v>0.38468692897364909</v>
          </cell>
          <cell r="R35">
            <v>0.37399879027810023</v>
          </cell>
          <cell r="S35">
            <v>0.36420193730149369</v>
          </cell>
          <cell r="T35">
            <v>0.35442703324388741</v>
          </cell>
          <cell r="U35">
            <v>0.34868069651076306</v>
          </cell>
          <cell r="V35">
            <v>0.34312618615174062</v>
          </cell>
          <cell r="W35">
            <v>0.33957074797775932</v>
          </cell>
          <cell r="X35">
            <v>0.33632387586724405</v>
          </cell>
          <cell r="Y35">
            <v>0.33486786227931409</v>
          </cell>
          <cell r="Z35">
            <v>0.33389287312578891</v>
          </cell>
          <cell r="AA35">
            <v>0.33185887503134393</v>
          </cell>
          <cell r="AB35">
            <v>0.32836602408625704</v>
          </cell>
          <cell r="AC35">
            <v>0.3256230173182475</v>
          </cell>
          <cell r="AD35">
            <v>0.32163884040469581</v>
          </cell>
          <cell r="AE35">
            <v>0.31629323558964384</v>
          </cell>
          <cell r="AF35">
            <v>0.31331296629792371</v>
          </cell>
          <cell r="AG35">
            <v>0.3126582003015389</v>
          </cell>
          <cell r="AH35">
            <v>0.31135199938906055</v>
          </cell>
          <cell r="AI35">
            <v>0.31102285130429902</v>
          </cell>
          <cell r="AJ35">
            <v>0.31165013842804623</v>
          </cell>
          <cell r="AK35">
            <v>0.31204199224239204</v>
          </cell>
          <cell r="AL35">
            <v>0.31079454379029664</v>
          </cell>
          <cell r="AM35">
            <v>0.31086796201637568</v>
          </cell>
          <cell r="AN35">
            <v>0.3092873109501576</v>
          </cell>
          <cell r="AO35">
            <v>0.3083689593204188</v>
          </cell>
          <cell r="AP35">
            <v>0.30743350490120164</v>
          </cell>
          <cell r="AQ35">
            <v>0.30680550249011218</v>
          </cell>
          <cell r="AR35">
            <v>0.3062273588076157</v>
          </cell>
          <cell r="AS35">
            <v>0.3075442776962492</v>
          </cell>
          <cell r="AT35">
            <v>0.30830053063435031</v>
          </cell>
          <cell r="AU35">
            <v>0.30989630761835746</v>
          </cell>
          <cell r="AV35">
            <v>0.31098345419634754</v>
          </cell>
          <cell r="AW35">
            <v>0.31186193102932708</v>
          </cell>
          <cell r="AX35">
            <v>0.30900483463324041</v>
          </cell>
          <cell r="AY35">
            <v>0.307202805583625</v>
          </cell>
          <cell r="AZ35">
            <v>0.30269533748405958</v>
          </cell>
          <cell r="BA35">
            <v>0.29888728243862378</v>
          </cell>
          <cell r="BB35">
            <v>0.29335251808223572</v>
          </cell>
          <cell r="BC35">
            <v>0.28960590063064978</v>
          </cell>
          <cell r="BD35">
            <v>0.28410667611363</v>
          </cell>
          <cell r="BE35">
            <v>0.27877926317507601</v>
          </cell>
          <cell r="BF35">
            <v>0.27281842819020502</v>
          </cell>
          <cell r="BG35">
            <v>0.26842285256432341</v>
          </cell>
          <cell r="BH35">
            <v>0.26420612563351187</v>
          </cell>
          <cell r="BI35">
            <v>0.26096951632777715</v>
          </cell>
          <cell r="BJ35">
            <v>0.25848325053875876</v>
          </cell>
          <cell r="BK35">
            <v>0.25743259622695658</v>
          </cell>
          <cell r="BL35">
            <v>0.25709278579471129</v>
          </cell>
          <cell r="BM35">
            <v>0.25525095448817181</v>
          </cell>
          <cell r="BN35">
            <v>0.25406226685492805</v>
          </cell>
          <cell r="BO35">
            <v>0.25379833505199267</v>
          </cell>
          <cell r="BP35">
            <v>0.25312268018964684</v>
          </cell>
          <cell r="BQ35">
            <v>0.25089608281113207</v>
          </cell>
          <cell r="BR35">
            <v>0.25241383811863483</v>
          </cell>
          <cell r="BS35">
            <v>0.25318102363172329</v>
          </cell>
          <cell r="BT35">
            <v>0.25505823071188011</v>
          </cell>
        </row>
      </sheetData>
      <sheetData sheetId="1">
        <row r="55">
          <cell r="F55">
            <v>21.340300679535751</v>
          </cell>
          <cell r="G55">
            <v>21.538146568984548</v>
          </cell>
          <cell r="H55">
            <v>21.520584627264586</v>
          </cell>
          <cell r="I55">
            <v>21.449749764869136</v>
          </cell>
          <cell r="J55">
            <v>21.310888949721704</v>
          </cell>
          <cell r="K55">
            <v>21.15469848042331</v>
          </cell>
          <cell r="L55">
            <v>20.912521287983033</v>
          </cell>
          <cell r="M55">
            <v>20.575601596837192</v>
          </cell>
          <cell r="N55">
            <v>20.380836094611674</v>
          </cell>
          <cell r="O55">
            <v>20.112058529292881</v>
          </cell>
          <cell r="P55">
            <v>19.786541970670264</v>
          </cell>
          <cell r="Q55">
            <v>19.440716564939059</v>
          </cell>
          <cell r="R55">
            <v>19.16052134405723</v>
          </cell>
          <cell r="S55">
            <v>18.81223781243326</v>
          </cell>
          <cell r="T55">
            <v>18.521645644232873</v>
          </cell>
          <cell r="U55">
            <v>18.271557720292542</v>
          </cell>
          <cell r="V55">
            <v>18.160196674509962</v>
          </cell>
          <cell r="W55">
            <v>18.041732046205645</v>
          </cell>
          <cell r="X55">
            <v>17.948428539677955</v>
          </cell>
          <cell r="Y55">
            <v>17.869558751837044</v>
          </cell>
          <cell r="Z55">
            <v>17.767753367610954</v>
          </cell>
          <cell r="AA55">
            <v>17.666470292213365</v>
          </cell>
          <cell r="AB55">
            <v>17.523682268273841</v>
          </cell>
          <cell r="AC55">
            <v>17.34587180758195</v>
          </cell>
          <cell r="AD55">
            <v>17.193874997404638</v>
          </cell>
          <cell r="AE55">
            <v>17.058010664859413</v>
          </cell>
          <cell r="AF55">
            <v>16.843043572253354</v>
          </cell>
          <cell r="AG55">
            <v>16.68123548764628</v>
          </cell>
          <cell r="AH55">
            <v>16.628647542632727</v>
          </cell>
          <cell r="AI55">
            <v>16.565255489940505</v>
          </cell>
          <cell r="AJ55">
            <v>16.532779310521754</v>
          </cell>
          <cell r="AK55">
            <v>16.566934187082648</v>
          </cell>
          <cell r="AL55">
            <v>16.615948710148807</v>
          </cell>
          <cell r="AM55">
            <v>16.594807011342549</v>
          </cell>
          <cell r="AN55">
            <v>16.564724555765771</v>
          </cell>
          <cell r="AO55">
            <v>16.512998453506963</v>
          </cell>
          <cell r="AP55">
            <v>16.467665656624188</v>
          </cell>
          <cell r="AQ55">
            <v>16.425244396295643</v>
          </cell>
          <cell r="AR55">
            <v>16.360766696695499</v>
          </cell>
          <cell r="AS55">
            <v>16.310064453464388</v>
          </cell>
          <cell r="AT55">
            <v>16.261477839825233</v>
          </cell>
          <cell r="AU55">
            <v>16.228188077867493</v>
          </cell>
          <cell r="AV55">
            <v>16.197765365727225</v>
          </cell>
          <cell r="AW55">
            <v>16.177665024272237</v>
          </cell>
          <cell r="AX55">
            <v>16.138681566895464</v>
          </cell>
          <cell r="AY55">
            <v>16.061232901915353</v>
          </cell>
          <cell r="AZ55">
            <v>16.01187559602225</v>
          </cell>
          <cell r="BA55">
            <v>15.899274719709656</v>
          </cell>
          <cell r="BB55">
            <v>15.796480743179155</v>
          </cell>
          <cell r="BC55">
            <v>15.698481083302591</v>
          </cell>
          <cell r="BD55">
            <v>15.596264746697779</v>
          </cell>
          <cell r="BE55">
            <v>15.461594180817704</v>
          </cell>
          <cell r="BF55">
            <v>15.342244662344296</v>
          </cell>
          <cell r="BG55">
            <v>15.198534399005339</v>
          </cell>
          <cell r="BH55">
            <v>15.071440926136153</v>
          </cell>
          <cell r="BI55">
            <v>15.01859337960669</v>
          </cell>
          <cell r="BJ55">
            <v>14.970168351932283</v>
          </cell>
          <cell r="BK55">
            <v>14.977566680761052</v>
          </cell>
          <cell r="BL55">
            <v>15.053615702866352</v>
          </cell>
          <cell r="BM55">
            <v>15.134914314679332</v>
          </cell>
          <cell r="BN55">
            <v>15.204230922055928</v>
          </cell>
          <cell r="BO55">
            <v>15.281003401866258</v>
          </cell>
          <cell r="BP55">
            <v>15.356198542884977</v>
          </cell>
          <cell r="BQ55">
            <v>15.384644882909843</v>
          </cell>
          <cell r="BR55">
            <v>15.391951229667047</v>
          </cell>
          <cell r="BS55">
            <v>15.382154653319162</v>
          </cell>
          <cell r="BT55">
            <v>15.355969840899412</v>
          </cell>
          <cell r="BU55">
            <v>15.296465439147196</v>
          </cell>
        </row>
        <row r="74">
          <cell r="F74">
            <v>22.208389761562053</v>
          </cell>
          <cell r="G74">
            <v>22.952618318492483</v>
          </cell>
          <cell r="H74">
            <v>23.830077579824696</v>
          </cell>
          <cell r="I74">
            <v>24.620832990895451</v>
          </cell>
          <cell r="J74">
            <v>25.425479944347952</v>
          </cell>
          <cell r="K74">
            <v>26.143596446163468</v>
          </cell>
          <cell r="L74">
            <v>26.69800126936007</v>
          </cell>
          <cell r="M74">
            <v>27.180436056008336</v>
          </cell>
          <cell r="N74">
            <v>27.604715357718533</v>
          </cell>
          <cell r="O74">
            <v>27.868761056379935</v>
          </cell>
          <cell r="P74">
            <v>28.182260070952889</v>
          </cell>
          <cell r="Q74">
            <v>28.314311539854049</v>
          </cell>
          <cell r="R74">
            <v>28.565572780208491</v>
          </cell>
          <cell r="S74">
            <v>28.709928925848612</v>
          </cell>
          <cell r="T74">
            <v>28.9483684394854</v>
          </cell>
          <cell r="U74">
            <v>29.161903166419116</v>
          </cell>
          <cell r="V74">
            <v>29.574353705365944</v>
          </cell>
          <cell r="W74">
            <v>29.903049051038955</v>
          </cell>
          <cell r="X74">
            <v>30.27366770541396</v>
          </cell>
          <cell r="Y74">
            <v>30.820941815743964</v>
          </cell>
          <cell r="Z74">
            <v>31.135082700769573</v>
          </cell>
          <cell r="AA74">
            <v>31.428579372562346</v>
          </cell>
          <cell r="AB74">
            <v>31.656964151706802</v>
          </cell>
          <cell r="AC74">
            <v>31.86846557741929</v>
          </cell>
          <cell r="AD74">
            <v>31.878546197856689</v>
          </cell>
          <cell r="AE74">
            <v>32.041386888431944</v>
          </cell>
          <cell r="AF74">
            <v>31.974522006591446</v>
          </cell>
          <cell r="AG74">
            <v>31.78822917473078</v>
          </cell>
          <cell r="AH74">
            <v>31.561804366666316</v>
          </cell>
          <cell r="AI74">
            <v>31.134118649821581</v>
          </cell>
          <cell r="AJ74">
            <v>30.535709575740384</v>
          </cell>
          <cell r="AK74">
            <v>30.0120563600697</v>
          </cell>
          <cell r="AL74">
            <v>29.578722688160195</v>
          </cell>
          <cell r="AM74">
            <v>29.171634764299938</v>
          </cell>
          <cell r="AN74">
            <v>28.869434078487519</v>
          </cell>
          <cell r="AO74">
            <v>28.619262298086575</v>
          </cell>
          <cell r="AP74">
            <v>28.37957948503556</v>
          </cell>
          <cell r="AQ74">
            <v>28.142473542124371</v>
          </cell>
          <cell r="AR74">
            <v>27.824072197526341</v>
          </cell>
          <cell r="AS74">
            <v>27.526804523001175</v>
          </cell>
          <cell r="AT74">
            <v>27.282207601053244</v>
          </cell>
          <cell r="AU74">
            <v>27.056122367806505</v>
          </cell>
          <cell r="AV74">
            <v>26.766454980579358</v>
          </cell>
          <cell r="AW74">
            <v>26.541917702333876</v>
          </cell>
          <cell r="AX74">
            <v>26.287683439680659</v>
          </cell>
          <cell r="AY74">
            <v>26.025382258864376</v>
          </cell>
          <cell r="AZ74">
            <v>25.80005516658623</v>
          </cell>
          <cell r="BA74">
            <v>25.620773650153701</v>
          </cell>
          <cell r="BB74">
            <v>25.469695761469342</v>
          </cell>
          <cell r="BC74">
            <v>25.422441947896257</v>
          </cell>
          <cell r="BD74">
            <v>25.277203608950533</v>
          </cell>
          <cell r="BE74">
            <v>25.190566162981277</v>
          </cell>
          <cell r="BF74">
            <v>24.980592257343275</v>
          </cell>
          <cell r="BG74">
            <v>24.636335534420052</v>
          </cell>
          <cell r="BH74">
            <v>24.272994073203144</v>
          </cell>
          <cell r="BI74">
            <v>23.997017869378077</v>
          </cell>
          <cell r="BJ74">
            <v>23.595702485635488</v>
          </cell>
          <cell r="BK74">
            <v>23.282491807327244</v>
          </cell>
          <cell r="BL74">
            <v>23.149683676946733</v>
          </cell>
          <cell r="BM74">
            <v>22.893534846823677</v>
          </cell>
          <cell r="BN74">
            <v>22.717031990750236</v>
          </cell>
          <cell r="BO74">
            <v>22.656704168314732</v>
          </cell>
          <cell r="BP74">
            <v>22.62024528258371</v>
          </cell>
          <cell r="BQ74">
            <v>22.545776584552467</v>
          </cell>
          <cell r="BR74">
            <v>22.466398278987416</v>
          </cell>
          <cell r="BS74">
            <v>22.337436076108951</v>
          </cell>
          <cell r="BT74">
            <v>22.184947568291552</v>
          </cell>
          <cell r="BU74">
            <v>21.910279292329911</v>
          </cell>
        </row>
        <row r="199">
          <cell r="F199">
            <v>128.69</v>
          </cell>
          <cell r="G199">
            <v>134.29333333333332</v>
          </cell>
          <cell r="H199">
            <v>136.17599999999999</v>
          </cell>
          <cell r="I199">
            <v>138.44199999999998</v>
          </cell>
          <cell r="J199">
            <v>139.77799999999999</v>
          </cell>
          <cell r="K199">
            <v>141.196</v>
          </cell>
          <cell r="L199">
            <v>142.34200000000001</v>
          </cell>
          <cell r="M199">
            <v>143.82000000000002</v>
          </cell>
          <cell r="N199">
            <v>145.24200000000002</v>
          </cell>
          <cell r="O199">
            <v>145.65600000000001</v>
          </cell>
          <cell r="P199">
            <v>145.64000000000001</v>
          </cell>
          <cell r="Q199">
            <v>145.94400000000002</v>
          </cell>
          <cell r="R199">
            <v>145.97200000000004</v>
          </cell>
          <cell r="S199">
            <v>146.22399999999999</v>
          </cell>
          <cell r="T199">
            <v>146.59800000000001</v>
          </cell>
          <cell r="U199">
            <v>147.26600000000002</v>
          </cell>
          <cell r="V199">
            <v>147.786</v>
          </cell>
          <cell r="W199">
            <v>148.18400000000003</v>
          </cell>
          <cell r="X199">
            <v>148.16399999999999</v>
          </cell>
          <cell r="Y199">
            <v>148.584</v>
          </cell>
          <cell r="Z199">
            <v>149.18</v>
          </cell>
          <cell r="AA199">
            <v>150.208</v>
          </cell>
          <cell r="AB199">
            <v>150.36799999999999</v>
          </cell>
          <cell r="AC199">
            <v>150.97199999999998</v>
          </cell>
          <cell r="AD199">
            <v>151.084</v>
          </cell>
          <cell r="AE199">
            <v>150.166</v>
          </cell>
          <cell r="AF199">
            <v>149.4</v>
          </cell>
          <cell r="AG199">
            <v>149.59800000000001</v>
          </cell>
          <cell r="AH199">
            <v>149.20800000000003</v>
          </cell>
          <cell r="AI199">
            <v>149.09800000000001</v>
          </cell>
          <cell r="AJ199">
            <v>149.97800000000001</v>
          </cell>
          <cell r="AK199">
            <v>149.86199999999999</v>
          </cell>
          <cell r="AL199">
            <v>149.15799999999999</v>
          </cell>
          <cell r="AM199">
            <v>149.00800000000001</v>
          </cell>
          <cell r="AN199">
            <v>148.68600000000001</v>
          </cell>
          <cell r="AO199">
            <v>147.994</v>
          </cell>
          <cell r="AP199">
            <v>147.66000000000003</v>
          </cell>
          <cell r="AQ199">
            <v>147.584</v>
          </cell>
          <cell r="AR199">
            <v>147.09599999999998</v>
          </cell>
          <cell r="AS199">
            <v>146.06199999999998</v>
          </cell>
          <cell r="AT199">
            <v>145.458</v>
          </cell>
          <cell r="AU199">
            <v>144.34399999999999</v>
          </cell>
          <cell r="AV199">
            <v>143.334</v>
          </cell>
          <cell r="AW199">
            <v>142.99600000000001</v>
          </cell>
          <cell r="AX199">
            <v>143.38000000000002</v>
          </cell>
          <cell r="AY199">
            <v>143.81800000000001</v>
          </cell>
          <cell r="AZ199">
            <v>144.66999999999999</v>
          </cell>
          <cell r="BA199">
            <v>145.358</v>
          </cell>
          <cell r="BB199">
            <v>145.65</v>
          </cell>
          <cell r="BC199">
            <v>146.23200000000003</v>
          </cell>
          <cell r="BD199">
            <v>146.68799999999999</v>
          </cell>
          <cell r="BE199">
            <v>147.14600000000002</v>
          </cell>
          <cell r="BF199">
            <v>147.874</v>
          </cell>
          <cell r="BG199">
            <v>148.50600000000003</v>
          </cell>
          <cell r="BH199">
            <v>148.92400000000004</v>
          </cell>
          <cell r="BI199">
            <v>149.56</v>
          </cell>
          <cell r="BJ199">
            <v>149.94200000000001</v>
          </cell>
          <cell r="BK199">
            <v>150.476</v>
          </cell>
          <cell r="BL199">
            <v>151.14400000000001</v>
          </cell>
          <cell r="BM199">
            <v>151.61200000000002</v>
          </cell>
          <cell r="BN199">
            <v>151.96199999999999</v>
          </cell>
          <cell r="BO199">
            <v>152.756</v>
          </cell>
          <cell r="BP199">
            <v>153.34</v>
          </cell>
          <cell r="BQ199">
            <v>153.90600000000001</v>
          </cell>
          <cell r="BR199">
            <v>154.68199999999999</v>
          </cell>
          <cell r="BS199">
            <v>155.084</v>
          </cell>
          <cell r="BT199">
            <v>155.54</v>
          </cell>
          <cell r="BU199">
            <v>155.33000000000001</v>
          </cell>
        </row>
        <row r="200">
          <cell r="F200">
            <v>116.39</v>
          </cell>
          <cell r="G200">
            <v>115.53666666666668</v>
          </cell>
          <cell r="H200">
            <v>116.994</v>
          </cell>
          <cell r="I200">
            <v>118.16199999999999</v>
          </cell>
          <cell r="J200">
            <v>120.18400000000001</v>
          </cell>
          <cell r="K200">
            <v>122.276</v>
          </cell>
          <cell r="L200">
            <v>124.622</v>
          </cell>
          <cell r="M200">
            <v>127.03800000000001</v>
          </cell>
          <cell r="N200">
            <v>129.27199999999999</v>
          </cell>
          <cell r="O200">
            <v>131.94800000000001</v>
          </cell>
          <cell r="P200">
            <v>134.78999999999996</v>
          </cell>
          <cell r="Q200">
            <v>137.28200000000001</v>
          </cell>
          <cell r="R200">
            <v>140.006</v>
          </cell>
          <cell r="S200">
            <v>142.602</v>
          </cell>
          <cell r="T200">
            <v>144.54599999999999</v>
          </cell>
          <cell r="U200">
            <v>146.71799999999999</v>
          </cell>
          <cell r="V200">
            <v>148.56599999999997</v>
          </cell>
          <cell r="W200">
            <v>150.28399999999999</v>
          </cell>
          <cell r="X200">
            <v>152.28800000000001</v>
          </cell>
          <cell r="Y200">
            <v>154.24200000000002</v>
          </cell>
          <cell r="Z200">
            <v>155.934</v>
          </cell>
          <cell r="AA200">
            <v>157.43600000000001</v>
          </cell>
          <cell r="AB200">
            <v>158.60600000000002</v>
          </cell>
          <cell r="AC200">
            <v>159.434</v>
          </cell>
          <cell r="AD200">
            <v>159.898</v>
          </cell>
          <cell r="AE200">
            <v>159.85</v>
          </cell>
          <cell r="AF200">
            <v>159.80000000000001</v>
          </cell>
          <cell r="AG200">
            <v>159.70599999999999</v>
          </cell>
          <cell r="AH200">
            <v>159.55000000000001</v>
          </cell>
          <cell r="AI200">
            <v>159.548</v>
          </cell>
          <cell r="AJ200">
            <v>159.89600000000002</v>
          </cell>
          <cell r="AK200">
            <v>160.03399999999999</v>
          </cell>
          <cell r="AL200">
            <v>160.32199999999997</v>
          </cell>
          <cell r="AM200">
            <v>160.67599999999999</v>
          </cell>
          <cell r="AN200">
            <v>160.9</v>
          </cell>
          <cell r="AO200">
            <v>160.80199999999999</v>
          </cell>
          <cell r="AP200">
            <v>161.03000000000003</v>
          </cell>
          <cell r="AQ200">
            <v>161.02199999999999</v>
          </cell>
          <cell r="AR200">
            <v>160.66200000000001</v>
          </cell>
          <cell r="AS200">
            <v>160.464</v>
          </cell>
          <cell r="AT200">
            <v>160.25200000000001</v>
          </cell>
          <cell r="AU200">
            <v>160.03000000000003</v>
          </cell>
          <cell r="AV200">
            <v>160.03199999999998</v>
          </cell>
          <cell r="AW200">
            <v>160.26400000000001</v>
          </cell>
          <cell r="AX200">
            <v>160.488</v>
          </cell>
          <cell r="AY200">
            <v>161.042</v>
          </cell>
          <cell r="AZ200">
            <v>161.56</v>
          </cell>
          <cell r="BA200">
            <v>161.81799999999998</v>
          </cell>
          <cell r="BB200">
            <v>161.78400000000002</v>
          </cell>
          <cell r="BC200">
            <v>161.58799999999999</v>
          </cell>
          <cell r="BD200">
            <v>161.04400000000001</v>
          </cell>
          <cell r="BE200">
            <v>160.33999999999997</v>
          </cell>
          <cell r="BF200">
            <v>159.55199999999999</v>
          </cell>
          <cell r="BG200">
            <v>159.03199999999998</v>
          </cell>
          <cell r="BH200">
            <v>158.50399999999999</v>
          </cell>
          <cell r="BI200">
            <v>158.07400000000001</v>
          </cell>
          <cell r="BJ200">
            <v>157.62799999999999</v>
          </cell>
          <cell r="BK200">
            <v>157.38399999999999</v>
          </cell>
          <cell r="BL200">
            <v>157.02799999999999</v>
          </cell>
          <cell r="BM200">
            <v>156.744</v>
          </cell>
          <cell r="BN200">
            <v>156.762</v>
          </cell>
          <cell r="BO200">
            <v>156.92400000000001</v>
          </cell>
          <cell r="BP200">
            <v>157.19</v>
          </cell>
          <cell r="BQ200">
            <v>157.68</v>
          </cell>
          <cell r="BR200">
            <v>158.38200000000001</v>
          </cell>
          <cell r="BS200">
            <v>158.79599999999999</v>
          </cell>
          <cell r="BT200">
            <v>159.34</v>
          </cell>
          <cell r="BU200">
            <v>159.4</v>
          </cell>
        </row>
        <row r="201">
          <cell r="F201">
            <v>112.24</v>
          </cell>
          <cell r="G201">
            <v>114.38666666666667</v>
          </cell>
          <cell r="H201">
            <v>115.97</v>
          </cell>
          <cell r="I201">
            <v>117.98800000000001</v>
          </cell>
          <cell r="J201">
            <v>120.16399999999999</v>
          </cell>
          <cell r="K201">
            <v>122.032</v>
          </cell>
          <cell r="L201">
            <v>124.184</v>
          </cell>
          <cell r="M201">
            <v>126.798</v>
          </cell>
          <cell r="N201">
            <v>129.16</v>
          </cell>
          <cell r="O201">
            <v>131.32599999999999</v>
          </cell>
          <cell r="P201">
            <v>134.18199999999999</v>
          </cell>
          <cell r="Q201">
            <v>137.19400000000002</v>
          </cell>
          <cell r="R201">
            <v>139.994</v>
          </cell>
          <cell r="S201">
            <v>142.87200000000001</v>
          </cell>
          <cell r="T201">
            <v>145.64400000000001</v>
          </cell>
          <cell r="U201">
            <v>147.76400000000001</v>
          </cell>
          <cell r="V201">
            <v>149.91400000000002</v>
          </cell>
          <cell r="W201">
            <v>152.304</v>
          </cell>
          <cell r="X201">
            <v>154.27199999999999</v>
          </cell>
          <cell r="Y201">
            <v>156.44</v>
          </cell>
          <cell r="Z201">
            <v>158.69200000000001</v>
          </cell>
          <cell r="AA201">
            <v>160.44999999999999</v>
          </cell>
          <cell r="AB201">
            <v>161.59399999999999</v>
          </cell>
          <cell r="AC201">
            <v>162.65199999999999</v>
          </cell>
          <cell r="AD201">
            <v>163.52600000000001</v>
          </cell>
          <cell r="AE201">
            <v>164.07599999999999</v>
          </cell>
          <cell r="AF201">
            <v>164.55199999999999</v>
          </cell>
          <cell r="AG201">
            <v>165.29599999999999</v>
          </cell>
          <cell r="AH201">
            <v>166.34</v>
          </cell>
          <cell r="AI201">
            <v>167.18199999999999</v>
          </cell>
          <cell r="AJ201">
            <v>168.208</v>
          </cell>
          <cell r="AK201">
            <v>169.13200000000001</v>
          </cell>
          <cell r="AL201">
            <v>169.81</v>
          </cell>
          <cell r="AM201">
            <v>170.28199999999998</v>
          </cell>
          <cell r="AN201">
            <v>170.72399999999999</v>
          </cell>
          <cell r="AO201">
            <v>171.02600000000001</v>
          </cell>
          <cell r="AP201">
            <v>171.3</v>
          </cell>
          <cell r="AQ201">
            <v>171.20999999999998</v>
          </cell>
          <cell r="AR201">
            <v>170.97399999999999</v>
          </cell>
          <cell r="AS201">
            <v>170.358</v>
          </cell>
          <cell r="AT201">
            <v>169.214</v>
          </cell>
          <cell r="AU201">
            <v>167.99</v>
          </cell>
          <cell r="AV201">
            <v>166.96199999999999</v>
          </cell>
          <cell r="AW201">
            <v>165.892</v>
          </cell>
          <cell r="AX201">
            <v>164.71799999999999</v>
          </cell>
          <cell r="AY201">
            <v>164.322</v>
          </cell>
          <cell r="AZ201">
            <v>163.73200000000003</v>
          </cell>
          <cell r="BA201">
            <v>163.24600000000001</v>
          </cell>
          <cell r="BB201">
            <v>162.78400000000002</v>
          </cell>
          <cell r="BC201">
            <v>162.614</v>
          </cell>
          <cell r="BD201">
            <v>162.17200000000003</v>
          </cell>
          <cell r="BE201">
            <v>162.03799999999998</v>
          </cell>
          <cell r="BF201">
            <v>161.93400000000003</v>
          </cell>
          <cell r="BG201">
            <v>161.77600000000001</v>
          </cell>
          <cell r="BH201">
            <v>161.66799999999998</v>
          </cell>
          <cell r="BI201">
            <v>161.57400000000001</v>
          </cell>
          <cell r="BJ201">
            <v>161.51400000000001</v>
          </cell>
          <cell r="BK201">
            <v>161.262</v>
          </cell>
          <cell r="BL201">
            <v>160.994</v>
          </cell>
          <cell r="BM201">
            <v>160.91800000000001</v>
          </cell>
          <cell r="BN201">
            <v>160.79000000000002</v>
          </cell>
          <cell r="BO201">
            <v>160.66800000000001</v>
          </cell>
          <cell r="BP201">
            <v>160.852</v>
          </cell>
          <cell r="BQ201">
            <v>161.12799999999999</v>
          </cell>
          <cell r="BR201">
            <v>161.25200000000001</v>
          </cell>
          <cell r="BS201">
            <v>161.63799999999998</v>
          </cell>
          <cell r="BT201">
            <v>161.81666666666669</v>
          </cell>
          <cell r="BU201">
            <v>162.27000000000001</v>
          </cell>
        </row>
        <row r="203">
          <cell r="F203">
            <v>105.28</v>
          </cell>
          <cell r="G203">
            <v>104.34666666666668</v>
          </cell>
          <cell r="H203">
            <v>105.61000000000001</v>
          </cell>
          <cell r="I203">
            <v>106.64400000000001</v>
          </cell>
          <cell r="J203">
            <v>108.526</v>
          </cell>
          <cell r="K203">
            <v>110.49000000000001</v>
          </cell>
          <cell r="L203">
            <v>112.748</v>
          </cell>
          <cell r="M203">
            <v>115.08799999999999</v>
          </cell>
          <cell r="N203">
            <v>117.276</v>
          </cell>
          <cell r="O203">
            <v>119.91600000000001</v>
          </cell>
          <cell r="P203">
            <v>122.756</v>
          </cell>
          <cell r="Q203">
            <v>125.22999999999999</v>
          </cell>
          <cell r="R203">
            <v>127.95</v>
          </cell>
          <cell r="S203">
            <v>130.50399999999999</v>
          </cell>
          <cell r="T203">
            <v>132.39799999999997</v>
          </cell>
          <cell r="U203">
            <v>134.53</v>
          </cell>
          <cell r="V203">
            <v>136.35599999999999</v>
          </cell>
          <cell r="W203">
            <v>138.09</v>
          </cell>
          <cell r="X203">
            <v>140.13999999999999</v>
          </cell>
          <cell r="Y203">
            <v>142.18200000000002</v>
          </cell>
          <cell r="Z203">
            <v>143.98999999999998</v>
          </cell>
          <cell r="AA203">
            <v>145.61600000000001</v>
          </cell>
          <cell r="AB203">
            <v>146.88999999999999</v>
          </cell>
          <cell r="AC203">
            <v>147.804</v>
          </cell>
          <cell r="AD203">
            <v>148.298</v>
          </cell>
          <cell r="AE203">
            <v>148.21600000000001</v>
          </cell>
          <cell r="AF203">
            <v>148.09399999999999</v>
          </cell>
          <cell r="AG203">
            <v>147.90799999999999</v>
          </cell>
          <cell r="AH203">
            <v>147.65</v>
          </cell>
          <cell r="AI203">
            <v>147.56399999999999</v>
          </cell>
          <cell r="AJ203">
            <v>147.83600000000001</v>
          </cell>
          <cell r="AK203">
            <v>147.94800000000001</v>
          </cell>
          <cell r="AL203">
            <v>148.20999999999998</v>
          </cell>
          <cell r="AM203">
            <v>148.554</v>
          </cell>
          <cell r="AN203">
            <v>148.77600000000001</v>
          </cell>
          <cell r="AO203">
            <v>148.70599999999999</v>
          </cell>
          <cell r="AP203">
            <v>148.976</v>
          </cell>
          <cell r="AQ203">
            <v>149.01399999999998</v>
          </cell>
          <cell r="AR203">
            <v>148.708</v>
          </cell>
          <cell r="AS203">
            <v>148.55799999999999</v>
          </cell>
          <cell r="AT203">
            <v>148.398</v>
          </cell>
          <cell r="AU203">
            <v>148.22199999999998</v>
          </cell>
          <cell r="AV203">
            <v>148.25799999999998</v>
          </cell>
          <cell r="AW203">
            <v>148.51999999999998</v>
          </cell>
          <cell r="AX203">
            <v>148.80400000000003</v>
          </cell>
          <cell r="AY203">
            <v>149.41000000000003</v>
          </cell>
          <cell r="AZ203">
            <v>149.94400000000002</v>
          </cell>
          <cell r="BA203">
            <v>150.26</v>
          </cell>
          <cell r="BB203">
            <v>150.27200000000002</v>
          </cell>
          <cell r="BC203">
            <v>150.1</v>
          </cell>
          <cell r="BD203">
            <v>149.60399999999998</v>
          </cell>
          <cell r="BE203">
            <v>148.96200000000002</v>
          </cell>
          <cell r="BF203">
            <v>148.20800000000003</v>
          </cell>
          <cell r="BG203">
            <v>147.74600000000001</v>
          </cell>
          <cell r="BH203">
            <v>147.25399999999999</v>
          </cell>
          <cell r="BI203">
            <v>146.822</v>
          </cell>
          <cell r="BJ203">
            <v>146.35599999999999</v>
          </cell>
          <cell r="BK203">
            <v>146.08199999999999</v>
          </cell>
          <cell r="BL203">
            <v>145.642</v>
          </cell>
          <cell r="BM203">
            <v>145.27600000000001</v>
          </cell>
          <cell r="BN203">
            <v>145.208</v>
          </cell>
          <cell r="BO203">
            <v>145.322</v>
          </cell>
          <cell r="BP203">
            <v>145.536</v>
          </cell>
          <cell r="BQ203">
            <v>146.00399999999999</v>
          </cell>
          <cell r="BR203">
            <v>146.70400000000001</v>
          </cell>
          <cell r="BS203">
            <v>147.13</v>
          </cell>
          <cell r="BT203">
            <v>147.66666666666666</v>
          </cell>
          <cell r="BU203">
            <v>147.75</v>
          </cell>
        </row>
        <row r="204">
          <cell r="F204">
            <v>84.949999999999989</v>
          </cell>
          <cell r="G204">
            <v>86.483333333333334</v>
          </cell>
          <cell r="H204">
            <v>88.111999999999995</v>
          </cell>
          <cell r="I204">
            <v>90.126000000000005</v>
          </cell>
          <cell r="J204">
            <v>92.361999999999995</v>
          </cell>
          <cell r="K204">
            <v>94.244</v>
          </cell>
          <cell r="L204">
            <v>96.402000000000001</v>
          </cell>
          <cell r="M204">
            <v>99.146000000000001</v>
          </cell>
          <cell r="N204">
            <v>101.7</v>
          </cell>
          <cell r="O204">
            <v>104.056</v>
          </cell>
          <cell r="P204">
            <v>107.13799999999999</v>
          </cell>
          <cell r="Q204">
            <v>110.27200000000001</v>
          </cell>
          <cell r="R204">
            <v>113.08199999999999</v>
          </cell>
          <cell r="S204">
            <v>115.77400000000003</v>
          </cell>
          <cell r="T204">
            <v>118.52200000000002</v>
          </cell>
          <cell r="U204">
            <v>120.56000000000002</v>
          </cell>
          <cell r="V204">
            <v>122.67400000000001</v>
          </cell>
          <cell r="W204">
            <v>125.02000000000001</v>
          </cell>
          <cell r="X204">
            <v>127.056</v>
          </cell>
          <cell r="Y204">
            <v>129.21799999999999</v>
          </cell>
          <cell r="Z204">
            <v>131.75</v>
          </cell>
          <cell r="AA204">
            <v>133.81199999999998</v>
          </cell>
          <cell r="AB204">
            <v>135.42199999999997</v>
          </cell>
          <cell r="AC204">
            <v>136.852</v>
          </cell>
          <cell r="AD204">
            <v>138.142</v>
          </cell>
          <cell r="AE204">
            <v>138.93799999999999</v>
          </cell>
          <cell r="AF204">
            <v>139.63800000000001</v>
          </cell>
          <cell r="AG204">
            <v>140.54799999999997</v>
          </cell>
          <cell r="AH204">
            <v>141.65400000000002</v>
          </cell>
          <cell r="AI204">
            <v>142.52600000000001</v>
          </cell>
          <cell r="AJ204">
            <v>143.53399999999996</v>
          </cell>
          <cell r="AK204">
            <v>144.4</v>
          </cell>
          <cell r="AL204">
            <v>144.96799999999999</v>
          </cell>
          <cell r="AM204">
            <v>145.43600000000001</v>
          </cell>
          <cell r="AN204">
            <v>145.91199999999998</v>
          </cell>
          <cell r="AO204">
            <v>146.26200000000003</v>
          </cell>
          <cell r="AP204">
            <v>146.56800000000004</v>
          </cell>
          <cell r="AQ204">
            <v>146.54000000000002</v>
          </cell>
          <cell r="AR204">
            <v>146.36399999999998</v>
          </cell>
          <cell r="AS204">
            <v>145.81599999999997</v>
          </cell>
          <cell r="AT204">
            <v>144.76</v>
          </cell>
          <cell r="AU204">
            <v>143.59399999999999</v>
          </cell>
          <cell r="AV204">
            <v>142.636</v>
          </cell>
          <cell r="AW204">
            <v>141.608</v>
          </cell>
          <cell r="AX204">
            <v>140.42999999999998</v>
          </cell>
          <cell r="AY204">
            <v>140.09200000000001</v>
          </cell>
          <cell r="AZ204">
            <v>139.56199999999998</v>
          </cell>
          <cell r="BA204">
            <v>139.15</v>
          </cell>
          <cell r="BB204">
            <v>138.73400000000001</v>
          </cell>
          <cell r="BC204">
            <v>138.60399999999998</v>
          </cell>
          <cell r="BD204">
            <v>138.11199999999999</v>
          </cell>
          <cell r="BE204">
            <v>137.94999999999999</v>
          </cell>
          <cell r="BF204">
            <v>137.834</v>
          </cell>
          <cell r="BG204">
            <v>137.702</v>
          </cell>
          <cell r="BH204">
            <v>137.62599999999998</v>
          </cell>
          <cell r="BI204">
            <v>137.57199999999997</v>
          </cell>
          <cell r="BJ204">
            <v>137.58799999999999</v>
          </cell>
          <cell r="BK204">
            <v>137.31599999999997</v>
          </cell>
          <cell r="BL204">
            <v>137.036</v>
          </cell>
          <cell r="BM204">
            <v>136.988</v>
          </cell>
          <cell r="BN204">
            <v>136.88200000000001</v>
          </cell>
          <cell r="BO204">
            <v>136.73000000000002</v>
          </cell>
          <cell r="BP204">
            <v>136.92400000000004</v>
          </cell>
          <cell r="BQ204">
            <v>137.22199999999998</v>
          </cell>
          <cell r="BR204">
            <v>137.32599999999996</v>
          </cell>
          <cell r="BS204">
            <v>137.72199999999998</v>
          </cell>
          <cell r="BT204">
            <v>137.93000000000004</v>
          </cell>
          <cell r="BU204">
            <v>138.46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Durées"/>
      <sheetName val="Mt Pensions"/>
      <sheetName val="Âge départ"/>
      <sheetName val="SMPT"/>
      <sheetName val="PENSIONS_ENF_MOTIF"/>
      <sheetName val="PENSIONS_3_ENF"/>
      <sheetName val="PART_BENEF_DEP_ANT"/>
      <sheetName val="PART_BENEF_DF"/>
      <sheetName val="DUREE_VAL_MOY"/>
      <sheetName val="DECOMPO_DUREE"/>
      <sheetName val="PENSIONS"/>
      <sheetName val="MAJO_3ENF_DECILE"/>
      <sheetName val="AGE"/>
      <sheetName val="DECILE_PENS"/>
    </sheetNames>
    <sheetDataSet>
      <sheetData sheetId="0">
        <row r="10">
          <cell r="Q10">
            <v>0.76390605686032143</v>
          </cell>
          <cell r="R10">
            <v>0.76151564979750896</v>
          </cell>
          <cell r="S10">
            <v>0.7565994869560192</v>
          </cell>
          <cell r="T10">
            <v>0.75061672852765926</v>
          </cell>
          <cell r="U10">
            <v>0.75375911671320961</v>
          </cell>
          <cell r="V10">
            <v>0.75974023403836455</v>
          </cell>
          <cell r="W10">
            <v>0.76790289965054259</v>
          </cell>
          <cell r="X10">
            <v>0.78314777263548707</v>
          </cell>
          <cell r="Y10">
            <v>0.79762965009963005</v>
          </cell>
          <cell r="Z10">
            <v>0.80396624359809876</v>
          </cell>
          <cell r="AA10">
            <v>0.81043585640585591</v>
          </cell>
          <cell r="AB10">
            <v>0.8163555519591027</v>
          </cell>
          <cell r="AC10">
            <v>0.81795612201385559</v>
          </cell>
          <cell r="AD10">
            <v>0.82548822223863882</v>
          </cell>
          <cell r="AE10">
            <v>0.8301739628572955</v>
          </cell>
          <cell r="AF10">
            <v>0.8326987911851349</v>
          </cell>
          <cell r="AG10">
            <v>0.83461082580851276</v>
          </cell>
          <cell r="AH10">
            <v>0.83160322564125999</v>
          </cell>
          <cell r="AI10">
            <v>0.82219991511139112</v>
          </cell>
          <cell r="AJ10">
            <v>0.81461550584064146</v>
          </cell>
          <cell r="AK10">
            <v>0.8095702240139232</v>
          </cell>
          <cell r="AL10">
            <v>0.80801546862074658</v>
          </cell>
          <cell r="AM10">
            <v>0.81123927153159525</v>
          </cell>
          <cell r="AN10">
            <v>0.81307136922742829</v>
          </cell>
          <cell r="AO10">
            <v>0.81688942367839412</v>
          </cell>
          <cell r="AP10">
            <v>0.81468235250911913</v>
          </cell>
          <cell r="AQ10">
            <v>0.81091015453162107</v>
          </cell>
          <cell r="AR10">
            <v>0.80354517977864304</v>
          </cell>
          <cell r="AS10">
            <v>0.80437728688523147</v>
          </cell>
          <cell r="AT10">
            <v>0.79841264726185013</v>
          </cell>
          <cell r="AU10">
            <v>0.79942616761936791</v>
          </cell>
          <cell r="AV10">
            <v>0.79799555094957975</v>
          </cell>
          <cell r="AW10">
            <v>0.79912673898167164</v>
          </cell>
          <cell r="AX10">
            <v>0.79146147452988891</v>
          </cell>
          <cell r="AY10">
            <v>0.79124922089423888</v>
          </cell>
          <cell r="AZ10">
            <v>0.78438301463477411</v>
          </cell>
          <cell r="BA10">
            <v>0.77572439156143058</v>
          </cell>
          <cell r="BB10">
            <v>0.76435062141280175</v>
          </cell>
          <cell r="BC10">
            <v>0.75884365986050017</v>
          </cell>
          <cell r="BD10">
            <v>0.74661073936838285</v>
          </cell>
          <cell r="BE10">
            <v>0.73897421856402534</v>
          </cell>
          <cell r="BF10">
            <v>0.7345443212950491</v>
          </cell>
          <cell r="BG10">
            <v>0.73392307301867465</v>
          </cell>
          <cell r="BH10">
            <v>0.73381949157296744</v>
          </cell>
          <cell r="BI10">
            <v>0.73504567455062819</v>
          </cell>
          <cell r="BJ10">
            <v>0.73796720591093234</v>
          </cell>
          <cell r="BK10">
            <v>0.7374654124405513</v>
          </cell>
          <cell r="BL10">
            <v>0.73590462392739475</v>
          </cell>
          <cell r="BM10">
            <v>0.73386325859728274</v>
          </cell>
          <cell r="BN10">
            <v>0.73752948185499567</v>
          </cell>
          <cell r="BO10">
            <v>0.73983701031451332</v>
          </cell>
          <cell r="BP10">
            <v>0.73845784660460234</v>
          </cell>
          <cell r="BQ10">
            <v>0.74090386989518209</v>
          </cell>
          <cell r="BR10">
            <v>0.74226857259672618</v>
          </cell>
          <cell r="BS10">
            <v>0.73632729257482066</v>
          </cell>
          <cell r="BT10">
            <v>0.74060427413411933</v>
          </cell>
        </row>
        <row r="18">
          <cell r="Q18">
            <v>0.23187414500683995</v>
          </cell>
          <cell r="R18">
            <v>0.22583130571473711</v>
          </cell>
          <cell r="S18">
            <v>0.22450804659494997</v>
          </cell>
          <cell r="T18">
            <v>0.22364754356821792</v>
          </cell>
          <cell r="U18">
            <v>0.22854451280185631</v>
          </cell>
          <cell r="V18">
            <v>0.23046745476762079</v>
          </cell>
          <cell r="W18">
            <v>0.23828946816248076</v>
          </cell>
          <cell r="X18">
            <v>0.24553407936825034</v>
          </cell>
          <cell r="Y18">
            <v>0.2534383192635421</v>
          </cell>
          <cell r="Z18">
            <v>0.25629811841255201</v>
          </cell>
          <cell r="AA18">
            <v>0.26058337270840848</v>
          </cell>
          <cell r="AB18">
            <v>0.26138372663376241</v>
          </cell>
          <cell r="AC18">
            <v>0.25969507175328904</v>
          </cell>
          <cell r="AD18">
            <v>0.25762278014760681</v>
          </cell>
          <cell r="AE18">
            <v>0.25527173575818063</v>
          </cell>
          <cell r="AF18">
            <v>0.25527389788429089</v>
          </cell>
          <cell r="AG18">
            <v>0.25233386621590242</v>
          </cell>
          <cell r="AH18">
            <v>0.25137422706229234</v>
          </cell>
          <cell r="AI18">
            <v>0.24916111399317784</v>
          </cell>
          <cell r="AJ18">
            <v>0.2490362631355397</v>
          </cell>
          <cell r="AK18">
            <v>0.24718583471223871</v>
          </cell>
          <cell r="AL18">
            <v>0.24869544659914347</v>
          </cell>
          <cell r="AM18">
            <v>0.2482957198956543</v>
          </cell>
          <cell r="AN18">
            <v>0.24344300150495143</v>
          </cell>
          <cell r="AO18">
            <v>0.2437942105904442</v>
          </cell>
          <cell r="AP18">
            <v>0.23876316027549399</v>
          </cell>
          <cell r="AQ18">
            <v>0.23513590763045275</v>
          </cell>
          <cell r="AR18">
            <v>0.23095178753726225</v>
          </cell>
          <cell r="AS18">
            <v>0.23102677080712408</v>
          </cell>
          <cell r="AT18">
            <v>0.22633871797070473</v>
          </cell>
          <cell r="AU18">
            <v>0.2238329614642241</v>
          </cell>
          <cell r="AV18">
            <v>0.21704729054740562</v>
          </cell>
          <cell r="AW18">
            <v>0.21272607942176025</v>
          </cell>
          <cell r="AX18">
            <v>0.20755878761757182</v>
          </cell>
          <cell r="AY18">
            <v>0.20308952092566224</v>
          </cell>
          <cell r="AZ18">
            <v>0.19956954175524438</v>
          </cell>
          <cell r="BA18">
            <v>0.19131744435397569</v>
          </cell>
          <cell r="BB18">
            <v>0.18598496768832395</v>
          </cell>
          <cell r="BC18">
            <v>0.18325701040937292</v>
          </cell>
          <cell r="BD18">
            <v>0.17804753330911183</v>
          </cell>
          <cell r="BE18">
            <v>0.17513432935086812</v>
          </cell>
          <cell r="BF18">
            <v>0.17867238553901976</v>
          </cell>
          <cell r="BG18">
            <v>0.17861514804688225</v>
          </cell>
          <cell r="BH18">
            <v>0.1763267793139188</v>
          </cell>
          <cell r="BI18">
            <v>0.17688885879759683</v>
          </cell>
          <cell r="BJ18">
            <v>0.17949734751273586</v>
          </cell>
          <cell r="BK18">
            <v>0.18143802820937308</v>
          </cell>
          <cell r="BL18">
            <v>0.17956972591597914</v>
          </cell>
          <cell r="BM18">
            <v>0.17888290400902054</v>
          </cell>
          <cell r="BN18">
            <v>0.18269337582776063</v>
          </cell>
          <cell r="BO18">
            <v>0.18237092466790483</v>
          </cell>
          <cell r="BP18">
            <v>0.18554467537916736</v>
          </cell>
          <cell r="BQ18">
            <v>0.19209774111428982</v>
          </cell>
          <cell r="BR18">
            <v>0.19882117855811138</v>
          </cell>
          <cell r="BS18">
            <v>0.20230568277685204</v>
          </cell>
          <cell r="BT18">
            <v>0.20104211897524968</v>
          </cell>
        </row>
        <row r="29">
          <cell r="Q29">
            <v>7.4213406292749654E-2</v>
          </cell>
          <cell r="R29">
            <v>7.093373590336656E-2</v>
          </cell>
          <cell r="S29">
            <v>7.0517263243678852E-2</v>
          </cell>
          <cell r="T29">
            <v>6.8403562727261363E-2</v>
          </cell>
          <cell r="U29">
            <v>6.9597863238322649E-2</v>
          </cell>
          <cell r="V29">
            <v>7.2119492037047109E-2</v>
          </cell>
          <cell r="W29">
            <v>7.3457225565855669E-2</v>
          </cell>
          <cell r="X29">
            <v>7.5758236136007184E-2</v>
          </cell>
          <cell r="Y29">
            <v>8.0483396583424474E-2</v>
          </cell>
          <cell r="Z29">
            <v>8.050775372579326E-2</v>
          </cell>
          <cell r="AA29">
            <v>8.0537596970225139E-2</v>
          </cell>
          <cell r="AB29">
            <v>8.1182103083481255E-2</v>
          </cell>
          <cell r="AC29">
            <v>7.9059691277776317E-2</v>
          </cell>
          <cell r="AD29">
            <v>7.5631849399435097E-2</v>
          </cell>
          <cell r="AE29">
            <v>7.3451808682049979E-2</v>
          </cell>
          <cell r="AF29">
            <v>6.8443555040470755E-2</v>
          </cell>
          <cell r="AG29">
            <v>6.2897632198321188E-2</v>
          </cell>
          <cell r="AH29">
            <v>5.8181076343892559E-2</v>
          </cell>
          <cell r="AI29">
            <v>5.2417410747180537E-2</v>
          </cell>
          <cell r="AJ29">
            <v>4.5988978810570333E-2</v>
          </cell>
          <cell r="AK29">
            <v>4.3303952309648307E-2</v>
          </cell>
          <cell r="AL29">
            <v>4.0503842949382696E-2</v>
          </cell>
          <cell r="AM29">
            <v>3.7334801234997106E-2</v>
          </cell>
          <cell r="AN29">
            <v>3.524459288111785E-2</v>
          </cell>
          <cell r="AO29">
            <v>3.5929051357000634E-2</v>
          </cell>
          <cell r="AP29">
            <v>3.1239460624264592E-2</v>
          </cell>
          <cell r="AQ29">
            <v>2.5683595027240991E-2</v>
          </cell>
          <cell r="AR29">
            <v>2.0346895690071424E-2</v>
          </cell>
          <cell r="AS29">
            <v>1.4465803177232769E-2</v>
          </cell>
          <cell r="AT29">
            <v>7.2590570986857724E-3</v>
          </cell>
          <cell r="AU29">
            <v>3.35694069656937E-3</v>
          </cell>
        </row>
        <row r="30">
          <cell r="Q30">
            <v>0.12855377008652658</v>
          </cell>
          <cell r="R30">
            <v>0.11885420382681899</v>
          </cell>
          <cell r="S30">
            <v>0.11843618287618565</v>
          </cell>
          <cell r="T30">
            <v>0.11498585000198303</v>
          </cell>
          <cell r="U30">
            <v>0.11818660641491571</v>
          </cell>
          <cell r="V30">
            <v>0.1244619887790587</v>
          </cell>
          <cell r="W30">
            <v>0.12718389460143115</v>
          </cell>
          <cell r="X30">
            <v>0.13301421040381561</v>
          </cell>
          <cell r="Y30">
            <v>0.14090350531646925</v>
          </cell>
          <cell r="Z30">
            <v>0.14192726642898204</v>
          </cell>
          <cell r="AA30">
            <v>0.14226614949300842</v>
          </cell>
          <cell r="AB30">
            <v>0.14486281827810626</v>
          </cell>
          <cell r="AC30">
            <v>0.1417019000070564</v>
          </cell>
          <cell r="AD30">
            <v>0.13619147362943546</v>
          </cell>
          <cell r="AE30">
            <v>0.13128580386433258</v>
          </cell>
          <cell r="AF30">
            <v>0.12198259018022813</v>
          </cell>
          <cell r="AG30">
            <v>0.11115933271646672</v>
          </cell>
          <cell r="AH30">
            <v>0.10127731158029503</v>
          </cell>
          <cell r="AI30">
            <v>9.0896210726822413E-2</v>
          </cell>
          <cell r="AJ30">
            <v>7.9496157336887058E-2</v>
          </cell>
          <cell r="AK30">
            <v>7.459559891952787E-2</v>
          </cell>
          <cell r="AL30">
            <v>6.9709516465258567E-2</v>
          </cell>
          <cell r="AM30">
            <v>6.4164324686783375E-2</v>
          </cell>
          <cell r="AN30">
            <v>6.067896958577397E-2</v>
          </cell>
          <cell r="AO30">
            <v>6.2140286236964035E-2</v>
          </cell>
          <cell r="AP30">
            <v>5.4095483861604322E-2</v>
          </cell>
          <cell r="AQ30">
            <v>4.4517623159842541E-2</v>
          </cell>
          <cell r="AR30">
            <v>3.5339036950473635E-2</v>
          </cell>
          <cell r="AS30">
            <v>2.5071892228084463E-2</v>
          </cell>
          <cell r="AT30">
            <v>1.2536665609995497E-2</v>
          </cell>
          <cell r="AU30">
            <v>5.8473232063673787E-3</v>
          </cell>
        </row>
        <row r="31">
          <cell r="Q31">
            <v>6.8912710566615618E-3</v>
          </cell>
          <cell r="R31">
            <v>1.3080967054166615E-2</v>
          </cell>
          <cell r="S31">
            <v>1.335603844040054E-2</v>
          </cell>
          <cell r="T31">
            <v>1.3220663566199248E-2</v>
          </cell>
          <cell r="U31">
            <v>1.2045023929934534E-2</v>
          </cell>
          <cell r="V31">
            <v>1.0925324434834119E-2</v>
          </cell>
          <cell r="W31">
            <v>1.0862633063467634E-2</v>
          </cell>
          <cell r="X31">
            <v>1.0304674455592387E-2</v>
          </cell>
          <cell r="Y31">
            <v>1.1710801740977921E-2</v>
          </cell>
          <cell r="Z31">
            <v>1.0824305731702382E-2</v>
          </cell>
          <cell r="AA31">
            <v>9.3797532159974085E-3</v>
          </cell>
          <cell r="AB31">
            <v>7.242674153579402E-3</v>
          </cell>
          <cell r="AC31">
            <v>5.355927322764539E-3</v>
          </cell>
          <cell r="AD31">
            <v>2.9942770220870631E-3</v>
          </cell>
          <cell r="AE31">
            <v>2.3491376258961008E-3</v>
          </cell>
          <cell r="AF31">
            <v>1.89332019456139E-3</v>
          </cell>
          <cell r="AG31">
            <v>1.581046784333922E-3</v>
          </cell>
          <cell r="AH31">
            <v>1.3338279957059863E-3</v>
          </cell>
          <cell r="AI31">
            <v>1.2197818991701987E-3</v>
          </cell>
          <cell r="AJ31">
            <v>9.5602263414579019E-4</v>
          </cell>
          <cell r="AK31">
            <v>6.5617255918327142E-4</v>
          </cell>
          <cell r="AL31">
            <v>3.5268242261270991E-4</v>
          </cell>
          <cell r="AM31">
            <v>3.5268242261270991E-4</v>
          </cell>
          <cell r="AN31">
            <v>1.7937219730941703E-4</v>
          </cell>
          <cell r="AO31">
            <v>1.524390243902439E-4</v>
          </cell>
          <cell r="AP31">
            <v>1.524390243902439E-4</v>
          </cell>
          <cell r="AQ31">
            <v>1.524390243902439E-4</v>
          </cell>
          <cell r="AR31">
            <v>1.524390243902439E-4</v>
          </cell>
          <cell r="AS31">
            <v>1.524390243902439E-4</v>
          </cell>
          <cell r="AT31">
            <v>0</v>
          </cell>
          <cell r="AU31">
            <v>0</v>
          </cell>
        </row>
        <row r="40">
          <cell r="Q40">
            <v>51.4839743589744</v>
          </cell>
          <cell r="R40">
            <v>51.427564168014669</v>
          </cell>
          <cell r="S40">
            <v>51.645257075251472</v>
          </cell>
          <cell r="T40">
            <v>51.549427454421824</v>
          </cell>
          <cell r="U40">
            <v>51.722065380418577</v>
          </cell>
          <cell r="V40">
            <v>51.827513277200126</v>
          </cell>
          <cell r="W40">
            <v>51.76337832763668</v>
          </cell>
          <cell r="X40">
            <v>51.778475779445742</v>
          </cell>
          <cell r="Y40">
            <v>52.086072172316122</v>
          </cell>
          <cell r="Z40">
            <v>51.9659748923509</v>
          </cell>
          <cell r="AA40">
            <v>51.678440948832915</v>
          </cell>
          <cell r="AB40">
            <v>51.677256239230076</v>
          </cell>
          <cell r="AC40">
            <v>51.290050431533857</v>
          </cell>
          <cell r="AD40">
            <v>51.000783081992537</v>
          </cell>
          <cell r="AE40">
            <v>50.889424167751478</v>
          </cell>
          <cell r="AF40">
            <v>50.807556005675501</v>
          </cell>
          <cell r="AG40">
            <v>50.509513420635258</v>
          </cell>
          <cell r="AH40">
            <v>50.711022710918535</v>
          </cell>
          <cell r="AI40">
            <v>50.751788476684297</v>
          </cell>
          <cell r="AJ40">
            <v>51.011870251717184</v>
          </cell>
          <cell r="AK40">
            <v>51.612758354177586</v>
          </cell>
          <cell r="AL40">
            <v>52.522067440035855</v>
          </cell>
          <cell r="AM40">
            <v>53.062583267491981</v>
          </cell>
          <cell r="AN40">
            <v>53.861943497286994</v>
          </cell>
          <cell r="AO40">
            <v>54.414404312334021</v>
          </cell>
          <cell r="AP40">
            <v>54.771606473965065</v>
          </cell>
          <cell r="AQ40">
            <v>55.215375944370031</v>
          </cell>
          <cell r="AR40">
            <v>55.902738581732685</v>
          </cell>
          <cell r="AS40">
            <v>56.1183182918776</v>
          </cell>
          <cell r="AT40">
            <v>56.85119047619046</v>
          </cell>
          <cell r="AU40">
            <v>56.375</v>
          </cell>
        </row>
        <row r="49">
          <cell r="Q49">
            <v>0.56545961002785516</v>
          </cell>
          <cell r="R49">
            <v>0.54433957406425881</v>
          </cell>
          <cell r="S49">
            <v>0.54516120806891732</v>
          </cell>
          <cell r="T49">
            <v>0.53704853917537942</v>
          </cell>
          <cell r="U49">
            <v>0.53916141242844051</v>
          </cell>
          <cell r="V49">
            <v>0.54998605786847066</v>
          </cell>
          <cell r="W49">
            <v>0.54789900606455755</v>
          </cell>
          <cell r="X49">
            <v>0.54271889602614798</v>
          </cell>
          <cell r="Y49">
            <v>0.54638625945546815</v>
          </cell>
          <cell r="Z49">
            <v>0.53095623283201632</v>
          </cell>
          <cell r="AA49">
            <v>0.52323790321340735</v>
          </cell>
          <cell r="AB49">
            <v>0.52063503397346811</v>
          </cell>
          <cell r="AC49">
            <v>0.50960999520327377</v>
          </cell>
          <cell r="AD49">
            <v>0.48838852836251923</v>
          </cell>
          <cell r="AE49">
            <v>0.47282054948217134</v>
          </cell>
          <cell r="AF49">
            <v>0.43576694405308336</v>
          </cell>
          <cell r="AG49">
            <v>0.40036600065685696</v>
          </cell>
          <cell r="AH49">
            <v>0.36594545936608663</v>
          </cell>
          <cell r="AI49">
            <v>0.3288732508419584</v>
          </cell>
          <cell r="AJ49">
            <v>0.28919042438406423</v>
          </cell>
          <cell r="AK49">
            <v>0.27208208138270051</v>
          </cell>
          <cell r="AL49">
            <v>0.2474762255268447</v>
          </cell>
          <cell r="AM49">
            <v>0.22486600313121455</v>
          </cell>
          <cell r="AN49">
            <v>0.21762083137830288</v>
          </cell>
          <cell r="AO49">
            <v>0.22269785320115268</v>
          </cell>
          <cell r="AP49">
            <v>0.19574677030346782</v>
          </cell>
          <cell r="AQ49">
            <v>0.16729882869096926</v>
          </cell>
          <cell r="AR49">
            <v>0.13816722336051968</v>
          </cell>
          <cell r="AS49">
            <v>9.7159191469769174E-2</v>
          </cell>
          <cell r="AT49">
            <v>5.1630120100245903E-2</v>
          </cell>
          <cell r="AU49">
            <v>2.5668581638707451E-2</v>
          </cell>
        </row>
        <row r="69">
          <cell r="Q69">
            <v>55.447075208913702</v>
          </cell>
          <cell r="R69">
            <v>55.584631961849198</v>
          </cell>
          <cell r="S69">
            <v>55.734231820354317</v>
          </cell>
          <cell r="T69">
            <v>55.77175315478182</v>
          </cell>
          <cell r="U69">
            <v>55.90710892077616</v>
          </cell>
          <cell r="V69">
            <v>55.962104068079</v>
          </cell>
          <cell r="W69">
            <v>56.094319470430001</v>
          </cell>
          <cell r="X69">
            <v>56.249869835494543</v>
          </cell>
          <cell r="Y69">
            <v>56.571429699885798</v>
          </cell>
          <cell r="Z69">
            <v>56.824156738766341</v>
          </cell>
          <cell r="AA69">
            <v>56.864180661339148</v>
          </cell>
          <cell r="AB69">
            <v>56.977907110689003</v>
          </cell>
          <cell r="AC69">
            <v>56.975337424715022</v>
          </cell>
          <cell r="AD69">
            <v>57.111305588637798</v>
          </cell>
          <cell r="AE69">
            <v>57.308488082102599</v>
          </cell>
          <cell r="AF69">
            <v>57.8307795842545</v>
          </cell>
          <cell r="AG69">
            <v>58.266705993733375</v>
          </cell>
          <cell r="AH69">
            <v>58.946343398313537</v>
          </cell>
          <cell r="AI69">
            <v>59.572231934965735</v>
          </cell>
          <cell r="AJ69">
            <v>60.320501197905301</v>
          </cell>
          <cell r="AK69">
            <v>60.897667175936817</v>
          </cell>
          <cell r="AL69">
            <v>61.667325785439175</v>
          </cell>
          <cell r="AM69">
            <v>62.284593310474939</v>
          </cell>
          <cell r="AN69">
            <v>62.74892708609044</v>
          </cell>
          <cell r="AO69">
            <v>63.01639089296534</v>
          </cell>
          <cell r="AP69">
            <v>63.548492741359667</v>
          </cell>
          <cell r="AQ69">
            <v>63.908279110006774</v>
          </cell>
          <cell r="AR69">
            <v>64.29257763921423</v>
          </cell>
          <cell r="AS69">
            <v>64.708923293375904</v>
          </cell>
          <cell r="AT69">
            <v>65.114059197053066</v>
          </cell>
          <cell r="AU69">
            <v>65.277005625624483</v>
          </cell>
          <cell r="AV69">
            <v>65.383928444040521</v>
          </cell>
          <cell r="AW69">
            <v>65.426251278686181</v>
          </cell>
          <cell r="AX69">
            <v>65.399240071753709</v>
          </cell>
          <cell r="AY69">
            <v>65.418948890019394</v>
          </cell>
          <cell r="AZ69">
            <v>65.417920477642326</v>
          </cell>
          <cell r="BA69">
            <v>65.449028540143132</v>
          </cell>
          <cell r="BB69">
            <v>65.436016844236718</v>
          </cell>
          <cell r="BC69">
            <v>65.450805204025073</v>
          </cell>
          <cell r="BD69">
            <v>65.415880758032515</v>
          </cell>
          <cell r="BE69">
            <v>65.454097194250181</v>
          </cell>
          <cell r="BF69">
            <v>65.490250974539578</v>
          </cell>
          <cell r="BG69">
            <v>65.539725398997348</v>
          </cell>
          <cell r="BH69">
            <v>65.598744367580622</v>
          </cell>
          <cell r="BI69">
            <v>65.674255900318698</v>
          </cell>
          <cell r="BJ69">
            <v>65.716256090225158</v>
          </cell>
          <cell r="BK69">
            <v>65.696008217491155</v>
          </cell>
          <cell r="BL69">
            <v>65.625567314336664</v>
          </cell>
          <cell r="BM69">
            <v>65.62217800045886</v>
          </cell>
          <cell r="BN69">
            <v>65.543711908966117</v>
          </cell>
          <cell r="BO69">
            <v>65.550764942193538</v>
          </cell>
          <cell r="BP69">
            <v>65.524033228572449</v>
          </cell>
          <cell r="BQ69">
            <v>65.565864368923329</v>
          </cell>
          <cell r="BR69">
            <v>65.563414437720169</v>
          </cell>
          <cell r="BS69">
            <v>65.563866905073851</v>
          </cell>
          <cell r="BT69">
            <v>65.659946236559094</v>
          </cell>
        </row>
      </sheetData>
      <sheetData sheetId="1">
        <row r="55">
          <cell r="R55">
            <v>8.0841423948220008</v>
          </cell>
          <cell r="S55">
            <v>7.9826949692861406</v>
          </cell>
          <cell r="T55">
            <v>7.9296688989313164</v>
          </cell>
          <cell r="U55">
            <v>7.8650652443228894</v>
          </cell>
          <cell r="V55">
            <v>7.8359320915577459</v>
          </cell>
          <cell r="W55">
            <v>7.8453515135938101</v>
          </cell>
          <cell r="X55">
            <v>7.8495559262233119</v>
          </cell>
          <cell r="Y55">
            <v>7.9179198574091938</v>
          </cell>
          <cell r="Z55">
            <v>8.0448243544360647</v>
          </cell>
          <cell r="AA55">
            <v>8.1547439206724448</v>
          </cell>
          <cell r="AB55">
            <v>8.2374260574059832</v>
          </cell>
          <cell r="AC55">
            <v>8.3521034766276081</v>
          </cell>
          <cell r="AD55">
            <v>8.4624525495030944</v>
          </cell>
          <cell r="AE55">
            <v>8.5257295397573323</v>
          </cell>
          <cell r="AF55">
            <v>8.5900311349921257</v>
          </cell>
          <cell r="AG55">
            <v>8.6517519350714611</v>
          </cell>
          <cell r="AH55">
            <v>8.6589842836991586</v>
          </cell>
          <cell r="AI55">
            <v>8.6595227890228106</v>
          </cell>
          <cell r="AJ55">
            <v>8.6392760261367378</v>
          </cell>
          <cell r="AK55">
            <v>8.5833259643105873</v>
          </cell>
          <cell r="AL55">
            <v>8.4761862354519888</v>
          </cell>
          <cell r="AM55">
            <v>8.3840596281325013</v>
          </cell>
          <cell r="AN55">
            <v>8.2010240003003503</v>
          </cell>
          <cell r="AO55">
            <v>7.9188063542363434</v>
          </cell>
          <cell r="AP55">
            <v>7.6774024469214863</v>
          </cell>
          <cell r="AQ55">
            <v>7.3681627119214266</v>
          </cell>
          <cell r="AR55">
            <v>6.9802704201149979</v>
          </cell>
          <cell r="AS55">
            <v>6.5683145058865815</v>
          </cell>
          <cell r="AT55">
            <v>6.206687735804886</v>
          </cell>
          <cell r="AU55">
            <v>5.8006622076358738</v>
          </cell>
          <cell r="AV55">
            <v>5.4209125929791107</v>
          </cell>
          <cell r="AW55">
            <v>5.0899834798726094</v>
          </cell>
          <cell r="AX55">
            <v>4.8279445114838948</v>
          </cell>
          <cell r="AY55">
            <v>4.6174923478834833</v>
          </cell>
          <cell r="AZ55">
            <v>4.4497974697825429</v>
          </cell>
          <cell r="BA55">
            <v>4.3804127757217204</v>
          </cell>
          <cell r="BB55">
            <v>4.3171578894034113</v>
          </cell>
          <cell r="BC55">
            <v>4.2815469693823403</v>
          </cell>
          <cell r="BD55">
            <v>4.2505843693811354</v>
          </cell>
          <cell r="BE55">
            <v>4.2213331824373892</v>
          </cell>
          <cell r="BF55">
            <v>4.1852431157475314</v>
          </cell>
          <cell r="BG55">
            <v>4.1789284793986994</v>
          </cell>
          <cell r="BH55">
            <v>4.1516868938405436</v>
          </cell>
          <cell r="BI55">
            <v>4.1485717177461368</v>
          </cell>
          <cell r="BJ55">
            <v>4.1445386161241569</v>
          </cell>
          <cell r="BK55">
            <v>4.1348292124672446</v>
          </cell>
          <cell r="BL55">
            <v>4.1503033897532067</v>
          </cell>
          <cell r="BM55">
            <v>4.1297825726629229</v>
          </cell>
          <cell r="BN55">
            <v>4.1090055098349412</v>
          </cell>
          <cell r="BO55">
            <v>4.1224021468280183</v>
          </cell>
          <cell r="BP55">
            <v>4.135453275330887</v>
          </cell>
          <cell r="BQ55">
            <v>4.1418146111914433</v>
          </cell>
          <cell r="BR55">
            <v>4.1884426281315355</v>
          </cell>
          <cell r="BS55">
            <v>4.2168275328761062</v>
          </cell>
          <cell r="BT55">
            <v>4.2239213401960116</v>
          </cell>
          <cell r="BU55">
            <v>4.2069651741293548</v>
          </cell>
        </row>
        <row r="159">
          <cell r="R159">
            <v>148.779429867185</v>
          </cell>
          <cell r="S159">
            <v>153.73077015816668</v>
          </cell>
          <cell r="T159">
            <v>155.97901723330202</v>
          </cell>
          <cell r="U159">
            <v>157.71142875090442</v>
          </cell>
          <cell r="V159">
            <v>158.68862317617862</v>
          </cell>
          <cell r="W159">
            <v>159.4418067740622</v>
          </cell>
          <cell r="X159">
            <v>159.47495403894283</v>
          </cell>
          <cell r="Y159">
            <v>160.4932558028276</v>
          </cell>
          <cell r="Z159">
            <v>162.40643979326961</v>
          </cell>
          <cell r="AA159">
            <v>163.35082740659021</v>
          </cell>
          <cell r="AB159">
            <v>164.623746338242</v>
          </cell>
          <cell r="AC159">
            <v>165.53316685807039</v>
          </cell>
          <cell r="AD159">
            <v>165.00228371517579</v>
          </cell>
          <cell r="AE159">
            <v>164.14386595918461</v>
          </cell>
          <cell r="AF159">
            <v>163.59875742318681</v>
          </cell>
          <cell r="AG159">
            <v>162.48165339757421</v>
          </cell>
          <cell r="AH159">
            <v>162.38832017605222</v>
          </cell>
          <cell r="AI159">
            <v>162.67474445757423</v>
          </cell>
          <cell r="AJ159">
            <v>162.57173027206983</v>
          </cell>
          <cell r="AK159">
            <v>162.344236796697</v>
          </cell>
          <cell r="AL159">
            <v>162.2568996823594</v>
          </cell>
          <cell r="AM159">
            <v>161.68154895762621</v>
          </cell>
          <cell r="AN159">
            <v>161.25833447199179</v>
          </cell>
          <cell r="AO159">
            <v>159.880923401291</v>
          </cell>
          <cell r="AP159">
            <v>158.4857666136898</v>
          </cell>
          <cell r="AQ159">
            <v>157.73791619966119</v>
          </cell>
          <cell r="AR159">
            <v>157.259120767837</v>
          </cell>
          <cell r="AS159">
            <v>156.24135985146398</v>
          </cell>
          <cell r="AT159">
            <v>156.54227693773458</v>
          </cell>
          <cell r="AU159">
            <v>156.86551021572862</v>
          </cell>
          <cell r="AV159">
            <v>156.8783569639408</v>
          </cell>
          <cell r="AW159">
            <v>156.51280707237299</v>
          </cell>
          <cell r="AX159">
            <v>156.65873936569801</v>
          </cell>
          <cell r="AY159">
            <v>156.35614759160339</v>
          </cell>
          <cell r="AZ159">
            <v>156.51238321647457</v>
          </cell>
          <cell r="BA159">
            <v>156.47044134354377</v>
          </cell>
          <cell r="BB159">
            <v>156.79585247273019</v>
          </cell>
          <cell r="BC159">
            <v>157.04661152848922</v>
          </cell>
          <cell r="BD159">
            <v>157.5413825140532</v>
          </cell>
          <cell r="BE159">
            <v>158.0213349875184</v>
          </cell>
          <cell r="BF159">
            <v>158.493497022718</v>
          </cell>
          <cell r="BG159">
            <v>158.42371685701261</v>
          </cell>
          <cell r="BH159">
            <v>158.58904433026041</v>
          </cell>
          <cell r="BI159">
            <v>158.62631966424541</v>
          </cell>
          <cell r="BJ159">
            <v>158.88690080026041</v>
          </cell>
          <cell r="BK159">
            <v>159.12420593699721</v>
          </cell>
          <cell r="BL159">
            <v>159.9810169759582</v>
          </cell>
          <cell r="BM159">
            <v>160.5654166873816</v>
          </cell>
          <cell r="BN159">
            <v>161.32201754186502</v>
          </cell>
          <cell r="BO159">
            <v>161.70779891880142</v>
          </cell>
          <cell r="BP159">
            <v>161.63049349743801</v>
          </cell>
          <cell r="BQ159">
            <v>161.74192027557919</v>
          </cell>
          <cell r="BR159">
            <v>162.03752020728103</v>
          </cell>
          <cell r="BS159">
            <v>161.85441809017138</v>
          </cell>
          <cell r="BT159">
            <v>162.225595397321</v>
          </cell>
          <cell r="BU159">
            <v>160.832544191919</v>
          </cell>
        </row>
        <row r="160">
          <cell r="R160">
            <v>152.024830179525</v>
          </cell>
          <cell r="S160">
            <v>155.00880877992367</v>
          </cell>
          <cell r="T160">
            <v>157.092737160875</v>
          </cell>
          <cell r="U160">
            <v>159.23255821005358</v>
          </cell>
          <cell r="V160">
            <v>161.1655657617238</v>
          </cell>
          <cell r="W160">
            <v>162.89574606473661</v>
          </cell>
          <cell r="X160">
            <v>164.90723559459201</v>
          </cell>
          <cell r="Y160">
            <v>166.56665192929862</v>
          </cell>
          <cell r="Z160">
            <v>168.10016408208099</v>
          </cell>
          <cell r="AA160">
            <v>169.67101685373299</v>
          </cell>
          <cell r="AB160">
            <v>170.83854014771561</v>
          </cell>
          <cell r="AC160">
            <v>171.56055493739899</v>
          </cell>
          <cell r="AD160">
            <v>172.207214077918</v>
          </cell>
          <cell r="AE160">
            <v>172.6151798222354</v>
          </cell>
          <cell r="AF160">
            <v>172.35079201574359</v>
          </cell>
          <cell r="AG160">
            <v>172.35224625536162</v>
          </cell>
          <cell r="AH160">
            <v>172.4431707849844</v>
          </cell>
          <cell r="AI160">
            <v>172.14853833954879</v>
          </cell>
          <cell r="AJ160">
            <v>171.93209677491501</v>
          </cell>
          <cell r="AK160">
            <v>171.86601355845141</v>
          </cell>
          <cell r="AL160">
            <v>171.34438207769321</v>
          </cell>
          <cell r="AM160">
            <v>170.81890019041202</v>
          </cell>
          <cell r="AN160">
            <v>170.58717719550702</v>
          </cell>
          <cell r="AO160">
            <v>170.129553278071</v>
          </cell>
          <cell r="AP160">
            <v>169.70558249591039</v>
          </cell>
          <cell r="AQ160">
            <v>169.4071034295734</v>
          </cell>
          <cell r="AR160">
            <v>169.02230771266619</v>
          </cell>
          <cell r="AS160">
            <v>168.4604120880638</v>
          </cell>
          <cell r="AT160">
            <v>168.07480279636061</v>
          </cell>
          <cell r="AU160">
            <v>167.888031599469</v>
          </cell>
          <cell r="AV160">
            <v>167.91395907788001</v>
          </cell>
          <cell r="AW160">
            <v>168.23485842979281</v>
          </cell>
          <cell r="AX160">
            <v>168.4563471644864</v>
          </cell>
          <cell r="AY160">
            <v>168.86400747443182</v>
          </cell>
          <cell r="AZ160">
            <v>169.30174158575582</v>
          </cell>
          <cell r="BA160">
            <v>169.20988007918442</v>
          </cell>
          <cell r="BB160">
            <v>169.0663550947128</v>
          </cell>
          <cell r="BC160">
            <v>168.98996640194221</v>
          </cell>
          <cell r="BD160">
            <v>169.06951632581959</v>
          </cell>
          <cell r="BE160">
            <v>168.60239877754719</v>
          </cell>
          <cell r="BF160">
            <v>168.47245175310803</v>
          </cell>
          <cell r="BG160">
            <v>168.5034310565824</v>
          </cell>
          <cell r="BH160">
            <v>168.30675971292121</v>
          </cell>
          <cell r="BI160">
            <v>168.11652473029801</v>
          </cell>
          <cell r="BJ160">
            <v>168.11118646118339</v>
          </cell>
          <cell r="BK160">
            <v>167.99112300813039</v>
          </cell>
          <cell r="BL160">
            <v>167.84926630526621</v>
          </cell>
          <cell r="BM160">
            <v>167.65759487712322</v>
          </cell>
          <cell r="BN160">
            <v>167.62519227506681</v>
          </cell>
          <cell r="BO160">
            <v>168.1424215314274</v>
          </cell>
          <cell r="BP160">
            <v>168.80109987567158</v>
          </cell>
          <cell r="BQ160">
            <v>169.2195958909974</v>
          </cell>
          <cell r="BR160">
            <v>169.84999008752061</v>
          </cell>
          <cell r="BS160">
            <v>170.080788186961</v>
          </cell>
          <cell r="BT160">
            <v>170.02255492531637</v>
          </cell>
          <cell r="BU160">
            <v>169.60980478497001</v>
          </cell>
        </row>
        <row r="161">
          <cell r="R161">
            <v>123.273290003095</v>
          </cell>
          <cell r="S161">
            <v>127.96535406083534</v>
          </cell>
          <cell r="T161">
            <v>130.90577884749118</v>
          </cell>
          <cell r="U161">
            <v>134.145602174673</v>
          </cell>
          <cell r="V161">
            <v>136.80263536497981</v>
          </cell>
          <cell r="W161">
            <v>139.27877418342618</v>
          </cell>
          <cell r="X161">
            <v>141.95383408557959</v>
          </cell>
          <cell r="Y161">
            <v>145.3086768137016</v>
          </cell>
          <cell r="Z161">
            <v>148.192395151732</v>
          </cell>
          <cell r="AA161">
            <v>151.3011711074538</v>
          </cell>
          <cell r="AB161">
            <v>152.4567076054054</v>
          </cell>
          <cell r="AC161">
            <v>153.75653742412538</v>
          </cell>
          <cell r="AD161">
            <v>153.67193187634899</v>
          </cell>
          <cell r="AE161">
            <v>154.07686372526601</v>
          </cell>
          <cell r="AF161">
            <v>154.12916785515881</v>
          </cell>
          <cell r="AG161">
            <v>156.06050841177662</v>
          </cell>
          <cell r="AH161">
            <v>157.46310331294461</v>
          </cell>
          <cell r="AI161">
            <v>159.5738506334782</v>
          </cell>
          <cell r="AJ161">
            <v>161.5066040860502</v>
          </cell>
          <cell r="AK161">
            <v>163.56094218144761</v>
          </cell>
          <cell r="AL161">
            <v>164.5889896463882</v>
          </cell>
          <cell r="AM161">
            <v>166.25647454199799</v>
          </cell>
          <cell r="AN161">
            <v>167.35437734687079</v>
          </cell>
          <cell r="AO161">
            <v>168.07363579364139</v>
          </cell>
          <cell r="AP161">
            <v>168.1526345812608</v>
          </cell>
          <cell r="AQ161">
            <v>169.18770677443982</v>
          </cell>
          <cell r="AR161">
            <v>169.77547863490781</v>
          </cell>
          <cell r="AS161">
            <v>170.29917444081482</v>
          </cell>
          <cell r="AT161">
            <v>171.07867086341099</v>
          </cell>
          <cell r="AU161">
            <v>172.26449623617981</v>
          </cell>
          <cell r="AV161">
            <v>172.35914825083182</v>
          </cell>
          <cell r="AW161">
            <v>172.50527227740142</v>
          </cell>
          <cell r="AX161">
            <v>172.8153491571592</v>
          </cell>
          <cell r="AY161">
            <v>172.98973224816183</v>
          </cell>
          <cell r="AZ161">
            <v>172.66456793621919</v>
          </cell>
          <cell r="BA161">
            <v>172.81193515233662</v>
          </cell>
          <cell r="BB161">
            <v>172.97574502783021</v>
          </cell>
          <cell r="BC161">
            <v>172.86025424147741</v>
          </cell>
          <cell r="BD161">
            <v>172.902945599502</v>
          </cell>
          <cell r="BE161">
            <v>173.36649323750621</v>
          </cell>
          <cell r="BF161">
            <v>173.46807751245902</v>
          </cell>
          <cell r="BG161">
            <v>173.13179982506182</v>
          </cell>
          <cell r="BH161">
            <v>172.60935189793022</v>
          </cell>
          <cell r="BI161">
            <v>172.04985522401859</v>
          </cell>
          <cell r="BJ161">
            <v>171.52082248592342</v>
          </cell>
          <cell r="BK161">
            <v>171.35992565261381</v>
          </cell>
          <cell r="BL161">
            <v>171.4643423090038</v>
          </cell>
          <cell r="BM161">
            <v>171.63339737899241</v>
          </cell>
          <cell r="BN161">
            <v>172.1181992511288</v>
          </cell>
          <cell r="BO161">
            <v>172.39533032984002</v>
          </cell>
          <cell r="BP161">
            <v>172.65201675941779</v>
          </cell>
          <cell r="BQ161">
            <v>173.60718639842881</v>
          </cell>
          <cell r="BR161">
            <v>174.21990256384237</v>
          </cell>
          <cell r="BS161">
            <v>173.718008527932</v>
          </cell>
          <cell r="BT161">
            <v>174.17361376756568</v>
          </cell>
          <cell r="BU161">
            <v>171.275627240143</v>
          </cell>
        </row>
        <row r="163">
          <cell r="R163">
            <v>145.50954633673024</v>
          </cell>
          <cell r="S163">
            <v>148.55313056185005</v>
          </cell>
          <cell r="T163">
            <v>150.7060088658834</v>
          </cell>
          <cell r="U163">
            <v>152.92249676516283</v>
          </cell>
          <cell r="V163">
            <v>154.91066297356812</v>
          </cell>
          <cell r="W163">
            <v>156.70797521680828</v>
          </cell>
          <cell r="X163">
            <v>158.76887699459772</v>
          </cell>
          <cell r="Y163">
            <v>160.44740447084874</v>
          </cell>
          <cell r="Z163">
            <v>161.94196358180045</v>
          </cell>
          <cell r="AA163">
            <v>163.46614887554625</v>
          </cell>
          <cell r="AB163">
            <v>164.57851376278123</v>
          </cell>
          <cell r="AC163">
            <v>165.22532345163251</v>
          </cell>
          <cell r="AD163">
            <v>165.76617131284627</v>
          </cell>
          <cell r="AE163">
            <v>166.07660343824938</v>
          </cell>
          <cell r="AF163">
            <v>165.74001113464422</v>
          </cell>
          <cell r="AG163">
            <v>165.68625413691899</v>
          </cell>
          <cell r="AH163">
            <v>165.73670283005794</v>
          </cell>
          <cell r="AI163">
            <v>165.41354962531506</v>
          </cell>
          <cell r="AJ163">
            <v>165.25093818511661</v>
          </cell>
          <cell r="AK163">
            <v>165.25712404495826</v>
          </cell>
          <cell r="AL163">
            <v>164.81858270326833</v>
          </cell>
          <cell r="AM163">
            <v>164.37206906995539</v>
          </cell>
          <cell r="AN163">
            <v>164.31181039330122</v>
          </cell>
          <cell r="AO163">
            <v>164.02662761365951</v>
          </cell>
          <cell r="AP163">
            <v>163.76375566667366</v>
          </cell>
          <cell r="AQ163">
            <v>163.69974991304503</v>
          </cell>
          <cell r="AR163">
            <v>163.6106234874764</v>
          </cell>
          <cell r="AS163">
            <v>163.35417051943995</v>
          </cell>
          <cell r="AT163">
            <v>163.26743069565356</v>
          </cell>
          <cell r="AU163">
            <v>163.41791148334735</v>
          </cell>
          <cell r="AV163">
            <v>163.71753374962958</v>
          </cell>
          <cell r="AW163">
            <v>164.27325916624099</v>
          </cell>
          <cell r="AX163">
            <v>164.68766685125854</v>
          </cell>
          <cell r="AY163">
            <v>165.24327157228029</v>
          </cell>
          <cell r="AZ163">
            <v>165.75450859455651</v>
          </cell>
          <cell r="BA163">
            <v>165.71736819368991</v>
          </cell>
          <cell r="BB163">
            <v>165.6074917737767</v>
          </cell>
          <cell r="BC163">
            <v>165.54428114281717</v>
          </cell>
          <cell r="BD163">
            <v>165.64098568875437</v>
          </cell>
          <cell r="BE163">
            <v>165.20936140093005</v>
          </cell>
          <cell r="BF163">
            <v>165.09366925778386</v>
          </cell>
          <cell r="BG163">
            <v>165.14973115999973</v>
          </cell>
          <cell r="BH163">
            <v>164.97592642001874</v>
          </cell>
          <cell r="BI163">
            <v>164.79314719482011</v>
          </cell>
          <cell r="BJ163">
            <v>164.77826189177048</v>
          </cell>
          <cell r="BK163">
            <v>164.65876517457863</v>
          </cell>
          <cell r="BL163">
            <v>164.50526815927395</v>
          </cell>
          <cell r="BM163">
            <v>164.32195593390239</v>
          </cell>
          <cell r="BN163">
            <v>164.27633853005722</v>
          </cell>
          <cell r="BO163">
            <v>164.794735312027</v>
          </cell>
          <cell r="BP163">
            <v>165.46092534420899</v>
          </cell>
          <cell r="BQ163">
            <v>165.88196848597156</v>
          </cell>
          <cell r="BR163">
            <v>166.49550467908998</v>
          </cell>
          <cell r="BS163">
            <v>166.7267594049973</v>
          </cell>
          <cell r="BT163">
            <v>166.66209358012475</v>
          </cell>
          <cell r="BU163">
            <v>166.22010861588149</v>
          </cell>
        </row>
        <row r="164">
          <cell r="R164">
            <v>112.06437635406991</v>
          </cell>
          <cell r="S164">
            <v>116.82384851882237</v>
          </cell>
          <cell r="T164">
            <v>119.92984205983024</v>
          </cell>
          <cell r="U164">
            <v>123.34339832428593</v>
          </cell>
          <cell r="V164">
            <v>126.16080792847831</v>
          </cell>
          <cell r="W164">
            <v>128.67392429928685</v>
          </cell>
          <cell r="X164">
            <v>131.35966343493243</v>
          </cell>
          <cell r="Y164">
            <v>134.63079392387658</v>
          </cell>
          <cell r="Z164">
            <v>137.28782521233285</v>
          </cell>
          <cell r="AA164">
            <v>140.26737170476798</v>
          </cell>
          <cell r="AB164">
            <v>141.2357743481935</v>
          </cell>
          <cell r="AC164">
            <v>142.35066315486924</v>
          </cell>
          <cell r="AD164">
            <v>142.00448752714345</v>
          </cell>
          <cell r="AE164">
            <v>142.21353745569064</v>
          </cell>
          <cell r="AF164">
            <v>141.97346484825911</v>
          </cell>
          <cell r="AG164">
            <v>143.69410516316549</v>
          </cell>
          <cell r="AH164">
            <v>144.92024790799923</v>
          </cell>
          <cell r="AI164">
            <v>146.97625546448006</v>
          </cell>
          <cell r="AJ164">
            <v>148.89045120893894</v>
          </cell>
          <cell r="AK164">
            <v>150.96220976002235</v>
          </cell>
          <cell r="AL164">
            <v>152.12685733487316</v>
          </cell>
          <cell r="AM164">
            <v>153.99026404515479</v>
          </cell>
          <cell r="AN164">
            <v>155.30429638572792</v>
          </cell>
          <cell r="AO164">
            <v>156.34927265647025</v>
          </cell>
          <cell r="AP164">
            <v>156.8028371265886</v>
          </cell>
          <cell r="AQ164">
            <v>158.20432082088783</v>
          </cell>
          <cell r="AR164">
            <v>159.22176083051764</v>
          </cell>
          <cell r="AS164">
            <v>160.23994031952651</v>
          </cell>
          <cell r="AT164">
            <v>161.55565129425105</v>
          </cell>
          <cell r="AU164">
            <v>163.2315106525071</v>
          </cell>
          <cell r="AV164">
            <v>163.89401981001626</v>
          </cell>
          <cell r="AW164">
            <v>164.56782241468227</v>
          </cell>
          <cell r="AX164">
            <v>165.26557238702762</v>
          </cell>
          <cell r="AY164">
            <v>165.70434242966127</v>
          </cell>
          <cell r="AZ164">
            <v>165.70686678280688</v>
          </cell>
          <cell r="BA164">
            <v>165.98334041882018</v>
          </cell>
          <cell r="BB164">
            <v>166.19808870809177</v>
          </cell>
          <cell r="BC164">
            <v>166.15159800816193</v>
          </cell>
          <cell r="BD164">
            <v>166.26857508047223</v>
          </cell>
          <cell r="BE164">
            <v>166.70828712930449</v>
          </cell>
          <cell r="BF164">
            <v>166.84820771112612</v>
          </cell>
          <cell r="BG164">
            <v>166.56471536493967</v>
          </cell>
          <cell r="BH164">
            <v>166.06449389001452</v>
          </cell>
          <cell r="BI164">
            <v>165.47746905961213</v>
          </cell>
          <cell r="BJ164">
            <v>164.97901667865978</v>
          </cell>
          <cell r="BK164">
            <v>164.8173222381717</v>
          </cell>
          <cell r="BL164">
            <v>164.93138743322248</v>
          </cell>
          <cell r="BM164">
            <v>165.11430627656853</v>
          </cell>
          <cell r="BN164">
            <v>165.62904659632639</v>
          </cell>
          <cell r="BO164">
            <v>165.88868837594714</v>
          </cell>
          <cell r="BP164">
            <v>166.11556811252976</v>
          </cell>
          <cell r="BQ164">
            <v>167.05129603533501</v>
          </cell>
          <cell r="BR164">
            <v>167.61438814059824</v>
          </cell>
          <cell r="BS164">
            <v>167.07833266148342</v>
          </cell>
          <cell r="BT164">
            <v>167.53837980329129</v>
          </cell>
          <cell r="BU164">
            <v>164.57401433691717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Durées"/>
      <sheetName val="Mt Pensions"/>
      <sheetName val="Âge départ"/>
      <sheetName val="SMPT"/>
      <sheetName val="PENSIONS_ENF_MOTIF"/>
      <sheetName val="PENSIONS_3_ENF"/>
      <sheetName val="DONNEES MAJO ENF NEW"/>
      <sheetName val="PART_BENEF_DF"/>
      <sheetName val="DUREE_VAL_MOY"/>
      <sheetName val="DECOMPO_DUREE"/>
      <sheetName val="PENSIONS"/>
      <sheetName val="AGE"/>
      <sheetName val="PART_BENEF_DEP_ANT"/>
    </sheetNames>
    <sheetDataSet>
      <sheetData sheetId="0">
        <row r="12">
          <cell r="B12">
            <v>0.71353730092204526</v>
          </cell>
          <cell r="C12">
            <v>0.75471331389698737</v>
          </cell>
          <cell r="D12">
            <v>0.77788064977695481</v>
          </cell>
          <cell r="E12">
            <v>0.79288952517298972</v>
          </cell>
          <cell r="F12">
            <v>0.80302015919065683</v>
          </cell>
          <cell r="G12">
            <v>0.81881508078994614</v>
          </cell>
          <cell r="H12">
            <v>0.82047989185535652</v>
          </cell>
          <cell r="I12">
            <v>0.83360965581271973</v>
          </cell>
          <cell r="J12">
            <v>0.84436935473390085</v>
          </cell>
          <cell r="K12">
            <v>0.82948348753140122</v>
          </cell>
          <cell r="L12">
            <v>0.82563405797101452</v>
          </cell>
          <cell r="M12">
            <v>0.80832902224521475</v>
          </cell>
          <cell r="N12">
            <v>0.78345290969137915</v>
          </cell>
          <cell r="O12">
            <v>0.75471602434077079</v>
          </cell>
          <cell r="P12">
            <v>0.60850474872333316</v>
          </cell>
          <cell r="Q12">
            <v>0.58999911024112461</v>
          </cell>
          <cell r="R12">
            <v>0.58130005005005003</v>
          </cell>
          <cell r="S12">
            <v>0.58395449195763049</v>
          </cell>
          <cell r="T12">
            <v>0.58999158957106812</v>
          </cell>
          <cell r="U12">
            <v>0.58037713319070605</v>
          </cell>
          <cell r="V12">
            <v>0.60595802301963442</v>
          </cell>
          <cell r="W12">
            <v>0.66222547249582919</v>
          </cell>
          <cell r="X12">
            <v>0.74765440503797631</v>
          </cell>
          <cell r="Y12">
            <v>0.77236925987620042</v>
          </cell>
          <cell r="Z12">
            <v>0.80319874047193907</v>
          </cell>
          <cell r="AA12">
            <v>0.81897941241116567</v>
          </cell>
          <cell r="AB12">
            <v>0.83676444444444442</v>
          </cell>
          <cell r="AC12">
            <v>0.85178957482584672</v>
          </cell>
          <cell r="AD12">
            <v>0.86740148127445504</v>
          </cell>
          <cell r="AE12">
            <v>0.87776655654644731</v>
          </cell>
          <cell r="AF12">
            <v>0.87599474084838425</v>
          </cell>
        </row>
        <row r="41">
          <cell r="B41">
            <v>0.3837949933</v>
          </cell>
          <cell r="C41">
            <v>0.38477662340000002</v>
          </cell>
          <cell r="D41">
            <v>0.38079163759999995</v>
          </cell>
          <cell r="E41">
            <v>0.37963763503999998</v>
          </cell>
          <cell r="F41">
            <v>0.37819552522</v>
          </cell>
          <cell r="G41">
            <v>0.37649299258000002</v>
          </cell>
          <cell r="H41">
            <v>0.3739169329</v>
          </cell>
          <cell r="I41">
            <v>0.37287827194000001</v>
          </cell>
          <cell r="J41">
            <v>0.36979288622000006</v>
          </cell>
          <cell r="K41">
            <v>0.36243617466000005</v>
          </cell>
          <cell r="L41">
            <v>0.35466605496000003</v>
          </cell>
          <cell r="M41">
            <v>0.34522523317999998</v>
          </cell>
          <cell r="N41">
            <v>0.33513964699999998</v>
          </cell>
          <cell r="O41">
            <v>0.32376480984</v>
          </cell>
          <cell r="P41">
            <v>0.31189452598</v>
          </cell>
          <cell r="Q41">
            <v>0.30010910192000001</v>
          </cell>
          <cell r="R41">
            <v>0.29077726506000001</v>
          </cell>
          <cell r="S41">
            <v>0.28333949278000004</v>
          </cell>
          <cell r="T41">
            <v>0.27673221955999999</v>
          </cell>
          <cell r="U41">
            <v>0.27520490634000006</v>
          </cell>
          <cell r="V41">
            <v>0.27560907595999995</v>
          </cell>
          <cell r="W41">
            <v>0.27724439686000002</v>
          </cell>
          <cell r="X41">
            <v>0.28079364917999999</v>
          </cell>
          <cell r="Y41">
            <v>0.28618690922000001</v>
          </cell>
          <cell r="Z41">
            <v>0.29213367832000003</v>
          </cell>
          <cell r="AA41">
            <v>0.29987806355999996</v>
          </cell>
          <cell r="AB41">
            <v>0.30962222674000001</v>
          </cell>
          <cell r="AC41">
            <v>0.32035946626</v>
          </cell>
          <cell r="AD41">
            <v>0.33116500248000003</v>
          </cell>
          <cell r="AE41">
            <v>0.34051219033999996</v>
          </cell>
          <cell r="AF41">
            <v>0.34647962298000001</v>
          </cell>
          <cell r="AG41">
            <v>0.34964442870000001</v>
          </cell>
          <cell r="AH41">
            <v>0.34726901305999996</v>
          </cell>
          <cell r="AI41">
            <v>0.34288024831999997</v>
          </cell>
          <cell r="AJ41">
            <v>0.33752621970000002</v>
          </cell>
          <cell r="AK41">
            <v>0.33154458785999996</v>
          </cell>
          <cell r="AL41">
            <v>0.3244526626</v>
          </cell>
          <cell r="AM41">
            <v>0.31813492915999997</v>
          </cell>
          <cell r="AN41">
            <v>0.31219102875999993</v>
          </cell>
          <cell r="AO41">
            <v>0.30651133054000002</v>
          </cell>
          <cell r="AP41">
            <v>0.30204595080000002</v>
          </cell>
          <cell r="AQ41">
            <v>0.29903508895999997</v>
          </cell>
          <cell r="AR41">
            <v>0.29739061888000001</v>
          </cell>
          <cell r="AS41">
            <v>0.29647257856000003</v>
          </cell>
          <cell r="AT41">
            <v>0.29630059331999997</v>
          </cell>
          <cell r="AU41">
            <v>0.29703590222000004</v>
          </cell>
          <cell r="AV41">
            <v>0.29763235509999997</v>
          </cell>
          <cell r="AW41">
            <v>0.29905525239999997</v>
          </cell>
          <cell r="AX41">
            <v>0.29868332294</v>
          </cell>
          <cell r="AY41">
            <v>0.29906700649999995</v>
          </cell>
          <cell r="AZ41">
            <v>0.29929524542000002</v>
          </cell>
          <cell r="BA41">
            <v>0.30073502168000005</v>
          </cell>
          <cell r="BB41">
            <v>0.30211878556000005</v>
          </cell>
          <cell r="BC41">
            <v>0.30435184686000005</v>
          </cell>
          <cell r="BD41">
            <v>0.30640459370000001</v>
          </cell>
          <cell r="BE41">
            <v>0.30776898279999998</v>
          </cell>
          <cell r="BF41">
            <v>0.30695330158</v>
          </cell>
          <cell r="BG41">
            <v>0.30545953646000001</v>
          </cell>
          <cell r="BH41">
            <v>0.30377620585999998</v>
          </cell>
          <cell r="BI41">
            <v>0.30075720536</v>
          </cell>
          <cell r="BJ41">
            <v>0.29805862243999998</v>
          </cell>
          <cell r="BK41">
            <v>0.29599931753999997</v>
          </cell>
          <cell r="BL41">
            <v>0.29457127577999997</v>
          </cell>
          <cell r="BM41">
            <v>0.29397975908000001</v>
          </cell>
          <cell r="BN41">
            <v>0.29416280086000002</v>
          </cell>
          <cell r="BO41">
            <v>0.29575940016000002</v>
          </cell>
          <cell r="BP41">
            <v>0.29687966251999998</v>
          </cell>
          <cell r="BQ41">
            <v>0.29784829648</v>
          </cell>
          <cell r="BR41">
            <v>0.29917315010000001</v>
          </cell>
          <cell r="BS41">
            <v>0.29989503966666664</v>
          </cell>
          <cell r="BT41">
            <v>0.30198364480000001</v>
          </cell>
        </row>
        <row r="49">
          <cell r="A49" t="str">
            <v>Ensemble</v>
          </cell>
          <cell r="B49">
            <v>9.8948303954969632E-2</v>
          </cell>
          <cell r="C49">
            <v>0.10781109676762446</v>
          </cell>
          <cell r="D49">
            <v>0.11307093744506855</v>
          </cell>
          <cell r="E49">
            <v>0.11749087852761091</v>
          </cell>
          <cell r="F49">
            <v>0.12007047543578271</v>
          </cell>
          <cell r="G49">
            <v>0.12185430505466388</v>
          </cell>
          <cell r="H49">
            <v>0.12248232460378235</v>
          </cell>
          <cell r="I49">
            <v>0.12351679127373572</v>
          </cell>
          <cell r="J49">
            <v>0.12411539558932105</v>
          </cell>
          <cell r="K49">
            <v>0.12394898655186878</v>
          </cell>
          <cell r="L49">
            <v>0.1235530958784781</v>
          </cell>
          <cell r="M49">
            <v>0.12306244255993441</v>
          </cell>
          <cell r="N49">
            <v>0.12452003519474197</v>
          </cell>
          <cell r="O49">
            <v>0.12521921179284315</v>
          </cell>
          <cell r="P49">
            <v>0.12520790227745693</v>
          </cell>
          <cell r="Q49">
            <v>0.12674939350205122</v>
          </cell>
          <cell r="R49">
            <v>0.12980225591600886</v>
          </cell>
          <cell r="S49">
            <v>0.13301996390372961</v>
          </cell>
          <cell r="T49">
            <v>0.13620008111650683</v>
          </cell>
          <cell r="U49">
            <v>0.13950631732609078</v>
          </cell>
          <cell r="V49">
            <v>0.14165529640505434</v>
          </cell>
          <cell r="W49">
            <v>0.14156850952547509</v>
          </cell>
          <cell r="X49">
            <v>0.13893950219226878</v>
          </cell>
          <cell r="Y49">
            <v>0.13734182933876921</v>
          </cell>
          <cell r="Z49">
            <v>0.13507977980938185</v>
          </cell>
          <cell r="AA49">
            <v>0.13091442455472371</v>
          </cell>
          <cell r="AB49">
            <v>0.12383722501819287</v>
          </cell>
          <cell r="AC49">
            <v>0.11441694206968597</v>
          </cell>
          <cell r="AD49">
            <v>0.10186259894218379</v>
          </cell>
          <cell r="AE49">
            <v>8.7669405377763188E-2</v>
          </cell>
          <cell r="AF49">
            <v>7.3826570740299371E-2</v>
          </cell>
          <cell r="AG49">
            <v>6.1429648305803317E-2</v>
          </cell>
          <cell r="AH49">
            <v>5.0049601558812121E-2</v>
          </cell>
          <cell r="AI49">
            <v>4.0978659106982208E-2</v>
          </cell>
          <cell r="AJ49">
            <v>3.4484058153228171E-2</v>
          </cell>
          <cell r="AK49">
            <v>2.8898762759674068E-2</v>
          </cell>
          <cell r="AL49">
            <v>2.487389019374589E-2</v>
          </cell>
          <cell r="AM49">
            <v>2.159398107651626E-2</v>
          </cell>
          <cell r="AN49">
            <v>1.8764376490251918E-2</v>
          </cell>
          <cell r="AO49">
            <v>1.6044175196478036E-2</v>
          </cell>
          <cell r="AP49">
            <v>1.3298099015173195E-2</v>
          </cell>
          <cell r="AQ49">
            <v>1.0434111186116358E-2</v>
          </cell>
          <cell r="AR49">
            <v>7.8190924885400952E-3</v>
          </cell>
          <cell r="AS49">
            <v>5.4439833716761858E-3</v>
          </cell>
          <cell r="AT49">
            <v>3.3980923182188273E-3</v>
          </cell>
          <cell r="AU49">
            <v>1.9234730132409107E-3</v>
          </cell>
        </row>
        <row r="50">
          <cell r="A50" t="str">
            <v>Femmes</v>
          </cell>
          <cell r="B50">
            <v>0.13998323554065381</v>
          </cell>
          <cell r="C50">
            <v>0.15428254674645708</v>
          </cell>
          <cell r="D50">
            <v>0.16194520160814524</v>
          </cell>
          <cell r="E50">
            <v>0.16958230674417965</v>
          </cell>
          <cell r="F50">
            <v>0.17424270766890043</v>
          </cell>
          <cell r="G50">
            <v>0.17796878296811894</v>
          </cell>
          <cell r="H50">
            <v>0.18081763246333565</v>
          </cell>
          <cell r="I50">
            <v>0.1839445868132227</v>
          </cell>
          <cell r="J50">
            <v>0.18555203539721488</v>
          </cell>
          <cell r="K50">
            <v>0.18573371039088155</v>
          </cell>
          <cell r="L50">
            <v>0.18569771124553838</v>
          </cell>
          <cell r="M50">
            <v>0.18474595070216143</v>
          </cell>
          <cell r="N50">
            <v>0.18647283622632121</v>
          </cell>
          <cell r="O50">
            <v>0.18774039952308602</v>
          </cell>
          <cell r="P50">
            <v>0.18809370484599819</v>
          </cell>
          <cell r="Q50">
            <v>0.18938010894167939</v>
          </cell>
          <cell r="R50">
            <v>0.19317185187939273</v>
          </cell>
          <cell r="S50">
            <v>0.19769082620090539</v>
          </cell>
          <cell r="T50">
            <v>0.20171468878903159</v>
          </cell>
          <cell r="U50">
            <v>0.20627822503249904</v>
          </cell>
          <cell r="V50">
            <v>0.20997939907876603</v>
          </cell>
          <cell r="W50">
            <v>0.21081876492789306</v>
          </cell>
          <cell r="X50">
            <v>0.20723864280221532</v>
          </cell>
          <cell r="Y50">
            <v>0.20478221214748621</v>
          </cell>
          <cell r="Z50">
            <v>0.20125565488299779</v>
          </cell>
          <cell r="AA50">
            <v>0.19484982286964825</v>
          </cell>
          <cell r="AB50">
            <v>0.18406995821955968</v>
          </cell>
          <cell r="AC50">
            <v>0.16998358136299402</v>
          </cell>
          <cell r="AD50">
            <v>0.15173978444660266</v>
          </cell>
          <cell r="AE50">
            <v>0.13081049735104444</v>
          </cell>
          <cell r="AF50">
            <v>0.11052276636726779</v>
          </cell>
          <cell r="AG50">
            <v>9.2010749065052327E-2</v>
          </cell>
          <cell r="AH50">
            <v>7.5158244816585576E-2</v>
          </cell>
          <cell r="AI50">
            <v>6.1541442235570745E-2</v>
          </cell>
          <cell r="AJ50">
            <v>5.1761400598419119E-2</v>
          </cell>
          <cell r="AK50">
            <v>4.3435917559112434E-2</v>
          </cell>
          <cell r="AL50">
            <v>3.7449680501390047E-2</v>
          </cell>
          <cell r="AM50">
            <v>3.2518929951482582E-2</v>
          </cell>
          <cell r="AN50">
            <v>2.8292604796830122E-2</v>
          </cell>
          <cell r="AO50">
            <v>2.4248627627712314E-2</v>
          </cell>
          <cell r="AP50">
            <v>2.0145776721020355E-2</v>
          </cell>
          <cell r="AQ50">
            <v>1.5852572026240908E-2</v>
          </cell>
          <cell r="AR50">
            <v>1.1944321561751634E-2</v>
          </cell>
          <cell r="AS50">
            <v>8.3544357161669074E-3</v>
          </cell>
          <cell r="AT50">
            <v>5.2443913414197494E-3</v>
          </cell>
          <cell r="AU50">
            <v>2.9811115272081121E-3</v>
          </cell>
        </row>
        <row r="51">
          <cell r="A51" t="str">
            <v>Hommes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1.9500780031201248E-5</v>
          </cell>
          <cell r="O51">
            <v>1.5838966892009015E-4</v>
          </cell>
          <cell r="P51">
            <v>4.620088090706852E-4</v>
          </cell>
          <cell r="Q51">
            <v>1.7573161605080219E-3</v>
          </cell>
          <cell r="R51">
            <v>2.5543028955918147E-3</v>
          </cell>
          <cell r="S51">
            <v>3.2234097104973229E-3</v>
          </cell>
          <cell r="T51">
            <v>3.7553763986859596E-3</v>
          </cell>
          <cell r="U51">
            <v>4.0853274264314584E-3</v>
          </cell>
          <cell r="V51">
            <v>3.1939042375789817E-3</v>
          </cell>
          <cell r="W51">
            <v>2.7680348885379476E-3</v>
          </cell>
          <cell r="X51">
            <v>2.4570329653925533E-3</v>
          </cell>
          <cell r="Y51">
            <v>2.1926355569951671E-3</v>
          </cell>
          <cell r="Z51">
            <v>1.8045616163996977E-3</v>
          </cell>
          <cell r="AA51">
            <v>1.6065410159643383E-3</v>
          </cell>
          <cell r="AB51">
            <v>1.4446432407731031E-3</v>
          </cell>
          <cell r="AC51">
            <v>1.1989820134262323E-3</v>
          </cell>
          <cell r="AD51">
            <v>9.6281197225784221E-4</v>
          </cell>
          <cell r="AE51">
            <v>7.9198820439649548E-4</v>
          </cell>
          <cell r="AF51">
            <v>6.561354939290066E-4</v>
          </cell>
          <cell r="AG51">
            <v>4.7988219151026446E-4</v>
          </cell>
          <cell r="AH51">
            <v>3.6085097020631586E-4</v>
          </cell>
          <cell r="AI51">
            <v>2.4983576155652597E-4</v>
          </cell>
          <cell r="AJ51">
            <v>2.0886965239364031E-4</v>
          </cell>
          <cell r="AK51">
            <v>1.6714834418912172E-4</v>
          </cell>
          <cell r="AL51">
            <v>1.412911247265885E-4</v>
          </cell>
          <cell r="AM51">
            <v>1.3512690610792568E-4</v>
          </cell>
          <cell r="AN51">
            <v>8.8998910019544411E-5</v>
          </cell>
          <cell r="AO51">
            <v>6.1763376360209407E-5</v>
          </cell>
          <cell r="AP51">
            <v>3.9923989299010371E-5</v>
          </cell>
          <cell r="AQ51">
            <v>3.2814900328761903E-5</v>
          </cell>
          <cell r="AR51">
            <v>2.6065895806928872E-5</v>
          </cell>
          <cell r="AS51">
            <v>1.2920973033350169E-5</v>
          </cell>
          <cell r="AT51">
            <v>6.4501564162930954E-6</v>
          </cell>
          <cell r="AU51">
            <v>0</v>
          </cell>
        </row>
        <row r="59">
          <cell r="B59">
            <v>55.02</v>
          </cell>
          <cell r="C59">
            <v>54.913333333333334</v>
          </cell>
          <cell r="D59">
            <v>54.676000000000002</v>
          </cell>
          <cell r="E59">
            <v>54.475999999999999</v>
          </cell>
          <cell r="F59">
            <v>54.246000000000002</v>
          </cell>
          <cell r="G59">
            <v>53.936</v>
          </cell>
          <cell r="H59">
            <v>53.678000000000011</v>
          </cell>
          <cell r="I59">
            <v>53.440000000000012</v>
          </cell>
          <cell r="J59">
            <v>53.23</v>
          </cell>
          <cell r="K59">
            <v>53.032000000000004</v>
          </cell>
          <cell r="L59">
            <v>52.872</v>
          </cell>
          <cell r="M59">
            <v>52.746000000000002</v>
          </cell>
          <cell r="N59">
            <v>52.833999999999989</v>
          </cell>
          <cell r="O59">
            <v>52.887999999999998</v>
          </cell>
          <cell r="P59">
            <v>53.016000000000005</v>
          </cell>
          <cell r="Q59">
            <v>53.125999999999998</v>
          </cell>
          <cell r="R59">
            <v>53.36</v>
          </cell>
          <cell r="S59">
            <v>53.427999999999997</v>
          </cell>
          <cell r="T59">
            <v>53.5</v>
          </cell>
          <cell r="U59">
            <v>53.572000000000003</v>
          </cell>
          <cell r="V59">
            <v>53.673999999999999</v>
          </cell>
          <cell r="W59">
            <v>53.604000000000006</v>
          </cell>
          <cell r="X59">
            <v>53.382000000000005</v>
          </cell>
          <cell r="Y59">
            <v>53.109999999999992</v>
          </cell>
          <cell r="Z59">
            <v>52.696000000000005</v>
          </cell>
          <cell r="AA59">
            <v>52.169999999999995</v>
          </cell>
          <cell r="AB59">
            <v>51.465999999999994</v>
          </cell>
          <cell r="AC59">
            <v>50.702000000000005</v>
          </cell>
          <cell r="AD59">
            <v>49.9</v>
          </cell>
          <cell r="AE59">
            <v>48.89</v>
          </cell>
          <cell r="AF59">
            <v>47.721999999999994</v>
          </cell>
          <cell r="AG59">
            <v>46.558000000000007</v>
          </cell>
          <cell r="AH59">
            <v>45.438000000000002</v>
          </cell>
          <cell r="AI59">
            <v>44.317999999999998</v>
          </cell>
          <cell r="AJ59">
            <v>43.451999999999998</v>
          </cell>
          <cell r="AK59">
            <v>42.738</v>
          </cell>
          <cell r="AL59">
            <v>42.116</v>
          </cell>
          <cell r="AM59">
            <v>41.501999999999995</v>
          </cell>
          <cell r="AN59">
            <v>40.92</v>
          </cell>
          <cell r="AO59">
            <v>40.283999999999999</v>
          </cell>
          <cell r="AP59">
            <v>39.664000000000001</v>
          </cell>
          <cell r="AQ59">
            <v>39.059999999999995</v>
          </cell>
          <cell r="AR59">
            <v>38.42199999999999</v>
          </cell>
          <cell r="AS59">
            <v>37.727999999999994</v>
          </cell>
          <cell r="AT59">
            <v>36.953999999999994</v>
          </cell>
          <cell r="AU59">
            <v>36.176000000000002</v>
          </cell>
        </row>
        <row r="69">
          <cell r="B69">
            <v>0.36724637681159422</v>
          </cell>
          <cell r="C69">
            <v>0.40331087295182372</v>
          </cell>
          <cell r="D69">
            <v>0.42732711459476952</v>
          </cell>
          <cell r="E69">
            <v>0.44802792786747131</v>
          </cell>
          <cell r="F69">
            <v>0.46060935335141712</v>
          </cell>
          <cell r="G69">
            <v>0.47245719971822009</v>
          </cell>
          <cell r="H69">
            <v>0.48277970214497179</v>
          </cell>
          <cell r="I69">
            <v>0.49066701527104711</v>
          </cell>
          <cell r="J69">
            <v>0.49929726174926525</v>
          </cell>
          <cell r="K69">
            <v>0.50847263313562419</v>
          </cell>
          <cell r="L69">
            <v>0.51711049646252705</v>
          </cell>
          <cell r="M69">
            <v>0.5265045818951668</v>
          </cell>
          <cell r="N69">
            <v>0.54719677770797914</v>
          </cell>
          <cell r="O69">
            <v>0.56806376738750586</v>
          </cell>
          <cell r="P69">
            <v>0.59062746863292159</v>
          </cell>
          <cell r="Q69">
            <v>0.61802996273976007</v>
          </cell>
          <cell r="R69">
            <v>0.65237794901881252</v>
          </cell>
          <cell r="S69">
            <v>0.68692981745034043</v>
          </cell>
          <cell r="T69">
            <v>0.71881574692269656</v>
          </cell>
          <cell r="U69">
            <v>0.74034352392705016</v>
          </cell>
          <cell r="V69">
            <v>0.75217227735585046</v>
          </cell>
          <cell r="W69">
            <v>0.74907672434285111</v>
          </cell>
          <cell r="X69">
            <v>0.72487181173680926</v>
          </cell>
          <cell r="Y69">
            <v>0.69635069916651782</v>
          </cell>
          <cell r="Z69">
            <v>0.66323727798489429</v>
          </cell>
          <cell r="AA69">
            <v>0.61830805396206456</v>
          </cell>
          <cell r="AB69">
            <v>0.55774350525197458</v>
          </cell>
          <cell r="AC69">
            <v>0.48960718440912315</v>
          </cell>
          <cell r="AD69">
            <v>0.41440489055476171</v>
          </cell>
          <cell r="AE69">
            <v>0.33887203489432999</v>
          </cell>
          <cell r="AF69">
            <v>0.27090529312639777</v>
          </cell>
          <cell r="AG69">
            <v>0.21487591008583809</v>
          </cell>
          <cell r="AH69">
            <v>0.16951212486731979</v>
          </cell>
          <cell r="AI69">
            <v>0.13430347084349298</v>
          </cell>
          <cell r="AJ69">
            <v>0.1085578714668837</v>
          </cell>
          <cell r="AK69">
            <v>8.7212522129195877E-2</v>
          </cell>
          <cell r="AL69">
            <v>7.1787210819379582E-2</v>
          </cell>
          <cell r="AM69">
            <v>5.8417010608890374E-2</v>
          </cell>
          <cell r="AN69">
            <v>4.6722079257346102E-2</v>
          </cell>
          <cell r="AO69">
            <v>3.6270442053678562E-2</v>
          </cell>
          <cell r="AP69">
            <v>2.6802414097042683E-2</v>
          </cell>
          <cell r="AQ69">
            <v>1.8514821983482498E-2</v>
          </cell>
          <cell r="AR69">
            <v>1.1755138918156254E-2</v>
          </cell>
          <cell r="AS69">
            <v>7.0410178691407647E-3</v>
          </cell>
          <cell r="AT69">
            <v>3.5369180723785532E-3</v>
          </cell>
          <cell r="AU69">
            <v>1.4913936183644041E-3</v>
          </cell>
        </row>
        <row r="86">
          <cell r="B86">
            <v>58.19</v>
          </cell>
          <cell r="C86">
            <v>57.976666666666667</v>
          </cell>
          <cell r="D86">
            <v>57.722000000000001</v>
          </cell>
          <cell r="E86">
            <v>57.490000000000009</v>
          </cell>
          <cell r="F86">
            <v>57.263999999999996</v>
          </cell>
          <cell r="G86">
            <v>57.024000000000001</v>
          </cell>
          <cell r="H86">
            <v>56.798000000000002</v>
          </cell>
          <cell r="I86">
            <v>56.6</v>
          </cell>
          <cell r="J86">
            <v>56.422000000000004</v>
          </cell>
          <cell r="K86">
            <v>56.25</v>
          </cell>
          <cell r="L86">
            <v>56.097999999999999</v>
          </cell>
          <cell r="M86">
            <v>55.926000000000002</v>
          </cell>
          <cell r="N86">
            <v>55.802</v>
          </cell>
          <cell r="O86">
            <v>55.648000000000003</v>
          </cell>
          <cell r="P86">
            <v>55.556000000000004</v>
          </cell>
          <cell r="Q86">
            <v>55.415999999999997</v>
          </cell>
          <cell r="R86">
            <v>55.366</v>
          </cell>
          <cell r="S86">
            <v>55.298000000000002</v>
          </cell>
          <cell r="T86">
            <v>55.275999999999996</v>
          </cell>
          <cell r="U86">
            <v>55.311999999999991</v>
          </cell>
          <cell r="V86">
            <v>55.463999999999999</v>
          </cell>
          <cell r="W86">
            <v>55.633999999999993</v>
          </cell>
          <cell r="X86">
            <v>55.826000000000001</v>
          </cell>
          <cell r="Y86">
            <v>56.027999999999999</v>
          </cell>
          <cell r="Z86">
            <v>56.204000000000008</v>
          </cell>
          <cell r="AA86">
            <v>56.411999999999999</v>
          </cell>
          <cell r="AB86">
            <v>56.71</v>
          </cell>
          <cell r="AC86">
            <v>57.061999999999991</v>
          </cell>
          <cell r="AD86">
            <v>57.52</v>
          </cell>
          <cell r="AE86">
            <v>57.984000000000002</v>
          </cell>
          <cell r="AF86">
            <v>58.432000000000002</v>
          </cell>
          <cell r="AG86">
            <v>58.855999999999995</v>
          </cell>
          <cell r="AH86">
            <v>59.298000000000002</v>
          </cell>
          <cell r="AI86">
            <v>59.738</v>
          </cell>
          <cell r="AJ86">
            <v>60.198</v>
          </cell>
          <cell r="AK86">
            <v>60.672000000000004</v>
          </cell>
          <cell r="AL86">
            <v>61.101999999999997</v>
          </cell>
          <cell r="AM86">
            <v>61.486000000000004</v>
          </cell>
          <cell r="AN86">
            <v>61.835999999999999</v>
          </cell>
          <cell r="AO86">
            <v>62.148000000000003</v>
          </cell>
          <cell r="AP86">
            <v>62.446000000000005</v>
          </cell>
          <cell r="AQ86">
            <v>62.75</v>
          </cell>
          <cell r="AR86">
            <v>63.033999999999992</v>
          </cell>
          <cell r="AS86">
            <v>63.263999999999996</v>
          </cell>
          <cell r="AT86">
            <v>63.455999999999996</v>
          </cell>
          <cell r="AU86">
            <v>63.585999999999999</v>
          </cell>
        </row>
      </sheetData>
      <sheetData sheetId="1">
        <row r="58">
          <cell r="C58">
            <v>10.596182085168863</v>
          </cell>
          <cell r="D58">
            <v>10.639711563224317</v>
          </cell>
          <cell r="E58">
            <v>10.612854360528029</v>
          </cell>
          <cell r="F58">
            <v>10.560337044839002</v>
          </cell>
          <cell r="G58">
            <v>10.268087077350632</v>
          </cell>
          <cell r="H58">
            <v>10.368707244343094</v>
          </cell>
          <cell r="I58">
            <v>10.415025949419228</v>
          </cell>
          <cell r="J58">
            <v>10.258392999204457</v>
          </cell>
          <cell r="K58">
            <v>10.072956749268897</v>
          </cell>
          <cell r="L58">
            <v>10.006204756980354</v>
          </cell>
          <cell r="M58">
            <v>9.913016221299273</v>
          </cell>
          <cell r="N58">
            <v>9.6985600000000005</v>
          </cell>
          <cell r="O58">
            <v>9.5370303074351295</v>
          </cell>
          <cell r="P58">
            <v>9.2790432036551707</v>
          </cell>
          <cell r="Q58">
            <v>9.1620392156862724</v>
          </cell>
          <cell r="R58">
            <v>8.8740763082491281</v>
          </cell>
          <cell r="S58">
            <v>8.5542700317494536</v>
          </cell>
          <cell r="T58">
            <v>8.2604731513028451</v>
          </cell>
          <cell r="U58">
            <v>8.1174269422665724</v>
          </cell>
          <cell r="V58">
            <v>7.9519931418774172</v>
          </cell>
          <cell r="W58">
            <v>7.8061259872856921</v>
          </cell>
          <cell r="X58">
            <v>7.7687821375573742</v>
          </cell>
          <cell r="Y58">
            <v>7.7401400034147176</v>
          </cell>
          <cell r="Z58">
            <v>7.8205442249321004</v>
          </cell>
          <cell r="AA58">
            <v>8.0436975593431015</v>
          </cell>
          <cell r="AB58">
            <v>8.2403327891217337</v>
          </cell>
          <cell r="AC58">
            <v>8.3968726098410755</v>
          </cell>
          <cell r="AD58">
            <v>8.6860446378212863</v>
          </cell>
          <cell r="AE58">
            <v>9.1673681454779761</v>
          </cell>
          <cell r="AF58">
            <v>9.3974648985959419</v>
          </cell>
          <cell r="AG58">
            <v>9.5026858361639945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Âge départ"/>
      <sheetName val="Durées"/>
      <sheetName val="Feuil1"/>
      <sheetName val="Effectifs"/>
      <sheetName val="Mt Pensions"/>
      <sheetName val="SOURCE"/>
      <sheetName val="SMPT"/>
      <sheetName val="AVPF EIC"/>
    </sheetNames>
    <sheetDataSet>
      <sheetData sheetId="0"/>
      <sheetData sheetId="1">
        <row r="296">
          <cell r="C296">
            <v>128.14881827523601</v>
          </cell>
          <cell r="D296">
            <v>132.74238104425368</v>
          </cell>
          <cell r="E296">
            <v>134.14661723178665</v>
          </cell>
          <cell r="F296">
            <v>133.30424632691134</v>
          </cell>
          <cell r="G296">
            <v>134.05288524138464</v>
          </cell>
          <cell r="H296">
            <v>133.67791683371834</v>
          </cell>
          <cell r="I296">
            <v>134.15703518116598</v>
          </cell>
          <cell r="J296">
            <v>135.05068080825265</v>
          </cell>
          <cell r="K296">
            <v>137.32258475920199</v>
          </cell>
          <cell r="L296">
            <v>138.21099498280134</v>
          </cell>
          <cell r="M296">
            <v>139.47536715814832</v>
          </cell>
          <cell r="N296">
            <v>139.56335988046933</v>
          </cell>
          <cell r="O296">
            <v>139.44170185598168</v>
          </cell>
          <cell r="P296">
            <v>140.01366710729633</v>
          </cell>
          <cell r="Q296">
            <v>141.15865163702665</v>
          </cell>
          <cell r="R296">
            <v>142.86895024015598</v>
          </cell>
          <cell r="S296">
            <v>143.98320357689099</v>
          </cell>
          <cell r="T296">
            <v>144.75913788854368</v>
          </cell>
          <cell r="U296">
            <v>145.20256957287268</v>
          </cell>
          <cell r="V296">
            <v>145.97989277662998</v>
          </cell>
          <cell r="W296">
            <v>147.02831744189731</v>
          </cell>
          <cell r="X296">
            <v>147.82809717801433</v>
          </cell>
          <cell r="Y296">
            <v>147.814576638723</v>
          </cell>
          <cell r="Z296">
            <v>148.065479163981</v>
          </cell>
        </row>
        <row r="297">
          <cell r="C297">
            <v>121.43086009211</v>
          </cell>
          <cell r="D297">
            <v>122.27322464542567</v>
          </cell>
          <cell r="E297">
            <v>122.123577238035</v>
          </cell>
          <cell r="F297">
            <v>121.75790724532435</v>
          </cell>
          <cell r="G297">
            <v>122.47060093809567</v>
          </cell>
          <cell r="H297">
            <v>123.49155952002234</v>
          </cell>
          <cell r="I297">
            <v>125.00780859771668</v>
          </cell>
          <cell r="J297">
            <v>126.16560397740402</v>
          </cell>
          <cell r="K297">
            <v>128.68795561595633</v>
          </cell>
          <cell r="L297">
            <v>130.22118251106167</v>
          </cell>
          <cell r="M297">
            <v>131.88685470235998</v>
          </cell>
          <cell r="N297">
            <v>133.13325423394033</v>
          </cell>
          <cell r="O297">
            <v>135.27076434477064</v>
          </cell>
          <cell r="P297">
            <v>137.43625664157199</v>
          </cell>
          <cell r="Q297">
            <v>139.34353874985098</v>
          </cell>
          <cell r="R297">
            <v>141.27135557883335</v>
          </cell>
          <cell r="S297">
            <v>143.80322177140201</v>
          </cell>
          <cell r="T297">
            <v>145.91713732078634</v>
          </cell>
          <cell r="U297">
            <v>147.92869733114333</v>
          </cell>
          <cell r="V297">
            <v>149.24729905574367</v>
          </cell>
          <cell r="W297">
            <v>151.17840250717299</v>
          </cell>
          <cell r="X297">
            <v>153.27475813863833</v>
          </cell>
          <cell r="Y297">
            <v>155.44627935229201</v>
          </cell>
          <cell r="Z297">
            <v>157.418243038139</v>
          </cell>
        </row>
        <row r="298">
          <cell r="C298">
            <v>112.749816694016</v>
          </cell>
          <cell r="D298">
            <v>113.62811560547432</v>
          </cell>
          <cell r="E298">
            <v>115.45929353068168</v>
          </cell>
          <cell r="F298">
            <v>116.95203188795132</v>
          </cell>
          <cell r="G298">
            <v>118.217363536495</v>
          </cell>
          <cell r="H298">
            <v>118.80681674214168</v>
          </cell>
          <cell r="I298">
            <v>119.458819083135</v>
          </cell>
          <cell r="J298">
            <v>121.503745992625</v>
          </cell>
          <cell r="K298">
            <v>122.96781679301633</v>
          </cell>
          <cell r="L298">
            <v>125.08615579436731</v>
          </cell>
          <cell r="M298">
            <v>127.13377839178433</v>
          </cell>
          <cell r="N298">
            <v>129.37083456533</v>
          </cell>
          <cell r="O298">
            <v>131.45089818186401</v>
          </cell>
          <cell r="P298">
            <v>133.147723927676</v>
          </cell>
          <cell r="Q298">
            <v>135.42535672815532</v>
          </cell>
          <cell r="R298">
            <v>138.36908126187268</v>
          </cell>
          <cell r="S298">
            <v>141.79616659966834</v>
          </cell>
          <cell r="T298">
            <v>144.88120793842802</v>
          </cell>
          <cell r="U298">
            <v>147.51945146201933</v>
          </cell>
          <cell r="V298">
            <v>149.09280590686066</v>
          </cell>
          <cell r="W298">
            <v>151.46428870845935</v>
          </cell>
          <cell r="X298">
            <v>153.51939180661398</v>
          </cell>
          <cell r="Y298">
            <v>156.23041022917701</v>
          </cell>
          <cell r="Z298">
            <v>158.211756867209</v>
          </cell>
        </row>
        <row r="300">
          <cell r="C300">
            <v>110.11351835827729</v>
          </cell>
          <cell r="D300">
            <v>110.9030751739662</v>
          </cell>
          <cell r="E300">
            <v>110.695087007358</v>
          </cell>
          <cell r="F300">
            <v>110.35257297886191</v>
          </cell>
          <cell r="G300">
            <v>110.96644310268501</v>
          </cell>
          <cell r="H300">
            <v>111.87478000618194</v>
          </cell>
          <cell r="I300">
            <v>113.23500349349153</v>
          </cell>
          <cell r="J300">
            <v>114.35131639580926</v>
          </cell>
          <cell r="K300">
            <v>116.84576729844524</v>
          </cell>
          <cell r="L300">
            <v>118.33451424752438</v>
          </cell>
          <cell r="M300">
            <v>119.92176126056552</v>
          </cell>
          <cell r="N300">
            <v>121.16759538662301</v>
          </cell>
          <cell r="O300">
            <v>123.30234441316202</v>
          </cell>
          <cell r="P300">
            <v>125.43991173515333</v>
          </cell>
          <cell r="Q300">
            <v>127.20746425603825</v>
          </cell>
          <cell r="R300">
            <v>129.02276289827367</v>
          </cell>
          <cell r="S300">
            <v>131.47926831114034</v>
          </cell>
          <cell r="T300">
            <v>133.54962249858428</v>
          </cell>
          <cell r="U300">
            <v>135.47660582645679</v>
          </cell>
          <cell r="V300">
            <v>136.76201680714954</v>
          </cell>
          <cell r="W300">
            <v>138.65744293643209</v>
          </cell>
          <cell r="X300">
            <v>140.77428503042151</v>
          </cell>
          <cell r="Y300">
            <v>142.92481112130952</v>
          </cell>
          <cell r="Z300">
            <v>144.90379982598799</v>
          </cell>
        </row>
        <row r="301">
          <cell r="C301">
            <v>83.278294999026002</v>
          </cell>
          <cell r="D301">
            <v>84.869327495353744</v>
          </cell>
          <cell r="E301">
            <v>86.797885025714393</v>
          </cell>
          <cell r="F301">
            <v>88.083940257298707</v>
          </cell>
          <cell r="G301">
            <v>89.310100423140923</v>
          </cell>
          <cell r="H301">
            <v>90.071076582345896</v>
          </cell>
          <cell r="I301">
            <v>90.929043130780315</v>
          </cell>
          <cell r="J301">
            <v>93.209430003544071</v>
          </cell>
          <cell r="K301">
            <v>95.039694427988806</v>
          </cell>
          <cell r="L301">
            <v>97.25093495354686</v>
          </cell>
          <cell r="M301">
            <v>99.545792790753822</v>
          </cell>
          <cell r="N301">
            <v>101.67598991386807</v>
          </cell>
          <cell r="O301">
            <v>103.78724823679674</v>
          </cell>
          <cell r="P301">
            <v>105.45899314257319</v>
          </cell>
          <cell r="Q301">
            <v>107.78444258455276</v>
          </cell>
          <cell r="R301">
            <v>110.738928918932</v>
          </cell>
          <cell r="S301">
            <v>114.22538698714386</v>
          </cell>
          <cell r="T301">
            <v>117.42674548082967</v>
          </cell>
          <cell r="U301">
            <v>120.2389777715962</v>
          </cell>
          <cell r="V301">
            <v>121.76632000913793</v>
          </cell>
          <cell r="W301">
            <v>124.2212451518747</v>
          </cell>
          <cell r="X301">
            <v>126.23377652299656</v>
          </cell>
          <cell r="Y301">
            <v>129.16619218252302</v>
          </cell>
          <cell r="Z301">
            <v>131.38145507877189</v>
          </cell>
        </row>
      </sheetData>
      <sheetData sheetId="2"/>
      <sheetData sheetId="3">
        <row r="51">
          <cell r="B51">
            <v>6.5857077164224792E-3</v>
          </cell>
          <cell r="C51">
            <v>5.8623983965317844E-3</v>
          </cell>
          <cell r="D51">
            <v>5.3336831864803161E-3</v>
          </cell>
          <cell r="E51">
            <v>7.5696950823308899E-3</v>
          </cell>
          <cell r="F51">
            <v>6.943484773455369E-3</v>
          </cell>
          <cell r="G51">
            <v>8.7704651318666876E-3</v>
          </cell>
          <cell r="H51">
            <v>8.2261917317599537E-3</v>
          </cell>
          <cell r="I51">
            <v>1.0883093933951869E-2</v>
          </cell>
          <cell r="J51">
            <v>1.0210992049199343E-2</v>
          </cell>
          <cell r="K51">
            <v>1.2201049969047579E-2</v>
          </cell>
          <cell r="L51">
            <v>1.0181038193035901E-2</v>
          </cell>
          <cell r="M51">
            <v>1.1914008022098228E-2</v>
          </cell>
          <cell r="N51">
            <v>9.5077720440643072E-3</v>
          </cell>
          <cell r="O51">
            <v>1.1954256289304598E-2</v>
          </cell>
          <cell r="P51">
            <v>1.0002558599812065E-2</v>
          </cell>
          <cell r="Q51">
            <v>1.2572071895419965E-2</v>
          </cell>
          <cell r="R51">
            <v>1.2423646551773235E-2</v>
          </cell>
          <cell r="S51">
            <v>1.5033087307122541E-2</v>
          </cell>
          <cell r="T51">
            <v>1.5503486853402401E-2</v>
          </cell>
          <cell r="U51">
            <v>1.6217627383973723E-2</v>
          </cell>
          <cell r="V51">
            <v>1.5455312617203178E-2</v>
          </cell>
          <cell r="W51">
            <v>1.4840082886448185E-2</v>
          </cell>
          <cell r="X51">
            <v>1.4320385418516499E-2</v>
          </cell>
          <cell r="Y51">
            <v>1.478940494606782E-2</v>
          </cell>
        </row>
        <row r="52">
          <cell r="B52">
            <v>1.3787169255330411E-2</v>
          </cell>
          <cell r="C52">
            <v>1.2384127189834906E-2</v>
          </cell>
          <cell r="D52">
            <v>1.1320686359821823E-2</v>
          </cell>
          <cell r="E52">
            <v>1.6142090999912474E-2</v>
          </cell>
          <cell r="F52">
            <v>1.4740238563491421E-2</v>
          </cell>
          <cell r="G52">
            <v>1.8529269291140488E-2</v>
          </cell>
          <cell r="H52">
            <v>1.7233084572369151E-2</v>
          </cell>
          <cell r="I52">
            <v>2.286094057387272E-2</v>
          </cell>
          <cell r="J52">
            <v>2.1350276595195169E-2</v>
          </cell>
          <cell r="K52">
            <v>2.5539715567668916E-2</v>
          </cell>
          <cell r="L52">
            <v>2.136486557059666E-2</v>
          </cell>
          <cell r="M52">
            <v>2.5210980345821279E-2</v>
          </cell>
          <cell r="N52">
            <v>2.0157148221045421E-2</v>
          </cell>
          <cell r="O52">
            <v>2.5368756960069763E-2</v>
          </cell>
          <cell r="P52">
            <v>2.0957488518841608E-2</v>
          </cell>
          <cell r="Q52">
            <v>2.5485979536506081E-2</v>
          </cell>
          <cell r="R52">
            <v>2.397302098262066E-2</v>
          </cell>
          <cell r="S52">
            <v>2.8430432910882517E-2</v>
          </cell>
          <cell r="T52">
            <v>2.9239236593933252E-2</v>
          </cell>
          <cell r="U52">
            <v>3.0606324453581583E-2</v>
          </cell>
          <cell r="V52">
            <v>2.9108937043111353E-2</v>
          </cell>
          <cell r="W52">
            <v>2.7510479744286415E-2</v>
          </cell>
          <cell r="X52">
            <v>2.6459200385719101E-2</v>
          </cell>
          <cell r="Y52">
            <v>2.7688789382269947E-2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5.4361682311954573E-5</v>
          </cell>
          <cell r="L53">
            <v>5.4361682311954573E-5</v>
          </cell>
          <cell r="M53">
            <v>6.5712136970838341E-5</v>
          </cell>
          <cell r="N53">
            <v>3.8244783657565951E-5</v>
          </cell>
          <cell r="O53">
            <v>1.3688076660347168E-4</v>
          </cell>
          <cell r="P53">
            <v>3.5799445626591143E-4</v>
          </cell>
          <cell r="Q53">
            <v>9.9225130450305015E-4</v>
          </cell>
          <cell r="R53">
            <v>1.7583295430439454E-3</v>
          </cell>
          <cell r="S53">
            <v>2.4305828412800956E-3</v>
          </cell>
          <cell r="T53">
            <v>2.4630220898386075E-3</v>
          </cell>
          <cell r="U53">
            <v>2.2730670968730579E-3</v>
          </cell>
          <cell r="V53">
            <v>1.9976995375299844E-3</v>
          </cell>
          <cell r="W53">
            <v>2.0844628426969977E-3</v>
          </cell>
          <cell r="X53">
            <v>1.9320221646707168E-3</v>
          </cell>
          <cell r="Y53">
            <v>1.5669556514849123E-3</v>
          </cell>
        </row>
        <row r="62">
          <cell r="B62">
            <v>53.777075183998399</v>
          </cell>
          <cell r="C62">
            <v>53.039757118991865</v>
          </cell>
          <cell r="D62">
            <v>52.208861732243726</v>
          </cell>
          <cell r="E62">
            <v>52.3001959863129</v>
          </cell>
          <cell r="F62">
            <v>51.232239032448909</v>
          </cell>
          <cell r="G62">
            <v>51.462142206765371</v>
          </cell>
          <cell r="H62">
            <v>51.033906283819242</v>
          </cell>
          <cell r="I62">
            <v>52.205104035019474</v>
          </cell>
          <cell r="J62">
            <v>52.037100270376925</v>
          </cell>
          <cell r="K62">
            <v>52.618563234610399</v>
          </cell>
          <cell r="L62">
            <v>51.804531832226473</v>
          </cell>
          <cell r="M62">
            <v>52.067509667808302</v>
          </cell>
          <cell r="N62">
            <v>51.764313196981</v>
          </cell>
          <cell r="O62">
            <v>52.325916850568433</v>
          </cell>
          <cell r="P62">
            <v>52.568432903563711</v>
          </cell>
          <cell r="Q62">
            <v>52.739206099942329</v>
          </cell>
          <cell r="R62">
            <v>52.65215706942363</v>
          </cell>
          <cell r="S62">
            <v>52.654981803185201</v>
          </cell>
          <cell r="T62">
            <v>52.906069602859638</v>
          </cell>
          <cell r="U62">
            <v>52.876963825878896</v>
          </cell>
          <cell r="V62">
            <v>53.327841269436043</v>
          </cell>
          <cell r="W62">
            <v>53.78273202216576</v>
          </cell>
          <cell r="X62">
            <v>54.651844194160269</v>
          </cell>
          <cell r="Y62">
            <v>54.996217619570302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Mt Pensions"/>
      <sheetName val="Âge départ"/>
      <sheetName val="SMPT"/>
      <sheetName val="PENSIONS_ENF_MOTIF"/>
      <sheetName val="PART_BENEF_DF"/>
      <sheetName val="PENSIONS"/>
      <sheetName val="AGE"/>
    </sheetNames>
    <sheetDataSet>
      <sheetData sheetId="0">
        <row r="20">
          <cell r="M20">
            <v>0.38406946262967995</v>
          </cell>
          <cell r="N20">
            <v>0.37781813921584528</v>
          </cell>
          <cell r="O20">
            <v>0.37250108986021085</v>
          </cell>
          <cell r="P20">
            <v>0.36554832978363011</v>
          </cell>
          <cell r="Q20">
            <v>0.35887708778567295</v>
          </cell>
          <cell r="R20">
            <v>0.35371919594355283</v>
          </cell>
          <cell r="S20">
            <v>0.34812217779610033</v>
          </cell>
          <cell r="T20">
            <v>0.34409996556016881</v>
          </cell>
          <cell r="U20">
            <v>0.34220212013424961</v>
          </cell>
          <cell r="V20">
            <v>0.34192460102486627</v>
          </cell>
          <cell r="W20">
            <v>0.34269892245754335</v>
          </cell>
          <cell r="X20">
            <v>0.34314572788323144</v>
          </cell>
          <cell r="Y20">
            <v>0.34195252418039146</v>
          </cell>
          <cell r="Z20">
            <v>0.33985034788775598</v>
          </cell>
          <cell r="AA20">
            <v>0.3355094806682809</v>
          </cell>
          <cell r="AB20">
            <v>0.3293055536540031</v>
          </cell>
          <cell r="AC20">
            <v>0.32310162663972547</v>
          </cell>
          <cell r="AD20">
            <v>0.31689769962544789</v>
          </cell>
          <cell r="AE20">
            <v>0.31069377261117026</v>
          </cell>
          <cell r="AF20">
            <v>0.30448984559689229</v>
          </cell>
          <cell r="AG20">
            <v>0.29828591858261461</v>
          </cell>
          <cell r="AH20">
            <v>0.29443448865205296</v>
          </cell>
          <cell r="AI20">
            <v>0.29097955170947515</v>
          </cell>
          <cell r="AJ20">
            <v>0.28901478512198914</v>
          </cell>
          <cell r="AK20">
            <v>0.28766095923010637</v>
          </cell>
          <cell r="AL20">
            <v>0.2886481723875356</v>
          </cell>
          <cell r="AM20">
            <v>0.28833153358952968</v>
          </cell>
          <cell r="AN20">
            <v>0.28807057424186067</v>
          </cell>
          <cell r="AO20">
            <v>0.28783173368768583</v>
          </cell>
          <cell r="AP20">
            <v>0.28836733997961794</v>
          </cell>
          <cell r="AQ20">
            <v>0.28881528705594045</v>
          </cell>
          <cell r="AR20">
            <v>0.29095867627523697</v>
          </cell>
          <cell r="AS20">
            <v>0.29364268295385698</v>
          </cell>
          <cell r="AT20">
            <v>0.29677489613236313</v>
          </cell>
          <cell r="AU20">
            <v>0.2998250904152468</v>
          </cell>
          <cell r="AV20">
            <v>0.30317443503557839</v>
          </cell>
          <cell r="AW20">
            <v>0.30509690741082846</v>
          </cell>
          <cell r="AX20">
            <v>0.30668529148519991</v>
          </cell>
          <cell r="AY20">
            <v>0.30783764130549562</v>
          </cell>
          <cell r="AZ20">
            <v>0.30941513774492924</v>
          </cell>
          <cell r="BA20">
            <v>0.31034155731101587</v>
          </cell>
          <cell r="BB20">
            <v>0.31016079948796965</v>
          </cell>
          <cell r="BC20">
            <v>0.30962287088645268</v>
          </cell>
          <cell r="BD20">
            <v>0.30714861507793545</v>
          </cell>
          <cell r="BE20">
            <v>0.30182839740647321</v>
          </cell>
          <cell r="BF20">
            <v>0.29513403391472409</v>
          </cell>
          <cell r="BG20">
            <v>0.29007749377383141</v>
          </cell>
          <cell r="BH20">
            <v>0.28558601881380363</v>
          </cell>
          <cell r="BI20">
            <v>0.28273164864986222</v>
          </cell>
          <cell r="BJ20">
            <v>0.28451300347400077</v>
          </cell>
          <cell r="BK20">
            <v>0.28917479228910781</v>
          </cell>
          <cell r="BL20">
            <v>0.29296552257452607</v>
          </cell>
          <cell r="BM20">
            <v>0.29851109200980031</v>
          </cell>
          <cell r="BN20">
            <v>0.30332104669161747</v>
          </cell>
          <cell r="BO20">
            <v>0.30736626737700323</v>
          </cell>
          <cell r="BP20">
            <v>0.30885130212243372</v>
          </cell>
          <cell r="BQ20">
            <v>0.31139574396300429</v>
          </cell>
          <cell r="BR20">
            <v>0.31215973045663015</v>
          </cell>
          <cell r="BS20">
            <v>0.31368005816585326</v>
          </cell>
          <cell r="BT20">
            <v>0.31367307974739317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pmcv_nb enf"/>
      <sheetName val="pmcv_régime"/>
      <sheetName val="pmcv_quintile"/>
      <sheetName val="Pm68ans"/>
      <sheetName val="Pm68_quintiles_Ensemble"/>
      <sheetName val="Ecarts_masses"/>
      <sheetName val="HF1_génération"/>
      <sheetName val="HF1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C4"/>
          <cell r="D4" t="str">
            <v>Ensemble</v>
          </cell>
          <cell r="E4">
            <v>1.6629516811999849</v>
          </cell>
          <cell r="F4">
            <v>-7.2031768003796515E-2</v>
          </cell>
          <cell r="G4">
            <v>1.8508937763604072E-2</v>
          </cell>
          <cell r="H4">
            <v>2.237271679506514E-2</v>
          </cell>
        </row>
        <row r="5">
          <cell r="B5" t="str">
            <v>Hommes</v>
          </cell>
          <cell r="C5"/>
          <cell r="D5" t="str">
            <v>Ensemble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-</v>
          </cell>
        </row>
        <row r="6">
          <cell r="B6" t="str">
            <v>Selon le nombre d'enfants</v>
          </cell>
          <cell r="C6"/>
          <cell r="D6"/>
          <cell r="E6"/>
          <cell r="F6"/>
          <cell r="G6"/>
          <cell r="H6"/>
        </row>
        <row r="7">
          <cell r="B7" t="str">
            <v>Femmes</v>
          </cell>
          <cell r="C7"/>
          <cell r="D7">
            <v>1</v>
          </cell>
          <cell r="E7">
            <v>0.91632683209698484</v>
          </cell>
          <cell r="F7">
            <v>-6.2017200755207114E-2</v>
          </cell>
          <cell r="G7">
            <v>1.0426100995176713E-2</v>
          </cell>
          <cell r="H7">
            <v>1.3025467566263327E-2</v>
          </cell>
        </row>
        <row r="8">
          <cell r="B8"/>
          <cell r="C8"/>
          <cell r="D8">
            <v>2</v>
          </cell>
          <cell r="E8">
            <v>1.7678095589880058</v>
          </cell>
          <cell r="F8">
            <v>-8.6990668972205754E-2</v>
          </cell>
          <cell r="G8">
            <v>2.1782488661846511E-2</v>
          </cell>
          <cell r="H8">
            <v>2.6592800000338368E-2</v>
          </cell>
        </row>
        <row r="9">
          <cell r="B9"/>
          <cell r="C9"/>
          <cell r="D9" t="str">
            <v>3 et plus</v>
          </cell>
          <cell r="E9">
            <v>2.6918019652959799</v>
          </cell>
          <cell r="F9">
            <v>-8.696255625849858E-2</v>
          </cell>
          <cell r="G9">
            <v>2.6678632350550124E-2</v>
          </cell>
          <cell r="H9">
            <v>3.1381183303581972E-2</v>
          </cell>
        </row>
        <row r="10">
          <cell r="B10" t="str">
            <v>Selon le régime d'affiliation</v>
          </cell>
          <cell r="C10"/>
          <cell r="D10"/>
          <cell r="E10"/>
          <cell r="F10"/>
          <cell r="G10"/>
          <cell r="H10"/>
        </row>
        <row r="11">
          <cell r="B11" t="str">
            <v>Femmes</v>
          </cell>
          <cell r="C11" t="str">
            <v>Mono Lura</v>
          </cell>
          <cell r="D11">
            <v>1</v>
          </cell>
          <cell r="E11">
            <v>0.16441556855198769</v>
          </cell>
          <cell r="F11">
            <v>-4.9246797438087242E-3</v>
          </cell>
          <cell r="G11">
            <v>1.0773236948022902E-3</v>
          </cell>
          <cell r="H11">
            <v>1.3842068412197595E-3</v>
          </cell>
        </row>
        <row r="12">
          <cell r="B12"/>
          <cell r="C12"/>
          <cell r="D12">
            <v>2</v>
          </cell>
          <cell r="E12">
            <v>0.24282098235801186</v>
          </cell>
          <cell r="F12">
            <v>-7.6229664124980445E-3</v>
          </cell>
          <cell r="G12">
            <v>4.204248101681296E-3</v>
          </cell>
          <cell r="H12">
            <v>4.9275215040174292E-3</v>
          </cell>
        </row>
        <row r="13">
          <cell r="B13"/>
          <cell r="C13"/>
          <cell r="D13" t="str">
            <v>3 et plus</v>
          </cell>
          <cell r="E13">
            <v>0.38022981594602356</v>
          </cell>
          <cell r="F13">
            <v>-8.2272770282969532E-3</v>
          </cell>
          <cell r="G13">
            <v>3.9413672342181183E-3</v>
          </cell>
          <cell r="H13">
            <v>4.1786849228311329E-3</v>
          </cell>
        </row>
        <row r="14">
          <cell r="B14"/>
          <cell r="C14" t="str">
            <v>Mono FP-RS</v>
          </cell>
          <cell r="D14">
            <v>1</v>
          </cell>
          <cell r="E14">
            <v>2.9641559915339997</v>
          </cell>
          <cell r="F14">
            <v>-0.26337689894400285</v>
          </cell>
          <cell r="G14">
            <v>7.0405741607189043E-3</v>
          </cell>
          <cell r="H14">
            <v>1.3588034466072374E-2</v>
          </cell>
        </row>
        <row r="15">
          <cell r="B15"/>
          <cell r="C15"/>
          <cell r="D15">
            <v>2</v>
          </cell>
          <cell r="E15">
            <v>7.1636577947390094</v>
          </cell>
          <cell r="F15">
            <v>-0.36166654869600023</v>
          </cell>
          <cell r="G15">
            <v>6.6973278078420018E-2</v>
          </cell>
          <cell r="H15">
            <v>8.165628738184294E-2</v>
          </cell>
        </row>
        <row r="16">
          <cell r="B16"/>
          <cell r="C16"/>
          <cell r="D16" t="str">
            <v>3 et plus</v>
          </cell>
          <cell r="E16">
            <v>11.930618801632988</v>
          </cell>
          <cell r="F16">
            <v>-0.34105595923580267</v>
          </cell>
          <cell r="G16">
            <v>8.0505591780601016E-2</v>
          </cell>
          <cell r="H16">
            <v>9.6719726822594998E-2</v>
          </cell>
        </row>
        <row r="17">
          <cell r="B17"/>
          <cell r="C17" t="str">
            <v>Mono MSAE-PLIB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/>
          <cell r="C18"/>
          <cell r="D18">
            <v>2</v>
          </cell>
          <cell r="E18">
            <v>5.5304029026909944</v>
          </cell>
          <cell r="F18">
            <v>0</v>
          </cell>
          <cell r="G18">
            <v>3.5549863372134727E-2</v>
          </cell>
          <cell r="H18">
            <v>3.8095973651335768E-2</v>
          </cell>
        </row>
        <row r="19">
          <cell r="B19"/>
          <cell r="C19"/>
          <cell r="D19" t="str">
            <v>3 et plus</v>
          </cell>
          <cell r="E19" t="str">
            <v>n.a</v>
          </cell>
          <cell r="F19" t="str">
            <v>n.a</v>
          </cell>
          <cell r="G19" t="str">
            <v>n.a</v>
          </cell>
          <cell r="H19" t="str">
            <v>n.a</v>
          </cell>
        </row>
        <row r="20">
          <cell r="B20"/>
          <cell r="C20" t="str">
            <v>Poly Lura-FP-RS</v>
          </cell>
          <cell r="D20">
            <v>1</v>
          </cell>
          <cell r="E20">
            <v>3.4293291510589938</v>
          </cell>
          <cell r="F20">
            <v>-0.24187849925961302</v>
          </cell>
          <cell r="G20">
            <v>4.3470604077497033E-2</v>
          </cell>
          <cell r="H20">
            <v>5.42204388171037E-2</v>
          </cell>
        </row>
        <row r="21">
          <cell r="B21"/>
          <cell r="C21"/>
          <cell r="D21">
            <v>2</v>
          </cell>
          <cell r="E21">
            <v>7.0085212496030067</v>
          </cell>
          <cell r="F21">
            <v>-0.36688619326049832</v>
          </cell>
          <cell r="G21">
            <v>7.1754135343651493E-2</v>
          </cell>
          <cell r="H21">
            <v>8.7554246052707008E-2</v>
          </cell>
        </row>
        <row r="22">
          <cell r="B22"/>
          <cell r="C22"/>
          <cell r="D22" t="str">
            <v>3 et plus</v>
          </cell>
          <cell r="E22">
            <v>10.940360267829021</v>
          </cell>
          <cell r="F22">
            <v>-0.38997869673450225</v>
          </cell>
          <cell r="G22">
            <v>9.7199849776501646E-2</v>
          </cell>
          <cell r="H22">
            <v>0.11298606907739317</v>
          </cell>
        </row>
        <row r="23">
          <cell r="B23"/>
          <cell r="C23" t="str">
            <v>Poly Lura-MSAE-PLIB</v>
          </cell>
          <cell r="D23">
            <v>1</v>
          </cell>
          <cell r="E23">
            <v>0.3041879400989842</v>
          </cell>
          <cell r="F23">
            <v>-2.1740559965195416E-2</v>
          </cell>
          <cell r="G23">
            <v>2.3051110719138901E-3</v>
          </cell>
          <cell r="H23">
            <v>3.1175268988858917E-3</v>
          </cell>
        </row>
        <row r="24">
          <cell r="B24"/>
          <cell r="C24"/>
          <cell r="D24">
            <v>2</v>
          </cell>
          <cell r="E24">
            <v>0.17782816574901972</v>
          </cell>
          <cell r="F24">
            <v>-9.3616140940042669E-3</v>
          </cell>
          <cell r="G24">
            <v>7.4340200313318672E-3</v>
          </cell>
          <cell r="H24">
            <v>7.1236928501721142E-3</v>
          </cell>
        </row>
        <row r="25">
          <cell r="B25"/>
          <cell r="C25"/>
          <cell r="D25" t="str">
            <v>3 et plus</v>
          </cell>
          <cell r="E25">
            <v>0.89447413895501882</v>
          </cell>
          <cell r="F25">
            <v>-1.1516551737997816E-3</v>
          </cell>
          <cell r="G25">
            <v>5.4504676529409934E-3</v>
          </cell>
          <cell r="H25">
            <v>4.899906601752102E-3</v>
          </cell>
        </row>
        <row r="26">
          <cell r="B26" t="str">
            <v>Selon le quintile de pension</v>
          </cell>
          <cell r="C26"/>
          <cell r="D26"/>
          <cell r="E26"/>
          <cell r="F26"/>
          <cell r="G26"/>
          <cell r="H26"/>
        </row>
        <row r="27">
          <cell r="B27" t="str">
            <v>Femmes</v>
          </cell>
          <cell r="C27" t="str">
            <v>Q1</v>
          </cell>
          <cell r="D27">
            <v>1</v>
          </cell>
          <cell r="E27">
            <v>0.42265733972719488</v>
          </cell>
          <cell r="F27">
            <v>0</v>
          </cell>
          <cell r="G27">
            <v>9.5274015575343984E-3</v>
          </cell>
          <cell r="H27">
            <v>1.1350406157839776E-2</v>
          </cell>
        </row>
        <row r="28">
          <cell r="B28"/>
          <cell r="C28"/>
          <cell r="D28">
            <v>2</v>
          </cell>
          <cell r="E28">
            <v>0.65755183384199256</v>
          </cell>
          <cell r="F28">
            <v>-1.2045533445927958E-3</v>
          </cell>
          <cell r="G28">
            <v>2.9755023620680499E-2</v>
          </cell>
          <cell r="H28">
            <v>3.3399788854178825E-2</v>
          </cell>
        </row>
        <row r="29">
          <cell r="B29"/>
          <cell r="C29"/>
          <cell r="D29" t="str">
            <v>3 et plus</v>
          </cell>
          <cell r="E29">
            <v>1.1529350624410029</v>
          </cell>
          <cell r="F29">
            <v>3.22983509160224E-3</v>
          </cell>
          <cell r="G29">
            <v>3.3412944122113153E-2</v>
          </cell>
          <cell r="H29">
            <v>3.3626962685641137E-2</v>
          </cell>
        </row>
        <row r="30">
          <cell r="B30"/>
          <cell r="C30" t="str">
            <v>Q2</v>
          </cell>
          <cell r="D30">
            <v>1</v>
          </cell>
          <cell r="E30">
            <v>1.1491703630819927</v>
          </cell>
          <cell r="F30">
            <v>-3.9303351891703642E-2</v>
          </cell>
          <cell r="G30">
            <v>1.7247959895655418E-2</v>
          </cell>
          <cell r="H30">
            <v>1.8463517860870748E-2</v>
          </cell>
        </row>
        <row r="31">
          <cell r="B31"/>
          <cell r="C31"/>
          <cell r="D31">
            <v>2</v>
          </cell>
          <cell r="E31">
            <v>1.9044372546310058</v>
          </cell>
          <cell r="F31">
            <v>-8.1844126395296257E-2</v>
          </cell>
          <cell r="G31">
            <v>2.356062373366874E-2</v>
          </cell>
          <cell r="H31">
            <v>2.7973567574941516E-2</v>
          </cell>
        </row>
        <row r="32">
          <cell r="B32"/>
          <cell r="C32"/>
          <cell r="D32" t="str">
            <v>3 et plus</v>
          </cell>
          <cell r="E32">
            <v>1.8072514453659778</v>
          </cell>
          <cell r="F32">
            <v>-4.1482596238708425E-2</v>
          </cell>
          <cell r="G32">
            <v>2.1382815052504389E-2</v>
          </cell>
          <cell r="H32">
            <v>2.2475680361228711E-2</v>
          </cell>
        </row>
        <row r="33">
          <cell r="B33"/>
          <cell r="C33" t="str">
            <v>Q3</v>
          </cell>
          <cell r="D33">
            <v>1</v>
          </cell>
          <cell r="E33">
            <v>1.2677127474990186</v>
          </cell>
          <cell r="F33">
            <v>-9.9660482534488892E-2</v>
          </cell>
          <cell r="G33">
            <v>1.174448664803629E-2</v>
          </cell>
          <cell r="H33">
            <v>1.5927353006948808E-2</v>
          </cell>
        </row>
        <row r="34">
          <cell r="B34"/>
          <cell r="C34"/>
          <cell r="D34">
            <v>2</v>
          </cell>
          <cell r="E34">
            <v>2.6067394170949854</v>
          </cell>
          <cell r="F34">
            <v>-0.13163658711000181</v>
          </cell>
          <cell r="G34">
            <v>2.2372587178394188E-2</v>
          </cell>
          <cell r="H34">
            <v>2.8511737760175793E-2</v>
          </cell>
        </row>
        <row r="35">
          <cell r="B35"/>
          <cell r="C35"/>
          <cell r="D35" t="str">
            <v>3 et plus</v>
          </cell>
          <cell r="E35">
            <v>4.0103471943470197</v>
          </cell>
          <cell r="F35">
            <v>-0.16800925138030465</v>
          </cell>
          <cell r="G35">
            <v>2.9956888465916709E-2</v>
          </cell>
          <cell r="H35">
            <v>3.6709139925489076E-2</v>
          </cell>
        </row>
        <row r="36">
          <cell r="B36"/>
          <cell r="C36" t="str">
            <v>Q4</v>
          </cell>
          <cell r="D36">
            <v>1</v>
          </cell>
          <cell r="E36">
            <v>0.93763811769500194</v>
          </cell>
          <cell r="F36">
            <v>-0.11375536395210872</v>
          </cell>
          <cell r="G36">
            <v>8.7969941517704875E-3</v>
          </cell>
          <cell r="H36">
            <v>1.3839237502782487E-2</v>
          </cell>
        </row>
        <row r="37">
          <cell r="B37"/>
          <cell r="C37"/>
          <cell r="D37">
            <v>2</v>
          </cell>
          <cell r="E37">
            <v>2.1656320498260015</v>
          </cell>
          <cell r="F37">
            <v>-0.16365192344059665</v>
          </cell>
          <cell r="G37">
            <v>2.0185047765176156E-2</v>
          </cell>
          <cell r="H37">
            <v>2.6783653258058315E-2</v>
          </cell>
        </row>
        <row r="38">
          <cell r="B38"/>
          <cell r="C38"/>
          <cell r="D38" t="str">
            <v>3 et plus</v>
          </cell>
          <cell r="E38">
            <v>3.5838990450450012</v>
          </cell>
          <cell r="F38">
            <v>-0.11583221189320625</v>
          </cell>
          <cell r="G38">
            <v>3.1511077341880966E-2</v>
          </cell>
          <cell r="H38">
            <v>3.6990005017071059E-2</v>
          </cell>
        </row>
        <row r="39">
          <cell r="B39"/>
          <cell r="C39" t="str">
            <v>Q5</v>
          </cell>
          <cell r="D39">
            <v>1</v>
          </cell>
          <cell r="E39">
            <v>0.63986556514100812</v>
          </cell>
          <cell r="F39">
            <v>-8.1870598795106275E-2</v>
          </cell>
          <cell r="G39">
            <v>5.6460496481716138E-3</v>
          </cell>
          <cell r="H39">
            <v>6.517666144482126E-3</v>
          </cell>
        </row>
        <row r="40">
          <cell r="B40"/>
          <cell r="C40"/>
          <cell r="D40">
            <v>2</v>
          </cell>
          <cell r="E40">
            <v>1.466027509897998</v>
          </cell>
          <cell r="F40">
            <v>-7.950766873899795E-2</v>
          </cell>
          <cell r="G40">
            <v>1.9022001468103955E-2</v>
          </cell>
          <cell r="H40">
            <v>2.2393194112396486E-2</v>
          </cell>
        </row>
        <row r="41">
          <cell r="B41"/>
          <cell r="C41"/>
          <cell r="D41" t="str">
            <v>3 et plus</v>
          </cell>
          <cell r="E41">
            <v>3.04850709746799</v>
          </cell>
          <cell r="F41">
            <v>-0.11910903843590859</v>
          </cell>
          <cell r="G41">
            <v>2.1726659897801426E-2</v>
          </cell>
          <cell r="H41">
            <v>2.734819325334148E-2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9">
          <cell r="D59">
            <v>2026</v>
          </cell>
          <cell r="E59">
            <v>2027</v>
          </cell>
          <cell r="F59">
            <v>2028</v>
          </cell>
          <cell r="G59">
            <v>2029</v>
          </cell>
          <cell r="H59">
            <v>2030</v>
          </cell>
          <cell r="I59">
            <v>2031</v>
          </cell>
          <cell r="J59">
            <v>2032</v>
          </cell>
          <cell r="K59">
            <v>2033</v>
          </cell>
          <cell r="L59">
            <v>2034</v>
          </cell>
          <cell r="M59">
            <v>2035</v>
          </cell>
          <cell r="N59">
            <v>2036</v>
          </cell>
          <cell r="O59">
            <v>2037</v>
          </cell>
          <cell r="P59">
            <v>2038</v>
          </cell>
          <cell r="Q59">
            <v>2039</v>
          </cell>
          <cell r="R59">
            <v>2040</v>
          </cell>
          <cell r="S59">
            <v>2041</v>
          </cell>
          <cell r="T59">
            <v>2042</v>
          </cell>
          <cell r="U59">
            <v>2043</v>
          </cell>
          <cell r="V59">
            <v>2044</v>
          </cell>
          <cell r="W59">
            <v>2045</v>
          </cell>
          <cell r="X59">
            <v>2046</v>
          </cell>
          <cell r="Y59">
            <v>2047</v>
          </cell>
          <cell r="Z59">
            <v>2048</v>
          </cell>
          <cell r="AA59">
            <v>2049</v>
          </cell>
          <cell r="AB59">
            <v>2050</v>
          </cell>
          <cell r="AC59">
            <v>2051</v>
          </cell>
          <cell r="AD59">
            <v>2052</v>
          </cell>
          <cell r="AE59">
            <v>2053</v>
          </cell>
          <cell r="AF59">
            <v>2054</v>
          </cell>
          <cell r="AG59">
            <v>2055</v>
          </cell>
          <cell r="AH59">
            <v>2056</v>
          </cell>
          <cell r="AI59">
            <v>2057</v>
          </cell>
          <cell r="AJ59">
            <v>2058</v>
          </cell>
          <cell r="AK59">
            <v>2059</v>
          </cell>
          <cell r="AL59">
            <v>2060</v>
          </cell>
          <cell r="AM59">
            <v>2061</v>
          </cell>
          <cell r="AN59">
            <v>2062</v>
          </cell>
          <cell r="AO59">
            <v>2063</v>
          </cell>
          <cell r="AP59">
            <v>2064</v>
          </cell>
          <cell r="AQ59">
            <v>2065</v>
          </cell>
          <cell r="AR59">
            <v>2066</v>
          </cell>
          <cell r="AS59">
            <v>2067</v>
          </cell>
          <cell r="AT59">
            <v>2068</v>
          </cell>
          <cell r="AU59">
            <v>2069</v>
          </cell>
          <cell r="AV59">
            <v>2070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7.8831728922423849E-8</v>
          </cell>
          <cell r="S60">
            <v>1.6159655458203304E-7</v>
          </cell>
          <cell r="T60">
            <v>8.4239573427957737E-7</v>
          </cell>
          <cell r="U60">
            <v>1.7071815126001866E-6</v>
          </cell>
          <cell r="V60">
            <v>4.5575417029208865E-6</v>
          </cell>
          <cell r="W60">
            <v>1.0504919295772908E-5</v>
          </cell>
          <cell r="X60">
            <v>1.6922768165672508E-5</v>
          </cell>
          <cell r="Y60">
            <v>2.6775335893791663E-5</v>
          </cell>
          <cell r="Z60">
            <v>3.4697693927832063E-5</v>
          </cell>
          <cell r="AA60">
            <v>5.8331689896551353E-5</v>
          </cell>
          <cell r="AB60">
            <v>9.0823693120745119E-5</v>
          </cell>
          <cell r="AC60">
            <v>1.4281128012183508E-4</v>
          </cell>
          <cell r="AD60">
            <v>2.129227191769445E-4</v>
          </cell>
          <cell r="AE60">
            <v>2.9528278721469015E-4</v>
          </cell>
          <cell r="AF60">
            <v>4.6223813638524014E-4</v>
          </cell>
          <cell r="AG60">
            <v>5.3570486267351392E-4</v>
          </cell>
          <cell r="AH60">
            <v>7.1738333997672932E-4</v>
          </cell>
          <cell r="AI60">
            <v>9.4487777559693065E-4</v>
          </cell>
          <cell r="AJ60">
            <v>1.1540219152668119E-3</v>
          </cell>
          <cell r="AK60">
            <v>1.3081573632558463E-3</v>
          </cell>
          <cell r="AL60">
            <v>1.6260411026804977E-3</v>
          </cell>
          <cell r="AM60">
            <v>2.1194312285206518E-3</v>
          </cell>
          <cell r="AN60">
            <v>2.5144916927277716E-3</v>
          </cell>
          <cell r="AO60">
            <v>3.0027738130522508E-3</v>
          </cell>
          <cell r="AP60">
            <v>3.4833319266915908E-3</v>
          </cell>
          <cell r="AQ60">
            <v>3.832394140431461E-3</v>
          </cell>
          <cell r="AR60">
            <v>4.3196776999343545E-3</v>
          </cell>
          <cell r="AS60">
            <v>4.8482307629142962E-3</v>
          </cell>
          <cell r="AT60">
            <v>5.3281661814086334E-3</v>
          </cell>
          <cell r="AU60">
            <v>5.7687290157186766E-3</v>
          </cell>
          <cell r="AV60">
            <v>6.3119517160115102E-3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9.0840808208980661E-8</v>
          </cell>
          <cell r="S61">
            <v>1.6020031523567013E-7</v>
          </cell>
          <cell r="T61">
            <v>2.0922476351437069E-7</v>
          </cell>
          <cell r="U61">
            <v>7.8721936014325422E-7</v>
          </cell>
          <cell r="V61">
            <v>4.0504944724961689E-6</v>
          </cell>
          <cell r="W61">
            <v>7.8050599818801913E-6</v>
          </cell>
          <cell r="X61">
            <v>1.6568131027128175E-5</v>
          </cell>
          <cell r="Y61">
            <v>2.365417287997218E-5</v>
          </cell>
          <cell r="Z61">
            <v>2.801105391037062E-5</v>
          </cell>
          <cell r="AA61">
            <v>4.1478166926234294E-5</v>
          </cell>
          <cell r="AB61">
            <v>6.0845193095238059E-5</v>
          </cell>
          <cell r="AC61">
            <v>1.0416751893305154E-4</v>
          </cell>
          <cell r="AD61">
            <v>1.5523719658383506E-4</v>
          </cell>
          <cell r="AE61">
            <v>1.8702337233311717E-4</v>
          </cell>
          <cell r="AF61">
            <v>3.1095719087326223E-4</v>
          </cell>
          <cell r="AG61">
            <v>3.6178788846874532E-4</v>
          </cell>
          <cell r="AH61">
            <v>4.8262584939173792E-4</v>
          </cell>
          <cell r="AI61">
            <v>6.250520491868361E-4</v>
          </cell>
          <cell r="AJ61">
            <v>7.8516023225772003E-4</v>
          </cell>
          <cell r="AK61">
            <v>9.0803573551911931E-4</v>
          </cell>
          <cell r="AL61">
            <v>1.0623205163582394E-3</v>
          </cell>
          <cell r="AM61">
            <v>1.3425690289179393E-3</v>
          </cell>
          <cell r="AN61">
            <v>1.5998899947688994E-3</v>
          </cell>
          <cell r="AO61">
            <v>1.9305888627274559E-3</v>
          </cell>
          <cell r="AP61">
            <v>2.2424376371683596E-3</v>
          </cell>
          <cell r="AQ61">
            <v>2.4284239256819884E-3</v>
          </cell>
          <cell r="AR61">
            <v>2.7152887950745441E-3</v>
          </cell>
          <cell r="AS61">
            <v>3.0857087915754366E-3</v>
          </cell>
          <cell r="AT61">
            <v>3.4679173257035067E-3</v>
          </cell>
          <cell r="AU61">
            <v>3.730606490153221E-3</v>
          </cell>
          <cell r="AV61">
            <v>4.0883105981210921E-3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-1.4379527668584302E-7</v>
          </cell>
          <cell r="W62">
            <v>-2.3727039522025706E-7</v>
          </cell>
          <cell r="X62">
            <v>5.6248341429032678E-7</v>
          </cell>
          <cell r="Y62">
            <v>2.2943821149645771E-6</v>
          </cell>
          <cell r="Z62">
            <v>-1.245153075868366E-6</v>
          </cell>
          <cell r="AA62">
            <v>3.2028910812442746E-7</v>
          </cell>
          <cell r="AB62">
            <v>1.4399349445914922E-5</v>
          </cell>
          <cell r="AC62">
            <v>2.0033582062595201E-5</v>
          </cell>
          <cell r="AD62">
            <v>2.173345623024403E-5</v>
          </cell>
          <cell r="AE62">
            <v>2.5186734945892297E-5</v>
          </cell>
          <cell r="AF62">
            <v>6.4263721452961775E-5</v>
          </cell>
          <cell r="AG62">
            <v>7.0927284015587233E-5</v>
          </cell>
          <cell r="AH62">
            <v>9.5196388162355206E-5</v>
          </cell>
          <cell r="AI62">
            <v>1.4231464530412019E-4</v>
          </cell>
          <cell r="AJ62">
            <v>1.6394576408229611E-4</v>
          </cell>
          <cell r="AK62">
            <v>1.7208239427612959E-4</v>
          </cell>
          <cell r="AL62">
            <v>2.000977883023225E-4</v>
          </cell>
          <cell r="AM62">
            <v>2.4713639185103276E-4</v>
          </cell>
          <cell r="AN62">
            <v>2.8567034295723381E-4</v>
          </cell>
          <cell r="AO62">
            <v>3.2221965962908605E-4</v>
          </cell>
          <cell r="AP62">
            <v>3.7224631441223899E-4</v>
          </cell>
          <cell r="AQ62">
            <v>3.2611747348076925E-4</v>
          </cell>
          <cell r="AR62">
            <v>3.0679096204089262E-4</v>
          </cell>
          <cell r="AS62">
            <v>3.2155265142108647E-4</v>
          </cell>
          <cell r="AT62">
            <v>3.2415479221881149E-4</v>
          </cell>
          <cell r="AU62">
            <v>3.005198045291646E-4</v>
          </cell>
          <cell r="AV62">
            <v>2.5556661637327061E-4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1.0770822396199975E-6</v>
          </cell>
          <cell r="Y63">
            <v>5.0120386330121391E-7</v>
          </cell>
          <cell r="Z63">
            <v>-1.8697129727796025E-6</v>
          </cell>
          <cell r="AA63">
            <v>1.2309824408696102E-6</v>
          </cell>
          <cell r="AB63">
            <v>1.135641428762213E-5</v>
          </cell>
          <cell r="AC63">
            <v>1.278315628105986E-5</v>
          </cell>
          <cell r="AD63">
            <v>1.0619810336898183E-5</v>
          </cell>
          <cell r="AE63">
            <v>1.359964282787729E-5</v>
          </cell>
          <cell r="AF63">
            <v>3.73207720736346E-5</v>
          </cell>
          <cell r="AG63">
            <v>3.726327130415541E-5</v>
          </cell>
          <cell r="AH63">
            <v>5.7215726242398901E-5</v>
          </cell>
          <cell r="AI63">
            <v>7.2439257899681309E-5</v>
          </cell>
          <cell r="AJ63">
            <v>7.6397945419914848E-5</v>
          </cell>
          <cell r="AK63">
            <v>8.4556340931962737E-5</v>
          </cell>
          <cell r="AL63">
            <v>1.1964494112381985E-4</v>
          </cell>
          <cell r="AM63">
            <v>1.6237393717477566E-4</v>
          </cell>
          <cell r="AN63">
            <v>1.6695368597163807E-4</v>
          </cell>
          <cell r="AO63">
            <v>1.9313348942562314E-4</v>
          </cell>
          <cell r="AP63">
            <v>2.3616572647844336E-4</v>
          </cell>
          <cell r="AQ63">
            <v>2.0416360808672707E-4</v>
          </cell>
          <cell r="AR63">
            <v>2.1278574118843707E-4</v>
          </cell>
          <cell r="AS63">
            <v>2.3162716988633925E-4</v>
          </cell>
          <cell r="AT63">
            <v>2.6120057942691233E-4</v>
          </cell>
          <cell r="AU63">
            <v>2.7320115625850683E-4</v>
          </cell>
          <cell r="AV63">
            <v>2.7974932216823234E-4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2.1408179865289867E-5</v>
          </cell>
          <cell r="AA64">
            <v>4.5500352621186124E-6</v>
          </cell>
          <cell r="AB64">
            <v>5.0641308532162199E-5</v>
          </cell>
          <cell r="AC64">
            <v>-7.0115340808918347E-6</v>
          </cell>
          <cell r="AD64">
            <v>-4.5508130420590653E-5</v>
          </cell>
          <cell r="AE64">
            <v>-9.6031497086590534E-6</v>
          </cell>
          <cell r="AF64">
            <v>3.7975950065938235E-5</v>
          </cell>
          <cell r="AG64">
            <v>3.6011530888391263E-5</v>
          </cell>
          <cell r="AH64">
            <v>4.6496333361512043E-5</v>
          </cell>
          <cell r="AI64">
            <v>6.5448459385164526E-5</v>
          </cell>
          <cell r="AJ64">
            <v>5.4361547341397198E-5</v>
          </cell>
          <cell r="AK64">
            <v>5.5083602503946949E-5</v>
          </cell>
          <cell r="AL64">
            <v>6.9443571737659582E-5</v>
          </cell>
          <cell r="AM64">
            <v>2.8748173979797897E-4</v>
          </cell>
          <cell r="AN64">
            <v>2.2979630593544798E-4</v>
          </cell>
          <cell r="AO64">
            <v>6.6889162027683469E-5</v>
          </cell>
          <cell r="AP64">
            <v>1.7906529035105478E-4</v>
          </cell>
          <cell r="AQ64">
            <v>3.0228743870397423E-4</v>
          </cell>
          <cell r="AR64">
            <v>3.2149134422865266E-4</v>
          </cell>
          <cell r="AS64">
            <v>4.3194098155141525E-4</v>
          </cell>
          <cell r="AT64">
            <v>3.368012531452802E-4</v>
          </cell>
          <cell r="AU64">
            <v>2.6361155483556331E-4</v>
          </cell>
          <cell r="AV64">
            <v>2.944827145825446E-4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5.3344425983148369E-6</v>
          </cell>
          <cell r="U65">
            <v>7.4491532791043369E-6</v>
          </cell>
          <cell r="V65">
            <v>8.0330366267755693E-6</v>
          </cell>
          <cell r="W65">
            <v>3.1978872598648067E-5</v>
          </cell>
          <cell r="X65">
            <v>1.9945797744780336E-5</v>
          </cell>
          <cell r="Y65">
            <v>5.2886943561203381E-5</v>
          </cell>
          <cell r="Z65">
            <v>8.6426042042786477E-5</v>
          </cell>
          <cell r="AA65">
            <v>1.7449364406552093E-4</v>
          </cell>
          <cell r="AB65">
            <v>3.3015629891730569E-4</v>
          </cell>
          <cell r="AC65">
            <v>4.978932631360955E-4</v>
          </cell>
          <cell r="AD65">
            <v>7.4064523805739135E-4</v>
          </cell>
          <cell r="AE65">
            <v>1.2784294646657202E-3</v>
          </cell>
          <cell r="AF65">
            <v>1.8997680782879556E-3</v>
          </cell>
          <cell r="AG65">
            <v>2.2131664532056838E-3</v>
          </cell>
          <cell r="AH65">
            <v>3.0307579064501322E-3</v>
          </cell>
          <cell r="AI65">
            <v>4.1475724880564169E-3</v>
          </cell>
          <cell r="AJ65">
            <v>4.8943814115207651E-3</v>
          </cell>
          <cell r="AK65">
            <v>5.4596221884810614E-3</v>
          </cell>
          <cell r="AL65">
            <v>7.5189902490611082E-3</v>
          </cell>
          <cell r="AM65">
            <v>1.0109120420673801E-2</v>
          </cell>
          <cell r="AN65">
            <v>1.2007588655939427E-2</v>
          </cell>
          <cell r="AO65">
            <v>1.4170368996104576E-2</v>
          </cell>
          <cell r="AP65">
            <v>1.65919189190602E-2</v>
          </cell>
          <cell r="AQ65">
            <v>1.8550944462828678E-2</v>
          </cell>
          <cell r="AR65">
            <v>2.1189346578515567E-2</v>
          </cell>
          <cell r="AS65">
            <v>2.3427538385415225E-2</v>
          </cell>
          <cell r="AT65">
            <v>2.4983981156119661E-2</v>
          </cell>
          <cell r="AU65">
            <v>2.7226508357860446E-2</v>
          </cell>
          <cell r="AV65">
            <v>2.9749310328623046E-2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2.0048330579891527E-5</v>
          </cell>
          <cell r="Y66">
            <v>1.2589479441826867E-5</v>
          </cell>
          <cell r="Z66">
            <v>2.8079028926430993E-6</v>
          </cell>
          <cell r="AA66">
            <v>4.0469088544714538E-6</v>
          </cell>
          <cell r="AB66">
            <v>2.5553915677489769E-5</v>
          </cell>
          <cell r="AC66">
            <v>1.0014032199623379E-4</v>
          </cell>
          <cell r="AD66">
            <v>1.3691201603927006E-4</v>
          </cell>
          <cell r="AE66">
            <v>1.162455945020735E-4</v>
          </cell>
          <cell r="AF66">
            <v>3.2287836172284479E-4</v>
          </cell>
          <cell r="AG66">
            <v>3.4472336621860222E-4</v>
          </cell>
          <cell r="AH66">
            <v>4.5979366865056548E-4</v>
          </cell>
          <cell r="AI66">
            <v>5.5979894055524504E-4</v>
          </cell>
          <cell r="AJ66">
            <v>6.9919844803290054E-4</v>
          </cell>
          <cell r="AK66">
            <v>6.1178821685414775E-4</v>
          </cell>
          <cell r="AL66">
            <v>7.5029782101831977E-4</v>
          </cell>
          <cell r="AM66">
            <v>1.0146272193913841E-3</v>
          </cell>
          <cell r="AN66">
            <v>1.4012866258512613E-3</v>
          </cell>
          <cell r="AO66">
            <v>1.5305067050015442E-3</v>
          </cell>
          <cell r="AP66">
            <v>1.7997566208718396E-3</v>
          </cell>
          <cell r="AQ66">
            <v>1.6704350864555906E-3</v>
          </cell>
          <cell r="AR66">
            <v>1.88735407351448E-3</v>
          </cell>
          <cell r="AS66">
            <v>2.2720259380957231E-3</v>
          </cell>
          <cell r="AT66">
            <v>2.3320090922678283E-3</v>
          </cell>
          <cell r="AU66">
            <v>2.0877706302109278E-3</v>
          </cell>
          <cell r="AV66">
            <v>2.2311903586809123E-3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3.5928276576058238E-8</v>
          </cell>
          <cell r="AA67">
            <v>-4.1565410291433125E-7</v>
          </cell>
          <cell r="AB67">
            <v>-4.2771934005703116E-7</v>
          </cell>
          <cell r="AC67">
            <v>1.1853256953742175E-6</v>
          </cell>
          <cell r="AD67">
            <v>5.4491564815961624E-7</v>
          </cell>
          <cell r="AE67">
            <v>2.7171469589859498E-6</v>
          </cell>
          <cell r="AF67">
            <v>1.658362548706549E-5</v>
          </cell>
          <cell r="AG67">
            <v>5.2802251319539195E-5</v>
          </cell>
          <cell r="AH67">
            <v>1.099471151222442E-4</v>
          </cell>
          <cell r="AI67">
            <v>9.666712307310199E-5</v>
          </cell>
          <cell r="AJ67">
            <v>8.8867136732950769E-5</v>
          </cell>
          <cell r="AK67">
            <v>1.2252951243674204E-4</v>
          </cell>
          <cell r="AL67">
            <v>1.481071031919079E-4</v>
          </cell>
          <cell r="AM67">
            <v>1.963541151921433E-4</v>
          </cell>
          <cell r="AN67">
            <v>2.3596510232737344E-4</v>
          </cell>
          <cell r="AO67">
            <v>2.2677846607854768E-4</v>
          </cell>
          <cell r="AP67">
            <v>2.3883350252518198E-4</v>
          </cell>
          <cell r="AQ67">
            <v>2.0655018881510223E-4</v>
          </cell>
          <cell r="AR67">
            <v>1.6416820340281468E-4</v>
          </cell>
          <cell r="AS67">
            <v>1.8361592378113301E-4</v>
          </cell>
          <cell r="AT67">
            <v>2.4674446463346378E-4</v>
          </cell>
          <cell r="AU67">
            <v>1.2767085019116386E-4</v>
          </cell>
          <cell r="AV67">
            <v>1.6866710389962236E-4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9.3999847883274867E-7</v>
          </cell>
          <cell r="S68">
            <v>1.6662767112762822E-6</v>
          </cell>
          <cell r="T68">
            <v>2.1908688312421987E-6</v>
          </cell>
          <cell r="U68">
            <v>8.3091131637402782E-6</v>
          </cell>
          <cell r="V68">
            <v>4.3878297710575609E-5</v>
          </cell>
          <cell r="W68">
            <v>8.5065064920675226E-5</v>
          </cell>
          <cell r="X68">
            <v>1.6972658098968196E-4</v>
          </cell>
          <cell r="Y68">
            <v>2.4231873947155869E-4</v>
          </cell>
          <cell r="Z68">
            <v>3.1490369981757027E-4</v>
          </cell>
          <cell r="AA68">
            <v>4.3705648298897337E-4</v>
          </cell>
          <cell r="AB68">
            <v>5.4253314845409406E-4</v>
          </cell>
          <cell r="AC68">
            <v>9.727802314927203E-4</v>
          </cell>
          <cell r="AD68">
            <v>1.575779091382179E-3</v>
          </cell>
          <cell r="AE68">
            <v>1.8711865526255256E-3</v>
          </cell>
          <cell r="AF68">
            <v>2.9102423406346389E-3</v>
          </cell>
          <cell r="AG68">
            <v>3.5172921075303787E-3</v>
          </cell>
          <cell r="AH68">
            <v>4.7267035766396237E-3</v>
          </cell>
          <cell r="AI68">
            <v>6.3037208158880365E-3</v>
          </cell>
          <cell r="AJ68">
            <v>8.075496723355613E-3</v>
          </cell>
          <cell r="AK68">
            <v>9.5938609160906019E-3</v>
          </cell>
          <cell r="AL68">
            <v>1.1320639822568701E-2</v>
          </cell>
          <cell r="AM68">
            <v>1.4296618868851807E-2</v>
          </cell>
          <cell r="AN68">
            <v>1.7392423132353896E-2</v>
          </cell>
          <cell r="AO68">
            <v>2.1576467227354401E-2</v>
          </cell>
          <cell r="AP68">
            <v>2.5266731599991044E-2</v>
          </cell>
          <cell r="AQ68">
            <v>2.8474698352066286E-2</v>
          </cell>
          <cell r="AR68">
            <v>3.2654298813279636E-2</v>
          </cell>
          <cell r="AS68">
            <v>3.7328502803961827E-2</v>
          </cell>
          <cell r="AT68">
            <v>4.2407095830532704E-2</v>
          </cell>
          <cell r="AU68">
            <v>4.6778910442836663E-2</v>
          </cell>
          <cell r="AV68">
            <v>5.2013465679594306E-2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7.0933687812413382E-8</v>
          </cell>
          <cell r="S69">
            <v>8.5788452786061953E-7</v>
          </cell>
          <cell r="T69">
            <v>1.2763643684188253E-6</v>
          </cell>
          <cell r="U69">
            <v>6.0273126081256123E-6</v>
          </cell>
          <cell r="V69">
            <v>6.525946595115073E-6</v>
          </cell>
          <cell r="W69">
            <v>1.0371833059297231E-5</v>
          </cell>
          <cell r="X69">
            <v>1.6867831678535339E-5</v>
          </cell>
          <cell r="Y69">
            <v>2.6098362216453452E-5</v>
          </cell>
          <cell r="Z69">
            <v>5.2240177461637671E-5</v>
          </cell>
          <cell r="AA69">
            <v>1.6455624745259634E-4</v>
          </cell>
          <cell r="AB69">
            <v>1.8643572448762136E-4</v>
          </cell>
          <cell r="AC69">
            <v>1.3294744168024231E-4</v>
          </cell>
          <cell r="AD69">
            <v>2.5854016199211571E-4</v>
          </cell>
          <cell r="AE69">
            <v>5.0519508784185874E-4</v>
          </cell>
          <cell r="AF69">
            <v>6.2302216932308419E-4</v>
          </cell>
          <cell r="AG69">
            <v>7.9923744649468276E-4</v>
          </cell>
          <cell r="AH69">
            <v>1.0651332550253301E-3</v>
          </cell>
          <cell r="AI69">
            <v>1.4024332115101235E-3</v>
          </cell>
          <cell r="AJ69">
            <v>1.7240760376981967E-3</v>
          </cell>
          <cell r="AK69">
            <v>1.8073247690792993E-3</v>
          </cell>
          <cell r="AL69">
            <v>2.398826233285023E-3</v>
          </cell>
          <cell r="AM69">
            <v>3.8113851930350329E-3</v>
          </cell>
          <cell r="AN69">
            <v>4.4212950771360671E-3</v>
          </cell>
          <cell r="AO69">
            <v>5.1981543831229882E-3</v>
          </cell>
          <cell r="AP69">
            <v>5.6443997350124064E-3</v>
          </cell>
          <cell r="AQ69">
            <v>6.9622077190043541E-3</v>
          </cell>
          <cell r="AR69">
            <v>7.9318656154536704E-3</v>
          </cell>
          <cell r="AS69">
            <v>8.9622311939885346E-3</v>
          </cell>
          <cell r="AT69">
            <v>9.870293193533719E-3</v>
          </cell>
          <cell r="AU69">
            <v>1.1121904492722878E-2</v>
          </cell>
          <cell r="AV69">
            <v>1.2233000186720799E-2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2.7350187754349164E-5</v>
          </cell>
          <cell r="AB70">
            <v>1.6662736981976067E-5</v>
          </cell>
          <cell r="AC70">
            <v>6.0780760672063394E-5</v>
          </cell>
          <cell r="AD70">
            <v>5.3787262211724141E-5</v>
          </cell>
          <cell r="AE70">
            <v>1.2415526153852774E-4</v>
          </cell>
          <cell r="AF70">
            <v>2.0999752562622653E-4</v>
          </cell>
          <cell r="AG70">
            <v>1.4577107487245833E-4</v>
          </cell>
          <cell r="AH70">
            <v>1.7767048751271552E-4</v>
          </cell>
          <cell r="AI70">
            <v>3.1806191088223912E-5</v>
          </cell>
          <cell r="AJ70">
            <v>1.7294433378012286E-4</v>
          </cell>
          <cell r="AK70">
            <v>2.575595824731991E-4</v>
          </cell>
          <cell r="AL70">
            <v>2.5651057338915706E-4</v>
          </cell>
          <cell r="AM70">
            <v>4.2928212360604512E-4</v>
          </cell>
          <cell r="AN70">
            <v>4.2989377940938489E-4</v>
          </cell>
          <cell r="AO70">
            <v>4.4581264591170289E-4</v>
          </cell>
          <cell r="AP70">
            <v>4.6422524176525926E-4</v>
          </cell>
          <cell r="AQ70">
            <v>3.3711790703461197E-4</v>
          </cell>
          <cell r="AR70">
            <v>1.754565538019115E-4</v>
          </cell>
          <cell r="AS70">
            <v>3.3639350519321098E-4</v>
          </cell>
          <cell r="AT70">
            <v>6.4578397525894005E-4</v>
          </cell>
          <cell r="AU70">
            <v>3.5501041837293634E-4</v>
          </cell>
          <cell r="AV70">
            <v>4.9438662539946776E-4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1.2290988718355322E-5</v>
          </cell>
          <cell r="Y71">
            <v>2.2378963794755791E-5</v>
          </cell>
          <cell r="Z71">
            <v>3.7865658140567859E-5</v>
          </cell>
          <cell r="AA71">
            <v>8.2221855995934234E-5</v>
          </cell>
          <cell r="AB71">
            <v>1.3958274510250668E-4</v>
          </cell>
          <cell r="AC71">
            <v>2.3149237115105414E-4</v>
          </cell>
          <cell r="AD71">
            <v>3.4606422875271825E-4</v>
          </cell>
          <cell r="AE71">
            <v>4.8394560523634667E-4</v>
          </cell>
          <cell r="AF71">
            <v>1.0114678906301133E-3</v>
          </cell>
          <cell r="AG71">
            <v>9.8331786509442409E-4</v>
          </cell>
          <cell r="AH71">
            <v>1.2798931814952397E-3</v>
          </cell>
          <cell r="AI71">
            <v>1.7912767469201452E-3</v>
          </cell>
          <cell r="AJ71">
            <v>1.7855623566562784E-3</v>
          </cell>
          <cell r="AK71">
            <v>1.7176930264242163E-3</v>
          </cell>
          <cell r="AL71">
            <v>2.2196045077751414E-3</v>
          </cell>
          <cell r="AM71">
            <v>3.0028248549396341E-3</v>
          </cell>
          <cell r="AN71">
            <v>3.5847269501358969E-3</v>
          </cell>
          <cell r="AO71">
            <v>4.4670334046204019E-3</v>
          </cell>
          <cell r="AP71">
            <v>5.1552848945888297E-3</v>
          </cell>
          <cell r="AQ71">
            <v>5.2991066738006243E-3</v>
          </cell>
          <cell r="AR71">
            <v>5.4777149084448418E-3</v>
          </cell>
          <cell r="AS71">
            <v>5.5731226540416401E-3</v>
          </cell>
          <cell r="AT71">
            <v>5.3400298733294882E-3</v>
          </cell>
          <cell r="AU71">
            <v>5.3880458707633583E-3</v>
          </cell>
          <cell r="AV71">
            <v>5.251552997028508E-3</v>
          </cell>
        </row>
      </sheetData>
      <sheetData sheetId="11"/>
      <sheetData sheetId="1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pmcv_nb enf"/>
      <sheetName val="pmcv_régime"/>
      <sheetName val="pmcv_régime_prés_Rébecca"/>
      <sheetName val="pmcv_quintile"/>
      <sheetName val="Pm68ans"/>
      <sheetName val="Pm68_quintiles_Ensemble"/>
      <sheetName val="Ecarts_masses"/>
      <sheetName val="HF2_génération"/>
      <sheetName val="HF2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-3.2193994326670179</v>
          </cell>
          <cell r="F4">
            <v>4.0092885925801625E-2</v>
          </cell>
          <cell r="G4">
            <v>1.4382383465727511E-3</v>
          </cell>
          <cell r="H4">
            <v>5.3577656771097715E-4</v>
          </cell>
        </row>
        <row r="5">
          <cell r="B5" t="str">
            <v>Hommes</v>
          </cell>
          <cell r="D5" t="str">
            <v>Ensemble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-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-1.5721505097280044</v>
          </cell>
          <cell r="F7">
            <v>4.6663418113496391E-2</v>
          </cell>
          <cell r="G7">
            <v>-1.9066394240754292E-3</v>
          </cell>
          <cell r="H7">
            <v>-3.9939413000735779E-3</v>
          </cell>
        </row>
        <row r="8">
          <cell r="D8">
            <v>2</v>
          </cell>
          <cell r="E8">
            <v>-3.3400570074730069</v>
          </cell>
          <cell r="F8">
            <v>4.5935244371705153E-2</v>
          </cell>
          <cell r="G8">
            <v>2.3283347563884949E-3</v>
          </cell>
          <cell r="H8">
            <v>1.1932539555554733E-3</v>
          </cell>
        </row>
        <row r="9">
          <cell r="D9" t="str">
            <v>3 et plus</v>
          </cell>
          <cell r="E9">
            <v>-5.4445145727850104</v>
          </cell>
          <cell r="F9">
            <v>4.3330573093200542E-2</v>
          </cell>
          <cell r="G9">
            <v>2.9902596729740605E-3</v>
          </cell>
          <cell r="H9">
            <v>2.8072361393929324E-3</v>
          </cell>
        </row>
        <row r="10">
          <cell r="B10" t="str">
            <v>Selon le régime d'affiliation</v>
          </cell>
        </row>
        <row r="11">
          <cell r="B11" t="str">
            <v>Femmes</v>
          </cell>
          <cell r="C11" t="str">
            <v>Mono Lura</v>
          </cell>
          <cell r="D11">
            <v>1</v>
          </cell>
          <cell r="E11">
            <v>-2.3907319118150099</v>
          </cell>
          <cell r="F11">
            <v>8.7462958301301796E-2</v>
          </cell>
          <cell r="G11">
            <v>-7.6424049019214735E-3</v>
          </cell>
          <cell r="H11">
            <v>-1.1381782545095032E-2</v>
          </cell>
        </row>
        <row r="12">
          <cell r="D12">
            <v>2</v>
          </cell>
          <cell r="E12">
            <v>-4.9273811627279827</v>
          </cell>
          <cell r="F12">
            <v>9.8631463651500439E-2</v>
          </cell>
          <cell r="G12">
            <v>-1.0849796368589293E-2</v>
          </cell>
          <cell r="H12">
            <v>-1.4843465472031303E-2</v>
          </cell>
        </row>
        <row r="13">
          <cell r="D13" t="str">
            <v>3 et plus</v>
          </cell>
          <cell r="E13">
            <v>-7.8961483604059879</v>
          </cell>
          <cell r="F13">
            <v>0.10050373819629499</v>
          </cell>
          <cell r="G13">
            <v>-1.214461198981287E-2</v>
          </cell>
          <cell r="H13">
            <v>-1.5113618121088468E-2</v>
          </cell>
        </row>
        <row r="14">
          <cell r="C14" t="str">
            <v>Mono FP-RS</v>
          </cell>
          <cell r="D14">
            <v>1</v>
          </cell>
          <cell r="E14">
            <v>0.8745506400129841</v>
          </cell>
          <cell r="F14">
            <v>-0.1152831532888996</v>
          </cell>
          <cell r="G14">
            <v>-7.8911145772223579E-3</v>
          </cell>
          <cell r="H14">
            <v>-7.4671881487374803E-3</v>
          </cell>
        </row>
        <row r="15">
          <cell r="D15">
            <v>2</v>
          </cell>
          <cell r="E15">
            <v>2.0027253846189979</v>
          </cell>
          <cell r="F15">
            <v>-0.17035197849610029</v>
          </cell>
          <cell r="G15">
            <v>3.6234157746147355E-2</v>
          </cell>
          <cell r="H15">
            <v>4.3534513222920124E-2</v>
          </cell>
        </row>
        <row r="16">
          <cell r="D16" t="str">
            <v>3 et plus</v>
          </cell>
          <cell r="E16">
            <v>3.5725269473109904</v>
          </cell>
          <cell r="F16">
            <v>-0.1877432594018984</v>
          </cell>
          <cell r="G16">
            <v>4.2887956438972141E-2</v>
          </cell>
          <cell r="H16">
            <v>5.2698182589999476E-2</v>
          </cell>
        </row>
        <row r="17">
          <cell r="C17" t="str">
            <v>Mono MSAE-PLIB</v>
          </cell>
          <cell r="D17">
            <v>1</v>
          </cell>
          <cell r="E17">
            <v>-3.2430300840970006</v>
          </cell>
          <cell r="F17">
            <v>2.0135902700900488E-2</v>
          </cell>
          <cell r="G17">
            <v>2.3728177959543295E-3</v>
          </cell>
          <cell r="H17">
            <v>-1.0036242372227777E-3</v>
          </cell>
        </row>
        <row r="18">
          <cell r="D18">
            <v>2</v>
          </cell>
          <cell r="E18">
            <v>-0.10612630112500199</v>
          </cell>
          <cell r="F18">
            <v>3.551817000459323E-2</v>
          </cell>
          <cell r="G18">
            <v>3.0685540936646882E-2</v>
          </cell>
          <cell r="H18">
            <v>2.8178493345753175E-2</v>
          </cell>
        </row>
        <row r="19">
          <cell r="D19" t="str">
            <v>3 et plus</v>
          </cell>
          <cell r="E19" t="str">
            <v>n.a</v>
          </cell>
          <cell r="F19" t="str">
            <v>n.a</v>
          </cell>
          <cell r="G19" t="str">
            <v>n.a</v>
          </cell>
          <cell r="H19" t="str">
            <v>n.a</v>
          </cell>
        </row>
        <row r="20">
          <cell r="C20" t="str">
            <v>Poly Lura-FP-RS</v>
          </cell>
          <cell r="D20">
            <v>1</v>
          </cell>
          <cell r="E20">
            <v>1.1269075784070139</v>
          </cell>
          <cell r="F20">
            <v>-7.5788914781909966E-2</v>
          </cell>
          <cell r="G20">
            <v>1.7562822245357435E-2</v>
          </cell>
          <cell r="H20">
            <v>2.1361388566015327E-2</v>
          </cell>
        </row>
        <row r="21">
          <cell r="D21">
            <v>2</v>
          </cell>
          <cell r="E21">
            <v>2.1650622285619932</v>
          </cell>
          <cell r="F21">
            <v>-0.13821046727569808</v>
          </cell>
          <cell r="G21">
            <v>3.6321363726345757E-2</v>
          </cell>
          <cell r="H21">
            <v>4.2114793451019539E-2</v>
          </cell>
        </row>
        <row r="22">
          <cell r="D22" t="str">
            <v>3 et plus</v>
          </cell>
          <cell r="E22">
            <v>3.2320339088720118</v>
          </cell>
          <cell r="F22">
            <v>-0.16684705561700497</v>
          </cell>
          <cell r="G22">
            <v>4.7626755364589046E-2</v>
          </cell>
          <cell r="H22">
            <v>5.3749357490452399E-2</v>
          </cell>
        </row>
        <row r="23">
          <cell r="C23" t="str">
            <v>Poly Lura-MSAE-PLIB</v>
          </cell>
          <cell r="D23">
            <v>1</v>
          </cell>
          <cell r="E23">
            <v>-2.3376936943270152</v>
          </cell>
          <cell r="F23">
            <v>9.6052548968003748E-2</v>
          </cell>
          <cell r="G23">
            <v>-3.5945858417093524E-3</v>
          </cell>
          <cell r="H23">
            <v>-7.4825579800811282E-3</v>
          </cell>
        </row>
        <row r="24">
          <cell r="D24">
            <v>2</v>
          </cell>
          <cell r="E24">
            <v>-5.0518325067669991</v>
          </cell>
          <cell r="F24">
            <v>0.13779141739840384</v>
          </cell>
          <cell r="G24">
            <v>-4.5694403707614573E-3</v>
          </cell>
          <cell r="H24">
            <v>-1.0054007649391905E-2</v>
          </cell>
        </row>
        <row r="25">
          <cell r="D25" t="str">
            <v>3 et plus</v>
          </cell>
          <cell r="E25">
            <v>-6.9086521297030004</v>
          </cell>
          <cell r="F25">
            <v>0.14657414266220314</v>
          </cell>
          <cell r="G25">
            <v>-1.1323837367874012E-2</v>
          </cell>
          <cell r="H25">
            <v>-1.6577584477425633E-2</v>
          </cell>
        </row>
        <row r="26">
          <cell r="B26" t="str">
            <v>Selon le quintile de pension</v>
          </cell>
        </row>
        <row r="27">
          <cell r="B27" t="str">
            <v>Femmes</v>
          </cell>
          <cell r="C27" t="str">
            <v>Q1</v>
          </cell>
          <cell r="D27">
            <v>1</v>
          </cell>
          <cell r="E27">
            <v>-2.2746110250363074</v>
          </cell>
          <cell r="F27">
            <v>4.4157530944914924E-3</v>
          </cell>
          <cell r="G27">
            <v>-1.8277753728082047E-2</v>
          </cell>
          <cell r="H27">
            <v>-1.6876685933191138E-2</v>
          </cell>
        </row>
        <row r="28">
          <cell r="D28">
            <v>2</v>
          </cell>
          <cell r="E28">
            <v>-4.7755668470099977</v>
          </cell>
          <cell r="F28">
            <v>1.6097848802303361E-2</v>
          </cell>
          <cell r="G28">
            <v>-3.5917466817349197E-2</v>
          </cell>
          <cell r="H28">
            <v>-3.6197750247711991E-2</v>
          </cell>
        </row>
        <row r="29">
          <cell r="D29" t="str">
            <v>3 et plus</v>
          </cell>
          <cell r="E29">
            <v>-7.5988922986469873</v>
          </cell>
          <cell r="F29">
            <v>1.9298425428402766E-2</v>
          </cell>
          <cell r="G29">
            <v>-5.0084647392339088E-2</v>
          </cell>
          <cell r="H29">
            <v>-5.0529581445444838E-2</v>
          </cell>
        </row>
        <row r="30">
          <cell r="C30" t="str">
            <v>Q2</v>
          </cell>
          <cell r="D30">
            <v>1</v>
          </cell>
          <cell r="E30">
            <v>-1.4964300040059868</v>
          </cell>
          <cell r="F30">
            <v>6.0025832211493935E-2</v>
          </cell>
          <cell r="G30">
            <v>-1.9474434084019165E-3</v>
          </cell>
          <cell r="H30">
            <v>-4.0457353161736931E-3</v>
          </cell>
        </row>
        <row r="31">
          <cell r="D31">
            <v>2</v>
          </cell>
          <cell r="E31">
            <v>-3.259248550609982</v>
          </cell>
          <cell r="F31">
            <v>6.4486544604193341E-2</v>
          </cell>
          <cell r="G31">
            <v>-3.8978209359263882E-4</v>
          </cell>
          <cell r="H31">
            <v>-1.0849018406241528E-3</v>
          </cell>
        </row>
        <row r="32">
          <cell r="D32" t="str">
            <v>3 et plus</v>
          </cell>
          <cell r="E32">
            <v>-6.6369989202720205</v>
          </cell>
          <cell r="F32">
            <v>0.14046430657980125</v>
          </cell>
          <cell r="G32">
            <v>-8.3869976901825849E-3</v>
          </cell>
          <cell r="H32">
            <v>-1.2050928645918058E-2</v>
          </cell>
        </row>
        <row r="33">
          <cell r="C33" t="str">
            <v>Q3</v>
          </cell>
          <cell r="D33">
            <v>1</v>
          </cell>
          <cell r="E33">
            <v>-1.2247642815469817</v>
          </cell>
          <cell r="F33">
            <v>3.1114846839798815E-2</v>
          </cell>
          <cell r="G33">
            <v>1.2806568599235124E-3</v>
          </cell>
          <cell r="H33">
            <v>2.3178886305341706E-4</v>
          </cell>
        </row>
        <row r="34">
          <cell r="D34">
            <v>2</v>
          </cell>
          <cell r="E34">
            <v>-2.7098903704930137</v>
          </cell>
          <cell r="F34">
            <v>4.4769874769500007E-2</v>
          </cell>
          <cell r="G34">
            <v>4.7227120862867178E-3</v>
          </cell>
          <cell r="H34">
            <v>3.2471170390080406E-3</v>
          </cell>
        </row>
        <row r="35">
          <cell r="D35" t="str">
            <v>3 et plus</v>
          </cell>
          <cell r="E35">
            <v>-3.6727589248179981</v>
          </cell>
          <cell r="F35">
            <v>-2.9609862569657253E-4</v>
          </cell>
          <cell r="G35">
            <v>9.2088122904412373E-3</v>
          </cell>
          <cell r="H35">
            <v>8.9334836895416103E-3</v>
          </cell>
        </row>
        <row r="36">
          <cell r="C36" t="str">
            <v>Q4</v>
          </cell>
          <cell r="D36">
            <v>1</v>
          </cell>
          <cell r="E36">
            <v>-1.3071191852120023</v>
          </cell>
          <cell r="F36">
            <v>9.7868882247098554E-2</v>
          </cell>
          <cell r="G36">
            <v>1.98234990912316E-3</v>
          </cell>
          <cell r="H36">
            <v>1.8585154002970228E-4</v>
          </cell>
        </row>
        <row r="37">
          <cell r="D37">
            <v>2</v>
          </cell>
          <cell r="E37">
            <v>-2.8173751335849886</v>
          </cell>
          <cell r="F37">
            <v>3.1209161234500016E-2</v>
          </cell>
          <cell r="G37">
            <v>6.0406521338303154E-3</v>
          </cell>
          <cell r="H37">
            <v>5.6653309939167507E-3</v>
          </cell>
        </row>
        <row r="38">
          <cell r="D38" t="str">
            <v>3 et plus</v>
          </cell>
          <cell r="E38">
            <v>-4.7174920463569947</v>
          </cell>
          <cell r="F38">
            <v>1.5897525035398985E-2</v>
          </cell>
          <cell r="G38">
            <v>1.1150218242154786E-2</v>
          </cell>
          <cell r="H38">
            <v>1.1467579692539864E-2</v>
          </cell>
        </row>
        <row r="39">
          <cell r="C39" t="str">
            <v>Q5</v>
          </cell>
          <cell r="D39">
            <v>1</v>
          </cell>
          <cell r="E39">
            <v>-1.6800100253859966</v>
          </cell>
          <cell r="F39">
            <v>5.9235776431492582E-2</v>
          </cell>
          <cell r="G39">
            <v>-4.2189501805123264E-3</v>
          </cell>
          <cell r="H39">
            <v>-8.2802321277370972E-3</v>
          </cell>
        </row>
        <row r="40">
          <cell r="D40">
            <v>2</v>
          </cell>
          <cell r="E40">
            <v>-3.6607390946919907</v>
          </cell>
          <cell r="F40">
            <v>8.1290248202293469E-2</v>
          </cell>
          <cell r="G40">
            <v>4.4837569057216697E-3</v>
          </cell>
          <cell r="H40">
            <v>1.9407448191040011E-3</v>
          </cell>
        </row>
        <row r="41">
          <cell r="D41" t="str">
            <v>3 et plus</v>
          </cell>
          <cell r="E41">
            <v>-4.9032570531380202</v>
          </cell>
          <cell r="F41">
            <v>2.6810042904699571E-2</v>
          </cell>
          <cell r="G41">
            <v>7.624443072575593E-3</v>
          </cell>
          <cell r="H41">
            <v>7.5912962769209003E-3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3.8323512141502647E-8</v>
          </cell>
          <cell r="S60">
            <v>6.7808128445534521E-8</v>
          </cell>
          <cell r="T60">
            <v>3.9571091736689823E-8</v>
          </cell>
          <cell r="U60">
            <v>6.9614914166571396E-7</v>
          </cell>
          <cell r="V60">
            <v>1.3238795051329078E-6</v>
          </cell>
          <cell r="W60">
            <v>4.0344222598243107E-6</v>
          </cell>
          <cell r="X60">
            <v>5.6685055145333507E-6</v>
          </cell>
          <cell r="Y60">
            <v>5.1029226786347692E-6</v>
          </cell>
          <cell r="Z60">
            <v>-6.2120113607511129E-6</v>
          </cell>
          <cell r="AA60">
            <v>-2.6545135336508707E-6</v>
          </cell>
          <cell r="AB60">
            <v>3.0487599298467671E-6</v>
          </cell>
          <cell r="AC60">
            <v>-8.2367581631936915E-6</v>
          </cell>
          <cell r="AD60">
            <v>-3.0029134426845516E-5</v>
          </cell>
          <cell r="AE60">
            <v>-6.1118769123513772E-5</v>
          </cell>
          <cell r="AF60">
            <v>-5.7956757801513881E-5</v>
          </cell>
          <cell r="AG60">
            <v>-8.9328832571955452E-5</v>
          </cell>
          <cell r="AH60">
            <v>-1.4216256598487131E-4</v>
          </cell>
          <cell r="AI60">
            <v>-1.4873132296511216E-4</v>
          </cell>
          <cell r="AJ60">
            <v>-1.5256502328786503E-4</v>
          </cell>
          <cell r="AK60">
            <v>-3.0070458125508459E-4</v>
          </cell>
          <cell r="AL60">
            <v>-3.2798675203626892E-4</v>
          </cell>
          <cell r="AM60">
            <v>-3.8584815869413536E-4</v>
          </cell>
          <cell r="AN60">
            <v>-3.6303799401604664E-4</v>
          </cell>
          <cell r="AO60">
            <v>-4.8387207334965598E-4</v>
          </cell>
          <cell r="AP60">
            <v>-6.2707064577005589E-4</v>
          </cell>
          <cell r="AQ60">
            <v>-7.5401144577091905E-4</v>
          </cell>
          <cell r="AR60">
            <v>-8.231158750693357E-4</v>
          </cell>
          <cell r="AS60">
            <v>-8.3835512422592018E-4</v>
          </cell>
          <cell r="AT60">
            <v>-9.4084661492521704E-4</v>
          </cell>
          <cell r="AU60">
            <v>-1.0027806443194676E-3</v>
          </cell>
          <cell r="AV60">
            <v>-1.0916421234439255E-3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4.5420402994267306E-8</v>
          </cell>
          <cell r="S61">
            <v>8.0100157617835066E-8</v>
          </cell>
          <cell r="T61">
            <v>4.6595002078930747E-8</v>
          </cell>
          <cell r="U61">
            <v>1.8461480300047128E-7</v>
          </cell>
          <cell r="V61">
            <v>1.2120966528250676E-6</v>
          </cell>
          <cell r="W61">
            <v>2.6311947409762837E-6</v>
          </cell>
          <cell r="X61">
            <v>5.3725267230575469E-6</v>
          </cell>
          <cell r="Y61">
            <v>3.1738540939851845E-6</v>
          </cell>
          <cell r="Z61">
            <v>-1.1777792011113952E-5</v>
          </cell>
          <cell r="AA61">
            <v>-8.7245952139491934E-6</v>
          </cell>
          <cell r="AB61">
            <v>-1.3283163401323073E-5</v>
          </cell>
          <cell r="AC61">
            <v>-3.5000579320376701E-5</v>
          </cell>
          <cell r="AD61">
            <v>-6.5860247834947927E-5</v>
          </cell>
          <cell r="AE61">
            <v>-1.2162143015981286E-4</v>
          </cell>
          <cell r="AF61">
            <v>-1.4608232028734403E-4</v>
          </cell>
          <cell r="AG61">
            <v>-2.0548227944872099E-4</v>
          </cell>
          <cell r="AH61">
            <v>-2.7030953468076824E-4</v>
          </cell>
          <cell r="AI61">
            <v>-3.4242179792021155E-4</v>
          </cell>
          <cell r="AJ61">
            <v>-3.8761302770895512E-4</v>
          </cell>
          <cell r="AK61">
            <v>-5.6471391627699319E-4</v>
          </cell>
          <cell r="AL61">
            <v>-6.6884581773907215E-4</v>
          </cell>
          <cell r="AM61">
            <v>-8.3430270246731553E-4</v>
          </cell>
          <cell r="AN61">
            <v>-9.143385395768977E-4</v>
          </cell>
          <cell r="AO61">
            <v>-1.1328896269450217E-3</v>
          </cell>
          <cell r="AP61">
            <v>-1.4202905886022688E-3</v>
          </cell>
          <cell r="AQ61">
            <v>-1.6329796869524182E-3</v>
          </cell>
          <cell r="AR61">
            <v>-1.8469689676924306E-3</v>
          </cell>
          <cell r="AS61">
            <v>-2.0096391347180775E-3</v>
          </cell>
          <cell r="AT61">
            <v>-2.1663029875219619E-3</v>
          </cell>
          <cell r="AU61">
            <v>-2.3609492519882647E-3</v>
          </cell>
          <cell r="AV61">
            <v>-2.5677810916068244E-3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-8.6165499402213186E-8</v>
          </cell>
          <cell r="U62">
            <v>-2.4015150223988257E-7</v>
          </cell>
          <cell r="V62">
            <v>-4.9850109962168432E-7</v>
          </cell>
          <cell r="W62">
            <v>-6.9531415980428335E-7</v>
          </cell>
          <cell r="X62">
            <v>-2.2206607186436855E-6</v>
          </cell>
          <cell r="Y62">
            <v>-6.7228511663186552E-6</v>
          </cell>
          <cell r="Z62">
            <v>-3.1961263602275913E-5</v>
          </cell>
          <cell r="AA62">
            <v>-3.7872763494428696E-5</v>
          </cell>
          <cell r="AB62">
            <v>-5.6315935607953449E-5</v>
          </cell>
          <cell r="AC62">
            <v>-9.7054352637959695E-5</v>
          </cell>
          <cell r="AD62">
            <v>-1.5235287784076679E-4</v>
          </cell>
          <cell r="AE62">
            <v>-2.5610670830145121E-4</v>
          </cell>
          <cell r="AF62">
            <v>-3.4122559445093348E-4</v>
          </cell>
          <cell r="AG62">
            <v>-4.3447416303932229E-4</v>
          </cell>
          <cell r="AH62">
            <v>-5.6703324573181835E-4</v>
          </cell>
          <cell r="AI62">
            <v>-7.1732465008200741E-4</v>
          </cell>
          <cell r="AJ62">
            <v>-8.8695045108322379E-4</v>
          </cell>
          <cell r="AK62">
            <v>-1.2343957311080622E-3</v>
          </cell>
          <cell r="AL62">
            <v>-1.5532211876873037E-3</v>
          </cell>
          <cell r="AM62">
            <v>-1.9686975258342843E-3</v>
          </cell>
          <cell r="AN62">
            <v>-2.2834731251039075E-3</v>
          </cell>
          <cell r="AO62">
            <v>-2.7214002219907441E-3</v>
          </cell>
          <cell r="AP62">
            <v>-3.2921901360911665E-3</v>
          </cell>
          <cell r="AQ62">
            <v>-3.7826355729354555E-3</v>
          </cell>
          <cell r="AR62">
            <v>-4.237383086147406E-3</v>
          </cell>
          <cell r="AS62">
            <v>-4.709142703325786E-3</v>
          </cell>
          <cell r="AT62">
            <v>-5.2666968695768146E-3</v>
          </cell>
          <cell r="AU62">
            <v>-5.7787091973445781E-3</v>
          </cell>
          <cell r="AV62">
            <v>-6.2528579075301627E-3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-6.2873582573619302E-7</v>
          </cell>
          <cell r="Y63">
            <v>-7.7382115726276623E-7</v>
          </cell>
          <cell r="Z63">
            <v>-1.9088730710992152E-5</v>
          </cell>
          <cell r="AA63">
            <v>-1.8059068914055842E-5</v>
          </cell>
          <cell r="AB63">
            <v>-2.020241733302619E-5</v>
          </cell>
          <cell r="AC63">
            <v>-4.3489888242209673E-5</v>
          </cell>
          <cell r="AD63">
            <v>-6.4435972779608441E-5</v>
          </cell>
          <cell r="AE63">
            <v>-1.0572106960693439E-4</v>
          </cell>
          <cell r="AF63">
            <v>-1.3300845084185386E-4</v>
          </cell>
          <cell r="AG63">
            <v>-1.8308816307699427E-4</v>
          </cell>
          <cell r="AH63">
            <v>-2.0754127412370149E-4</v>
          </cell>
          <cell r="AI63">
            <v>-2.5480132596289451E-4</v>
          </cell>
          <cell r="AJ63">
            <v>-3.0395636734981135E-4</v>
          </cell>
          <cell r="AK63">
            <v>-4.3037046227534237E-4</v>
          </cell>
          <cell r="AL63">
            <v>-5.115134410927924E-4</v>
          </cell>
          <cell r="AM63">
            <v>-6.4268814938228669E-4</v>
          </cell>
          <cell r="AN63">
            <v>-7.6207523433580171E-4</v>
          </cell>
          <cell r="AO63">
            <v>-9.179636097024213E-4</v>
          </cell>
          <cell r="AP63">
            <v>-1.1071072210875332E-3</v>
          </cell>
          <cell r="AQ63">
            <v>-1.2126743367975035E-3</v>
          </cell>
          <cell r="AR63">
            <v>-1.3224079440858905E-3</v>
          </cell>
          <cell r="AS63">
            <v>-1.3749954980517565E-3</v>
          </cell>
          <cell r="AT63">
            <v>-1.4577338839623089E-3</v>
          </cell>
          <cell r="AU63">
            <v>-1.5586820222495135E-3</v>
          </cell>
          <cell r="AV63">
            <v>-1.673277948901708E-3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-7.2303232800940975E-7</v>
          </cell>
          <cell r="X64">
            <v>-2.0817435960607256E-6</v>
          </cell>
          <cell r="Y64">
            <v>-4.5752453327052578E-6</v>
          </cell>
          <cell r="Z64">
            <v>-5.3728022031407363E-10</v>
          </cell>
          <cell r="AA64">
            <v>-7.7177201703859666E-6</v>
          </cell>
          <cell r="AB64">
            <v>-1.4340951217550746E-5</v>
          </cell>
          <cell r="AC64">
            <v>-7.7284758561946276E-5</v>
          </cell>
          <cell r="AD64">
            <v>-9.4025094205973936E-5</v>
          </cell>
          <cell r="AE64">
            <v>-2.995840989413745E-4</v>
          </cell>
          <cell r="AF64">
            <v>-4.7647395412153681E-4</v>
          </cell>
          <cell r="AG64">
            <v>-5.1758423196623937E-4</v>
          </cell>
          <cell r="AH64">
            <v>-4.3843076158178729E-4</v>
          </cell>
          <cell r="AI64">
            <v>-9.6906453603406995E-4</v>
          </cell>
          <cell r="AJ64">
            <v>-1.183655443541265E-3</v>
          </cell>
          <cell r="AK64">
            <v>-1.3560291740004615E-3</v>
          </cell>
          <cell r="AL64">
            <v>-1.838544293051636E-3</v>
          </cell>
          <cell r="AM64">
            <v>-1.7418586687616422E-3</v>
          </cell>
          <cell r="AN64">
            <v>-2.1230573188724122E-3</v>
          </cell>
          <cell r="AO64">
            <v>-2.1955586790373127E-3</v>
          </cell>
          <cell r="AP64">
            <v>-3.1269792445861588E-3</v>
          </cell>
          <cell r="AQ64">
            <v>-3.8082431933617045E-3</v>
          </cell>
          <cell r="AR64">
            <v>-4.2587962550154623E-3</v>
          </cell>
          <cell r="AS64">
            <v>-5.0412690320545961E-3</v>
          </cell>
          <cell r="AT64">
            <v>-5.9104066108142117E-3</v>
          </cell>
          <cell r="AU64">
            <v>-6.1877798718605881E-3</v>
          </cell>
          <cell r="AV64">
            <v>-6.4898859347600757E-3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4.6846084456042547E-6</v>
          </cell>
          <cell r="V65">
            <v>2.5618001744387442E-6</v>
          </cell>
          <cell r="W65">
            <v>1.6202390765496233E-5</v>
          </cell>
          <cell r="X65">
            <v>9.2818000032579562E-6</v>
          </cell>
          <cell r="Y65">
            <v>2.1993085875360308E-5</v>
          </cell>
          <cell r="Z65">
            <v>3.7985023653153149E-5</v>
          </cell>
          <cell r="AA65">
            <v>4.615764074955564E-5</v>
          </cell>
          <cell r="AB65">
            <v>1.4303060609832663E-4</v>
          </cell>
          <cell r="AC65">
            <v>2.2664351530776727E-4</v>
          </cell>
          <cell r="AD65">
            <v>2.8130004408688514E-4</v>
          </cell>
          <cell r="AE65">
            <v>4.7989571774298412E-4</v>
          </cell>
          <cell r="AF65">
            <v>7.5406161381996739E-4</v>
          </cell>
          <cell r="AG65">
            <v>9.9942093392457743E-4</v>
          </cell>
          <cell r="AH65">
            <v>1.0608032048597948E-3</v>
          </cell>
          <cell r="AI65">
            <v>1.744618177441426E-3</v>
          </cell>
          <cell r="AJ65">
            <v>2.168025750423741E-3</v>
          </cell>
          <cell r="AK65">
            <v>2.304319389642151E-3</v>
          </cell>
          <cell r="AL65">
            <v>3.1215009387859372E-3</v>
          </cell>
          <cell r="AM65">
            <v>4.1698994405579004E-3</v>
          </cell>
          <cell r="AN65">
            <v>5.2625276391760067E-3</v>
          </cell>
          <cell r="AO65">
            <v>6.1300688336889397E-3</v>
          </cell>
          <cell r="AP65">
            <v>7.5752992243147688E-3</v>
          </cell>
          <cell r="AQ65">
            <v>8.2675586801064238E-3</v>
          </cell>
          <cell r="AR65">
            <v>9.7750966173100196E-3</v>
          </cell>
          <cell r="AS65">
            <v>1.125196360128955E-2</v>
          </cell>
          <cell r="AT65">
            <v>1.1992159375514122E-2</v>
          </cell>
          <cell r="AU65">
            <v>1.3183803394965832E-2</v>
          </cell>
          <cell r="AV65">
            <v>1.4324183341580143E-2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6.4976847422570927E-6</v>
          </cell>
          <cell r="Y66">
            <v>7.6123833314678535E-6</v>
          </cell>
          <cell r="Z66">
            <v>-2.0314996398096419E-5</v>
          </cell>
          <cell r="AA66">
            <v>5.9133822780665923E-6</v>
          </cell>
          <cell r="AB66">
            <v>-2.697769162074426E-5</v>
          </cell>
          <cell r="AC66">
            <v>-6.5822667258630396E-5</v>
          </cell>
          <cell r="AD66">
            <v>-9.1800664276719957E-5</v>
          </cell>
          <cell r="AE66">
            <v>-1.5012698281924308E-4</v>
          </cell>
          <cell r="AF66">
            <v>-6.280222882271147E-5</v>
          </cell>
          <cell r="AG66">
            <v>-9.8296845209899786E-5</v>
          </cell>
          <cell r="AH66">
            <v>-1.6144845524879159E-4</v>
          </cell>
          <cell r="AI66">
            <v>-4.194418175308412E-4</v>
          </cell>
          <cell r="AJ66">
            <v>-6.5476903386429974E-5</v>
          </cell>
          <cell r="AK66">
            <v>-6.660399343931811E-4</v>
          </cell>
          <cell r="AL66">
            <v>-5.8240638297424319E-4</v>
          </cell>
          <cell r="AM66">
            <v>-1.0048109477795997E-3</v>
          </cell>
          <cell r="AN66">
            <v>-1.4683196132203591E-4</v>
          </cell>
          <cell r="AO66">
            <v>-8.2091287071561769E-4</v>
          </cell>
          <cell r="AP66">
            <v>-1.0111258448113336E-3</v>
          </cell>
          <cell r="AQ66">
            <v>-1.0146603584789693E-3</v>
          </cell>
          <cell r="AR66">
            <v>-1.5346026316379602E-3</v>
          </cell>
          <cell r="AS66">
            <v>-1.8170850611729517E-3</v>
          </cell>
          <cell r="AT66">
            <v>-1.669320911889649E-3</v>
          </cell>
          <cell r="AU66">
            <v>-2.1653003048670572E-3</v>
          </cell>
          <cell r="AV66">
            <v>-1.7804189378898272E-3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-1.8907830523495761E-8</v>
          </cell>
          <cell r="W67">
            <v>-2.8373547877880156E-7</v>
          </cell>
          <cell r="X67">
            <v>-1.5521019717246176E-6</v>
          </cell>
          <cell r="Y67">
            <v>-2.0714216829587073E-6</v>
          </cell>
          <cell r="Z67">
            <v>-3.8081118577393269E-6</v>
          </cell>
          <cell r="AA67">
            <v>-7.5133351620237931E-6</v>
          </cell>
          <cell r="AB67">
            <v>-5.5573477166559471E-5</v>
          </cell>
          <cell r="AC67">
            <v>-8.4730427058254953E-5</v>
          </cell>
          <cell r="AD67">
            <v>-1.4969645091778006E-4</v>
          </cell>
          <cell r="AE67">
            <v>-1.4907752426673859E-4</v>
          </cell>
          <cell r="AF67">
            <v>-1.591073254233466E-4</v>
          </cell>
          <cell r="AG67">
            <v>-5.0465332655758033E-4</v>
          </cell>
          <cell r="AH67">
            <v>-5.0461519752609263E-4</v>
          </cell>
          <cell r="AI67">
            <v>-6.7955619681314694E-4</v>
          </cell>
          <cell r="AJ67">
            <v>-8.6466830738340938E-4</v>
          </cell>
          <cell r="AK67">
            <v>-6.5178946656330172E-4</v>
          </cell>
          <cell r="AL67">
            <v>-8.3532969879795971E-4</v>
          </cell>
          <cell r="AM67">
            <v>-1.2137963884110148E-3</v>
          </cell>
          <cell r="AN67">
            <v>-1.4935228844835668E-3</v>
          </cell>
          <cell r="AO67">
            <v>-1.9236156354954792E-3</v>
          </cell>
          <cell r="AP67">
            <v>-2.3678227893625392E-3</v>
          </cell>
          <cell r="AQ67">
            <v>-2.6829199358544553E-3</v>
          </cell>
          <cell r="AR67">
            <v>-3.0514190452632928E-3</v>
          </cell>
          <cell r="AS67">
            <v>-3.1228062697210568E-3</v>
          </cell>
          <cell r="AT67">
            <v>-3.3857745861668453E-3</v>
          </cell>
          <cell r="AU67">
            <v>-4.0081427758611454E-3</v>
          </cell>
          <cell r="AV67">
            <v>-5.1086219949222356E-3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4.6999923930535203E-7</v>
          </cell>
          <cell r="S68">
            <v>8.3313835452791807E-7</v>
          </cell>
          <cell r="T68">
            <v>9.3760812513998815E-7</v>
          </cell>
          <cell r="U68">
            <v>3.2164727088446199E-6</v>
          </cell>
          <cell r="V68">
            <v>1.5572189736134945E-5</v>
          </cell>
          <cell r="W68">
            <v>3.2327495349537827E-5</v>
          </cell>
          <cell r="X68">
            <v>7.2098803616471585E-5</v>
          </cell>
          <cell r="Y68">
            <v>7.486335726114568E-5</v>
          </cell>
          <cell r="Z68">
            <v>1.1871322179590749E-4</v>
          </cell>
          <cell r="AA68">
            <v>1.7030786912153317E-4</v>
          </cell>
          <cell r="AB68">
            <v>2.6918032345535359E-4</v>
          </cell>
          <cell r="AC68">
            <v>3.6403415173258402E-4</v>
          </cell>
          <cell r="AD68">
            <v>5.2025956437939946E-4</v>
          </cell>
          <cell r="AE68">
            <v>7.5504009630456004E-4</v>
          </cell>
          <cell r="AF68">
            <v>1.1141199205380037E-3</v>
          </cell>
          <cell r="AG68">
            <v>1.3775890583365147E-3</v>
          </cell>
          <cell r="AH68">
            <v>1.7771087597751034E-3</v>
          </cell>
          <cell r="AI68">
            <v>2.5746963858694905E-3</v>
          </cell>
          <cell r="AJ68">
            <v>3.0149935922256788E-3</v>
          </cell>
          <cell r="AK68">
            <v>3.6569979893152915E-3</v>
          </cell>
          <cell r="AL68">
            <v>5.0012099910148322E-3</v>
          </cell>
          <cell r="AM68">
            <v>6.3196449244147246E-3</v>
          </cell>
          <cell r="AN68">
            <v>7.9367044421883026E-3</v>
          </cell>
          <cell r="AO68">
            <v>9.3192851583963066E-3</v>
          </cell>
          <cell r="AP68">
            <v>1.1117001405986482E-2</v>
          </cell>
          <cell r="AQ68">
            <v>1.2861655496525071E-2</v>
          </cell>
          <cell r="AR68">
            <v>1.4282395315354579E-2</v>
          </cell>
          <cell r="AS68">
            <v>1.6575541036901287E-2</v>
          </cell>
          <cell r="AT68">
            <v>1.9088935914544525E-2</v>
          </cell>
          <cell r="AU68">
            <v>2.127296710575588E-2</v>
          </cell>
          <cell r="AV68">
            <v>2.3955581481792665E-2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8.3035604725445467E-7</v>
          </cell>
          <cell r="Y69">
            <v>1.6111406027086161E-6</v>
          </cell>
          <cell r="Z69">
            <v>2.0595479484075696E-6</v>
          </cell>
          <cell r="AA69">
            <v>9.6645544624962554E-6</v>
          </cell>
          <cell r="AB69">
            <v>1.5323574131143047E-5</v>
          </cell>
          <cell r="AC69">
            <v>1.6788636766129628E-5</v>
          </cell>
          <cell r="AD69">
            <v>4.2877642871363975E-5</v>
          </cell>
          <cell r="AE69">
            <v>6.9000412855180215E-5</v>
          </cell>
          <cell r="AF69">
            <v>1.0383190868390457E-4</v>
          </cell>
          <cell r="AG69">
            <v>1.4628719219267339E-4</v>
          </cell>
          <cell r="AH69">
            <v>2.0615797208933806E-4</v>
          </cell>
          <cell r="AI69">
            <v>2.1975682622232817E-4</v>
          </cell>
          <cell r="AJ69">
            <v>3.2636704362265512E-4</v>
          </cell>
          <cell r="AK69">
            <v>3.5634721777211276E-4</v>
          </cell>
          <cell r="AL69">
            <v>3.4548325956373915E-4</v>
          </cell>
          <cell r="AM69">
            <v>5.7931229129892792E-4</v>
          </cell>
          <cell r="AN69">
            <v>8.4885340587947944E-4</v>
          </cell>
          <cell r="AO69">
            <v>1.0602565095378935E-3</v>
          </cell>
          <cell r="AP69">
            <v>1.0045841995816041E-3</v>
          </cell>
          <cell r="AQ69">
            <v>1.4402178122328024E-3</v>
          </cell>
          <cell r="AR69">
            <v>1.5723197734933692E-3</v>
          </cell>
          <cell r="AS69">
            <v>2.1664283067566181E-3</v>
          </cell>
          <cell r="AT69">
            <v>1.4882100299566936E-3</v>
          </cell>
          <cell r="AU69">
            <v>2.2262690913688044E-3</v>
          </cell>
          <cell r="AV69">
            <v>2.5114203202323271E-3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-6.5525531667276482E-9</v>
          </cell>
          <cell r="Z70">
            <v>-1.837431840756576E-5</v>
          </cell>
          <cell r="AA70">
            <v>1.5311980825494231E-6</v>
          </cell>
          <cell r="AB70">
            <v>-3.156760429834371E-6</v>
          </cell>
          <cell r="AC70">
            <v>2.4117834444226105E-5</v>
          </cell>
          <cell r="AD70">
            <v>-1.025235934885016E-4</v>
          </cell>
          <cell r="AE70">
            <v>-1.8255843735581756E-4</v>
          </cell>
          <cell r="AF70">
            <v>-1.8384032014140406E-4</v>
          </cell>
          <cell r="AG70">
            <v>-1.980432544942401E-4</v>
          </cell>
          <cell r="AH70">
            <v>-5.3683316971508965E-4</v>
          </cell>
          <cell r="AI70">
            <v>-7.8728425449270389E-4</v>
          </cell>
          <cell r="AJ70">
            <v>-3.1670951196627328E-4</v>
          </cell>
          <cell r="AK70">
            <v>-3.3249651125011326E-4</v>
          </cell>
          <cell r="AL70">
            <v>-2.8994045389607592E-4</v>
          </cell>
          <cell r="AM70">
            <v>-1.3932801501326253E-4</v>
          </cell>
          <cell r="AN70">
            <v>-4.4105444383712999E-5</v>
          </cell>
          <cell r="AO70">
            <v>-2.0635128044033113E-4</v>
          </cell>
          <cell r="AP70">
            <v>-3.6722716783799125E-4</v>
          </cell>
          <cell r="AQ70">
            <v>-4.6722616667249639E-4</v>
          </cell>
          <cell r="AR70">
            <v>-3.6904658520586775E-4</v>
          </cell>
          <cell r="AS70">
            <v>-6.9222603061369625E-4</v>
          </cell>
          <cell r="AT70">
            <v>-1.4990503996459292E-4</v>
          </cell>
          <cell r="AU70">
            <v>7.8672090218390167E-5</v>
          </cell>
          <cell r="AV70">
            <v>-5.9851426365309379E-4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7.6362033931687279E-6</v>
          </cell>
          <cell r="Y71">
            <v>4.7465108592437133E-6</v>
          </cell>
          <cell r="Z71">
            <v>1.2778017804970787E-5</v>
          </cell>
          <cell r="AA71">
            <v>1.3618624389311051E-5</v>
          </cell>
          <cell r="AB71">
            <v>7.3554723573954206E-5</v>
          </cell>
          <cell r="AC71">
            <v>9.6141142764238907E-5</v>
          </cell>
          <cell r="AD71">
            <v>1.2995939989779437E-4</v>
          </cell>
          <cell r="AE71">
            <v>1.4771746497532767E-4</v>
          </cell>
          <cell r="AF71">
            <v>3.6317215845649287E-4</v>
          </cell>
          <cell r="AG71">
            <v>4.8935642214065211E-4</v>
          </cell>
          <cell r="AH71">
            <v>3.8230413210227354E-4</v>
          </cell>
          <cell r="AI71">
            <v>7.2476110739039257E-4</v>
          </cell>
          <cell r="AJ71">
            <v>7.913867139353048E-4</v>
          </cell>
          <cell r="AK71">
            <v>6.0103713616332932E-4</v>
          </cell>
          <cell r="AL71">
            <v>9.9424951249704741E-4</v>
          </cell>
          <cell r="AM71">
            <v>1.2994514028807913E-3</v>
          </cell>
          <cell r="AN71">
            <v>1.7750182456786057E-3</v>
          </cell>
          <cell r="AO71">
            <v>1.9191333583474801E-3</v>
          </cell>
          <cell r="AP71">
            <v>2.3324065413705686E-3</v>
          </cell>
          <cell r="AQ71">
            <v>2.439036078563328E-3</v>
          </cell>
          <cell r="AR71">
            <v>2.5498406857851208E-3</v>
          </cell>
          <cell r="AS71">
            <v>2.868681613867885E-3</v>
          </cell>
          <cell r="AT71">
            <v>2.7046659142475615E-3</v>
          </cell>
          <cell r="AU71">
            <v>2.859159763356045E-3</v>
          </cell>
          <cell r="AV71">
            <v>2.80825306328647E-3</v>
          </cell>
        </row>
      </sheetData>
      <sheetData sheetId="12"/>
      <sheetData sheetId="1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pmcv_nb enf"/>
      <sheetName val="pmcv_régime"/>
      <sheetName val="pmcv_quintile"/>
      <sheetName val="Pm68ans"/>
      <sheetName val="Pm68_quintiles_Ensemble"/>
      <sheetName val="Ecarts_masses"/>
      <sheetName val="HF3_génération"/>
      <sheetName val="HF3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-5.521375050408011</v>
          </cell>
          <cell r="F4">
            <v>0.11817101015419951</v>
          </cell>
          <cell r="G4">
            <v>-7.0513834324100744E-3</v>
          </cell>
          <cell r="H4">
            <v>-1.1387154983892867E-2</v>
          </cell>
        </row>
        <row r="5">
          <cell r="B5" t="str">
            <v>Hommes</v>
          </cell>
          <cell r="D5" t="str">
            <v>Ensemble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-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-2.6258468278130067</v>
          </cell>
          <cell r="F7">
            <v>0.11066748958099026</v>
          </cell>
          <cell r="G7">
            <v>-3.8183987575738376E-3</v>
          </cell>
          <cell r="H7">
            <v>-8.4938482195544562E-3</v>
          </cell>
        </row>
        <row r="8">
          <cell r="D8">
            <v>2</v>
          </cell>
          <cell r="E8">
            <v>-5.7860155801990061</v>
          </cell>
          <cell r="F8">
            <v>0.13996205295740083</v>
          </cell>
          <cell r="G8">
            <v>-8.700455146297803E-3</v>
          </cell>
          <cell r="H8">
            <v>-1.3791025576982863E-2</v>
          </cell>
        </row>
        <row r="9">
          <cell r="D9" t="str">
            <v>3 et plus</v>
          </cell>
          <cell r="E9">
            <v>-9.3169773996050083</v>
          </cell>
          <cell r="F9">
            <v>0.14016486614779922</v>
          </cell>
          <cell r="G9">
            <v>-9.7166868216443936E-3</v>
          </cell>
          <cell r="H9">
            <v>-1.4405817927873543E-2</v>
          </cell>
        </row>
        <row r="10">
          <cell r="B10" t="str">
            <v>Selon le régime d'affiliation</v>
          </cell>
        </row>
        <row r="11">
          <cell r="B11" t="str">
            <v>Femmes</v>
          </cell>
          <cell r="C11" t="str">
            <v>Mono Lura</v>
          </cell>
          <cell r="D11">
            <v>1</v>
          </cell>
          <cell r="E11">
            <v>-3.408859433163002</v>
          </cell>
          <cell r="F11">
            <v>0.14829112328600047</v>
          </cell>
          <cell r="G11">
            <v>-8.7510073541813282E-3</v>
          </cell>
          <cell r="H11">
            <v>-1.5739565168766401E-2</v>
          </cell>
        </row>
        <row r="12">
          <cell r="D12">
            <v>2</v>
          </cell>
          <cell r="E12">
            <v>-7.4212426518669758</v>
          </cell>
          <cell r="F12">
            <v>0.178034434388195</v>
          </cell>
          <cell r="G12">
            <v>-1.9285696400956565E-2</v>
          </cell>
          <cell r="H12">
            <v>-2.6447823594704101E-2</v>
          </cell>
        </row>
        <row r="13">
          <cell r="D13" t="str">
            <v>3 et plus</v>
          </cell>
          <cell r="E13">
            <v>-11.84761111643698</v>
          </cell>
          <cell r="F13">
            <v>0.17716738088030581</v>
          </cell>
          <cell r="G13">
            <v>-2.1247030663512745E-2</v>
          </cell>
          <cell r="H13">
            <v>-2.758037502038635E-2</v>
          </cell>
        </row>
        <row r="14">
          <cell r="C14" t="str">
            <v>Mono FP-RS</v>
          </cell>
          <cell r="D14">
            <v>1</v>
          </cell>
          <cell r="E14">
            <v>-5.0136325948017202E-2</v>
          </cell>
          <cell r="F14">
            <v>0</v>
          </cell>
          <cell r="G14">
            <v>7.2343803324106393E-3</v>
          </cell>
          <cell r="H14">
            <v>7.0170910057214542E-3</v>
          </cell>
        </row>
        <row r="15">
          <cell r="D15">
            <v>2</v>
          </cell>
          <cell r="E15">
            <v>-0.16297612122198757</v>
          </cell>
          <cell r="F15">
            <v>3.8463687262009216E-3</v>
          </cell>
          <cell r="G15">
            <v>1.5805706186245772E-2</v>
          </cell>
          <cell r="H15">
            <v>1.4849984688497964E-2</v>
          </cell>
        </row>
        <row r="16">
          <cell r="D16" t="str">
            <v>3 et plus</v>
          </cell>
          <cell r="E16">
            <v>-0.21265522126901715</v>
          </cell>
          <cell r="F16">
            <v>0</v>
          </cell>
          <cell r="G16">
            <v>2.5034416262825321E-2</v>
          </cell>
          <cell r="H16">
            <v>2.398361656639092E-2</v>
          </cell>
        </row>
        <row r="17">
          <cell r="C17" t="str">
            <v>Mono MSAE-PLIB</v>
          </cell>
          <cell r="D17">
            <v>1</v>
          </cell>
          <cell r="E17">
            <v>-5.2269913747619938</v>
          </cell>
          <cell r="F17">
            <v>-6.0407708102800939E-2</v>
          </cell>
          <cell r="G17">
            <v>-1.2552059659553527E-2</v>
          </cell>
          <cell r="H17">
            <v>-2.2260631726200852E-3</v>
          </cell>
        </row>
        <row r="18">
          <cell r="D18">
            <v>2</v>
          </cell>
          <cell r="E18">
            <v>-3.1374999230610001</v>
          </cell>
          <cell r="F18">
            <v>0</v>
          </cell>
          <cell r="G18">
            <v>2.175076326750669E-2</v>
          </cell>
          <cell r="H18">
            <v>2.3890684697145392E-2</v>
          </cell>
        </row>
        <row r="19">
          <cell r="D19" t="str">
            <v>3 et plus</v>
          </cell>
          <cell r="E19" t="str">
            <v>n.a</v>
          </cell>
          <cell r="F19" t="str">
            <v>n.a</v>
          </cell>
          <cell r="G19" t="str">
            <v>n.a</v>
          </cell>
          <cell r="H19" t="str">
            <v>n.a</v>
          </cell>
        </row>
        <row r="20">
          <cell r="C20" t="str">
            <v>Poly Lura-FP-RS</v>
          </cell>
          <cell r="D20">
            <v>1</v>
          </cell>
          <cell r="E20">
            <v>-2.3768541777997143E-2</v>
          </cell>
          <cell r="F20">
            <v>0</v>
          </cell>
          <cell r="G20">
            <v>9.9490072747618896E-3</v>
          </cell>
          <cell r="H20">
            <v>1.042807481815955E-2</v>
          </cell>
        </row>
        <row r="21">
          <cell r="D21">
            <v>2</v>
          </cell>
          <cell r="E21">
            <v>-0.13989074057300854</v>
          </cell>
          <cell r="F21">
            <v>2.7642594689041289E-3</v>
          </cell>
          <cell r="G21">
            <v>1.6384507370729384E-2</v>
          </cell>
          <cell r="H21">
            <v>1.6340291224586911E-2</v>
          </cell>
        </row>
        <row r="22">
          <cell r="D22" t="str">
            <v>3 et plus</v>
          </cell>
          <cell r="E22">
            <v>-0.38232125469599509</v>
          </cell>
          <cell r="F22">
            <v>3.277667378966953E-4</v>
          </cell>
          <cell r="G22">
            <v>2.1458558496365132E-2</v>
          </cell>
          <cell r="H22">
            <v>2.1148316620541729E-2</v>
          </cell>
        </row>
        <row r="23">
          <cell r="C23" t="str">
            <v>Poly Lura-MSAE-PLIB</v>
          </cell>
          <cell r="D23">
            <v>1</v>
          </cell>
          <cell r="E23">
            <v>-3.8554567107360072</v>
          </cell>
          <cell r="F23">
            <v>0.11181427128680355</v>
          </cell>
          <cell r="G23">
            <v>-1.25021593688458E-2</v>
          </cell>
          <cell r="H23">
            <v>-1.5985418557055708E-2</v>
          </cell>
        </row>
        <row r="24">
          <cell r="D24">
            <v>2</v>
          </cell>
          <cell r="E24">
            <v>-7.6908262801989906</v>
          </cell>
          <cell r="F24">
            <v>0.21173763572130611</v>
          </cell>
          <cell r="G24">
            <v>-1.1548343183997889E-2</v>
          </cell>
          <cell r="H24">
            <v>-1.939544877365329E-2</v>
          </cell>
        </row>
        <row r="25">
          <cell r="D25" t="str">
            <v>3 et plus</v>
          </cell>
          <cell r="E25">
            <v>-10.70481290991799</v>
          </cell>
          <cell r="F25">
            <v>0.22606827024449672</v>
          </cell>
          <cell r="G25">
            <v>-1.8695840045900303E-2</v>
          </cell>
          <cell r="H25">
            <v>-2.7647376187054928E-2</v>
          </cell>
        </row>
        <row r="26">
          <cell r="B26" t="str">
            <v>Selon le quintile de pension</v>
          </cell>
        </row>
        <row r="27">
          <cell r="B27" t="str">
            <v>Femmes</v>
          </cell>
          <cell r="C27" t="str">
            <v>Q1</v>
          </cell>
          <cell r="D27">
            <v>1</v>
          </cell>
          <cell r="E27">
            <v>-3.5067899297296066</v>
          </cell>
          <cell r="F27">
            <v>4.2911853333862382E-3</v>
          </cell>
          <cell r="G27">
            <v>-2.4779276100246883E-2</v>
          </cell>
          <cell r="H27">
            <v>-2.3997855209362706E-2</v>
          </cell>
        </row>
        <row r="28">
          <cell r="D28">
            <v>2</v>
          </cell>
          <cell r="E28">
            <v>-7.4575503588650065</v>
          </cell>
          <cell r="F28">
            <v>2.4793528524398312E-2</v>
          </cell>
          <cell r="G28">
            <v>-6.2359813565878941E-2</v>
          </cell>
          <cell r="H28">
            <v>-6.2826088847885986E-2</v>
          </cell>
        </row>
        <row r="29">
          <cell r="D29" t="str">
            <v>3 et plus</v>
          </cell>
          <cell r="E29">
            <v>-12.005257277590289</v>
          </cell>
          <cell r="F29">
            <v>1.7350711684997577E-2</v>
          </cell>
          <cell r="G29">
            <v>-9.4513059748744688E-2</v>
          </cell>
          <cell r="H29">
            <v>-9.601816914037864E-2</v>
          </cell>
        </row>
        <row r="30">
          <cell r="C30" t="str">
            <v>Q2</v>
          </cell>
          <cell r="D30">
            <v>1</v>
          </cell>
          <cell r="E30">
            <v>-2.8445390070179997</v>
          </cell>
          <cell r="F30">
            <v>0.11040846268410576</v>
          </cell>
          <cell r="G30">
            <v>-8.9890838680708463E-3</v>
          </cell>
          <cell r="H30">
            <v>-1.3246054297691656E-2</v>
          </cell>
        </row>
        <row r="31">
          <cell r="D31">
            <v>2</v>
          </cell>
          <cell r="E31">
            <v>-5.7455122936669909</v>
          </cell>
          <cell r="F31">
            <v>0.15333061289359762</v>
          </cell>
          <cell r="G31">
            <v>-1.3751728046663914E-2</v>
          </cell>
          <cell r="H31">
            <v>-1.8659095811558446E-2</v>
          </cell>
        </row>
        <row r="32">
          <cell r="D32" t="str">
            <v>3 et plus</v>
          </cell>
          <cell r="E32">
            <v>-10.763704697670022</v>
          </cell>
          <cell r="F32">
            <v>0.25664381385989543</v>
          </cell>
          <cell r="G32">
            <v>-2.5352308389497868E-2</v>
          </cell>
          <cell r="H32">
            <v>-3.3098581828774121E-2</v>
          </cell>
        </row>
        <row r="33">
          <cell r="C33" t="str">
            <v>Q3</v>
          </cell>
          <cell r="D33">
            <v>1</v>
          </cell>
          <cell r="E33">
            <v>-2.3582015107169809</v>
          </cell>
          <cell r="F33">
            <v>0.13005023862470466</v>
          </cell>
          <cell r="G33">
            <v>-2.208879875680525E-3</v>
          </cell>
          <cell r="H33">
            <v>-7.4549377375388026E-3</v>
          </cell>
        </row>
        <row r="34">
          <cell r="D34">
            <v>2</v>
          </cell>
          <cell r="E34">
            <v>-5.2533855398069988</v>
          </cell>
          <cell r="F34">
            <v>0.16475746021139059</v>
          </cell>
          <cell r="G34">
            <v>-4.6661070151408079E-3</v>
          </cell>
          <cell r="H34">
            <v>-1.0364382451310661E-2</v>
          </cell>
        </row>
        <row r="35">
          <cell r="D35" t="str">
            <v>3 et plus</v>
          </cell>
          <cell r="E35">
            <v>-7.3946919489529819</v>
          </cell>
          <cell r="F35">
            <v>0.12392960764189809</v>
          </cell>
          <cell r="G35">
            <v>-1.7702005382943531E-3</v>
          </cell>
          <cell r="H35">
            <v>-7.1313236882682984E-3</v>
          </cell>
        </row>
        <row r="36">
          <cell r="C36" t="str">
            <v>Q4</v>
          </cell>
          <cell r="D36">
            <v>1</v>
          </cell>
          <cell r="E36">
            <v>-2.3520007983150037</v>
          </cell>
          <cell r="F36">
            <v>0.21385586467619078</v>
          </cell>
          <cell r="G36">
            <v>-2.0846151038863558E-3</v>
          </cell>
          <cell r="H36">
            <v>-8.5710114146820837E-3</v>
          </cell>
        </row>
        <row r="37">
          <cell r="D37">
            <v>2</v>
          </cell>
          <cell r="E37">
            <v>-5.1157175434019848</v>
          </cell>
          <cell r="F37">
            <v>0.16299493172289203</v>
          </cell>
          <cell r="G37">
            <v>-4.8609165111980213E-3</v>
          </cell>
          <cell r="H37">
            <v>-7.9275905584264006E-3</v>
          </cell>
        </row>
        <row r="38">
          <cell r="D38" t="str">
            <v>3 et plus</v>
          </cell>
          <cell r="E38">
            <v>-8.5666650430150071</v>
          </cell>
          <cell r="F38">
            <v>0.14691337129168858</v>
          </cell>
          <cell r="G38">
            <v>1.1765135544330452E-3</v>
          </cell>
          <cell r="H38">
            <v>-3.6203828646460545E-3</v>
          </cell>
        </row>
        <row r="39">
          <cell r="C39" t="str">
            <v>Q5</v>
          </cell>
          <cell r="D39">
            <v>1</v>
          </cell>
          <cell r="E39">
            <v>-2.8227467782379847</v>
          </cell>
          <cell r="F39">
            <v>0.14335377033089003</v>
          </cell>
          <cell r="G39">
            <v>-4.1894021964835604E-3</v>
          </cell>
          <cell r="H39">
            <v>-8.9065824431068252E-3</v>
          </cell>
        </row>
        <row r="40">
          <cell r="D40">
            <v>2</v>
          </cell>
          <cell r="E40">
            <v>-5.9047715351300099</v>
          </cell>
          <cell r="F40">
            <v>0.23777176178660397</v>
          </cell>
          <cell r="G40">
            <v>-3.8490300375398911E-3</v>
          </cell>
          <cell r="H40">
            <v>-1.1927198964412744E-2</v>
          </cell>
        </row>
        <row r="41">
          <cell r="D41" t="str">
            <v>3 et plus</v>
          </cell>
          <cell r="E41">
            <v>-8.6938666908870061</v>
          </cell>
          <cell r="F41">
            <v>0.14969683616149609</v>
          </cell>
          <cell r="G41">
            <v>-2.1441957473579132E-3</v>
          </cell>
          <cell r="H41">
            <v>-7.6640534168701535E-3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1.8069404195131256E-8</v>
          </cell>
          <cell r="S60">
            <v>2.0913914378084542E-8</v>
          </cell>
          <cell r="T60">
            <v>-3.5860442393342851E-8</v>
          </cell>
          <cell r="U60">
            <v>-9.6323052423130662E-8</v>
          </cell>
          <cell r="V60">
            <v>-5.0695035280767797E-8</v>
          </cell>
          <cell r="W60">
            <v>4.2317800597047039E-8</v>
          </cell>
          <cell r="X60">
            <v>-1.192934590887873E-6</v>
          </cell>
          <cell r="Y60">
            <v>-5.2672278534338091E-6</v>
          </cell>
          <cell r="Z60">
            <v>-2.1664414539546151E-5</v>
          </cell>
          <cell r="AA60">
            <v>-2.7269771972981971E-5</v>
          </cell>
          <cell r="AB60">
            <v>-5.1887294918007143E-5</v>
          </cell>
          <cell r="AC60">
            <v>-9.1178362331856277E-5</v>
          </cell>
          <cell r="AD60">
            <v>-1.5397460867705437E-4</v>
          </cell>
          <cell r="AE60">
            <v>-2.3878858401948921E-4</v>
          </cell>
          <cell r="AF60">
            <v>-3.2898044530493831E-4</v>
          </cell>
          <cell r="AG60">
            <v>-4.4980294742447136E-4</v>
          </cell>
          <cell r="AH60">
            <v>-5.6822920161458956E-4</v>
          </cell>
          <cell r="AI60">
            <v>-7.3173627280209708E-4</v>
          </cell>
          <cell r="AJ60">
            <v>-9.0520948092254194E-4</v>
          </cell>
          <cell r="AK60">
            <v>-1.1047686245125865E-3</v>
          </cell>
          <cell r="AL60">
            <v>-1.4007528375756806E-3</v>
          </cell>
          <cell r="AM60">
            <v>-1.7502059120354518E-3</v>
          </cell>
          <cell r="AN60">
            <v>-2.1281908556765039E-3</v>
          </cell>
          <cell r="AO60">
            <v>-2.5690901232413577E-3</v>
          </cell>
          <cell r="AP60">
            <v>-3.0803902456731924E-3</v>
          </cell>
          <cell r="AQ60">
            <v>-3.6008194750644096E-3</v>
          </cell>
          <cell r="AR60">
            <v>-3.931315972493743E-3</v>
          </cell>
          <cell r="AS60">
            <v>-4.3390796558486766E-3</v>
          </cell>
          <cell r="AT60">
            <v>-4.8165138501572446E-3</v>
          </cell>
          <cell r="AU60">
            <v>-5.3463167006402301E-3</v>
          </cell>
          <cell r="AV60">
            <v>-5.7217930097930303E-3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2.2710201497133653E-8</v>
          </cell>
          <cell r="S61">
            <v>4.0050078808917533E-8</v>
          </cell>
          <cell r="T61">
            <v>-1.9647698135116798E-8</v>
          </cell>
          <cell r="U61">
            <v>-8.0526203816155828E-8</v>
          </cell>
          <cell r="V61">
            <v>-1.1132382959910814E-7</v>
          </cell>
          <cell r="W61">
            <v>-6.0697117110208865E-8</v>
          </cell>
          <cell r="X61">
            <v>-1.6763190989754762E-6</v>
          </cell>
          <cell r="Y61">
            <v>-6.7706694215630137E-6</v>
          </cell>
          <cell r="Z61">
            <v>-2.5304866170472451E-5</v>
          </cell>
          <cell r="AA61">
            <v>-3.2665791889097129E-5</v>
          </cell>
          <cell r="AB61">
            <v>-6.1637670447756143E-5</v>
          </cell>
          <cell r="AC61">
            <v>-1.0837772690230896E-4</v>
          </cell>
          <cell r="AD61">
            <v>-1.8031004680651996E-4</v>
          </cell>
          <cell r="AE61">
            <v>-2.7575679126334851E-4</v>
          </cell>
          <cell r="AF61">
            <v>-3.8054972581491597E-4</v>
          </cell>
          <cell r="AG61">
            <v>-5.2215245408837596E-4</v>
          </cell>
          <cell r="AH61">
            <v>-6.6065873633691652E-4</v>
          </cell>
          <cell r="AI61">
            <v>-8.528145756924177E-4</v>
          </cell>
          <cell r="AJ61">
            <v>-1.0588182978306104E-3</v>
          </cell>
          <cell r="AK61">
            <v>-1.2980654083494247E-3</v>
          </cell>
          <cell r="AL61">
            <v>-1.6375227286901106E-3</v>
          </cell>
          <cell r="AM61">
            <v>-2.0520043387937115E-3</v>
          </cell>
          <cell r="AN61">
            <v>-2.4888596330416846E-3</v>
          </cell>
          <cell r="AO61">
            <v>-3.0083139456827945E-3</v>
          </cell>
          <cell r="AP61">
            <v>-3.6107417655800722E-3</v>
          </cell>
          <cell r="AQ61">
            <v>-4.2201287842414947E-3</v>
          </cell>
          <cell r="AR61">
            <v>-4.6219872933587203E-3</v>
          </cell>
          <cell r="AS61">
            <v>-5.1168853910167345E-3</v>
          </cell>
          <cell r="AT61">
            <v>-5.6781570502391077E-3</v>
          </cell>
          <cell r="AU61">
            <v>-6.3208902068729866E-3</v>
          </cell>
          <cell r="AV61">
            <v>-6.7759572725738515E-3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-1.2924825110172122E-7</v>
          </cell>
          <cell r="U62">
            <v>-3.7645037376243806E-7</v>
          </cell>
          <cell r="V62">
            <v>-7.0404922170030915E-7</v>
          </cell>
          <cell r="W62">
            <v>-9.7905783835727789E-7</v>
          </cell>
          <cell r="X62">
            <v>-4.0783710473224488E-6</v>
          </cell>
          <cell r="Y62">
            <v>-1.2796885565768967E-5</v>
          </cell>
          <cell r="Z62">
            <v>-4.1139302034531866E-5</v>
          </cell>
          <cell r="AA62">
            <v>-5.7770034673332304E-5</v>
          </cell>
          <cell r="AB62">
            <v>-1.0310992804407615E-4</v>
          </cell>
          <cell r="AC62">
            <v>-1.6755203327945001E-4</v>
          </cell>
          <cell r="AD62">
            <v>-2.5570070708091919E-4</v>
          </cell>
          <cell r="AE62">
            <v>-3.8994192044561338E-4</v>
          </cell>
          <cell r="AF62">
            <v>-5.7540254841836891E-4</v>
          </cell>
          <cell r="AG62">
            <v>-7.7188588190046925E-4</v>
          </cell>
          <cell r="AH62">
            <v>-9.6032241779997474E-4</v>
          </cell>
          <cell r="AI62">
            <v>-1.2455624354482664E-3</v>
          </cell>
          <cell r="AJ62">
            <v>-1.6111297736820518E-3</v>
          </cell>
          <cell r="AK62">
            <v>-2.0172383192700316E-3</v>
          </cell>
          <cell r="AL62">
            <v>-2.5517663218183051E-3</v>
          </cell>
          <cell r="AM62">
            <v>-3.2325040390384085E-3</v>
          </cell>
          <cell r="AN62">
            <v>-3.9235435718504297E-3</v>
          </cell>
          <cell r="AO62">
            <v>-4.7123011818349658E-3</v>
          </cell>
          <cell r="AP62">
            <v>-5.6314034936859603E-3</v>
          </cell>
          <cell r="AQ62">
            <v>-6.5678470406035361E-3</v>
          </cell>
          <cell r="AR62">
            <v>-7.1966850940623495E-3</v>
          </cell>
          <cell r="AS62">
            <v>-8.0182363044419835E-3</v>
          </cell>
          <cell r="AT62">
            <v>-8.975122203105701E-3</v>
          </cell>
          <cell r="AU62">
            <v>-1.00052856350622E-2</v>
          </cell>
          <cell r="AV62">
            <v>-1.0684712817147335E-2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-1.0664746835642447E-6</v>
          </cell>
          <cell r="Y63">
            <v>-4.7637382727394595E-6</v>
          </cell>
          <cell r="Z63">
            <v>-2.0362056470379919E-5</v>
          </cell>
          <cell r="AA63">
            <v>-2.5763518095578419E-5</v>
          </cell>
          <cell r="AB63">
            <v>-4.284527167530694E-5</v>
          </cell>
          <cell r="AC63">
            <v>-7.7722916853928403E-5</v>
          </cell>
          <cell r="AD63">
            <v>-1.1088708061812724E-4</v>
          </cell>
          <cell r="AE63">
            <v>-1.7342532542130584E-4</v>
          </cell>
          <cell r="AF63">
            <v>-2.3068677555304617E-4</v>
          </cell>
          <cell r="AG63">
            <v>-3.2798847429649225E-4</v>
          </cell>
          <cell r="AH63">
            <v>-4.2595676538104144E-4</v>
          </cell>
          <cell r="AI63">
            <v>-4.9530636619465884E-4</v>
          </cell>
          <cell r="AJ63">
            <v>-6.1226522944490824E-4</v>
          </cell>
          <cell r="AK63">
            <v>-7.2269820408932262E-4</v>
          </cell>
          <cell r="AL63">
            <v>-8.7707331710062952E-4</v>
          </cell>
          <cell r="AM63">
            <v>-1.1340477896089052E-3</v>
          </cell>
          <cell r="AN63">
            <v>-1.4077449908057593E-3</v>
          </cell>
          <cell r="AO63">
            <v>-1.7240068561708011E-3</v>
          </cell>
          <cell r="AP63">
            <v>-2.0733694832276717E-3</v>
          </cell>
          <cell r="AQ63">
            <v>-2.3304448443179915E-3</v>
          </cell>
          <cell r="AR63">
            <v>-2.4416130127400404E-3</v>
          </cell>
          <cell r="AS63">
            <v>-2.6102777875722794E-3</v>
          </cell>
          <cell r="AT63">
            <v>-2.8009925325779284E-3</v>
          </cell>
          <cell r="AU63">
            <v>-3.1383661742986346E-3</v>
          </cell>
          <cell r="AV63">
            <v>-3.117203511421196E-3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-1.084548488128334E-6</v>
          </cell>
          <cell r="X64">
            <v>-3.1226153869301498E-6</v>
          </cell>
          <cell r="Y64">
            <v>-6.863107759991216E-6</v>
          </cell>
          <cell r="Z64">
            <v>-1.0775328106560345E-5</v>
          </cell>
          <cell r="AA64">
            <v>-1.8597740890080594E-5</v>
          </cell>
          <cell r="AB64">
            <v>-2.0684655640756944E-5</v>
          </cell>
          <cell r="AC64">
            <v>-9.5654291112690082E-5</v>
          </cell>
          <cell r="AD64">
            <v>-2.3968189228451564E-4</v>
          </cell>
          <cell r="AE64">
            <v>-5.2955225863726696E-4</v>
          </cell>
          <cell r="AF64">
            <v>-7.3124456659234838E-4</v>
          </cell>
          <cell r="AG64">
            <v>-7.3272435770344035E-4</v>
          </cell>
          <cell r="AH64">
            <v>-9.6416073252014733E-4</v>
          </cell>
          <cell r="AI64">
            <v>-1.414305193605192E-3</v>
          </cell>
          <cell r="AJ64">
            <v>-1.6474085203507238E-3</v>
          </cell>
          <cell r="AK64">
            <v>-1.7906286554292272E-3</v>
          </cell>
          <cell r="AL64">
            <v>-2.7009169335220351E-3</v>
          </cell>
          <cell r="AM64">
            <v>-2.8145041301701479E-3</v>
          </cell>
          <cell r="AN64">
            <v>-3.5707049243892675E-3</v>
          </cell>
          <cell r="AO64">
            <v>-3.9723666740616448E-3</v>
          </cell>
          <cell r="AP64">
            <v>-4.8109059766451301E-3</v>
          </cell>
          <cell r="AQ64">
            <v>-6.1614298998079464E-3</v>
          </cell>
          <cell r="AR64">
            <v>-6.9126323494866915E-3</v>
          </cell>
          <cell r="AS64">
            <v>-8.3105552395402738E-3</v>
          </cell>
          <cell r="AT64">
            <v>-9.779613251023056E-3</v>
          </cell>
          <cell r="AU64">
            <v>-1.0488531046689675E-2</v>
          </cell>
          <cell r="AV64">
            <v>-1.1227072991406684E-2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5.4011793415575937E-7</v>
          </cell>
          <cell r="V65">
            <v>1.2522194041686419E-6</v>
          </cell>
          <cell r="W65">
            <v>2.2377039843313185E-6</v>
          </cell>
          <cell r="X65">
            <v>4.2754695861457748E-6</v>
          </cell>
          <cell r="Y65">
            <v>7.8408777139937769E-6</v>
          </cell>
          <cell r="Z65">
            <v>1.2352161284034935E-5</v>
          </cell>
          <cell r="AA65">
            <v>1.9510690079105331E-5</v>
          </cell>
          <cell r="AB65">
            <v>3.1034611922331479E-5</v>
          </cell>
          <cell r="AC65">
            <v>5.1377540646546649E-5</v>
          </cell>
          <cell r="AD65">
            <v>7.6584377683763805E-5</v>
          </cell>
          <cell r="AE65">
            <v>1.1567422663238958E-4</v>
          </cell>
          <cell r="AF65">
            <v>1.7419872233759293E-4</v>
          </cell>
          <cell r="AG65">
            <v>2.4237437751239987E-4</v>
          </cell>
          <cell r="AH65">
            <v>3.2001854184371403E-4</v>
          </cell>
          <cell r="AI65">
            <v>4.443519639873994E-4</v>
          </cell>
          <cell r="AJ65">
            <v>6.0743293612564031E-4</v>
          </cell>
          <cell r="AK65">
            <v>8.007668994989281E-4</v>
          </cell>
          <cell r="AL65">
            <v>1.0316945948254386E-3</v>
          </cell>
          <cell r="AM65">
            <v>1.2498982274518067E-3</v>
          </cell>
          <cell r="AN65">
            <v>1.5222643118091295E-3</v>
          </cell>
          <cell r="AO65">
            <v>1.8538352804662317E-3</v>
          </cell>
          <cell r="AP65">
            <v>2.202928152054362E-3</v>
          </cell>
          <cell r="AQ65">
            <v>2.6469481999882305E-3</v>
          </cell>
          <cell r="AR65">
            <v>3.1063734508338658E-3</v>
          </cell>
          <cell r="AS65">
            <v>3.6285631629637827E-3</v>
          </cell>
          <cell r="AT65">
            <v>4.1421311785752035E-3</v>
          </cell>
          <cell r="AU65">
            <v>4.668808458410556E-3</v>
          </cell>
          <cell r="AV65">
            <v>5.1703264548501604E-3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-1.3271105354650814E-6</v>
          </cell>
          <cell r="Y66">
            <v>-5.8971828099663171E-6</v>
          </cell>
          <cell r="Z66">
            <v>-2.9239259882740676E-5</v>
          </cell>
          <cell r="AA66">
            <v>-8.0651660552266691E-6</v>
          </cell>
          <cell r="AB66">
            <v>-4.1590832857263393E-5</v>
          </cell>
          <cell r="AC66">
            <v>-1.1267038778284277E-4</v>
          </cell>
          <cell r="AD66">
            <v>-2.9835379384268723E-4</v>
          </cell>
          <cell r="AE66">
            <v>-2.2527418314111092E-4</v>
          </cell>
          <cell r="AF66">
            <v>-4.4041190296184585E-4</v>
          </cell>
          <cell r="AG66">
            <v>-5.1652151374914634E-4</v>
          </cell>
          <cell r="AH66">
            <v>-4.6903848094426159E-4</v>
          </cell>
          <cell r="AI66">
            <v>-7.9700848256669676E-4</v>
          </cell>
          <cell r="AJ66">
            <v>-9.0111874369569467E-4</v>
          </cell>
          <cell r="AK66">
            <v>-1.2336036582065724E-3</v>
          </cell>
          <cell r="AL66">
            <v>-1.5662414790317269E-3</v>
          </cell>
          <cell r="AM66">
            <v>-1.9507342804583327E-3</v>
          </cell>
          <cell r="AN66">
            <v>-2.0052752003595353E-3</v>
          </cell>
          <cell r="AO66">
            <v>-2.219811272034411E-3</v>
          </cell>
          <cell r="AP66">
            <v>-2.7373546636835222E-3</v>
          </cell>
          <cell r="AQ66">
            <v>-3.0632537776108526E-3</v>
          </cell>
          <cell r="AR66">
            <v>-3.4425628117600304E-3</v>
          </cell>
          <cell r="AS66">
            <v>-4.4347134851695502E-3</v>
          </cell>
          <cell r="AT66">
            <v>-4.6107762780239758E-3</v>
          </cell>
          <cell r="AU66">
            <v>-5.2072580848632199E-3</v>
          </cell>
          <cell r="AV66">
            <v>-5.2026299887775185E-3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-2.8361745951777095E-8</v>
          </cell>
          <cell r="W67">
            <v>-4.2560321600326745E-7</v>
          </cell>
          <cell r="X67">
            <v>-2.3281529556440361E-6</v>
          </cell>
          <cell r="Y67">
            <v>-3.1914741791538859E-6</v>
          </cell>
          <cell r="Z67">
            <v>-3.6389781706835933E-6</v>
          </cell>
          <cell r="AA67">
            <v>-1.372007110234108E-5</v>
          </cell>
          <cell r="AB67">
            <v>-6.4734054137094432E-5</v>
          </cell>
          <cell r="AC67">
            <v>-9.9865173422641895E-5</v>
          </cell>
          <cell r="AD67">
            <v>-2.0638781298554232E-4</v>
          </cell>
          <cell r="AE67">
            <v>-2.7719315896945762E-4</v>
          </cell>
          <cell r="AF67">
            <v>-2.3546817766639805E-4</v>
          </cell>
          <cell r="AG67">
            <v>-5.625843727736779E-4</v>
          </cell>
          <cell r="AH67">
            <v>-7.3844090924468642E-4</v>
          </cell>
          <cell r="AI67">
            <v>-9.2025871250323021E-4</v>
          </cell>
          <cell r="AJ67">
            <v>-1.2598156283049056E-3</v>
          </cell>
          <cell r="AK67">
            <v>-1.3732131336002817E-3</v>
          </cell>
          <cell r="AL67">
            <v>-1.5339472632673878E-3</v>
          </cell>
          <cell r="AM67">
            <v>-2.2689541578611028E-3</v>
          </cell>
          <cell r="AN67">
            <v>-2.7551087693167275E-3</v>
          </cell>
          <cell r="AO67">
            <v>-3.1285598797486935E-3</v>
          </cell>
          <cell r="AP67">
            <v>-3.8253751148767945E-3</v>
          </cell>
          <cell r="AQ67">
            <v>-4.3703059032356162E-3</v>
          </cell>
          <cell r="AR67">
            <v>-4.915040622678557E-3</v>
          </cell>
          <cell r="AS67">
            <v>-5.0737285446632585E-3</v>
          </cell>
          <cell r="AT67">
            <v>-5.4962190909632058E-3</v>
          </cell>
          <cell r="AU67">
            <v>-6.4661686057235768E-3</v>
          </cell>
          <cell r="AV67">
            <v>-7.6865168575334097E-3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2.349996186534753E-7</v>
          </cell>
          <cell r="S68">
            <v>4.1656917737498134E-7</v>
          </cell>
          <cell r="T68">
            <v>4.6880406157079335E-7</v>
          </cell>
          <cell r="U68">
            <v>1.1374839503641709E-6</v>
          </cell>
          <cell r="V68">
            <v>2.5891358874652326E-6</v>
          </cell>
          <cell r="W68">
            <v>5.1278837926993504E-6</v>
          </cell>
          <cell r="X68">
            <v>9.2127543291908864E-6</v>
          </cell>
          <cell r="Y68">
            <v>1.5433607974957297E-5</v>
          </cell>
          <cell r="Z68">
            <v>3.0073104323458111E-5</v>
          </cell>
          <cell r="AA68">
            <v>5.5453377476810672E-5</v>
          </cell>
          <cell r="AB68">
            <v>7.6171632429566927E-5</v>
          </cell>
          <cell r="AC68">
            <v>1.0935080482044057E-4</v>
          </cell>
          <cell r="AD68">
            <v>1.5074087919009216E-4</v>
          </cell>
          <cell r="AE68">
            <v>2.2722812478725984E-4</v>
          </cell>
          <cell r="AF68">
            <v>3.2763143921710203E-4</v>
          </cell>
          <cell r="AG68">
            <v>4.743507933178126E-4</v>
          </cell>
          <cell r="AH68">
            <v>6.2337523982813892E-4</v>
          </cell>
          <cell r="AI68">
            <v>7.9949414008995134E-4</v>
          </cell>
          <cell r="AJ68">
            <v>1.029859406777911E-3</v>
          </cell>
          <cell r="AK68">
            <v>1.3402033727201168E-3</v>
          </cell>
          <cell r="AL68">
            <v>1.7186568035147953E-3</v>
          </cell>
          <cell r="AM68">
            <v>2.1756072651792913E-3</v>
          </cell>
          <cell r="AN68">
            <v>2.6814857567349915E-3</v>
          </cell>
          <cell r="AO68">
            <v>3.2309177427487512E-3</v>
          </cell>
          <cell r="AP68">
            <v>3.8558351179744932E-3</v>
          </cell>
          <cell r="AQ68">
            <v>4.6112897442049938E-3</v>
          </cell>
          <cell r="AR68">
            <v>5.4220368940671726E-3</v>
          </cell>
          <cell r="AS68">
            <v>6.2987514083208129E-3</v>
          </cell>
          <cell r="AT68">
            <v>7.3303291285824468E-3</v>
          </cell>
          <cell r="AU68">
            <v>8.4236820575924742E-3</v>
          </cell>
          <cell r="AV68">
            <v>9.4667578518972118E-3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-3.5466846903808857E-8</v>
          </cell>
          <cell r="S69">
            <v>-4.2894226370826516E-7</v>
          </cell>
          <cell r="T69">
            <v>-6.381821870959925E-7</v>
          </cell>
          <cell r="U69">
            <v>-3.0136563097249436E-6</v>
          </cell>
          <cell r="V69">
            <v>-3.2629732975575365E-6</v>
          </cell>
          <cell r="W69">
            <v>-5.1859165325351952E-6</v>
          </cell>
          <cell r="X69">
            <v>-7.2298680402482773E-6</v>
          </cell>
          <cell r="Y69">
            <v>-8.5145885696524815E-6</v>
          </cell>
          <cell r="Z69">
            <v>-3.5981995991307691E-5</v>
          </cell>
          <cell r="AA69">
            <v>-3.0194711784115036E-5</v>
          </cell>
          <cell r="AB69">
            <v>-4.3696171453833088E-5</v>
          </cell>
          <cell r="AC69">
            <v>-4.9738138114152619E-5</v>
          </cell>
          <cell r="AD69">
            <v>-1.1165993894846071E-4</v>
          </cell>
          <cell r="AE69">
            <v>-2.5556941298421343E-4</v>
          </cell>
          <cell r="AF69">
            <v>-3.3961326507747636E-4</v>
          </cell>
          <cell r="AG69">
            <v>-3.6667186782302075E-4</v>
          </cell>
          <cell r="AH69">
            <v>-4.174117903473773E-4</v>
          </cell>
          <cell r="AI69">
            <v>-5.1327441132831275E-4</v>
          </cell>
          <cell r="AJ69">
            <v>-6.3434239227710965E-4</v>
          </cell>
          <cell r="AK69">
            <v>-7.0128105852040878E-4</v>
          </cell>
          <cell r="AL69">
            <v>-1.1433070218225261E-3</v>
          </cell>
          <cell r="AM69">
            <v>-1.0125977387240859E-3</v>
          </cell>
          <cell r="AN69">
            <v>-1.3842269513770766E-3</v>
          </cell>
          <cell r="AO69">
            <v>-1.5396457121906737E-3</v>
          </cell>
          <cell r="AP69">
            <v>-1.5675872240845656E-3</v>
          </cell>
          <cell r="AQ69">
            <v>-1.9745932577617253E-3</v>
          </cell>
          <cell r="AR69">
            <v>-2.2846677941767979E-3</v>
          </cell>
          <cell r="AS69">
            <v>-2.5220375873755696E-3</v>
          </cell>
          <cell r="AT69">
            <v>-3.1296059403048693E-3</v>
          </cell>
          <cell r="AU69">
            <v>-3.019072890643959E-3</v>
          </cell>
          <cell r="AV69">
            <v>-3.3617328243347178E-3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-1.8523142158999306E-6</v>
          </cell>
          <cell r="Z70">
            <v>-2.0014290913805688E-5</v>
          </cell>
          <cell r="AA70">
            <v>-1.208212413772447E-5</v>
          </cell>
          <cell r="AB70">
            <v>-2.0027186216409198E-5</v>
          </cell>
          <cell r="AC70">
            <v>-4.7626492690300282E-5</v>
          </cell>
          <cell r="AD70">
            <v>-2.049375658459418E-4</v>
          </cell>
          <cell r="AE70">
            <v>-3.4981890124385906E-4</v>
          </cell>
          <cell r="AF70">
            <v>-2.8140940574572504E-4</v>
          </cell>
          <cell r="AG70">
            <v>-4.2802557435273059E-4</v>
          </cell>
          <cell r="AH70">
            <v>-6.2261814932695891E-4</v>
          </cell>
          <cell r="AI70">
            <v>-7.876316733772537E-4</v>
          </cell>
          <cell r="AJ70">
            <v>-4.9284782233227631E-4</v>
          </cell>
          <cell r="AK70">
            <v>-5.1744312137380621E-4</v>
          </cell>
          <cell r="AL70">
            <v>-6.2152717136609859E-4</v>
          </cell>
          <cell r="AM70">
            <v>-3.4500704923101644E-4</v>
          </cell>
          <cell r="AN70">
            <v>-2.9237528075709562E-4</v>
          </cell>
          <cell r="AO70">
            <v>-6.8854574743115737E-4</v>
          </cell>
          <cell r="AP70">
            <v>-6.7768626142195032E-4</v>
          </cell>
          <cell r="AQ70">
            <v>-9.5597488896426164E-4</v>
          </cell>
          <cell r="AR70">
            <v>-1.2541587162214762E-3</v>
          </cell>
          <cell r="AS70">
            <v>-1.1042362442372777E-3</v>
          </cell>
          <cell r="AT70">
            <v>-9.8163703870468577E-4</v>
          </cell>
          <cell r="AU70">
            <v>-8.2731960220339129E-4</v>
          </cell>
          <cell r="AV70">
            <v>-1.6625457706134217E-3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1.3087996153515746E-7</v>
          </cell>
          <cell r="AB71">
            <v>2.3972771368008239E-7</v>
          </cell>
          <cell r="AC71">
            <v>4.0604662920884493E-7</v>
          </cell>
          <cell r="AD71">
            <v>4.9723238371157663E-7</v>
          </cell>
          <cell r="AE71">
            <v>1.5416599368212047E-6</v>
          </cell>
          <cell r="AF71">
            <v>7.1204256204548955E-6</v>
          </cell>
          <cell r="AG71">
            <v>3.1053438061867666E-5</v>
          </cell>
          <cell r="AH71">
            <v>3.293094386735973E-5</v>
          </cell>
          <cell r="AI71">
            <v>4.3097759875321273E-5</v>
          </cell>
          <cell r="AJ71">
            <v>5.6147549196250424E-5</v>
          </cell>
          <cell r="AK71">
            <v>7.6052522121949906E-5</v>
          </cell>
          <cell r="AL71">
            <v>1.0870839466825544E-4</v>
          </cell>
          <cell r="AM71">
            <v>1.2855897201458077E-4</v>
          </cell>
          <cell r="AN71">
            <v>1.4934624853402134E-4</v>
          </cell>
          <cell r="AO71">
            <v>1.7670842426675826E-4</v>
          </cell>
          <cell r="AP71">
            <v>2.1024133206148932E-4</v>
          </cell>
          <cell r="AQ71">
            <v>2.4079753458794428E-4</v>
          </cell>
          <cell r="AR71">
            <v>2.7861714018673212E-4</v>
          </cell>
          <cell r="AS71">
            <v>3.3884203699563464E-4</v>
          </cell>
          <cell r="AT71">
            <v>4.0301402242937101E-4</v>
          </cell>
          <cell r="AU71">
            <v>4.4655543780747209E-4</v>
          </cell>
          <cell r="AV71">
            <v>5.0528130350357969E-4</v>
          </cell>
        </row>
      </sheetData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Tab durée âge pm_3 enf_Hommes"/>
      <sheetName val="pmcv_nb enf"/>
      <sheetName val="pmcv_régime"/>
      <sheetName val="pmcv_régime E"/>
      <sheetName val="pmcv_quintile"/>
      <sheetName val="Pm68ans"/>
      <sheetName val="Pm68_quintiles_Ensemble"/>
      <sheetName val="Ecarts_masses"/>
      <sheetName val="HF4_génération"/>
      <sheetName val="HF4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C4"/>
          <cell r="D4" t="str">
            <v>Ensemble</v>
          </cell>
          <cell r="E4" t="str">
            <v>-</v>
          </cell>
          <cell r="F4" t="str">
            <v>-</v>
          </cell>
          <cell r="G4">
            <v>6.016376237449883E-5</v>
          </cell>
          <cell r="H4">
            <v>2.0398867892845729E-5</v>
          </cell>
        </row>
        <row r="5">
          <cell r="B5" t="str">
            <v>Hommes</v>
          </cell>
          <cell r="C5"/>
          <cell r="D5" t="str">
            <v>Ensemble</v>
          </cell>
          <cell r="E5" t="str">
            <v>-</v>
          </cell>
          <cell r="F5" t="str">
            <v>-</v>
          </cell>
          <cell r="G5">
            <v>8.1767504130914048E-5</v>
          </cell>
          <cell r="H5">
            <v>3.6116339419134391E-6</v>
          </cell>
        </row>
        <row r="6">
          <cell r="B6" t="str">
            <v>Selon le nombre d'enfants</v>
          </cell>
          <cell r="C6"/>
          <cell r="D6"/>
          <cell r="E6"/>
          <cell r="F6"/>
          <cell r="G6"/>
          <cell r="H6"/>
        </row>
        <row r="7">
          <cell r="B7" t="str">
            <v>Femmes</v>
          </cell>
          <cell r="C7"/>
          <cell r="D7" t="str">
            <v>3 et plus</v>
          </cell>
          <cell r="E7" t="str">
            <v>-</v>
          </cell>
          <cell r="F7" t="str">
            <v>-</v>
          </cell>
          <cell r="G7">
            <v>2.0477093479343011E-4</v>
          </cell>
          <cell r="H7">
            <v>6.8763659982984393E-5</v>
          </cell>
        </row>
        <row r="8">
          <cell r="B8" t="str">
            <v>Hommes</v>
          </cell>
          <cell r="C8"/>
          <cell r="D8" t="str">
            <v>3 et plus</v>
          </cell>
          <cell r="E8" t="str">
            <v>-</v>
          </cell>
          <cell r="F8" t="str">
            <v>-</v>
          </cell>
          <cell r="G8">
            <v>3.0772687723845671E-4</v>
          </cell>
          <cell r="H8">
            <v>4.8630598885379683E-5</v>
          </cell>
        </row>
        <row r="9">
          <cell r="B9" t="str">
            <v>Selon le régime d'affiliation</v>
          </cell>
          <cell r="C9"/>
          <cell r="D9"/>
          <cell r="E9"/>
          <cell r="F9"/>
          <cell r="G9"/>
          <cell r="H9"/>
        </row>
        <row r="10">
          <cell r="B10" t="str">
            <v>Femmes</v>
          </cell>
          <cell r="C10" t="str">
            <v>Mono Lura</v>
          </cell>
          <cell r="D10" t="str">
            <v>3 et plus</v>
          </cell>
          <cell r="E10" t="str">
            <v>-</v>
          </cell>
          <cell r="F10" t="str">
            <v>-</v>
          </cell>
          <cell r="G10">
            <v>2.2800220588803377E-4</v>
          </cell>
          <cell r="H10">
            <v>1.9980403764918719E-4</v>
          </cell>
        </row>
        <row r="11">
          <cell r="B11"/>
          <cell r="C11" t="str">
            <v>Mono FP-RS</v>
          </cell>
          <cell r="D11" t="str">
            <v>3 et plus</v>
          </cell>
          <cell r="E11" t="str">
            <v>-</v>
          </cell>
          <cell r="F11" t="str">
            <v>-</v>
          </cell>
          <cell r="G11">
            <v>2.5733066720066144E-3</v>
          </cell>
          <cell r="H11">
            <v>2.4439902250850132E-3</v>
          </cell>
        </row>
        <row r="12">
          <cell r="B12"/>
          <cell r="C12" t="str">
            <v>Mono MSAE-PLIB</v>
          </cell>
          <cell r="D12" t="str">
            <v>3 et plus</v>
          </cell>
          <cell r="E12" t="str">
            <v>n.a</v>
          </cell>
          <cell r="F12" t="str">
            <v>n.a</v>
          </cell>
          <cell r="G12" t="str">
            <v>n.a</v>
          </cell>
          <cell r="H12" t="str">
            <v>n.a</v>
          </cell>
        </row>
        <row r="13">
          <cell r="B13"/>
          <cell r="C13" t="str">
            <v>Poly Lura-FP-RS</v>
          </cell>
          <cell r="D13" t="str">
            <v>3 et plus</v>
          </cell>
          <cell r="E13" t="str">
            <v>-</v>
          </cell>
          <cell r="F13" t="str">
            <v>-</v>
          </cell>
          <cell r="G13">
            <v>-5.1616365860797098E-3</v>
          </cell>
          <cell r="H13">
            <v>-5.2975023610551952E-3</v>
          </cell>
        </row>
        <row r="14">
          <cell r="B14"/>
          <cell r="C14" t="str">
            <v>Poly Lura-MSAE-PLIB</v>
          </cell>
          <cell r="D14" t="str">
            <v>3 et plus</v>
          </cell>
          <cell r="E14" t="str">
            <v>-</v>
          </cell>
          <cell r="F14" t="str">
            <v>-</v>
          </cell>
          <cell r="G14">
            <v>1.3472979067039592E-2</v>
          </cell>
          <cell r="H14">
            <v>1.293318231742635E-2</v>
          </cell>
        </row>
        <row r="15">
          <cell r="B15" t="str">
            <v>Hommes</v>
          </cell>
          <cell r="C15" t="str">
            <v>Mono Lura</v>
          </cell>
          <cell r="D15" t="str">
            <v>3 et plus</v>
          </cell>
          <cell r="E15" t="str">
            <v>-</v>
          </cell>
          <cell r="F15" t="str">
            <v>-</v>
          </cell>
          <cell r="G15">
            <v>1.1241530129173505E-3</v>
          </cell>
          <cell r="H15">
            <v>1.0943477051041928E-3</v>
          </cell>
        </row>
        <row r="16">
          <cell r="B16"/>
          <cell r="C16" t="str">
            <v>Mono FP-RS</v>
          </cell>
          <cell r="D16" t="str">
            <v>3 et plus</v>
          </cell>
          <cell r="E16" t="str">
            <v>-</v>
          </cell>
          <cell r="F16" t="str">
            <v>-</v>
          </cell>
          <cell r="G16">
            <v>-9.1262612719366087E-3</v>
          </cell>
          <cell r="H16">
            <v>-9.6527032303418414E-3</v>
          </cell>
        </row>
        <row r="17">
          <cell r="B17"/>
          <cell r="C17" t="str">
            <v>Mono MSAE-PLIB</v>
          </cell>
          <cell r="D17" t="str">
            <v>3 et plus</v>
          </cell>
          <cell r="E17" t="str">
            <v>-</v>
          </cell>
          <cell r="F17" t="str">
            <v>-</v>
          </cell>
          <cell r="G17">
            <v>1.5254240536210162E-2</v>
          </cell>
          <cell r="H17">
            <v>1.1417049774368637E-2</v>
          </cell>
        </row>
        <row r="18">
          <cell r="B18"/>
          <cell r="C18" t="str">
            <v>Poly Lura-FP-RS</v>
          </cell>
          <cell r="D18" t="str">
            <v>3 et plus</v>
          </cell>
          <cell r="E18" t="str">
            <v>-</v>
          </cell>
          <cell r="F18" t="str">
            <v>-</v>
          </cell>
          <cell r="G18">
            <v>-8.8420307509332607E-3</v>
          </cell>
          <cell r="H18">
            <v>-9.0516159502983529E-3</v>
          </cell>
        </row>
        <row r="19">
          <cell r="B19"/>
          <cell r="C19" t="str">
            <v>Poly Lura-MSAE-PLIB</v>
          </cell>
          <cell r="D19" t="str">
            <v>3 et plus</v>
          </cell>
          <cell r="E19" t="str">
            <v>-</v>
          </cell>
          <cell r="F19" t="str">
            <v>-</v>
          </cell>
          <cell r="G19">
            <v>9.8529731216989713E-3</v>
          </cell>
          <cell r="H19">
            <v>8.9885643102090018E-3</v>
          </cell>
        </row>
        <row r="20">
          <cell r="B20" t="str">
            <v>Selon le quintile de pension</v>
          </cell>
          <cell r="C20"/>
          <cell r="D20"/>
          <cell r="E20"/>
          <cell r="F20"/>
          <cell r="G20"/>
          <cell r="H20"/>
        </row>
        <row r="21">
          <cell r="B21" t="str">
            <v>Femmes</v>
          </cell>
          <cell r="C21" t="str">
            <v>Q1</v>
          </cell>
          <cell r="D21" t="str">
            <v>3 et plus</v>
          </cell>
          <cell r="E21" t="str">
            <v>-</v>
          </cell>
          <cell r="F21" t="str">
            <v>-</v>
          </cell>
          <cell r="G21">
            <v>1.8806859988251823E-4</v>
          </cell>
          <cell r="H21">
            <v>9.827015449714871E-5</v>
          </cell>
        </row>
        <row r="22">
          <cell r="B22"/>
          <cell r="C22" t="str">
            <v>Q2</v>
          </cell>
          <cell r="D22" t="str">
            <v>3 et plus</v>
          </cell>
          <cell r="E22" t="str">
            <v>-</v>
          </cell>
          <cell r="F22" t="str">
            <v>-</v>
          </cell>
          <cell r="G22">
            <v>9.6394192693027847E-5</v>
          </cell>
          <cell r="H22">
            <v>5.1229756239834501E-5</v>
          </cell>
        </row>
        <row r="23">
          <cell r="B23"/>
          <cell r="C23" t="str">
            <v>Q3</v>
          </cell>
          <cell r="D23" t="str">
            <v>3 et plus</v>
          </cell>
          <cell r="E23" t="str">
            <v>-</v>
          </cell>
          <cell r="F23" t="str">
            <v>-</v>
          </cell>
          <cell r="G23">
            <v>-1.7997682358731337E-3</v>
          </cell>
          <cell r="H23">
            <v>-1.9019915413812649E-3</v>
          </cell>
        </row>
        <row r="24">
          <cell r="B24"/>
          <cell r="C24" t="str">
            <v>Q4</v>
          </cell>
          <cell r="D24" t="str">
            <v>3 et plus</v>
          </cell>
          <cell r="E24" t="str">
            <v>-</v>
          </cell>
          <cell r="F24" t="str">
            <v>-</v>
          </cell>
          <cell r="G24">
            <v>-2.40475330527401E-4</v>
          </cell>
          <cell r="H24">
            <v>-3.737962076011403E-4</v>
          </cell>
        </row>
        <row r="25">
          <cell r="B25"/>
          <cell r="C25" t="str">
            <v>Q5</v>
          </cell>
          <cell r="D25" t="str">
            <v>3 et plus</v>
          </cell>
          <cell r="E25" t="str">
            <v>-</v>
          </cell>
          <cell r="F25" t="str">
            <v>-</v>
          </cell>
          <cell r="G25">
            <v>2.4067257256263908E-3</v>
          </cell>
          <cell r="H25">
            <v>2.1302267754041981E-3</v>
          </cell>
        </row>
        <row r="26">
          <cell r="B26" t="str">
            <v>Hommes</v>
          </cell>
          <cell r="C26" t="str">
            <v>Q1</v>
          </cell>
          <cell r="D26" t="str">
            <v>3 et plus</v>
          </cell>
          <cell r="E26" t="str">
            <v>-</v>
          </cell>
          <cell r="F26" t="str">
            <v>-</v>
          </cell>
          <cell r="G26">
            <v>1.9341876529914703E-3</v>
          </cell>
          <cell r="H26">
            <v>1.9468270858629122E-3</v>
          </cell>
        </row>
        <row r="27">
          <cell r="B27"/>
          <cell r="C27" t="str">
            <v>Q2</v>
          </cell>
          <cell r="D27" t="str">
            <v>3 et plus</v>
          </cell>
          <cell r="E27" t="str">
            <v>-</v>
          </cell>
          <cell r="F27" t="str">
            <v>-</v>
          </cell>
          <cell r="G27">
            <v>2.2312886891953099E-3</v>
          </cell>
          <cell r="H27">
            <v>1.7998799242475716E-3</v>
          </cell>
        </row>
        <row r="28">
          <cell r="B28"/>
          <cell r="C28" t="str">
            <v>Q3</v>
          </cell>
          <cell r="D28" t="str">
            <v>3 et plus</v>
          </cell>
          <cell r="E28" t="str">
            <v>-</v>
          </cell>
          <cell r="F28" t="str">
            <v>-</v>
          </cell>
          <cell r="G28">
            <v>2.6193557693976466E-4</v>
          </cell>
          <cell r="H28">
            <v>-8.2040082433620931E-5</v>
          </cell>
        </row>
        <row r="29">
          <cell r="B29"/>
          <cell r="C29" t="str">
            <v>Q4</v>
          </cell>
          <cell r="D29" t="str">
            <v>3 et plus</v>
          </cell>
          <cell r="E29" t="str">
            <v>-</v>
          </cell>
          <cell r="F29" t="str">
            <v>-</v>
          </cell>
          <cell r="G29">
            <v>5.9705624242556432E-4</v>
          </cell>
          <cell r="H29">
            <v>3.3175292181164551E-4</v>
          </cell>
        </row>
        <row r="30">
          <cell r="B30"/>
          <cell r="C30" t="str">
            <v>Q5</v>
          </cell>
          <cell r="D30" t="str">
            <v>3 et plus</v>
          </cell>
          <cell r="E30" t="str">
            <v>-</v>
          </cell>
          <cell r="F30" t="str">
            <v>-</v>
          </cell>
          <cell r="G30">
            <v>-2.5631645213153309E-4</v>
          </cell>
          <cell r="H30">
            <v>-4.9051360427820878E-4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0">
          <cell r="D60">
            <v>1.4144766231183326E-5</v>
          </cell>
          <cell r="E60">
            <v>4.0774325415826596E-5</v>
          </cell>
          <cell r="F60">
            <v>6.0290018304653969E-5</v>
          </cell>
          <cell r="G60">
            <v>8.6565986429976149E-5</v>
          </cell>
          <cell r="H60">
            <v>1.1404895591571318E-4</v>
          </cell>
          <cell r="I60">
            <v>1.4693507647889348E-4</v>
          </cell>
          <cell r="J60">
            <v>1.8204685343636839E-4</v>
          </cell>
          <cell r="K60">
            <v>2.1370934041020639E-4</v>
          </cell>
          <cell r="L60">
            <v>2.4473869422370065E-4</v>
          </cell>
          <cell r="M60">
            <v>2.7257925905521674E-4</v>
          </cell>
          <cell r="N60">
            <v>2.9731393567877795E-4</v>
          </cell>
          <cell r="O60">
            <v>3.2585045116251266E-4</v>
          </cell>
          <cell r="P60">
            <v>3.5424380197057737E-4</v>
          </cell>
          <cell r="Q60">
            <v>3.8188536035899112E-4</v>
          </cell>
          <cell r="R60">
            <v>4.0812111791410643E-4</v>
          </cell>
          <cell r="S60">
            <v>4.281391381479871E-4</v>
          </cell>
          <cell r="T60">
            <v>4.4634352693018187E-4</v>
          </cell>
          <cell r="U60">
            <v>4.6433067514262127E-4</v>
          </cell>
          <cell r="V60">
            <v>4.8553239213999788E-4</v>
          </cell>
          <cell r="W60">
            <v>5.0322445902195589E-4</v>
          </cell>
          <cell r="X60">
            <v>5.1470702360556508E-4</v>
          </cell>
          <cell r="Y60">
            <v>5.3039271951993427E-4</v>
          </cell>
          <cell r="Z60">
            <v>5.364765234678881E-4</v>
          </cell>
          <cell r="AA60">
            <v>5.4209687796413775E-4</v>
          </cell>
          <cell r="AB60">
            <v>5.4910296418930749E-4</v>
          </cell>
          <cell r="AC60">
            <v>5.4940441927353589E-4</v>
          </cell>
          <cell r="AD60">
            <v>5.444431718173437E-4</v>
          </cell>
          <cell r="AE60">
            <v>5.3826342401053218E-4</v>
          </cell>
          <cell r="AF60">
            <v>5.334346814229729E-4</v>
          </cell>
          <cell r="AG60">
            <v>5.2517124240525348E-4</v>
          </cell>
          <cell r="AH60">
            <v>5.19723620449275E-4</v>
          </cell>
          <cell r="AI60">
            <v>5.1316083706365312E-4</v>
          </cell>
          <cell r="AJ60">
            <v>4.9978458662724989E-4</v>
          </cell>
          <cell r="AK60">
            <v>4.8348596972380697E-4</v>
          </cell>
          <cell r="AL60">
            <v>4.6380617316410522E-4</v>
          </cell>
          <cell r="AM60">
            <v>4.4539336021509612E-4</v>
          </cell>
          <cell r="AN60">
            <v>4.2832812132709286E-4</v>
          </cell>
          <cell r="AO60">
            <v>4.07826457704763E-4</v>
          </cell>
          <cell r="AP60">
            <v>3.863135498984871E-4</v>
          </cell>
          <cell r="AQ60">
            <v>3.6138887843417677E-4</v>
          </cell>
          <cell r="AR60">
            <v>3.3490770973676476E-4</v>
          </cell>
          <cell r="AS60">
            <v>3.102651006823276E-4</v>
          </cell>
          <cell r="AT60">
            <v>2.8236343893905946E-4</v>
          </cell>
          <cell r="AU60">
            <v>2.56263934941936E-4</v>
          </cell>
          <cell r="AV60">
            <v>2.3081063939511814E-4</v>
          </cell>
        </row>
        <row r="61">
          <cell r="D61">
            <v>3.019056182074209E-5</v>
          </cell>
          <cell r="E61">
            <v>7.7530080339505147E-5</v>
          </cell>
          <cell r="F61">
            <v>1.1831988782007308E-4</v>
          </cell>
          <cell r="G61">
            <v>1.6860909131133361E-4</v>
          </cell>
          <cell r="H61">
            <v>2.1729058635355791E-4</v>
          </cell>
          <cell r="I61">
            <v>2.6837729128792454E-4</v>
          </cell>
          <cell r="J61">
            <v>3.1918657177598675E-4</v>
          </cell>
          <cell r="K61">
            <v>3.6471628245804411E-4</v>
          </cell>
          <cell r="L61">
            <v>4.1087686517093935E-4</v>
          </cell>
          <cell r="M61">
            <v>4.5367013722441563E-4</v>
          </cell>
          <cell r="N61">
            <v>4.9310861351603563E-4</v>
          </cell>
          <cell r="O61">
            <v>5.3704377340224596E-4</v>
          </cell>
          <cell r="P61">
            <v>5.7800182586453808E-4</v>
          </cell>
          <cell r="Q61">
            <v>6.1662455648558989E-4</v>
          </cell>
          <cell r="R61">
            <v>6.5582527265450885E-4</v>
          </cell>
          <cell r="S61">
            <v>6.8881466988268691E-4</v>
          </cell>
          <cell r="T61">
            <v>7.1837859303069962E-4</v>
          </cell>
          <cell r="U61">
            <v>7.4844754183267526E-4</v>
          </cell>
          <cell r="V61">
            <v>7.7661146791840885E-4</v>
          </cell>
          <cell r="W61">
            <v>8.0235691062613412E-4</v>
          </cell>
          <cell r="X61">
            <v>8.2237569350218642E-4</v>
          </cell>
          <cell r="Y61">
            <v>8.4430877716301644E-4</v>
          </cell>
          <cell r="Z61">
            <v>8.5659630744605586E-4</v>
          </cell>
          <cell r="AA61">
            <v>8.655332796640991E-4</v>
          </cell>
          <cell r="AB61">
            <v>8.743266500725877E-4</v>
          </cell>
          <cell r="AC61">
            <v>8.7673096165108433E-4</v>
          </cell>
          <cell r="AD61">
            <v>8.7221819277671919E-4</v>
          </cell>
          <cell r="AE61">
            <v>8.6456269926382667E-4</v>
          </cell>
          <cell r="AF61">
            <v>8.5483531923102873E-4</v>
          </cell>
          <cell r="AG61">
            <v>8.4147149976310232E-4</v>
          </cell>
          <cell r="AH61">
            <v>8.3021553096074285E-4</v>
          </cell>
          <cell r="AI61">
            <v>8.2069816216656655E-4</v>
          </cell>
          <cell r="AJ61">
            <v>8.0674851757933652E-4</v>
          </cell>
          <cell r="AK61">
            <v>7.8932155157396267E-4</v>
          </cell>
          <cell r="AL61">
            <v>7.671153325756741E-4</v>
          </cell>
          <cell r="AM61">
            <v>7.4434528539346623E-4</v>
          </cell>
          <cell r="AN61">
            <v>7.2253996147475519E-4</v>
          </cell>
          <cell r="AO61">
            <v>6.9993750574925961E-4</v>
          </cell>
          <cell r="AP61">
            <v>6.7261535074836232E-4</v>
          </cell>
          <cell r="AQ61">
            <v>6.4550762082427049E-4</v>
          </cell>
          <cell r="AR61">
            <v>6.1498444838736788E-4</v>
          </cell>
          <cell r="AS61">
            <v>5.842520722365574E-4</v>
          </cell>
          <cell r="AT61">
            <v>5.5158560036150384E-4</v>
          </cell>
          <cell r="AU61">
            <v>5.1915187663054141E-4</v>
          </cell>
          <cell r="AV61">
            <v>4.8926542417615515E-4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5.3290705182007514E-15</v>
          </cell>
          <cell r="M62">
            <v>0</v>
          </cell>
          <cell r="N62">
            <v>0</v>
          </cell>
          <cell r="O62">
            <v>-4.7739590058881731E-15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3.3306690738754696E-15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2.886579864025407E-15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</row>
        <row r="63">
          <cell r="D63">
            <v>8.8436164249250382E-5</v>
          </cell>
          <cell r="E63">
            <v>2.2156624999913888E-4</v>
          </cell>
          <cell r="F63">
            <v>3.6112386907594107E-4</v>
          </cell>
          <cell r="G63">
            <v>5.1087975473884661E-4</v>
          </cell>
          <cell r="H63">
            <v>6.595777869438102E-4</v>
          </cell>
          <cell r="I63">
            <v>8.1885520384150645E-4</v>
          </cell>
          <cell r="J63">
            <v>9.6955195707337793E-4</v>
          </cell>
          <cell r="K63">
            <v>1.1114587563072487E-3</v>
          </cell>
          <cell r="L63">
            <v>1.2589597527112861E-3</v>
          </cell>
          <cell r="M63">
            <v>1.4029698199087282E-3</v>
          </cell>
          <cell r="N63">
            <v>1.5382700805521843E-3</v>
          </cell>
          <cell r="O63">
            <v>1.6683441549316669E-3</v>
          </cell>
          <cell r="P63">
            <v>1.7955951422912175E-3</v>
          </cell>
          <cell r="Q63">
            <v>1.9139106002852291E-3</v>
          </cell>
          <cell r="R63">
            <v>2.0368070412113415E-3</v>
          </cell>
          <cell r="S63">
            <v>2.143905180538086E-3</v>
          </cell>
          <cell r="T63">
            <v>2.2432060107127061E-3</v>
          </cell>
          <cell r="U63">
            <v>2.3398224299604475E-3</v>
          </cell>
          <cell r="V63">
            <v>2.4312106283603807E-3</v>
          </cell>
          <cell r="W63">
            <v>2.5036506802482705E-3</v>
          </cell>
          <cell r="X63">
            <v>2.5517497712121973E-3</v>
          </cell>
          <cell r="Y63">
            <v>2.5948551667320796E-3</v>
          </cell>
          <cell r="Z63">
            <v>2.618536012086059E-3</v>
          </cell>
          <cell r="AA63">
            <v>2.6316143774895995E-3</v>
          </cell>
          <cell r="AB63">
            <v>2.6218285796919538E-3</v>
          </cell>
          <cell r="AC63">
            <v>2.603875134774114E-3</v>
          </cell>
          <cell r="AD63">
            <v>2.5647690943262358E-3</v>
          </cell>
          <cell r="AE63">
            <v>2.5174053170162747E-3</v>
          </cell>
          <cell r="AF63">
            <v>2.4598852747406141E-3</v>
          </cell>
          <cell r="AG63">
            <v>2.3930457330518795E-3</v>
          </cell>
          <cell r="AH63">
            <v>2.3245480265379204E-3</v>
          </cell>
          <cell r="AI63">
            <v>2.2376897729430301E-3</v>
          </cell>
          <cell r="AJ63">
            <v>2.1483159573205679E-3</v>
          </cell>
          <cell r="AK63">
            <v>2.0517856318329475E-3</v>
          </cell>
          <cell r="AL63">
            <v>1.9498200421483869E-3</v>
          </cell>
          <cell r="AM63">
            <v>1.8430107301794507E-3</v>
          </cell>
          <cell r="AN63">
            <v>1.7318234010799127E-3</v>
          </cell>
          <cell r="AO63">
            <v>1.623318879193647E-3</v>
          </cell>
          <cell r="AP63">
            <v>1.5100651614463612E-3</v>
          </cell>
          <cell r="AQ63">
            <v>1.4012593929735306E-3</v>
          </cell>
          <cell r="AR63">
            <v>1.2906234360052782E-3</v>
          </cell>
          <cell r="AS63">
            <v>1.1811599363267256E-3</v>
          </cell>
          <cell r="AT63">
            <v>1.0740996497971E-3</v>
          </cell>
          <cell r="AU63">
            <v>9.6920683012680087E-4</v>
          </cell>
          <cell r="AV63">
            <v>8.7235434140664481E-4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-6.9944050551384862E-15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</row>
        <row r="65">
          <cell r="D65">
            <v>-6.2642098858756157E-5</v>
          </cell>
          <cell r="E65">
            <v>-1.4146219661703707E-4</v>
          </cell>
          <cell r="F65">
            <v>-2.3764079329235965E-4</v>
          </cell>
          <cell r="G65">
            <v>-3.395357765181295E-4</v>
          </cell>
          <cell r="H65">
            <v>-4.2468038309029232E-4</v>
          </cell>
          <cell r="I65">
            <v>-4.9614034835843146E-4</v>
          </cell>
          <cell r="J65">
            <v>-5.5706976551161969E-4</v>
          </cell>
          <cell r="K65">
            <v>-6.3385755292932888E-4</v>
          </cell>
          <cell r="L65">
            <v>-7.2789950839491357E-4</v>
          </cell>
          <cell r="M65">
            <v>-8.1521589580069165E-4</v>
          </cell>
          <cell r="N65">
            <v>-9.071743536014365E-4</v>
          </cell>
          <cell r="O65">
            <v>-1.0058537874171325E-3</v>
          </cell>
          <cell r="P65">
            <v>-1.0947720437231023E-3</v>
          </cell>
          <cell r="Q65">
            <v>-1.1819659354416201E-3</v>
          </cell>
          <cell r="R65">
            <v>-1.2953514544457034E-3</v>
          </cell>
          <cell r="S65">
            <v>-1.4121978156069748E-3</v>
          </cell>
          <cell r="T65">
            <v>-1.5110467710029996E-3</v>
          </cell>
          <cell r="U65">
            <v>-1.6359854785792383E-3</v>
          </cell>
          <cell r="V65">
            <v>-1.7209796848399739E-3</v>
          </cell>
          <cell r="W65">
            <v>-1.8342990354145439E-3</v>
          </cell>
          <cell r="X65">
            <v>-1.9486205008326651E-3</v>
          </cell>
          <cell r="Y65">
            <v>-2.0557910861465079E-3</v>
          </cell>
          <cell r="Z65">
            <v>-2.1626756097220534E-3</v>
          </cell>
          <cell r="AA65">
            <v>-2.2599772545174313E-3</v>
          </cell>
          <cell r="AB65">
            <v>-2.3518568021524411E-3</v>
          </cell>
          <cell r="AC65">
            <v>-2.455314924961649E-3</v>
          </cell>
          <cell r="AD65">
            <v>-2.5511223370952019E-3</v>
          </cell>
          <cell r="AE65">
            <v>-2.633743903924235E-3</v>
          </cell>
          <cell r="AF65">
            <v>-2.6850606097359453E-3</v>
          </cell>
          <cell r="AG65">
            <v>-2.7288192350916063E-3</v>
          </cell>
          <cell r="AH65">
            <v>-2.746048555065439E-3</v>
          </cell>
          <cell r="AI65">
            <v>-2.7970943148644123E-3</v>
          </cell>
          <cell r="AJ65">
            <v>-2.8431665353392255E-3</v>
          </cell>
          <cell r="AK65">
            <v>-2.8879285943667066E-3</v>
          </cell>
          <cell r="AL65">
            <v>-2.9306081784334914E-3</v>
          </cell>
          <cell r="AM65">
            <v>-2.9787676843346933E-3</v>
          </cell>
          <cell r="AN65">
            <v>-3.0120948934245773E-3</v>
          </cell>
          <cell r="AO65">
            <v>-3.0419990325272206E-3</v>
          </cell>
          <cell r="AP65">
            <v>-3.0229822589610267E-3</v>
          </cell>
          <cell r="AQ65">
            <v>-3.0328891644121336E-3</v>
          </cell>
          <cell r="AR65">
            <v>-3.0309224667144363E-3</v>
          </cell>
          <cell r="AS65">
            <v>-3.0278292307874821E-3</v>
          </cell>
          <cell r="AT65">
            <v>-3.0273907184008575E-3</v>
          </cell>
          <cell r="AU65">
            <v>-2.996322055287326E-3</v>
          </cell>
          <cell r="AV65">
            <v>-2.9765034579116723E-3</v>
          </cell>
        </row>
        <row r="66">
          <cell r="D66">
            <v>-2.41727804186187E-4</v>
          </cell>
          <cell r="E66">
            <v>-4.7381197132279063E-4</v>
          </cell>
          <cell r="F66">
            <v>-8.1533638362085714E-4</v>
          </cell>
          <cell r="G66">
            <v>-1.0400857934088625E-3</v>
          </cell>
          <cell r="H66">
            <v>-1.2488780956577683E-3</v>
          </cell>
          <cell r="I66">
            <v>-1.4485343481510649E-3</v>
          </cell>
          <cell r="J66">
            <v>-1.6685780518193027E-3</v>
          </cell>
          <cell r="K66">
            <v>-1.8662082482583386E-3</v>
          </cell>
          <cell r="L66">
            <v>-2.1503818541711572E-3</v>
          </cell>
          <cell r="M66">
            <v>-2.2947329002623862E-3</v>
          </cell>
          <cell r="N66">
            <v>-2.5327096805408678E-3</v>
          </cell>
          <cell r="O66">
            <v>-2.7143428644497147E-3</v>
          </cell>
          <cell r="P66">
            <v>-2.889311532800698E-3</v>
          </cell>
          <cell r="Q66">
            <v>-3.0631676424830445E-3</v>
          </cell>
          <cell r="R66">
            <v>-3.2223396560548956E-3</v>
          </cell>
          <cell r="S66">
            <v>-3.305203215646535E-3</v>
          </cell>
          <cell r="T66">
            <v>-3.5187576100045304E-3</v>
          </cell>
          <cell r="U66">
            <v>-3.6004754791973959E-3</v>
          </cell>
          <cell r="V66">
            <v>-3.8212625264942846E-3</v>
          </cell>
          <cell r="W66">
            <v>-3.8404305946100337E-3</v>
          </cell>
          <cell r="X66">
            <v>-4.0341884500791902E-3</v>
          </cell>
          <cell r="Y66">
            <v>-4.1195838590661893E-3</v>
          </cell>
          <cell r="Z66">
            <v>-4.2335022331860817E-3</v>
          </cell>
          <cell r="AA66">
            <v>-4.4459516982829905E-3</v>
          </cell>
          <cell r="AB66">
            <v>-4.5745450541766486E-3</v>
          </cell>
          <cell r="AC66">
            <v>-4.7015830757808352E-3</v>
          </cell>
          <cell r="AD66">
            <v>-4.7999943528495015E-3</v>
          </cell>
          <cell r="AE66">
            <v>-4.9081648512039333E-3</v>
          </cell>
          <cell r="AF66">
            <v>-4.9885144667014547E-3</v>
          </cell>
          <cell r="AG66">
            <v>-5.0431161155443105E-3</v>
          </cell>
          <cell r="AH66">
            <v>-5.0758261713275132E-3</v>
          </cell>
          <cell r="AI66">
            <v>-5.0452736678924248E-3</v>
          </cell>
          <cell r="AJ66">
            <v>-5.0134781802595452E-3</v>
          </cell>
          <cell r="AK66">
            <v>-5.041465148276969E-3</v>
          </cell>
          <cell r="AL66">
            <v>-5.1171564169082417E-3</v>
          </cell>
          <cell r="AM66">
            <v>-5.0905563692122957E-3</v>
          </cell>
          <cell r="AN66">
            <v>-5.008052968529797E-3</v>
          </cell>
          <cell r="AO66">
            <v>-4.9905672053696115E-3</v>
          </cell>
          <cell r="AP66">
            <v>-4.9592266306512922E-3</v>
          </cell>
          <cell r="AQ66">
            <v>-4.9763141440951619E-3</v>
          </cell>
          <cell r="AR66">
            <v>-4.9412152814070076E-3</v>
          </cell>
          <cell r="AS66">
            <v>-4.9296857555839457E-3</v>
          </cell>
          <cell r="AT66">
            <v>-4.9174374916921559E-3</v>
          </cell>
          <cell r="AU66">
            <v>-4.9598920137510216E-3</v>
          </cell>
          <cell r="AV66">
            <v>-4.9402655661482386E-3</v>
          </cell>
        </row>
        <row r="67">
          <cell r="D67">
            <v>1.9357794851182497E-4</v>
          </cell>
          <cell r="E67">
            <v>5.020018136221438E-4</v>
          </cell>
          <cell r="F67">
            <v>8.0692903670120941E-4</v>
          </cell>
          <cell r="G67">
            <v>1.1258784562238056E-3</v>
          </cell>
          <cell r="H67">
            <v>1.4312795368780495E-3</v>
          </cell>
          <cell r="I67">
            <v>1.7412368169935633E-3</v>
          </cell>
          <cell r="J67">
            <v>2.0239053397559381E-3</v>
          </cell>
          <cell r="K67">
            <v>2.2995528585656455E-3</v>
          </cell>
          <cell r="L67">
            <v>2.5573195010741845E-3</v>
          </cell>
          <cell r="M67">
            <v>2.786931890101263E-3</v>
          </cell>
          <cell r="N67">
            <v>3.003551396820292E-3</v>
          </cell>
          <cell r="O67">
            <v>3.268931818818821E-3</v>
          </cell>
          <cell r="P67">
            <v>3.5182830645470453E-3</v>
          </cell>
          <cell r="Q67">
            <v>3.7717240361951898E-3</v>
          </cell>
          <cell r="R67">
            <v>4.014085692625402E-3</v>
          </cell>
          <cell r="S67">
            <v>4.2165551443971161E-3</v>
          </cell>
          <cell r="T67">
            <v>4.398288857283994E-3</v>
          </cell>
          <cell r="U67">
            <v>4.5884718572553052E-3</v>
          </cell>
          <cell r="V67">
            <v>4.7336397465744806E-3</v>
          </cell>
          <cell r="W67">
            <v>4.9004687303251249E-3</v>
          </cell>
          <cell r="X67">
            <v>5.0642784749570513E-3</v>
          </cell>
          <cell r="Y67">
            <v>5.2176323668264857E-3</v>
          </cell>
          <cell r="Z67">
            <v>5.3557613477395183E-3</v>
          </cell>
          <cell r="AA67">
            <v>5.4757173413739757E-3</v>
          </cell>
          <cell r="AB67">
            <v>5.6285967106859403E-3</v>
          </cell>
          <cell r="AC67">
            <v>5.740888545950007E-3</v>
          </cell>
          <cell r="AD67">
            <v>5.8343686139219475E-3</v>
          </cell>
          <cell r="AE67">
            <v>5.905954927861945E-3</v>
          </cell>
          <cell r="AF67">
            <v>5.9842504720208911E-3</v>
          </cell>
          <cell r="AG67">
            <v>6.0382986207219158E-3</v>
          </cell>
          <cell r="AH67">
            <v>6.0881658053089094E-3</v>
          </cell>
          <cell r="AI67">
            <v>6.1169714452664614E-3</v>
          </cell>
          <cell r="AJ67">
            <v>6.1362908954127882E-3</v>
          </cell>
          <cell r="AK67">
            <v>6.1490459956849985E-3</v>
          </cell>
          <cell r="AL67">
            <v>6.1466004859618284E-3</v>
          </cell>
          <cell r="AM67">
            <v>6.1459321820247492E-3</v>
          </cell>
          <cell r="AN67">
            <v>6.1654649832219022E-3</v>
          </cell>
          <cell r="AO67">
            <v>6.1555402981972041E-3</v>
          </cell>
          <cell r="AP67">
            <v>6.144391059953902E-3</v>
          </cell>
          <cell r="AQ67">
            <v>6.10622957667184E-3</v>
          </cell>
          <cell r="AR67">
            <v>6.0518959421043128E-3</v>
          </cell>
          <cell r="AS67">
            <v>5.9981305858742839E-3</v>
          </cell>
          <cell r="AT67">
            <v>5.9601251249006282E-3</v>
          </cell>
          <cell r="AU67">
            <v>5.9171401095863274E-3</v>
          </cell>
          <cell r="AV67">
            <v>5.8679226665772077E-3</v>
          </cell>
        </row>
        <row r="68">
          <cell r="D68">
            <v>-1.4714832238593711E-4</v>
          </cell>
          <cell r="E68">
            <v>-3.3096619314931797E-4</v>
          </cell>
          <cell r="F68">
            <v>-5.5985313544015813E-4</v>
          </cell>
          <cell r="G68">
            <v>-7.4379158591120209E-4</v>
          </cell>
          <cell r="H68">
            <v>-9.1836543579182361E-4</v>
          </cell>
          <cell r="I68">
            <v>-1.081187949325435E-3</v>
          </cell>
          <cell r="J68">
            <v>-1.2237529979767237E-3</v>
          </cell>
          <cell r="K68">
            <v>-1.3834459506617547E-3</v>
          </cell>
          <cell r="L68">
            <v>-1.5044141234192843E-3</v>
          </cell>
          <cell r="M68">
            <v>-1.6479173480256071E-3</v>
          </cell>
          <cell r="N68">
            <v>-1.7816136239248159E-3</v>
          </cell>
          <cell r="O68">
            <v>-1.9085311874814659E-3</v>
          </cell>
          <cell r="P68">
            <v>-2.0371030642357679E-3</v>
          </cell>
          <cell r="Q68">
            <v>-2.1562675284720889E-3</v>
          </cell>
          <cell r="R68">
            <v>-2.294036853675796E-3</v>
          </cell>
          <cell r="S68">
            <v>-2.4237000453394275E-3</v>
          </cell>
          <cell r="T68">
            <v>-2.558124027379316E-3</v>
          </cell>
          <cell r="U68">
            <v>-2.6991396757438668E-3</v>
          </cell>
          <cell r="V68">
            <v>-2.8225995842910967E-3</v>
          </cell>
          <cell r="W68">
            <v>-2.9476259629399593E-3</v>
          </cell>
          <cell r="X68">
            <v>-3.0579473652334599E-3</v>
          </cell>
          <cell r="Y68">
            <v>-3.1453615446140892E-3</v>
          </cell>
          <cell r="Z68">
            <v>-3.2647697352534699E-3</v>
          </cell>
          <cell r="AA68">
            <v>-3.3701259313183574E-3</v>
          </cell>
          <cell r="AB68">
            <v>-3.4542423969409208E-3</v>
          </cell>
          <cell r="AC68">
            <v>-3.5385801443743592E-3</v>
          </cell>
          <cell r="AD68">
            <v>-3.6376456464650708E-3</v>
          </cell>
          <cell r="AE68">
            <v>-3.7250794342801319E-3</v>
          </cell>
          <cell r="AF68">
            <v>-3.8112191091456138E-3</v>
          </cell>
          <cell r="AG68">
            <v>-3.9107679711750665E-3</v>
          </cell>
          <cell r="AH68">
            <v>-3.9912709563981741E-3</v>
          </cell>
          <cell r="AI68">
            <v>-4.0143910266895455E-3</v>
          </cell>
          <cell r="AJ68">
            <v>-4.033163441291121E-3</v>
          </cell>
          <cell r="AK68">
            <v>-4.0354060158703797E-3</v>
          </cell>
          <cell r="AL68">
            <v>-4.0489153977321113E-3</v>
          </cell>
          <cell r="AM68">
            <v>-4.0668388312397052E-3</v>
          </cell>
          <cell r="AN68">
            <v>-4.0691895686759683E-3</v>
          </cell>
          <cell r="AO68">
            <v>-4.0585765326575096E-3</v>
          </cell>
          <cell r="AP68">
            <v>-4.0493586065432075E-3</v>
          </cell>
          <cell r="AQ68">
            <v>-4.0314442680735585E-3</v>
          </cell>
          <cell r="AR68">
            <v>-4.0389745716601366E-3</v>
          </cell>
          <cell r="AS68">
            <v>-4.0219660630192999E-3</v>
          </cell>
          <cell r="AT68">
            <v>-4.0093604712289066E-3</v>
          </cell>
          <cell r="AU68">
            <v>-3.9811613880518237E-3</v>
          </cell>
          <cell r="AV68">
            <v>-3.9600243343029806E-3</v>
          </cell>
        </row>
        <row r="69">
          <cell r="D69">
            <v>-6.036799677322513E-5</v>
          </cell>
          <cell r="E69">
            <v>-1.3581876688739669E-4</v>
          </cell>
          <cell r="F69">
            <v>-2.0634763923266242E-4</v>
          </cell>
          <cell r="G69">
            <v>-3.0085436598048521E-4</v>
          </cell>
          <cell r="H69">
            <v>-4.2404801995421515E-4</v>
          </cell>
          <cell r="I69">
            <v>-5.367672453040484E-4</v>
          </cell>
          <cell r="J69">
            <v>-6.4875925856855421E-4</v>
          </cell>
          <cell r="K69">
            <v>-7.1898411270598928E-4</v>
          </cell>
          <cell r="L69">
            <v>-7.7557006489881175E-4</v>
          </cell>
          <cell r="M69">
            <v>-9.0083965655884946E-4</v>
          </cell>
          <cell r="N69">
            <v>-1.0461866825931532E-3</v>
          </cell>
          <cell r="O69">
            <v>-1.1598754701467318E-3</v>
          </cell>
          <cell r="P69">
            <v>-1.2693588411762935E-3</v>
          </cell>
          <cell r="Q69">
            <v>-1.3637427839240379E-3</v>
          </cell>
          <cell r="R69">
            <v>-1.4444374447423192E-3</v>
          </cell>
          <cell r="S69">
            <v>-1.57062214776027E-3</v>
          </cell>
          <cell r="T69">
            <v>-1.755079854338093E-3</v>
          </cell>
          <cell r="U69">
            <v>-1.8710449196219781E-3</v>
          </cell>
          <cell r="V69">
            <v>-2.0184291231016838E-3</v>
          </cell>
          <cell r="W69">
            <v>-2.1543376777264367E-3</v>
          </cell>
          <cell r="X69">
            <v>-2.3455088054736839E-3</v>
          </cell>
          <cell r="Y69">
            <v>-2.4840626329476478E-3</v>
          </cell>
          <cell r="Z69">
            <v>-2.6481942066697295E-3</v>
          </cell>
          <cell r="AA69">
            <v>-2.7812364660487754E-3</v>
          </cell>
          <cell r="AB69">
            <v>-2.886147745571721E-3</v>
          </cell>
          <cell r="AC69">
            <v>-2.9917053114514314E-3</v>
          </cell>
          <cell r="AD69">
            <v>-3.1237093102662872E-3</v>
          </cell>
          <cell r="AE69">
            <v>-3.2151406523749371E-3</v>
          </cell>
          <cell r="AF69">
            <v>-3.2658212668924547E-3</v>
          </cell>
          <cell r="AG69">
            <v>-3.3338256642810871E-3</v>
          </cell>
          <cell r="AH69">
            <v>-3.4016115224270171E-3</v>
          </cell>
          <cell r="AI69">
            <v>-3.4154404582821263E-3</v>
          </cell>
          <cell r="AJ69">
            <v>-3.5035199760556912E-3</v>
          </cell>
          <cell r="AK69">
            <v>-3.5478175291214775E-3</v>
          </cell>
          <cell r="AL69">
            <v>-3.5634981796927034E-3</v>
          </cell>
          <cell r="AM69">
            <v>-3.4832241866077363E-3</v>
          </cell>
          <cell r="AN69">
            <v>-3.3847644082737327E-3</v>
          </cell>
          <cell r="AO69">
            <v>-3.3747823433186719E-3</v>
          </cell>
          <cell r="AP69">
            <v>-3.3925528084234324E-3</v>
          </cell>
          <cell r="AQ69">
            <v>-3.4624884142469003E-3</v>
          </cell>
          <cell r="AR69">
            <v>-3.4649689546699669E-3</v>
          </cell>
          <cell r="AS69">
            <v>-3.4111881325877835E-3</v>
          </cell>
          <cell r="AT69">
            <v>-3.3940992661255498E-3</v>
          </cell>
          <cell r="AU69">
            <v>-3.3781941444672725E-3</v>
          </cell>
          <cell r="AV69">
            <v>-3.3956007590096871E-3</v>
          </cell>
        </row>
        <row r="70">
          <cell r="D70">
            <v>3.7446697450205235E-4</v>
          </cell>
          <cell r="E70">
            <v>8.114631718467713E-4</v>
          </cell>
          <cell r="F70">
            <v>1.1985281679822712E-3</v>
          </cell>
          <cell r="G70">
            <v>1.5724548520121839E-3</v>
          </cell>
          <cell r="H70">
            <v>1.9127548406103756E-3</v>
          </cell>
          <cell r="I70">
            <v>2.2031927788381811E-3</v>
          </cell>
          <cell r="J70">
            <v>2.5196336834651945E-3</v>
          </cell>
          <cell r="K70">
            <v>2.8196993976916662E-3</v>
          </cell>
          <cell r="L70">
            <v>3.0618271572753208E-3</v>
          </cell>
          <cell r="M70">
            <v>3.2755654607814488E-3</v>
          </cell>
          <cell r="N70">
            <v>3.4934739576577556E-3</v>
          </cell>
          <cell r="O70">
            <v>3.7352183329510957E-3</v>
          </cell>
          <cell r="P70">
            <v>3.9290953984241206E-3</v>
          </cell>
          <cell r="Q70">
            <v>4.1033713320797194E-3</v>
          </cell>
          <cell r="R70">
            <v>4.3074580882562774E-3</v>
          </cell>
          <cell r="S70">
            <v>4.464482818226756E-3</v>
          </cell>
          <cell r="T70">
            <v>4.6513296605790178E-3</v>
          </cell>
          <cell r="U70">
            <v>4.8264228821310873E-3</v>
          </cell>
          <cell r="V70">
            <v>5.0253834938480679E-3</v>
          </cell>
          <cell r="W70">
            <v>5.1949053775217635E-3</v>
          </cell>
          <cell r="X70">
            <v>5.3800974959570258E-3</v>
          </cell>
          <cell r="Y70">
            <v>5.5463936631650057E-3</v>
          </cell>
          <cell r="Z70">
            <v>5.7002547015772009E-3</v>
          </cell>
          <cell r="AA70">
            <v>5.853536553447114E-3</v>
          </cell>
          <cell r="AB70">
            <v>5.9953628346063326E-3</v>
          </cell>
          <cell r="AC70">
            <v>6.101977768472544E-3</v>
          </cell>
          <cell r="AD70">
            <v>6.1838457237985978E-3</v>
          </cell>
          <cell r="AE70">
            <v>6.246599473652914E-3</v>
          </cell>
          <cell r="AF70">
            <v>6.2965769530793914E-3</v>
          </cell>
          <cell r="AG70">
            <v>6.344324280916469E-3</v>
          </cell>
          <cell r="AH70">
            <v>6.3821831907799886E-3</v>
          </cell>
          <cell r="AI70">
            <v>6.4146465308416722E-3</v>
          </cell>
          <cell r="AJ70">
            <v>6.4295975077808265E-3</v>
          </cell>
          <cell r="AK70">
            <v>6.4313061207774691E-3</v>
          </cell>
          <cell r="AL70">
            <v>6.4435270618214968E-3</v>
          </cell>
          <cell r="AM70">
            <v>6.4521602524072463E-3</v>
          </cell>
          <cell r="AN70">
            <v>6.4727869807530425E-3</v>
          </cell>
          <cell r="AO70">
            <v>6.4981612491163965E-3</v>
          </cell>
          <cell r="AP70">
            <v>6.5077603574790199E-3</v>
          </cell>
          <cell r="AQ70">
            <v>6.5254323775567613E-3</v>
          </cell>
          <cell r="AR70">
            <v>6.538212617857031E-3</v>
          </cell>
          <cell r="AS70">
            <v>6.5467671662564619E-3</v>
          </cell>
          <cell r="AT70">
            <v>6.5032086257323929E-3</v>
          </cell>
          <cell r="AU70">
            <v>6.4621845947325784E-3</v>
          </cell>
          <cell r="AV70">
            <v>6.4146424036255478E-3</v>
          </cell>
        </row>
        <row r="71">
          <cell r="D71">
            <v>1.618042372940165E-3</v>
          </cell>
          <cell r="E71">
            <v>3.8399165340312624E-3</v>
          </cell>
          <cell r="F71">
            <v>5.7937232133526972E-3</v>
          </cell>
          <cell r="G71">
            <v>7.4973951048975529E-3</v>
          </cell>
          <cell r="H71">
            <v>9.024356289583757E-3</v>
          </cell>
          <cell r="I71">
            <v>1.0396209268757506E-2</v>
          </cell>
          <cell r="J71">
            <v>1.1548422278866211E-2</v>
          </cell>
          <cell r="K71">
            <v>1.2804557343554013E-2</v>
          </cell>
          <cell r="L71">
            <v>1.3938431888249836E-2</v>
          </cell>
          <cell r="M71">
            <v>1.5010536665905461E-2</v>
          </cell>
          <cell r="N71">
            <v>1.596981552126886E-2</v>
          </cell>
          <cell r="O71">
            <v>1.6766484729431541E-2</v>
          </cell>
          <cell r="P71">
            <v>1.7499699036469751E-2</v>
          </cell>
          <cell r="Q71">
            <v>1.8179006521578112E-2</v>
          </cell>
          <cell r="R71">
            <v>1.8924651388022129E-2</v>
          </cell>
          <cell r="S71">
            <v>1.9585476547598235E-2</v>
          </cell>
          <cell r="T71">
            <v>2.0247747410475636E-2</v>
          </cell>
          <cell r="U71">
            <v>2.0917733900145397E-2</v>
          </cell>
          <cell r="V71">
            <v>2.157655809913761E-2</v>
          </cell>
          <cell r="W71">
            <v>2.2183803001225133E-2</v>
          </cell>
          <cell r="X71">
            <v>2.2752878113108332E-2</v>
          </cell>
          <cell r="Y71">
            <v>2.3276649394468718E-2</v>
          </cell>
          <cell r="Z71">
            <v>2.372732217865603E-2</v>
          </cell>
          <cell r="AA71">
            <v>2.4165870827278724E-2</v>
          </cell>
          <cell r="AB71">
            <v>2.4646561425131219E-2</v>
          </cell>
          <cell r="AC71">
            <v>2.5052729756836589E-2</v>
          </cell>
          <cell r="AD71">
            <v>2.5401828709522123E-2</v>
          </cell>
          <cell r="AE71">
            <v>2.5767349476173873E-2</v>
          </cell>
          <cell r="AF71">
            <v>2.6047465668507463E-2</v>
          </cell>
          <cell r="AG71">
            <v>2.6284438095299345E-2</v>
          </cell>
          <cell r="AH71">
            <v>2.6500050145057186E-2</v>
          </cell>
          <cell r="AI71">
            <v>2.6743858718605074E-2</v>
          </cell>
          <cell r="AJ71">
            <v>2.6860333376925061E-2</v>
          </cell>
          <cell r="AK71">
            <v>2.6973187098504603E-2</v>
          </cell>
          <cell r="AL71">
            <v>2.7028224073316398E-2</v>
          </cell>
          <cell r="AM71">
            <v>2.7162334939983657E-2</v>
          </cell>
          <cell r="AN71">
            <v>2.7171118084897472E-2</v>
          </cell>
          <cell r="AO71">
            <v>2.7186478155393212E-2</v>
          </cell>
          <cell r="AP71">
            <v>2.717487971703636E-2</v>
          </cell>
          <cell r="AQ71">
            <v>2.7098652916641042E-2</v>
          </cell>
          <cell r="AR71">
            <v>2.7077145201089614E-2</v>
          </cell>
          <cell r="AS71">
            <v>2.7070133391686069E-2</v>
          </cell>
          <cell r="AT71">
            <v>2.6962026607185052E-2</v>
          </cell>
          <cell r="AU71">
            <v>2.6875521649958545E-2</v>
          </cell>
          <cell r="AV71">
            <v>2.6766122894767541E-2</v>
          </cell>
        </row>
      </sheetData>
      <sheetData sheetId="13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pmdr_68ans"/>
      <sheetName val="pmdr_68_nvx_benefs"/>
      <sheetName val="Pm_cv"/>
      <sheetName val="Âge"/>
      <sheetName val="Durée_perception"/>
      <sheetName val="Gagnants_perdants_2000"/>
      <sheetName val="Gagnants_perdants_1978"/>
      <sheetName val="Masses prestations"/>
      <sheetName val="Effectifs_année"/>
      <sheetName val="HC4_génération"/>
      <sheetName val="HC4_anné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N3" t="str">
            <v>-100 %</v>
          </cell>
          <cell r="O3" t="str">
            <v xml:space="preserve">Entre -100 % et -20 % </v>
          </cell>
          <cell r="P3" t="str">
            <v>Entre- 20 % à - 1 %</v>
          </cell>
          <cell r="Q3" t="str">
            <v>Entre - 1 % et + 1%</v>
          </cell>
          <cell r="R3" t="str">
            <v>Entre + 1 % et + 20 %</v>
          </cell>
          <cell r="S3" t="str">
            <v>Plus de 20 %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0.97119341563785999</v>
          </cell>
          <cell r="R4">
            <v>4.11522633744856E-3</v>
          </cell>
          <cell r="S4">
            <v>2.4691358024691402E-2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0.952380952380952</v>
          </cell>
          <cell r="R5">
            <v>1.8315018315018302E-2</v>
          </cell>
          <cell r="S5">
            <v>2.9304029304029301E-2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0.81578947368421095</v>
          </cell>
          <cell r="R6">
            <v>0.10526315789473699</v>
          </cell>
          <cell r="S6">
            <v>7.8947368421052599E-2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0.30597014925373101</v>
          </cell>
          <cell r="R7">
            <v>0.19029850746268701</v>
          </cell>
          <cell r="S7">
            <v>0.50373134328358193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3.3898305084745804E-2</v>
          </cell>
          <cell r="R8">
            <v>0</v>
          </cell>
          <cell r="S8">
            <v>0.96610169491525399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0.97727272727272707</v>
          </cell>
          <cell r="R10">
            <v>0</v>
          </cell>
          <cell r="S10">
            <v>2.2727272727272697E-2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0.87272727272727291</v>
          </cell>
          <cell r="R11">
            <v>0.10909090909090899</v>
          </cell>
          <cell r="S11">
            <v>1.8181818181818198E-2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0.63636363636363602</v>
          </cell>
          <cell r="R12">
            <v>0.24242424242424199</v>
          </cell>
          <cell r="S12">
            <v>0.12121212121212099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0.20689655172413801</v>
          </cell>
          <cell r="R13">
            <v>0.27586206896551702</v>
          </cell>
          <cell r="S13">
            <v>0.51724137931034497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3.2258064516128997E-2</v>
          </cell>
          <cell r="R14">
            <v>0.225806451612903</v>
          </cell>
          <cell r="S14">
            <v>0.74193548387096797</v>
          </cell>
        </row>
        <row r="16">
          <cell r="M16" t="str">
            <v xml:space="preserve">Femmes </v>
          </cell>
          <cell r="N16">
            <v>0</v>
          </cell>
          <cell r="O16">
            <v>0</v>
          </cell>
          <cell r="P16">
            <v>0</v>
          </cell>
          <cell r="Q16">
            <v>0.60823754789272</v>
          </cell>
          <cell r="R16">
            <v>9.0038314176245193E-2</v>
          </cell>
          <cell r="S16">
            <v>0.30172413793103398</v>
          </cell>
        </row>
        <row r="17">
          <cell r="M17" t="str">
            <v>Hommes</v>
          </cell>
          <cell r="N17">
            <v>0</v>
          </cell>
          <cell r="O17">
            <v>0</v>
          </cell>
          <cell r="P17">
            <v>0</v>
          </cell>
          <cell r="Q17">
            <v>0.56168831168831201</v>
          </cell>
          <cell r="R17">
            <v>8.2792207792207806E-2</v>
          </cell>
          <cell r="S17">
            <v>0.35551948051948101</v>
          </cell>
        </row>
        <row r="18">
          <cell r="M18" t="str">
            <v>Ensemble</v>
          </cell>
          <cell r="N18">
            <v>0</v>
          </cell>
          <cell r="O18">
            <v>0</v>
          </cell>
          <cell r="P18">
            <v>0</v>
          </cell>
          <cell r="Q18">
            <v>0.59096385542168695</v>
          </cell>
          <cell r="R18">
            <v>8.7349397590361394E-2</v>
          </cell>
          <cell r="S18">
            <v>0.32168674698795202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Pmdr_68ans"/>
      <sheetName val="Pmcv"/>
      <sheetName val="Âge"/>
      <sheetName val="Durée_perception"/>
      <sheetName val="Gagnants_perdants_2000"/>
      <sheetName val="Masses prestations"/>
      <sheetName val="Effectifs_année"/>
      <sheetName val="HC5_génération"/>
      <sheetName val="HC5_année"/>
    </sheetNames>
    <sheetDataSet>
      <sheetData sheetId="0"/>
      <sheetData sheetId="1"/>
      <sheetData sheetId="2">
        <row r="9">
          <cell r="D9">
            <v>3.3232253343409299</v>
          </cell>
        </row>
      </sheetData>
      <sheetData sheetId="3"/>
      <sheetData sheetId="4"/>
      <sheetData sheetId="5">
        <row r="3">
          <cell r="N3" t="str">
            <v>-100 %</v>
          </cell>
          <cell r="O3" t="str">
            <v xml:space="preserve">Entre -100 % et -20 % </v>
          </cell>
          <cell r="P3" t="str">
            <v>Entre- 20 % à - 1 %</v>
          </cell>
          <cell r="Q3" t="str">
            <v>Entre - 1 % et + 1%</v>
          </cell>
          <cell r="R3" t="str">
            <v>Entre + 1 % et + 20 %</v>
          </cell>
          <cell r="S3" t="str">
            <v>Plus de 20 %</v>
          </cell>
        </row>
        <row r="4">
          <cell r="M4" t="str">
            <v>Q1</v>
          </cell>
          <cell r="N4">
            <v>1.0273972602739701E-2</v>
          </cell>
          <cell r="O4">
            <v>1.0273972602739701E-2</v>
          </cell>
          <cell r="P4">
            <v>4.7945205479452108E-2</v>
          </cell>
          <cell r="Q4">
            <v>0.931506849315068</v>
          </cell>
          <cell r="R4">
            <v>0</v>
          </cell>
          <cell r="S4">
            <v>0</v>
          </cell>
        </row>
        <row r="5">
          <cell r="M5" t="str">
            <v>Q2</v>
          </cell>
          <cell r="N5">
            <v>0</v>
          </cell>
          <cell r="O5">
            <v>9.0634441087613302E-3</v>
          </cell>
          <cell r="P5">
            <v>7.5528700906344393E-2</v>
          </cell>
          <cell r="Q5">
            <v>0.91540785498489396</v>
          </cell>
          <cell r="R5">
            <v>0</v>
          </cell>
          <cell r="S5">
            <v>0</v>
          </cell>
        </row>
        <row r="6">
          <cell r="M6" t="str">
            <v>Q3</v>
          </cell>
          <cell r="N6">
            <v>0</v>
          </cell>
          <cell r="O6">
            <v>4.9275362318840603E-2</v>
          </cell>
          <cell r="P6">
            <v>9.8550724637681206E-2</v>
          </cell>
          <cell r="Q6">
            <v>0.84927536231884104</v>
          </cell>
          <cell r="R6">
            <v>2.8985507246376803E-3</v>
          </cell>
          <cell r="S6">
            <v>0</v>
          </cell>
        </row>
        <row r="7">
          <cell r="M7" t="str">
            <v>Q4</v>
          </cell>
          <cell r="N7">
            <v>2.0895522388059699E-2</v>
          </cell>
          <cell r="O7">
            <v>0.13731343283582101</v>
          </cell>
          <cell r="P7">
            <v>0.119402985074627</v>
          </cell>
          <cell r="Q7">
            <v>0.62686567164179108</v>
          </cell>
          <cell r="R7">
            <v>9.2537313432835791E-2</v>
          </cell>
          <cell r="S7">
            <v>2.9850746268656704E-3</v>
          </cell>
        </row>
        <row r="8">
          <cell r="M8" t="str">
            <v>Q5</v>
          </cell>
          <cell r="N8">
            <v>0.58466453674121399</v>
          </cell>
          <cell r="O8">
            <v>0.194888178913738</v>
          </cell>
          <cell r="P8">
            <v>5.4313099041533502E-2</v>
          </cell>
          <cell r="Q8">
            <v>0.11501597444089499</v>
          </cell>
          <cell r="R8">
            <v>5.1118210862619799E-2</v>
          </cell>
          <cell r="S8">
            <v>0</v>
          </cell>
        </row>
        <row r="10">
          <cell r="N10">
            <v>4.11522633744856E-3</v>
          </cell>
          <cell r="O10">
            <v>4.11522633744856E-3</v>
          </cell>
          <cell r="P10">
            <v>3.7037037037037E-2</v>
          </cell>
          <cell r="Q10">
            <v>0.95473251028806605</v>
          </cell>
          <cell r="R10">
            <v>0</v>
          </cell>
          <cell r="S10">
            <v>0</v>
          </cell>
        </row>
        <row r="11">
          <cell r="N11">
            <v>0</v>
          </cell>
          <cell r="O11">
            <v>0</v>
          </cell>
          <cell r="P11">
            <v>6.22710622710623E-2</v>
          </cell>
          <cell r="Q11">
            <v>0.93772893772893795</v>
          </cell>
          <cell r="R11">
            <v>0</v>
          </cell>
          <cell r="S11">
            <v>0</v>
          </cell>
        </row>
        <row r="12">
          <cell r="N12">
            <v>0</v>
          </cell>
          <cell r="O12">
            <v>3.7593984962406E-3</v>
          </cell>
          <cell r="P12">
            <v>8.2706766917293215E-2</v>
          </cell>
          <cell r="Q12">
            <v>0.90977443609022601</v>
          </cell>
          <cell r="R12">
            <v>3.7593984962406E-3</v>
          </cell>
          <cell r="S12">
            <v>0</v>
          </cell>
        </row>
        <row r="13">
          <cell r="N13">
            <v>2.2388059701492501E-2</v>
          </cell>
          <cell r="O13">
            <v>3.7313432835820899E-2</v>
          </cell>
          <cell r="P13">
            <v>0.119402985074627</v>
          </cell>
          <cell r="Q13">
            <v>0.72761194029850695</v>
          </cell>
          <cell r="R13">
            <v>8.9552238805970102E-2</v>
          </cell>
          <cell r="S13">
            <v>3.7313432835820899E-3</v>
          </cell>
        </row>
        <row r="14">
          <cell r="N14">
            <v>0.53389830508474601</v>
          </cell>
          <cell r="O14">
            <v>0.186440677966102</v>
          </cell>
          <cell r="P14">
            <v>6.7796610169491497E-2</v>
          </cell>
          <cell r="Q14">
            <v>0.144067796610169</v>
          </cell>
          <cell r="R14">
            <v>6.7796610169491497E-2</v>
          </cell>
          <cell r="S14">
            <v>0</v>
          </cell>
        </row>
        <row r="16">
          <cell r="N16">
            <v>0.2</v>
          </cell>
          <cell r="O16">
            <v>0.2</v>
          </cell>
          <cell r="P16">
            <v>0.2</v>
          </cell>
          <cell r="Q16">
            <v>0.4</v>
          </cell>
          <cell r="R16">
            <v>0</v>
          </cell>
          <cell r="S16">
            <v>0</v>
          </cell>
        </row>
        <row r="17">
          <cell r="N17">
            <v>0</v>
          </cell>
          <cell r="O17">
            <v>0.33333333333333298</v>
          </cell>
          <cell r="P17">
            <v>0</v>
          </cell>
          <cell r="Q17">
            <v>0.66666666666666696</v>
          </cell>
          <cell r="R17">
            <v>0</v>
          </cell>
          <cell r="S17">
            <v>0</v>
          </cell>
        </row>
        <row r="18">
          <cell r="N18">
            <v>0</v>
          </cell>
          <cell r="O18">
            <v>0.46153846153846201</v>
          </cell>
          <cell r="P18">
            <v>0.15384615384615399</v>
          </cell>
          <cell r="Q18">
            <v>0.38461538461538503</v>
          </cell>
          <cell r="R18">
            <v>0</v>
          </cell>
          <cell r="S18">
            <v>0</v>
          </cell>
        </row>
        <row r="19">
          <cell r="N19">
            <v>0</v>
          </cell>
          <cell r="O19">
            <v>0.88888888888888895</v>
          </cell>
          <cell r="P19">
            <v>0.11111111111111099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0.73333333333333295</v>
          </cell>
          <cell r="O20">
            <v>0.2</v>
          </cell>
          <cell r="P20">
            <v>6.6666666666666693E-2</v>
          </cell>
          <cell r="Q20">
            <v>0</v>
          </cell>
          <cell r="R20">
            <v>0</v>
          </cell>
          <cell r="S20">
            <v>0</v>
          </cell>
        </row>
        <row r="22">
          <cell r="N22">
            <v>2.2727272727272697E-2</v>
          </cell>
          <cell r="O22">
            <v>2.2727272727272697E-2</v>
          </cell>
          <cell r="P22">
            <v>9.0909090909090898E-2</v>
          </cell>
          <cell r="Q22">
            <v>0.86363636363636398</v>
          </cell>
          <cell r="R22">
            <v>0</v>
          </cell>
          <cell r="S22">
            <v>0</v>
          </cell>
        </row>
        <row r="23">
          <cell r="N23">
            <v>0</v>
          </cell>
          <cell r="O23">
            <v>3.6363636363636397E-2</v>
          </cell>
          <cell r="P23">
            <v>0.145454545454545</v>
          </cell>
          <cell r="Q23">
            <v>0.81818181818181801</v>
          </cell>
          <cell r="R23">
            <v>0</v>
          </cell>
          <cell r="S23">
            <v>0</v>
          </cell>
        </row>
        <row r="24">
          <cell r="N24">
            <v>0</v>
          </cell>
          <cell r="O24">
            <v>0.15151515151515199</v>
          </cell>
          <cell r="P24">
            <v>0.15151515151515199</v>
          </cell>
          <cell r="Q24">
            <v>0.69696969696969702</v>
          </cell>
          <cell r="R24">
            <v>0</v>
          </cell>
          <cell r="S24">
            <v>0</v>
          </cell>
        </row>
        <row r="25">
          <cell r="N25">
            <v>1.72413793103448E-2</v>
          </cell>
          <cell r="O25">
            <v>0.48275862068965503</v>
          </cell>
          <cell r="P25">
            <v>0.12068965517241401</v>
          </cell>
          <cell r="Q25">
            <v>0.25862068965517199</v>
          </cell>
          <cell r="R25">
            <v>0.12068965517241401</v>
          </cell>
          <cell r="S25">
            <v>0</v>
          </cell>
        </row>
        <row r="26">
          <cell r="N26">
            <v>0.74193548387096797</v>
          </cell>
          <cell r="O26">
            <v>0.225806451612903</v>
          </cell>
          <cell r="P26">
            <v>0</v>
          </cell>
          <cell r="Q26">
            <v>3.2258064516128997E-2</v>
          </cell>
          <cell r="R26">
            <v>0</v>
          </cell>
          <cell r="S26">
            <v>0</v>
          </cell>
        </row>
        <row r="28">
          <cell r="M28" t="str">
            <v>Femmes</v>
          </cell>
          <cell r="N28">
            <v>9.6993210475266697E-2</v>
          </cell>
          <cell r="O28">
            <v>6.8865179437439403E-2</v>
          </cell>
          <cell r="P28">
            <v>9.5053346265761396E-2</v>
          </cell>
          <cell r="Q28">
            <v>0.70417070805043702</v>
          </cell>
          <cell r="R28">
            <v>3.39476236663434E-2</v>
          </cell>
          <cell r="S28">
            <v>9.69932104752667E-4</v>
          </cell>
        </row>
        <row r="29">
          <cell r="M29" t="str">
            <v xml:space="preserve">Hommes </v>
          </cell>
          <cell r="N29">
            <v>0.15897435897435899</v>
          </cell>
          <cell r="O29">
            <v>0.100854700854701</v>
          </cell>
          <cell r="P29">
            <v>5.4700854700854701E-2</v>
          </cell>
          <cell r="Q29">
            <v>0.663247863247863</v>
          </cell>
          <cell r="R29">
            <v>2.2222222222222202E-2</v>
          </cell>
          <cell r="S29">
            <v>0</v>
          </cell>
        </row>
        <row r="30">
          <cell r="M30" t="str">
            <v>Ensemble</v>
          </cell>
          <cell r="N30">
            <v>0.11943069306930701</v>
          </cell>
          <cell r="O30">
            <v>8.0445544554455406E-2</v>
          </cell>
          <cell r="P30">
            <v>8.0445544554455406E-2</v>
          </cell>
          <cell r="Q30">
            <v>0.68935643564356397</v>
          </cell>
          <cell r="R30">
            <v>2.9702970297029698E-2</v>
          </cell>
          <cell r="S30">
            <v>6.1881188118811904E-4</v>
          </cell>
        </row>
      </sheetData>
      <sheetData sheetId="6">
        <row r="19">
          <cell r="D19">
            <v>-2.9203067247399326E-2</v>
          </cell>
        </row>
      </sheetData>
      <sheetData sheetId="7">
        <row r="19">
          <cell r="D19">
            <v>-3.7650602409638571E-2</v>
          </cell>
        </row>
      </sheetData>
      <sheetData sheetId="8"/>
      <sheetData sheetId="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Pmdr_68ans"/>
      <sheetName val="Pmdr_68ans_F_régimes"/>
      <sheetName val="Pmcv"/>
      <sheetName val="Pmcv_comparaison"/>
      <sheetName val="Âge"/>
      <sheetName val="Durée_perception"/>
      <sheetName val="Gagnants_perdants_2000"/>
      <sheetName val="Gagnants_perdants_1978"/>
      <sheetName val="Masses prestations"/>
      <sheetName val="Effectifs_année"/>
      <sheetName val="HC_croisement_génération"/>
      <sheetName val="HC_croisement_anné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D3">
            <v>2026</v>
          </cell>
          <cell r="E3">
            <v>2027</v>
          </cell>
          <cell r="F3">
            <v>2028</v>
          </cell>
          <cell r="G3">
            <v>2029</v>
          </cell>
          <cell r="H3">
            <v>2030</v>
          </cell>
          <cell r="I3">
            <v>2031</v>
          </cell>
          <cell r="J3">
            <v>2032</v>
          </cell>
          <cell r="K3">
            <v>2033</v>
          </cell>
          <cell r="L3">
            <v>2034</v>
          </cell>
          <cell r="M3">
            <v>2035</v>
          </cell>
          <cell r="N3">
            <v>2036</v>
          </cell>
          <cell r="O3">
            <v>2037</v>
          </cell>
          <cell r="P3">
            <v>2038</v>
          </cell>
          <cell r="Q3">
            <v>2039</v>
          </cell>
          <cell r="R3">
            <v>2040</v>
          </cell>
          <cell r="S3">
            <v>2041</v>
          </cell>
          <cell r="T3">
            <v>2042</v>
          </cell>
          <cell r="U3">
            <v>2043</v>
          </cell>
          <cell r="V3">
            <v>2044</v>
          </cell>
          <cell r="W3">
            <v>2045</v>
          </cell>
          <cell r="X3">
            <v>2046</v>
          </cell>
          <cell r="Y3">
            <v>2047</v>
          </cell>
          <cell r="Z3">
            <v>2048</v>
          </cell>
          <cell r="AA3">
            <v>2049</v>
          </cell>
          <cell r="AB3">
            <v>2050</v>
          </cell>
          <cell r="AC3">
            <v>2051</v>
          </cell>
          <cell r="AD3">
            <v>2052</v>
          </cell>
          <cell r="AE3">
            <v>2053</v>
          </cell>
          <cell r="AF3">
            <v>2054</v>
          </cell>
          <cell r="AG3">
            <v>2055</v>
          </cell>
          <cell r="AH3">
            <v>2056</v>
          </cell>
          <cell r="AI3">
            <v>2057</v>
          </cell>
          <cell r="AJ3">
            <v>2058</v>
          </cell>
          <cell r="AK3">
            <v>2059</v>
          </cell>
          <cell r="AL3">
            <v>2060</v>
          </cell>
          <cell r="AM3">
            <v>2061</v>
          </cell>
          <cell r="AN3">
            <v>2062</v>
          </cell>
          <cell r="AO3">
            <v>2063</v>
          </cell>
          <cell r="AP3">
            <v>2064</v>
          </cell>
          <cell r="AQ3">
            <v>2065</v>
          </cell>
          <cell r="AR3">
            <v>2066</v>
          </cell>
          <cell r="AS3">
            <v>2067</v>
          </cell>
          <cell r="AT3">
            <v>2068</v>
          </cell>
          <cell r="AU3">
            <v>2069</v>
          </cell>
          <cell r="AV3">
            <v>2070</v>
          </cell>
        </row>
        <row r="19">
          <cell r="C19" t="str">
            <v>Ensemble</v>
          </cell>
          <cell r="D19">
            <v>-3.0704571642165657E-2</v>
          </cell>
          <cell r="E19">
            <v>-4.3378502115974271E-2</v>
          </cell>
          <cell r="F19">
            <v>-5.6836076464906363E-2</v>
          </cell>
          <cell r="G19">
            <v>-6.9268475987201553E-2</v>
          </cell>
          <cell r="H19">
            <v>-8.083134598610682E-2</v>
          </cell>
          <cell r="I19">
            <v>-9.1794981464646791E-2</v>
          </cell>
          <cell r="J19">
            <v>-0.10038709771774162</v>
          </cell>
          <cell r="K19">
            <v>-0.11063169944406413</v>
          </cell>
          <cell r="L19">
            <v>-0.12044700853506948</v>
          </cell>
          <cell r="M19">
            <v>-0.12735655606064031</v>
          </cell>
          <cell r="N19">
            <v>-0.1331586030870632</v>
          </cell>
          <cell r="O19">
            <v>-0.14005503553796281</v>
          </cell>
          <cell r="P19">
            <v>-0.14404584411712237</v>
          </cell>
          <cell r="Q19">
            <v>-0.14954959496058029</v>
          </cell>
          <cell r="R19">
            <v>-0.15285530097390548</v>
          </cell>
          <cell r="S19">
            <v>-0.15624922942124897</v>
          </cell>
          <cell r="T19">
            <v>-0.16043923947508631</v>
          </cell>
          <cell r="U19">
            <v>-0.16056072829654866</v>
          </cell>
          <cell r="V19">
            <v>-0.15945185485343205</v>
          </cell>
          <cell r="W19">
            <v>-0.16077371099503382</v>
          </cell>
          <cell r="X19">
            <v>-0.16329570651836628</v>
          </cell>
          <cell r="Y19">
            <v>-0.16513269893262081</v>
          </cell>
          <cell r="Z19">
            <v>-0.16673142452837145</v>
          </cell>
          <cell r="AA19">
            <v>-0.16895408382439045</v>
          </cell>
          <cell r="AB19">
            <v>-0.17026226153990928</v>
          </cell>
          <cell r="AC19">
            <v>-0.17078790236496999</v>
          </cell>
          <cell r="AD19">
            <v>-0.17158463062900337</v>
          </cell>
          <cell r="AE19">
            <v>-0.16823044851007948</v>
          </cell>
          <cell r="AF19">
            <v>-0.167788958959778</v>
          </cell>
          <cell r="AG19">
            <v>-0.16672204358291803</v>
          </cell>
          <cell r="AH19">
            <v>-0.16778706632079032</v>
          </cell>
          <cell r="AI19">
            <v>-0.16680140027761006</v>
          </cell>
          <cell r="AJ19">
            <v>-0.16610076357014245</v>
          </cell>
          <cell r="AK19">
            <v>-0.16304922328342103</v>
          </cell>
          <cell r="AL19">
            <v>-0.16366807837218803</v>
          </cell>
          <cell r="AM19">
            <v>-0.16527258370793535</v>
          </cell>
          <cell r="AN19">
            <v>-0.16329354379228875</v>
          </cell>
          <cell r="AO19">
            <v>-0.16254364421543571</v>
          </cell>
          <cell r="AP19">
            <v>-0.16089381215840562</v>
          </cell>
          <cell r="AQ19">
            <v>-0.16214914120078308</v>
          </cell>
          <cell r="AR19">
            <v>-0.16027612514775325</v>
          </cell>
          <cell r="AS19">
            <v>-0.15873163213627567</v>
          </cell>
          <cell r="AT19">
            <v>-0.15373023558639462</v>
          </cell>
          <cell r="AU19">
            <v>-0.15163627898965318</v>
          </cell>
          <cell r="AV19">
            <v>-0.14953307965090698</v>
          </cell>
        </row>
        <row r="20">
          <cell r="C20" t="str">
            <v>Agirc-Arrco</v>
          </cell>
          <cell r="D20">
            <v>-4.4656562088068529E-2</v>
          </cell>
          <cell r="E20">
            <v>-6.2687435406670988E-2</v>
          </cell>
          <cell r="F20">
            <v>-8.1956179753954597E-2</v>
          </cell>
          <cell r="G20">
            <v>-9.8367405993495943E-2</v>
          </cell>
          <cell r="H20">
            <v>-0.11750875625365816</v>
          </cell>
          <cell r="I20">
            <v>-0.1354221634639515</v>
          </cell>
          <cell r="J20">
            <v>-0.14909980894488728</v>
          </cell>
          <cell r="K20">
            <v>-0.16412636115714518</v>
          </cell>
          <cell r="L20">
            <v>-0.17839525802770964</v>
          </cell>
          <cell r="M20">
            <v>-0.19224580101084829</v>
          </cell>
          <cell r="N20">
            <v>-0.20513616324246223</v>
          </cell>
          <cell r="O20">
            <v>-0.21640317771127274</v>
          </cell>
          <cell r="P20">
            <v>-0.22776629635157714</v>
          </cell>
          <cell r="Q20">
            <v>-0.23906179213856774</v>
          </cell>
          <cell r="R20">
            <v>-0.24775891198805172</v>
          </cell>
          <cell r="S20">
            <v>-0.25640321296965962</v>
          </cell>
          <cell r="T20">
            <v>-0.26649295225402436</v>
          </cell>
          <cell r="U20">
            <v>-0.27568773853777045</v>
          </cell>
          <cell r="V20">
            <v>-0.28101219334634064</v>
          </cell>
          <cell r="W20">
            <v>-0.28746895069347383</v>
          </cell>
          <cell r="X20">
            <v>-0.29655306013677302</v>
          </cell>
          <cell r="Y20">
            <v>-0.30425637941524014</v>
          </cell>
          <cell r="Z20">
            <v>-0.30983369859487164</v>
          </cell>
          <cell r="AA20">
            <v>-0.31684890631723489</v>
          </cell>
          <cell r="AB20">
            <v>-0.32247633981918172</v>
          </cell>
          <cell r="AC20">
            <v>-0.32708582560373545</v>
          </cell>
          <cell r="AD20">
            <v>-0.3322873635584237</v>
          </cell>
          <cell r="AE20">
            <v>-0.33440863376175389</v>
          </cell>
          <cell r="AF20">
            <v>-0.33854787260357494</v>
          </cell>
          <cell r="AG20">
            <v>-0.34010788493559407</v>
          </cell>
          <cell r="AH20">
            <v>-0.34151442491467965</v>
          </cell>
          <cell r="AI20">
            <v>-0.34266190803743274</v>
          </cell>
          <cell r="AJ20">
            <v>-0.34497822801583988</v>
          </cell>
          <cell r="AK20">
            <v>-0.34503528139798084</v>
          </cell>
          <cell r="AL20">
            <v>-0.34903720734246407</v>
          </cell>
          <cell r="AM20">
            <v>-0.35213983656678921</v>
          </cell>
          <cell r="AN20">
            <v>-0.35220691754324995</v>
          </cell>
          <cell r="AO20">
            <v>-0.35397333328343233</v>
          </cell>
          <cell r="AP20">
            <v>-0.35206246206779573</v>
          </cell>
          <cell r="AQ20">
            <v>-0.35290578239359549</v>
          </cell>
          <cell r="AR20">
            <v>-0.35103383218220713</v>
          </cell>
          <cell r="AS20">
            <v>-0.34912830750359791</v>
          </cell>
          <cell r="AT20">
            <v>-0.34289709168078913</v>
          </cell>
          <cell r="AU20">
            <v>-0.33953369306639519</v>
          </cell>
          <cell r="AV20">
            <v>-0.33882095071980201</v>
          </cell>
        </row>
        <row r="21">
          <cell r="C21" t="str">
            <v xml:space="preserve">Fonction publique </v>
          </cell>
          <cell r="D21">
            <v>-6.865741211933854E-2</v>
          </cell>
          <cell r="E21">
            <v>-0.10573252793475234</v>
          </cell>
          <cell r="F21">
            <v>-0.14640724260909846</v>
          </cell>
          <cell r="G21">
            <v>-0.1803674136305243</v>
          </cell>
          <cell r="H21">
            <v>-0.21304834850790405</v>
          </cell>
          <cell r="I21">
            <v>-0.2406527225426322</v>
          </cell>
          <cell r="J21">
            <v>-0.26601760879003644</v>
          </cell>
          <cell r="K21">
            <v>-0.29465166788905439</v>
          </cell>
          <cell r="L21">
            <v>-0.31929747843926626</v>
          </cell>
          <cell r="M21">
            <v>-0.33758364093903848</v>
          </cell>
          <cell r="N21">
            <v>-0.35432831039238327</v>
          </cell>
          <cell r="O21">
            <v>-0.3746880793233896</v>
          </cell>
          <cell r="P21">
            <v>-0.39010115797877565</v>
          </cell>
          <cell r="Q21">
            <v>-0.40910870608435845</v>
          </cell>
          <cell r="R21">
            <v>-0.42098914112289798</v>
          </cell>
          <cell r="S21">
            <v>-0.43261071212212504</v>
          </cell>
          <cell r="T21">
            <v>-0.44144303248553907</v>
          </cell>
          <cell r="U21">
            <v>-0.4454195504724176</v>
          </cell>
          <cell r="V21">
            <v>-0.44876096929756693</v>
          </cell>
          <cell r="W21">
            <v>-0.4579614545015448</v>
          </cell>
          <cell r="X21">
            <v>-0.46511163006228018</v>
          </cell>
          <cell r="Y21">
            <v>-0.47480313181246958</v>
          </cell>
          <cell r="Z21">
            <v>-0.48464094279032166</v>
          </cell>
          <cell r="AA21">
            <v>-0.4930850284953508</v>
          </cell>
          <cell r="AB21">
            <v>-0.49758459362482316</v>
          </cell>
          <cell r="AC21">
            <v>-0.50082690977332778</v>
          </cell>
          <cell r="AD21">
            <v>-0.50490921539810396</v>
          </cell>
          <cell r="AE21">
            <v>-0.50032352902709254</v>
          </cell>
          <cell r="AF21">
            <v>-0.49939603759987178</v>
          </cell>
          <cell r="AG21">
            <v>-0.50162524375789497</v>
          </cell>
          <cell r="AH21">
            <v>-0.51136025865790358</v>
          </cell>
          <cell r="AI21">
            <v>-0.51128334282688026</v>
          </cell>
          <cell r="AJ21">
            <v>-0.51140205330297606</v>
          </cell>
          <cell r="AK21">
            <v>-0.50603219904349062</v>
          </cell>
          <cell r="AL21">
            <v>-0.50966242552650265</v>
          </cell>
          <cell r="AM21">
            <v>-0.51456969673028796</v>
          </cell>
          <cell r="AN21">
            <v>-0.51065632542680572</v>
          </cell>
          <cell r="AO21">
            <v>-0.51069506073130289</v>
          </cell>
          <cell r="AP21">
            <v>-0.51647421883738087</v>
          </cell>
          <cell r="AQ21">
            <v>-0.51839956893925787</v>
          </cell>
          <cell r="AR21">
            <v>-0.52366541943934908</v>
          </cell>
          <cell r="AS21">
            <v>-0.5202395734088453</v>
          </cell>
          <cell r="AT21">
            <v>-0.50675235158562937</v>
          </cell>
          <cell r="AU21">
            <v>-0.50388791927748822</v>
          </cell>
          <cell r="AV21">
            <v>-0.49895643965062841</v>
          </cell>
        </row>
        <row r="22">
          <cell r="C22" t="str">
            <v xml:space="preserve">Indépendants </v>
          </cell>
          <cell r="D22">
            <v>-1.1583652039564075E-3</v>
          </cell>
          <cell r="E22">
            <v>3.4415548802684405E-3</v>
          </cell>
          <cell r="F22">
            <v>9.6959528364253707E-3</v>
          </cell>
          <cell r="G22">
            <v>1.3288655748293408E-2</v>
          </cell>
          <cell r="H22">
            <v>1.8940285057305103E-2</v>
          </cell>
          <cell r="I22">
            <v>2.2493383106749802E-2</v>
          </cell>
          <cell r="J22">
            <v>2.507421376912965E-2</v>
          </cell>
          <cell r="K22">
            <v>2.961592448067623E-2</v>
          </cell>
          <cell r="L22">
            <v>3.319016057184624E-2</v>
          </cell>
          <cell r="M22">
            <v>3.7202741397444408E-2</v>
          </cell>
          <cell r="N22">
            <v>4.3352677714223221E-2</v>
          </cell>
          <cell r="O22">
            <v>4.6728714985474429E-2</v>
          </cell>
          <cell r="P22">
            <v>5.0833450643090347E-2</v>
          </cell>
          <cell r="Q22">
            <v>5.2809672354538664E-2</v>
          </cell>
          <cell r="R22">
            <v>5.5463501677461599E-2</v>
          </cell>
          <cell r="S22">
            <v>5.8986480009508326E-2</v>
          </cell>
          <cell r="T22">
            <v>6.3068149917818894E-2</v>
          </cell>
          <cell r="U22">
            <v>6.4176289114149979E-2</v>
          </cell>
          <cell r="V22">
            <v>6.3235975030014893E-2</v>
          </cell>
          <cell r="W22">
            <v>6.5374659217874817E-2</v>
          </cell>
          <cell r="X22">
            <v>6.4271675205405165E-2</v>
          </cell>
          <cell r="Y22">
            <v>6.5324516874486357E-2</v>
          </cell>
          <cell r="Z22">
            <v>6.5774915259237121E-2</v>
          </cell>
          <cell r="AA22">
            <v>6.7467744311214176E-2</v>
          </cell>
          <cell r="AB22">
            <v>6.7905360858414171E-2</v>
          </cell>
          <cell r="AC22">
            <v>6.8570100242171347E-2</v>
          </cell>
          <cell r="AD22">
            <v>6.8814033622946358E-2</v>
          </cell>
          <cell r="AE22">
            <v>6.8247020863104496E-2</v>
          </cell>
          <cell r="AF22">
            <v>6.6754292529489126E-2</v>
          </cell>
          <cell r="AG22">
            <v>6.9764899673257663E-2</v>
          </cell>
          <cell r="AH22">
            <v>7.0195884178739565E-2</v>
          </cell>
          <cell r="AI22">
            <v>6.6811155118980628E-2</v>
          </cell>
          <cell r="AJ22">
            <v>6.6804816810752579E-2</v>
          </cell>
          <cell r="AK22">
            <v>6.3534635574482495E-2</v>
          </cell>
          <cell r="AL22">
            <v>6.7191867652459214E-2</v>
          </cell>
          <cell r="AM22">
            <v>6.8511034703341925E-2</v>
          </cell>
          <cell r="AN22">
            <v>6.6777747821276892E-2</v>
          </cell>
          <cell r="AO22">
            <v>6.5696874088436746E-2</v>
          </cell>
          <cell r="AP22">
            <v>7.0878767951954386E-2</v>
          </cell>
          <cell r="AQ22">
            <v>7.1851748440839663E-2</v>
          </cell>
          <cell r="AR22">
            <v>7.2772356351676726E-2</v>
          </cell>
          <cell r="AS22">
            <v>6.8615139539581746E-2</v>
          </cell>
          <cell r="AT22">
            <v>6.9457076924355432E-2</v>
          </cell>
          <cell r="AU22">
            <v>6.8850482310738079E-2</v>
          </cell>
          <cell r="AV22">
            <v>6.7170841030371603E-2</v>
          </cell>
        </row>
        <row r="23">
          <cell r="C23" t="str">
            <v xml:space="preserve">Régime général </v>
          </cell>
          <cell r="D23">
            <v>8.069960192351372E-3</v>
          </cell>
          <cell r="E23">
            <v>1.7846598669479755E-2</v>
          </cell>
          <cell r="F23">
            <v>2.9394300718987878E-2</v>
          </cell>
          <cell r="G23">
            <v>3.7429093573726271E-2</v>
          </cell>
          <cell r="H23">
            <v>4.8968212361155443E-2</v>
          </cell>
          <cell r="I23">
            <v>5.8477573222135676E-2</v>
          </cell>
          <cell r="J23">
            <v>6.709832409170241E-2</v>
          </cell>
          <cell r="K23">
            <v>7.5097725437840476E-2</v>
          </cell>
          <cell r="L23">
            <v>8.1972742840827881E-2</v>
          </cell>
          <cell r="M23">
            <v>8.953449650858375E-2</v>
          </cell>
          <cell r="N23">
            <v>9.5735647591171244E-2</v>
          </cell>
          <cell r="O23">
            <v>0.10212606828070701</v>
          </cell>
          <cell r="P23">
            <v>0.10875041948104774</v>
          </cell>
          <cell r="Q23">
            <v>0.11477957029426954</v>
          </cell>
          <cell r="R23">
            <v>0.11879159387067469</v>
          </cell>
          <cell r="S23">
            <v>0.12237286086692348</v>
          </cell>
          <cell r="T23">
            <v>0.12386639352149151</v>
          </cell>
          <cell r="U23">
            <v>0.12719116033868608</v>
          </cell>
          <cell r="V23">
            <v>0.12941673797486111</v>
          </cell>
          <cell r="W23">
            <v>0.13209623133701157</v>
          </cell>
          <cell r="X23">
            <v>0.13248528467477544</v>
          </cell>
          <cell r="Y23">
            <v>0.13538534852259759</v>
          </cell>
          <cell r="Z23">
            <v>0.13767364801137566</v>
          </cell>
          <cell r="AA23">
            <v>0.13804504823745739</v>
          </cell>
          <cell r="AB23">
            <v>0.13780573733597742</v>
          </cell>
          <cell r="AC23">
            <v>0.13815956707721694</v>
          </cell>
          <cell r="AD23">
            <v>0.13806787553284702</v>
          </cell>
          <cell r="AE23">
            <v>0.14105875754690161</v>
          </cell>
          <cell r="AF23">
            <v>0.13987070163189108</v>
          </cell>
          <cell r="AG23">
            <v>0.1399131542161183</v>
          </cell>
          <cell r="AH23">
            <v>0.13975245721571605</v>
          </cell>
          <cell r="AI23">
            <v>0.13706795004217631</v>
          </cell>
          <cell r="AJ23">
            <v>0.13551854358080012</v>
          </cell>
          <cell r="AK23">
            <v>0.13431084905515309</v>
          </cell>
          <cell r="AL23">
            <v>0.13615536754584712</v>
          </cell>
          <cell r="AM23">
            <v>0.13583979320469092</v>
          </cell>
          <cell r="AN23">
            <v>0.13548953124529628</v>
          </cell>
          <cell r="AO23">
            <v>0.13553074080852162</v>
          </cell>
          <cell r="AP23">
            <v>0.13286882755654539</v>
          </cell>
          <cell r="AQ23">
            <v>0.13153789473699584</v>
          </cell>
          <cell r="AR23">
            <v>0.13174401144239756</v>
          </cell>
          <cell r="AS23">
            <v>0.1288159792840656</v>
          </cell>
          <cell r="AT23">
            <v>0.12545828534195835</v>
          </cell>
          <cell r="AU23">
            <v>0.12128778974319235</v>
          </cell>
          <cell r="AV23">
            <v>0.12095547513439556</v>
          </cell>
        </row>
      </sheetData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Feuil1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EF8_génération"/>
      <sheetName val="EF8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C4"/>
          <cell r="D4" t="str">
            <v>Ensemble</v>
          </cell>
          <cell r="E4">
            <v>-3.6042181026907087</v>
          </cell>
          <cell r="F4">
            <v>6.3236668479973446E-2</v>
          </cell>
          <cell r="G4">
            <v>2.639128658935741E-2</v>
          </cell>
          <cell r="H4">
            <v>2.3661471063109341E-2</v>
          </cell>
        </row>
        <row r="5">
          <cell r="B5" t="str">
            <v>Hommes</v>
          </cell>
          <cell r="C5"/>
          <cell r="D5" t="str">
            <v>Ensemble</v>
          </cell>
          <cell r="E5">
            <v>0</v>
          </cell>
          <cell r="F5">
            <v>0</v>
          </cell>
          <cell r="G5">
            <v>-2.2203435052819298E-2</v>
          </cell>
          <cell r="H5">
            <v>-2.2260540674592599E-2</v>
          </cell>
        </row>
        <row r="6">
          <cell r="B6" t="str">
            <v>Selon le nombre d'enfants</v>
          </cell>
          <cell r="C6"/>
          <cell r="D6"/>
          <cell r="E6"/>
          <cell r="F6"/>
          <cell r="G6"/>
          <cell r="H6"/>
        </row>
        <row r="7">
          <cell r="B7" t="str">
            <v>Femmes</v>
          </cell>
          <cell r="C7"/>
          <cell r="D7">
            <v>1</v>
          </cell>
          <cell r="E7">
            <v>-1.4666918286469297</v>
          </cell>
          <cell r="F7">
            <v>3.5431213436496023E-2</v>
          </cell>
          <cell r="G7">
            <v>2.161832838720712E-2</v>
          </cell>
          <cell r="H7">
            <v>1.9975824374891094E-2</v>
          </cell>
        </row>
        <row r="8">
          <cell r="B8"/>
          <cell r="C8"/>
          <cell r="D8">
            <v>2</v>
          </cell>
          <cell r="E8">
            <v>-3.0819952169456712</v>
          </cell>
          <cell r="F8">
            <v>7.2476559237728111E-2</v>
          </cell>
          <cell r="G8">
            <v>4.763508974646613E-2</v>
          </cell>
          <cell r="H8">
            <v>4.4776008084720598E-2</v>
          </cell>
        </row>
        <row r="9">
          <cell r="B9"/>
          <cell r="C9"/>
          <cell r="D9" t="str">
            <v>3 et plus</v>
          </cell>
          <cell r="E9">
            <v>-8.1009159823120456</v>
          </cell>
          <cell r="F9">
            <v>0.10849652558432865</v>
          </cell>
          <cell r="G9">
            <v>1.432861200030211E-2</v>
          </cell>
          <cell r="H9">
            <v>9.4088971898551588E-3</v>
          </cell>
        </row>
        <row r="10">
          <cell r="B10" t="str">
            <v>Hommes</v>
          </cell>
          <cell r="C10"/>
          <cell r="D10" t="str">
            <v>3 et plus</v>
          </cell>
          <cell r="E10">
            <v>0</v>
          </cell>
          <cell r="F10">
            <v>0</v>
          </cell>
          <cell r="G10">
            <v>-8.6884827588970648E-2</v>
          </cell>
          <cell r="H10">
            <v>-8.7212488224522433E-2</v>
          </cell>
        </row>
        <row r="11">
          <cell r="B11" t="str">
            <v>Selon le régime d'affiliation</v>
          </cell>
          <cell r="C11"/>
          <cell r="D11"/>
          <cell r="E11"/>
          <cell r="F11"/>
          <cell r="G11"/>
          <cell r="H11"/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-2.1173333333333346</v>
          </cell>
          <cell r="F12">
            <v>4.921212121213614E-2</v>
          </cell>
          <cell r="G12">
            <v>1.7735230571382266E-2</v>
          </cell>
          <cell r="H12">
            <v>1.5103751954609113E-2</v>
          </cell>
        </row>
        <row r="13">
          <cell r="B13"/>
          <cell r="C13"/>
          <cell r="D13">
            <v>2</v>
          </cell>
          <cell r="E13">
            <v>-4.329584775086488</v>
          </cell>
          <cell r="F13">
            <v>9.4422818146867371E-2</v>
          </cell>
          <cell r="G13">
            <v>3.9663155546152407E-2</v>
          </cell>
          <cell r="H13">
            <v>3.526995015936496E-2</v>
          </cell>
        </row>
        <row r="14">
          <cell r="B14"/>
          <cell r="C14"/>
          <cell r="D14" t="str">
            <v>3 et plus</v>
          </cell>
          <cell r="E14">
            <v>-9.9724891652534495</v>
          </cell>
          <cell r="F14">
            <v>0.12610702845296373</v>
          </cell>
          <cell r="G14">
            <v>7.2876893900086781E-3</v>
          </cell>
          <cell r="H14">
            <v>9.9196009858681933E-4</v>
          </cell>
        </row>
        <row r="15">
          <cell r="B15"/>
          <cell r="C15" t="str">
            <v>Mono FP-RS</v>
          </cell>
          <cell r="D15">
            <v>1</v>
          </cell>
          <cell r="E15">
            <v>1.75</v>
          </cell>
          <cell r="F15">
            <v>-9.953703703703809E-2</v>
          </cell>
          <cell r="G15">
            <v>4.6821872997989011E-2</v>
          </cell>
          <cell r="H15">
            <v>5.182195882439955E-2</v>
          </cell>
        </row>
        <row r="16">
          <cell r="B16"/>
          <cell r="C16"/>
          <cell r="D16">
            <v>2</v>
          </cell>
          <cell r="E16">
            <v>4.009523809523813</v>
          </cell>
          <cell r="F16">
            <v>-0.16111111111111143</v>
          </cell>
          <cell r="G16">
            <v>0.10226011165533566</v>
          </cell>
          <cell r="H16">
            <v>0.1088812025141237</v>
          </cell>
        </row>
        <row r="17">
          <cell r="B17"/>
          <cell r="C17"/>
          <cell r="D17" t="str">
            <v>3 et plus</v>
          </cell>
          <cell r="E17">
            <v>6.9583333333333144</v>
          </cell>
          <cell r="F17">
            <v>-3.6458333333342807E-2</v>
          </cell>
          <cell r="G17">
            <v>0.11393204560047576</v>
          </cell>
          <cell r="H17">
            <v>0.12107932308762059</v>
          </cell>
        </row>
        <row r="18">
          <cell r="B18"/>
          <cell r="C18" t="str">
            <v>Mono MSAE-PLIB</v>
          </cell>
          <cell r="D18">
            <v>1</v>
          </cell>
          <cell r="E18">
            <v>-2.4000000000000057</v>
          </cell>
          <cell r="F18">
            <v>0</v>
          </cell>
          <cell r="G18">
            <v>2.7499520076815109E-2</v>
          </cell>
          <cell r="H18">
            <v>2.8308394803278514E-2</v>
          </cell>
        </row>
        <row r="19">
          <cell r="B19"/>
          <cell r="C19"/>
          <cell r="D19">
            <v>2</v>
          </cell>
          <cell r="E19">
            <v>-4</v>
          </cell>
          <cell r="F19">
            <v>6.4814814814809552E-2</v>
          </cell>
          <cell r="G19">
            <v>5.6047280152478285E-2</v>
          </cell>
          <cell r="H19">
            <v>5.2391567572268816E-2</v>
          </cell>
        </row>
        <row r="20">
          <cell r="B20"/>
          <cell r="C20"/>
          <cell r="D20" t="str">
            <v>3 et plus</v>
          </cell>
          <cell r="E20">
            <v>-12.5</v>
          </cell>
          <cell r="F20">
            <v>0</v>
          </cell>
          <cell r="G20">
            <v>0.13121330327216851</v>
          </cell>
          <cell r="H20">
            <v>0.13132165754473069</v>
          </cell>
        </row>
        <row r="21">
          <cell r="B21"/>
          <cell r="C21" t="str">
            <v>Poly Lura-FP-RS</v>
          </cell>
          <cell r="D21">
            <v>1</v>
          </cell>
          <cell r="E21">
            <v>1.8313090418353397</v>
          </cell>
          <cell r="F21">
            <v>-3.0251911830859513E-2</v>
          </cell>
          <cell r="G21">
            <v>3.7835595107851061E-2</v>
          </cell>
          <cell r="H21">
            <v>3.970443819536551E-2</v>
          </cell>
        </row>
        <row r="22">
          <cell r="B22"/>
          <cell r="C22"/>
          <cell r="D22">
            <v>2</v>
          </cell>
          <cell r="E22">
            <v>3.775065387968624</v>
          </cell>
          <cell r="F22">
            <v>-4.1412380122061165E-2</v>
          </cell>
          <cell r="G22">
            <v>8.1897186858819415E-2</v>
          </cell>
          <cell r="H22">
            <v>8.5212734615924157E-2</v>
          </cell>
        </row>
        <row r="23">
          <cell r="B23"/>
          <cell r="C23"/>
          <cell r="D23" t="str">
            <v>3 et plus</v>
          </cell>
          <cell r="E23">
            <v>5.8303715670436134</v>
          </cell>
          <cell r="F23">
            <v>-1.6289714593433757E-2</v>
          </cell>
          <cell r="G23">
            <v>4.8704312981606712E-2</v>
          </cell>
          <cell r="H23">
            <v>5.1091499408700169E-2</v>
          </cell>
        </row>
        <row r="24">
          <cell r="B24"/>
          <cell r="C24" t="str">
            <v>Poly Lura-MSAE-PLIB</v>
          </cell>
          <cell r="D24">
            <v>1</v>
          </cell>
          <cell r="E24">
            <v>-2.4460966542750953</v>
          </cell>
          <cell r="F24">
            <v>6.0718711276322779E-2</v>
          </cell>
          <cell r="G24">
            <v>1.2399701658364126E-2</v>
          </cell>
          <cell r="H24">
            <v>9.5950632106034384E-3</v>
          </cell>
        </row>
        <row r="25">
          <cell r="B25"/>
          <cell r="C25"/>
          <cell r="D25">
            <v>2</v>
          </cell>
          <cell r="E25">
            <v>-5.1557562076749548</v>
          </cell>
          <cell r="F25">
            <v>0.12001504890895376</v>
          </cell>
          <cell r="G25">
            <v>3.5126852246093909E-2</v>
          </cell>
          <cell r="H25">
            <v>3.0074285815808732E-2</v>
          </cell>
        </row>
        <row r="26">
          <cell r="B26"/>
          <cell r="C26"/>
          <cell r="D26" t="str">
            <v>3 et plus</v>
          </cell>
          <cell r="E26">
            <v>-9.6737588652482316</v>
          </cell>
          <cell r="F26">
            <v>0.13150118203309091</v>
          </cell>
          <cell r="G26">
            <v>-4.5399444676016421E-3</v>
          </cell>
          <cell r="H26">
            <v>-1.3133735698141691E-2</v>
          </cell>
        </row>
        <row r="27">
          <cell r="B27" t="str">
            <v>Selon le quintile de pension</v>
          </cell>
          <cell r="C27"/>
          <cell r="D27"/>
          <cell r="E27"/>
          <cell r="F27"/>
          <cell r="G27"/>
          <cell r="H27"/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-0.99385875127943279</v>
          </cell>
          <cell r="F28">
            <v>2.132378027980053E-3</v>
          </cell>
          <cell r="G28">
            <v>2.1352917896822365E-2</v>
          </cell>
          <cell r="H28">
            <v>2.0906672828485018E-2</v>
          </cell>
        </row>
        <row r="29">
          <cell r="B29"/>
          <cell r="C29"/>
          <cell r="D29">
            <v>2</v>
          </cell>
          <cell r="E29">
            <v>-1.7960358056266017</v>
          </cell>
          <cell r="F29">
            <v>5.1150895140636976E-3</v>
          </cell>
          <cell r="G29">
            <v>4.693603127689383E-2</v>
          </cell>
          <cell r="H29">
            <v>4.6815475201271273E-2</v>
          </cell>
        </row>
        <row r="30">
          <cell r="B30"/>
          <cell r="C30"/>
          <cell r="D30" t="str">
            <v>3 et plus</v>
          </cell>
          <cell r="E30">
            <v>-11.757595345830651</v>
          </cell>
          <cell r="F30">
            <v>1.1635423400122136E-2</v>
          </cell>
          <cell r="G30">
            <v>-4.6534207012205453E-2</v>
          </cell>
          <cell r="H30">
            <v>-4.8394521474587893E-2</v>
          </cell>
        </row>
        <row r="31">
          <cell r="B31"/>
          <cell r="C31" t="str">
            <v>Q2</v>
          </cell>
          <cell r="D31">
            <v>1</v>
          </cell>
          <cell r="E31">
            <v>-1.8161592505854571</v>
          </cell>
          <cell r="F31">
            <v>5.708430913350071E-2</v>
          </cell>
          <cell r="G31">
            <v>2.2419616869254977E-2</v>
          </cell>
          <cell r="H31">
            <v>1.9641862410925137E-2</v>
          </cell>
        </row>
        <row r="32">
          <cell r="B32"/>
          <cell r="C32"/>
          <cell r="D32">
            <v>2</v>
          </cell>
          <cell r="E32">
            <v>-3.9045599151643557</v>
          </cell>
          <cell r="F32">
            <v>0.12071403322730134</v>
          </cell>
          <cell r="G32">
            <v>4.6435196339287499E-2</v>
          </cell>
          <cell r="H32">
            <v>4.1341231350169982E-2</v>
          </cell>
        </row>
        <row r="33">
          <cell r="B33"/>
          <cell r="C33"/>
          <cell r="D33" t="str">
            <v>3 et plus</v>
          </cell>
          <cell r="E33">
            <v>-9.0624048706240501</v>
          </cell>
          <cell r="F33">
            <v>0.2036402841197571</v>
          </cell>
          <cell r="G33">
            <v>5.5113424985308912E-2</v>
          </cell>
          <cell r="H33">
            <v>4.472899432384625E-2</v>
          </cell>
        </row>
        <row r="34">
          <cell r="B34"/>
          <cell r="C34" t="str">
            <v>Q3</v>
          </cell>
          <cell r="D34">
            <v>1</v>
          </cell>
          <cell r="E34">
            <v>-1.385162601626007</v>
          </cell>
          <cell r="F34">
            <v>4.0904471544713772E-2</v>
          </cell>
          <cell r="G34">
            <v>2.171037244156282E-2</v>
          </cell>
          <cell r="H34">
            <v>2.0627590863733669E-2</v>
          </cell>
        </row>
        <row r="35">
          <cell r="B35"/>
          <cell r="C35"/>
          <cell r="D35">
            <v>2</v>
          </cell>
          <cell r="E35">
            <v>-2.7866666666666617</v>
          </cell>
          <cell r="F35">
            <v>8.101851851852615E-2</v>
          </cell>
          <cell r="G35">
            <v>4.63251499474715E-2</v>
          </cell>
          <cell r="H35">
            <v>4.3261758380743753E-2</v>
          </cell>
        </row>
        <row r="36">
          <cell r="B36"/>
          <cell r="C36"/>
          <cell r="D36" t="str">
            <v>3 et plus</v>
          </cell>
          <cell r="E36">
            <v>-7.2477678571428612</v>
          </cell>
          <cell r="F36">
            <v>0.1173735119047592</v>
          </cell>
          <cell r="G36">
            <v>4.2990111430374123E-2</v>
          </cell>
          <cell r="H36">
            <v>3.7964131546865065E-2</v>
          </cell>
        </row>
        <row r="37">
          <cell r="B37"/>
          <cell r="C37" t="str">
            <v>Q4</v>
          </cell>
          <cell r="D37">
            <v>1</v>
          </cell>
          <cell r="E37">
            <v>-1.3028286189683911</v>
          </cell>
          <cell r="F37">
            <v>3.5912368275113238E-2</v>
          </cell>
          <cell r="G37">
            <v>2.1394438928782789E-2</v>
          </cell>
          <cell r="H37">
            <v>1.9855679471816323E-2</v>
          </cell>
        </row>
        <row r="38">
          <cell r="B38"/>
          <cell r="C38"/>
          <cell r="D38">
            <v>2</v>
          </cell>
          <cell r="E38">
            <v>-2.887115165336354</v>
          </cell>
          <cell r="F38">
            <v>6.0480805777260116E-2</v>
          </cell>
          <cell r="G38">
            <v>4.9702868864254235E-2</v>
          </cell>
          <cell r="H38">
            <v>4.7928842812197114E-2</v>
          </cell>
        </row>
        <row r="39">
          <cell r="B39"/>
          <cell r="C39"/>
          <cell r="D39" t="str">
            <v>3 et plus</v>
          </cell>
          <cell r="E39">
            <v>-5.2353998203054743</v>
          </cell>
          <cell r="F39">
            <v>0.10324947589097633</v>
          </cell>
          <cell r="G39">
            <v>1.9727582838669377E-2</v>
          </cell>
          <cell r="H39">
            <v>1.5834443562586786E-2</v>
          </cell>
        </row>
        <row r="40">
          <cell r="B40"/>
          <cell r="C40" t="str">
            <v>Q5</v>
          </cell>
          <cell r="D40">
            <v>1</v>
          </cell>
          <cell r="E40">
            <v>-1.8104524180967303</v>
          </cell>
          <cell r="F40">
            <v>4.1731669266766858E-2</v>
          </cell>
          <cell r="G40">
            <v>2.154470191204938E-2</v>
          </cell>
          <cell r="H40">
            <v>1.9758953919770672E-2</v>
          </cell>
        </row>
        <row r="41">
          <cell r="B41"/>
          <cell r="C41"/>
          <cell r="D41">
            <v>2</v>
          </cell>
          <cell r="E41">
            <v>-3.8323016319639578</v>
          </cell>
          <cell r="F41">
            <v>8.3755392984429022E-2</v>
          </cell>
          <cell r="G41">
            <v>4.7595636191899438E-2</v>
          </cell>
          <cell r="H41">
            <v>4.4618614181260563E-2</v>
          </cell>
        </row>
        <row r="42">
          <cell r="B42"/>
          <cell r="C42"/>
          <cell r="D42" t="str">
            <v>3 et plus</v>
          </cell>
          <cell r="E42">
            <v>-5.5522682445759415</v>
          </cell>
          <cell r="F42">
            <v>0.12697238658776655</v>
          </cell>
          <cell r="G42">
            <v>-1.4553032854008219E-2</v>
          </cell>
          <cell r="H42">
            <v>-1.9102763841750803E-2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54">
          <cell r="D54">
            <v>8.8748741791100372E-5</v>
          </cell>
          <cell r="E54">
            <v>1.9022832355064523E-4</v>
          </cell>
          <cell r="F54">
            <v>2.141484256275028E-4</v>
          </cell>
          <cell r="G54">
            <v>2.1083566372714913E-4</v>
          </cell>
          <cell r="H54">
            <v>1.9015885608864025E-4</v>
          </cell>
          <cell r="I54">
            <v>1.7823157251162236E-4</v>
          </cell>
          <cell r="J54">
            <v>1.9944750783418286E-4</v>
          </cell>
          <cell r="K54">
            <v>2.5165487849032608E-4</v>
          </cell>
          <cell r="L54">
            <v>3.1879385173616548E-4</v>
          </cell>
          <cell r="M54">
            <v>4.1432304343680393E-4</v>
          </cell>
          <cell r="N54">
            <v>5.0542157574917645E-4</v>
          </cell>
          <cell r="O54">
            <v>6.1414627505773645E-4</v>
          </cell>
          <cell r="P54">
            <v>7.1275236567291955E-4</v>
          </cell>
          <cell r="Q54">
            <v>8.1507193706564784E-4</v>
          </cell>
          <cell r="R54">
            <v>9.2195103346881524E-4</v>
          </cell>
          <cell r="S54">
            <v>1.0484763311511269E-3</v>
          </cell>
          <cell r="T54">
            <v>1.1642873831640976E-3</v>
          </cell>
          <cell r="U54">
            <v>1.2830041410472059E-3</v>
          </cell>
          <cell r="V54">
            <v>1.4150836514412735E-3</v>
          </cell>
          <cell r="W54">
            <v>1.5695219155467122E-3</v>
          </cell>
          <cell r="X54">
            <v>1.7153801834020044E-3</v>
          </cell>
          <cell r="Y54">
            <v>1.8612681471001924E-3</v>
          </cell>
          <cell r="Z54">
            <v>2.0215176870395091E-3</v>
          </cell>
          <cell r="AA54">
            <v>2.1554259349929605E-3</v>
          </cell>
          <cell r="AB54">
            <v>2.3300621102502195E-3</v>
          </cell>
          <cell r="AC54">
            <v>2.4194352604209879E-3</v>
          </cell>
          <cell r="AD54">
            <v>2.5692211318890656E-3</v>
          </cell>
          <cell r="AE54">
            <v>2.6743966511604267E-3</v>
          </cell>
          <cell r="AF54">
            <v>2.7360162932250631E-3</v>
          </cell>
          <cell r="AG54">
            <v>2.7647475523806531E-3</v>
          </cell>
          <cell r="AH54">
            <v>2.77411188389598E-3</v>
          </cell>
          <cell r="AI54">
            <v>2.7896318011815247E-3</v>
          </cell>
          <cell r="AJ54">
            <v>2.7801181347464343E-3</v>
          </cell>
          <cell r="AK54">
            <v>2.7554209089053483E-3</v>
          </cell>
          <cell r="AL54">
            <v>2.6287314550994534E-3</v>
          </cell>
          <cell r="AM54">
            <v>2.4867341314720459E-3</v>
          </cell>
          <cell r="AN54">
            <v>2.3884598569572368E-3</v>
          </cell>
          <cell r="AO54">
            <v>2.2484839042786753E-3</v>
          </cell>
          <cell r="AP54">
            <v>2.118113963596846E-3</v>
          </cell>
          <cell r="AQ54">
            <v>1.8831135575574365E-3</v>
          </cell>
          <cell r="AR54">
            <v>1.7475699984754733E-3</v>
          </cell>
          <cell r="AS54">
            <v>1.5862770212504707E-3</v>
          </cell>
          <cell r="AT54">
            <v>1.4691599739857786E-3</v>
          </cell>
          <cell r="AU54">
            <v>1.432279722955565E-3</v>
          </cell>
          <cell r="AV54">
            <v>1.3649504404944501E-3</v>
          </cell>
        </row>
        <row r="55">
          <cell r="D55">
            <v>2.1088940439595305E-4</v>
          </cell>
          <cell r="E55">
            <v>4.239022498491174E-4</v>
          </cell>
          <cell r="F55">
            <v>4.8662480265271313E-4</v>
          </cell>
          <cell r="G55">
            <v>5.0669653427881656E-4</v>
          </cell>
          <cell r="H55">
            <v>4.909269643276204E-4</v>
          </cell>
          <cell r="I55">
            <v>4.762577840233817E-4</v>
          </cell>
          <cell r="J55">
            <v>5.0050014426705758E-4</v>
          </cell>
          <cell r="K55">
            <v>5.4295362130218905E-4</v>
          </cell>
          <cell r="L55">
            <v>5.977584382468315E-4</v>
          </cell>
          <cell r="M55">
            <v>6.9840574093027463E-4</v>
          </cell>
          <cell r="N55">
            <v>7.8279535377245857E-4</v>
          </cell>
          <cell r="O55">
            <v>8.7952239151833922E-4</v>
          </cell>
          <cell r="P55">
            <v>9.7390063687763373E-4</v>
          </cell>
          <cell r="Q55">
            <v>1.0695597323358008E-3</v>
          </cell>
          <cell r="R55">
            <v>1.1702568526403834E-3</v>
          </cell>
          <cell r="S55">
            <v>1.2888124783636545E-3</v>
          </cell>
          <cell r="T55">
            <v>1.3905476357822799E-3</v>
          </cell>
          <cell r="U55">
            <v>1.5100854106719908E-3</v>
          </cell>
          <cell r="V55">
            <v>1.6261446813425895E-3</v>
          </cell>
          <cell r="W55">
            <v>1.7683092909979159E-3</v>
          </cell>
          <cell r="X55">
            <v>1.8851433766020609E-3</v>
          </cell>
          <cell r="Y55">
            <v>2.006972814003527E-3</v>
          </cell>
          <cell r="Z55">
            <v>2.1451606110705068E-3</v>
          </cell>
          <cell r="AA55">
            <v>2.2354545026128658E-3</v>
          </cell>
          <cell r="AB55">
            <v>2.3606368972166614E-3</v>
          </cell>
          <cell r="AC55">
            <v>2.377983339362677E-3</v>
          </cell>
          <cell r="AD55">
            <v>2.4477002184257746E-3</v>
          </cell>
          <cell r="AE55">
            <v>2.4318150244195813E-3</v>
          </cell>
          <cell r="AF55">
            <v>2.3629836212959443E-3</v>
          </cell>
          <cell r="AG55">
            <v>2.2591671137022207E-3</v>
          </cell>
          <cell r="AH55">
            <v>2.1014277919526592E-3</v>
          </cell>
          <cell r="AI55">
            <v>1.875717743981431E-3</v>
          </cell>
          <cell r="AJ55">
            <v>1.6110784152094659E-3</v>
          </cell>
          <cell r="AK55">
            <v>1.3296263936106723E-3</v>
          </cell>
          <cell r="AL55">
            <v>8.9597535288188368E-4</v>
          </cell>
          <cell r="AM55">
            <v>4.3085159669775663E-4</v>
          </cell>
          <cell r="AN55">
            <v>-2.3189066809981007E-5</v>
          </cell>
          <cell r="AO55">
            <v>-5.3740599686824542E-4</v>
          </cell>
          <cell r="AP55">
            <v>-1.0363140125014825E-3</v>
          </cell>
          <cell r="AQ55">
            <v>-1.7420102305053531E-3</v>
          </cell>
          <cell r="AR55">
            <v>-2.267574687384144E-3</v>
          </cell>
          <cell r="AS55">
            <v>-2.8314864284070262E-3</v>
          </cell>
          <cell r="AT55">
            <v>-3.3251415957840091E-3</v>
          </cell>
          <cell r="AU55">
            <v>-3.7575637381114246E-3</v>
          </cell>
          <cell r="AV55">
            <v>-4.2176936322567693E-3</v>
          </cell>
        </row>
        <row r="56">
          <cell r="D56">
            <v>3.655792248169476E-5</v>
          </cell>
          <cell r="E56">
            <v>1.0543202872481672E-4</v>
          </cell>
          <cell r="F56">
            <v>1.5105994928310551E-4</v>
          </cell>
          <cell r="G56">
            <v>1.8834666926759169E-4</v>
          </cell>
          <cell r="H56">
            <v>2.1009654366754837E-4</v>
          </cell>
          <cell r="I56">
            <v>2.2623298565216388E-4</v>
          </cell>
          <cell r="J56">
            <v>2.83238919155826E-4</v>
          </cell>
          <cell r="K56">
            <v>4.0342477758148476E-4</v>
          </cell>
          <cell r="L56">
            <v>5.4254221264393721E-4</v>
          </cell>
          <cell r="M56">
            <v>7.2759808670719295E-4</v>
          </cell>
          <cell r="N56">
            <v>9.1513563598066838E-4</v>
          </cell>
          <cell r="O56">
            <v>1.1139193793165969E-3</v>
          </cell>
          <cell r="P56">
            <v>1.2934899197043492E-3</v>
          </cell>
          <cell r="Q56">
            <v>1.4697607600635543E-3</v>
          </cell>
          <cell r="R56">
            <v>1.6421297962634362E-3</v>
          </cell>
          <cell r="S56">
            <v>1.8444012990885827E-3</v>
          </cell>
          <cell r="T56">
            <v>2.0249988656781959E-3</v>
          </cell>
          <cell r="U56">
            <v>2.2017789246069341E-3</v>
          </cell>
          <cell r="V56">
            <v>2.39175224192123E-3</v>
          </cell>
          <cell r="W56">
            <v>2.6027968237765098E-3</v>
          </cell>
          <cell r="X56">
            <v>2.811441851301888E-3</v>
          </cell>
          <cell r="Y56">
            <v>2.9627001822658539E-3</v>
          </cell>
          <cell r="Z56">
            <v>3.1527158642661313E-3</v>
          </cell>
          <cell r="AA56">
            <v>3.2981148215149858E-3</v>
          </cell>
          <cell r="AB56">
            <v>3.472581083023174E-3</v>
          </cell>
          <cell r="AC56">
            <v>3.5373720057361169E-3</v>
          </cell>
          <cell r="AD56">
            <v>3.6698708716207395E-3</v>
          </cell>
          <cell r="AE56">
            <v>3.7781144078583573E-3</v>
          </cell>
          <cell r="AF56">
            <v>3.8072155532107299E-3</v>
          </cell>
          <cell r="AG56">
            <v>3.8806967293485428E-3</v>
          </cell>
          <cell r="AH56">
            <v>3.8582293212106045E-3</v>
          </cell>
          <cell r="AI56">
            <v>3.8819055662253632E-3</v>
          </cell>
          <cell r="AJ56">
            <v>3.9109390364036045E-3</v>
          </cell>
          <cell r="AK56">
            <v>3.9115241497007514E-3</v>
          </cell>
          <cell r="AL56">
            <v>3.8102505598505143E-3</v>
          </cell>
          <cell r="AM56">
            <v>3.7485818498330659E-3</v>
          </cell>
          <cell r="AN56">
            <v>3.7355558835083791E-3</v>
          </cell>
          <cell r="AO56">
            <v>3.6614794799891826E-3</v>
          </cell>
          <cell r="AP56">
            <v>3.5944506700000822E-3</v>
          </cell>
          <cell r="AQ56">
            <v>3.4568720147276633E-3</v>
          </cell>
          <cell r="AR56">
            <v>3.430651420885944E-3</v>
          </cell>
          <cell r="AS56">
            <v>3.2890614595120216E-3</v>
          </cell>
          <cell r="AT56">
            <v>3.2231698597764424E-3</v>
          </cell>
          <cell r="AU56">
            <v>3.2599877274275268E-3</v>
          </cell>
          <cell r="AV56">
            <v>3.3669100672475416E-3</v>
          </cell>
        </row>
        <row r="57">
          <cell r="D57">
            <v>5.5250322170019572E-5</v>
          </cell>
          <cell r="E57">
            <v>9.2835063269625095E-5</v>
          </cell>
          <cell r="F57">
            <v>1.7821621161040468E-5</v>
          </cell>
          <cell r="G57">
            <v>-1.2264719184718054E-4</v>
          </cell>
          <cell r="H57">
            <v>-1.6178208210881895E-4</v>
          </cell>
          <cell r="I57">
            <v>-1.3849600329285394E-4</v>
          </cell>
          <cell r="J57">
            <v>-1.1413712634045226E-4</v>
          </cell>
          <cell r="K57">
            <v>-4.9701982638206132E-5</v>
          </cell>
          <cell r="L57">
            <v>8.6568422474897488E-6</v>
          </cell>
          <cell r="M57">
            <v>1.081909729387931E-4</v>
          </cell>
          <cell r="N57">
            <v>3.1495730289976542E-4</v>
          </cell>
          <cell r="O57">
            <v>5.1760846878057265E-4</v>
          </cell>
          <cell r="P57">
            <v>7.2460839014154566E-4</v>
          </cell>
          <cell r="Q57">
            <v>9.0276583702819657E-4</v>
          </cell>
          <cell r="R57">
            <v>1.0540367604501277E-3</v>
          </cell>
          <cell r="S57">
            <v>1.1907172018033041E-3</v>
          </cell>
          <cell r="T57">
            <v>1.5153888990591113E-3</v>
          </cell>
          <cell r="U57">
            <v>1.7783771466801657E-3</v>
          </cell>
          <cell r="V57">
            <v>1.9493964692960386E-3</v>
          </cell>
          <cell r="W57">
            <v>2.0633280445474522E-3</v>
          </cell>
          <cell r="X57">
            <v>2.3769968852918044E-3</v>
          </cell>
          <cell r="Y57">
            <v>2.6526225766316802E-3</v>
          </cell>
          <cell r="Z57">
            <v>3.118158764796819E-3</v>
          </cell>
          <cell r="AA57">
            <v>3.3511770978524869E-3</v>
          </cell>
          <cell r="AB57">
            <v>3.6276051147037247E-3</v>
          </cell>
          <cell r="AC57">
            <v>3.7272921538236137E-3</v>
          </cell>
          <cell r="AD57">
            <v>3.9625957461149053E-3</v>
          </cell>
          <cell r="AE57">
            <v>4.2376311351453033E-3</v>
          </cell>
          <cell r="AF57">
            <v>4.3785186233247231E-3</v>
          </cell>
          <cell r="AG57">
            <v>4.5402517784776109E-3</v>
          </cell>
          <cell r="AH57">
            <v>4.5319632733806792E-3</v>
          </cell>
          <cell r="AI57">
            <v>4.7360021884035319E-3</v>
          </cell>
          <cell r="AJ57">
            <v>4.835110507384055E-3</v>
          </cell>
          <cell r="AK57">
            <v>5.114047954965395E-3</v>
          </cell>
          <cell r="AL57">
            <v>4.6725980769570796E-3</v>
          </cell>
          <cell r="AM57">
            <v>4.4167384476654359E-3</v>
          </cell>
          <cell r="AN57">
            <v>4.6729045797169189E-3</v>
          </cell>
          <cell r="AO57">
            <v>4.5507115988452362E-3</v>
          </cell>
          <cell r="AP57">
            <v>4.8212093355739505E-3</v>
          </cell>
          <cell r="AQ57">
            <v>4.5431903369304028E-3</v>
          </cell>
          <cell r="AR57">
            <v>4.5581771320919451E-3</v>
          </cell>
          <cell r="AS57">
            <v>4.4627258201137554E-3</v>
          </cell>
          <cell r="AT57">
            <v>4.448574934943883E-3</v>
          </cell>
          <cell r="AU57">
            <v>4.3431373565805398E-3</v>
          </cell>
          <cell r="AV57">
            <v>4.6557795813180203E-3</v>
          </cell>
        </row>
        <row r="58">
          <cell r="D58">
            <v>4.1896681594910667E-4</v>
          </cell>
          <cell r="E58">
            <v>1.2415041870865728E-3</v>
          </cell>
          <cell r="F58">
            <v>2.1489560009382291E-3</v>
          </cell>
          <cell r="G58">
            <v>3.0023691318847856E-3</v>
          </cell>
          <cell r="H58">
            <v>3.8444620905693228E-3</v>
          </cell>
          <cell r="I58">
            <v>4.6865684981949318E-3</v>
          </cell>
          <cell r="J58">
            <v>5.4852175966146888E-3</v>
          </cell>
          <cell r="K58">
            <v>6.3795834568201037E-3</v>
          </cell>
          <cell r="L58">
            <v>7.2243769937754276E-3</v>
          </cell>
          <cell r="M58">
            <v>8.069213346460824E-3</v>
          </cell>
          <cell r="N58">
            <v>8.8480506188661767E-3</v>
          </cell>
          <cell r="O58">
            <v>9.6307445888748067E-3</v>
          </cell>
          <cell r="P58">
            <v>1.0391085641092701E-2</v>
          </cell>
          <cell r="Q58">
            <v>1.1080770889517311E-2</v>
          </cell>
          <cell r="R58">
            <v>1.1630224307879633E-2</v>
          </cell>
          <cell r="S58">
            <v>1.2143049455118016E-2</v>
          </cell>
          <cell r="T58">
            <v>1.2626644135390386E-2</v>
          </cell>
          <cell r="U58">
            <v>1.3174739137840508E-2</v>
          </cell>
          <cell r="V58">
            <v>1.3659523542012719E-2</v>
          </cell>
          <cell r="W58">
            <v>1.4140308208402397E-2</v>
          </cell>
          <cell r="X58">
            <v>1.4559983069504678E-2</v>
          </cell>
          <cell r="Y58">
            <v>1.4955617243620711E-2</v>
          </cell>
          <cell r="Z58">
            <v>1.5361163390408272E-2</v>
          </cell>
          <cell r="AA58">
            <v>1.5632114359342086E-2</v>
          </cell>
          <cell r="AB58">
            <v>1.5888374596871868E-2</v>
          </cell>
          <cell r="AC58">
            <v>1.6126404103455672E-2</v>
          </cell>
          <cell r="AD58">
            <v>1.6471850610843886E-2</v>
          </cell>
          <cell r="AE58">
            <v>1.6677726734728671E-2</v>
          </cell>
          <cell r="AF58">
            <v>1.6734293055761906E-2</v>
          </cell>
          <cell r="AG58">
            <v>1.6774963854087721E-2</v>
          </cell>
          <cell r="AH58">
            <v>1.7142868735764205E-2</v>
          </cell>
          <cell r="AI58">
            <v>1.7166391560989425E-2</v>
          </cell>
          <cell r="AJ58">
            <v>1.7165093779318852E-2</v>
          </cell>
          <cell r="AK58">
            <v>1.6922454327039871E-2</v>
          </cell>
          <cell r="AL58">
            <v>1.6964074376966121E-2</v>
          </cell>
          <cell r="AM58">
            <v>1.7080181991735888E-2</v>
          </cell>
          <cell r="AN58">
            <v>1.695558664300556E-2</v>
          </cell>
          <cell r="AO58">
            <v>1.6864152975570423E-2</v>
          </cell>
          <cell r="AP58">
            <v>1.6754842666756975E-2</v>
          </cell>
          <cell r="AQ58">
            <v>1.6547064098475284E-2</v>
          </cell>
          <cell r="AR58">
            <v>1.6205479204663975E-2</v>
          </cell>
          <cell r="AS58">
            <v>1.6032271172311763E-2</v>
          </cell>
          <cell r="AT58">
            <v>1.61817842193126E-2</v>
          </cell>
          <cell r="AU58">
            <v>1.6177633976390826E-2</v>
          </cell>
          <cell r="AV58">
            <v>1.5977695214570486E-2</v>
          </cell>
        </row>
        <row r="59">
          <cell r="D59">
            <v>9.3890823458231409E-6</v>
          </cell>
          <cell r="E59">
            <v>6.7394684069022048E-6</v>
          </cell>
          <cell r="F59">
            <v>-2.9015744200111548E-5</v>
          </cell>
          <cell r="G59">
            <v>-6.3414288179797218E-5</v>
          </cell>
          <cell r="H59">
            <v>-9.4754035374178258E-5</v>
          </cell>
          <cell r="I59">
            <v>-1.1711349805898497E-4</v>
          </cell>
          <cell r="J59">
            <v>-1.2510788470032619E-4</v>
          </cell>
          <cell r="K59">
            <v>-1.1881711332051292E-4</v>
          </cell>
          <cell r="L59">
            <v>-8.9830860657613698E-5</v>
          </cell>
          <cell r="M59">
            <v>-5.0953554369570497E-5</v>
          </cell>
          <cell r="N59">
            <v>-2.3160920333276103E-5</v>
          </cell>
          <cell r="O59">
            <v>2.1791519922764735E-5</v>
          </cell>
          <cell r="P59">
            <v>3.7256145246411521E-5</v>
          </cell>
          <cell r="Q59">
            <v>8.4443336214157227E-5</v>
          </cell>
          <cell r="R59">
            <v>1.4194587008420356E-4</v>
          </cell>
          <cell r="S59">
            <v>2.0040126200249198E-4</v>
          </cell>
          <cell r="T59">
            <v>2.6432456828540118E-4</v>
          </cell>
          <cell r="U59">
            <v>2.8806045138662917E-4</v>
          </cell>
          <cell r="V59">
            <v>3.8821584554882271E-4</v>
          </cell>
          <cell r="W59">
            <v>4.8670081647195218E-4</v>
          </cell>
          <cell r="X59">
            <v>5.8045872761458561E-4</v>
          </cell>
          <cell r="Y59">
            <v>7.3661965384541617E-4</v>
          </cell>
          <cell r="Z59">
            <v>8.8576932242245832E-4</v>
          </cell>
          <cell r="AA59">
            <v>1.0898901059246402E-3</v>
          </cell>
          <cell r="AB59">
            <v>1.3685925019697454E-3</v>
          </cell>
          <cell r="AC59">
            <v>1.6385763326978164E-3</v>
          </cell>
          <cell r="AD59">
            <v>2.0117789442610778E-3</v>
          </cell>
          <cell r="AE59">
            <v>2.3716216590556893E-3</v>
          </cell>
          <cell r="AF59">
            <v>2.7895340017241033E-3</v>
          </cell>
          <cell r="AG59">
            <v>3.0831194607046086E-3</v>
          </cell>
          <cell r="AH59">
            <v>3.4992384123886389E-3</v>
          </cell>
          <cell r="AI59">
            <v>4.167389463925808E-3</v>
          </cell>
          <cell r="AJ59">
            <v>4.8040742494157573E-3</v>
          </cell>
          <cell r="AK59">
            <v>5.4646106972153774E-3</v>
          </cell>
          <cell r="AL59">
            <v>6.1886430566628903E-3</v>
          </cell>
          <cell r="AM59">
            <v>6.8675757003822113E-3</v>
          </cell>
          <cell r="AN59">
            <v>7.7164312782329603E-3</v>
          </cell>
          <cell r="AO59">
            <v>8.6820686879418574E-3</v>
          </cell>
          <cell r="AP59">
            <v>9.6796454364913576E-3</v>
          </cell>
          <cell r="AQ59">
            <v>1.0899526361455525E-2</v>
          </cell>
          <cell r="AR59">
            <v>1.1946304082794956E-2</v>
          </cell>
          <cell r="AS59">
            <v>1.3186475476243631E-2</v>
          </cell>
          <cell r="AT59">
            <v>1.4349825088188384E-2</v>
          </cell>
          <cell r="AU59">
            <v>1.5711799991805275E-2</v>
          </cell>
          <cell r="AV59">
            <v>1.6875081866423614E-2</v>
          </cell>
        </row>
        <row r="60">
          <cell r="D60">
            <v>-4.4764782841022477E-4</v>
          </cell>
          <cell r="E60">
            <v>-8.2602269199294476E-4</v>
          </cell>
          <cell r="F60">
            <v>-1.1907937749463526E-3</v>
          </cell>
          <cell r="G60">
            <v>-1.678960535301588E-3</v>
          </cell>
          <cell r="H60">
            <v>-2.2422162753731323E-3</v>
          </cell>
          <cell r="I60">
            <v>-2.6602643814271909E-3</v>
          </cell>
          <cell r="J60">
            <v>-2.9797853055065771E-3</v>
          </cell>
          <cell r="K60">
            <v>-3.3151914956131012E-3</v>
          </cell>
          <cell r="L60">
            <v>-3.6979463451231043E-3</v>
          </cell>
          <cell r="M60">
            <v>-4.189632716270042E-3</v>
          </cell>
          <cell r="N60">
            <v>-4.6301490407685275E-3</v>
          </cell>
          <cell r="O60">
            <v>-5.0639764548451316E-3</v>
          </cell>
          <cell r="P60">
            <v>-5.4507268519142782E-3</v>
          </cell>
          <cell r="Q60">
            <v>-5.8895841146953121E-3</v>
          </cell>
          <cell r="R60">
            <v>-6.2895088683567746E-3</v>
          </cell>
          <cell r="S60">
            <v>-6.6120609383443218E-3</v>
          </cell>
          <cell r="T60">
            <v>-6.989545822204013E-3</v>
          </cell>
          <cell r="U60">
            <v>-7.352497585959461E-3</v>
          </cell>
          <cell r="V60">
            <v>-7.7610302562391986E-3</v>
          </cell>
          <cell r="W60">
            <v>-8.0582066135033159E-3</v>
          </cell>
          <cell r="X60">
            <v>-8.2358080817614976E-3</v>
          </cell>
          <cell r="Y60">
            <v>-8.5133309413381042E-3</v>
          </cell>
          <cell r="Z60">
            <v>-8.7090178331669099E-3</v>
          </cell>
          <cell r="AA60">
            <v>-8.8398374176732464E-3</v>
          </cell>
          <cell r="AB60">
            <v>-9.0396313722743704E-3</v>
          </cell>
          <cell r="AC60">
            <v>-9.2376370362167171E-3</v>
          </cell>
          <cell r="AD60">
            <v>-9.3204751005930842E-3</v>
          </cell>
          <cell r="AE60">
            <v>-9.3052189004865227E-3</v>
          </cell>
          <cell r="AF60">
            <v>-9.3363730726985228E-3</v>
          </cell>
          <cell r="AG60">
            <v>-9.3061639077973712E-3</v>
          </cell>
          <cell r="AH60">
            <v>-9.1844489763615034E-3</v>
          </cell>
          <cell r="AI60">
            <v>-9.1566992130726055E-3</v>
          </cell>
          <cell r="AJ60">
            <v>-9.0346753628444132E-3</v>
          </cell>
          <cell r="AK60">
            <v>-9.0482994833626096E-3</v>
          </cell>
          <cell r="AL60">
            <v>-8.909053832315772E-3</v>
          </cell>
          <cell r="AM60">
            <v>-8.8639869205821009E-3</v>
          </cell>
          <cell r="AN60">
            <v>-8.6121993295980026E-3</v>
          </cell>
          <cell r="AO60">
            <v>-8.5021417403082777E-3</v>
          </cell>
          <cell r="AP60">
            <v>-8.3422249671101234E-3</v>
          </cell>
          <cell r="AQ60">
            <v>-8.2987733248681694E-3</v>
          </cell>
          <cell r="AR60">
            <v>-8.2133637987904518E-3</v>
          </cell>
          <cell r="AS60">
            <v>-8.1221837970150146E-3</v>
          </cell>
          <cell r="AT60">
            <v>-7.9887803265052959E-3</v>
          </cell>
          <cell r="AU60">
            <v>-7.7449701430790663E-3</v>
          </cell>
          <cell r="AV60">
            <v>-7.3913208696324562E-3</v>
          </cell>
        </row>
        <row r="61">
          <cell r="D61">
            <v>2.2779662006322532E-4</v>
          </cell>
          <cell r="E61">
            <v>4.7822301056643646E-4</v>
          </cell>
          <cell r="F61">
            <v>6.5649620214025539E-4</v>
          </cell>
          <cell r="G61">
            <v>7.717383656034027E-4</v>
          </cell>
          <cell r="H61">
            <v>9.6158616161345911E-4</v>
          </cell>
          <cell r="I61">
            <v>1.1270259585209885E-3</v>
          </cell>
          <cell r="J61">
            <v>1.2425245874334578E-3</v>
          </cell>
          <cell r="K61">
            <v>1.4686549761744327E-3</v>
          </cell>
          <cell r="L61">
            <v>1.762138709935579E-3</v>
          </cell>
          <cell r="M61">
            <v>1.9315428265129775E-3</v>
          </cell>
          <cell r="N61">
            <v>2.1609501152626276E-3</v>
          </cell>
          <cell r="O61">
            <v>2.5486637216953767E-3</v>
          </cell>
          <cell r="P61">
            <v>2.8679514841956077E-3</v>
          </cell>
          <cell r="Q61">
            <v>3.2374547487410421E-3</v>
          </cell>
          <cell r="R61">
            <v>3.5884705695716779E-3</v>
          </cell>
          <cell r="S61">
            <v>3.8797614473506936E-3</v>
          </cell>
          <cell r="T61">
            <v>4.1180612881095424E-3</v>
          </cell>
          <cell r="U61">
            <v>4.4210663219002022E-3</v>
          </cell>
          <cell r="V61">
            <v>4.6682026480944216E-3</v>
          </cell>
          <cell r="W61">
            <v>5.0114181965468241E-3</v>
          </cell>
          <cell r="X61">
            <v>5.3104599189792712E-3</v>
          </cell>
          <cell r="Y61">
            <v>5.7338625608578386E-3</v>
          </cell>
          <cell r="Z61">
            <v>5.8614668546377313E-3</v>
          </cell>
          <cell r="AA61">
            <v>5.9710608312320002E-3</v>
          </cell>
          <cell r="AB61">
            <v>6.3364469933056E-3</v>
          </cell>
          <cell r="AC61">
            <v>6.5983789282433314E-3</v>
          </cell>
          <cell r="AD61">
            <v>6.6490993607910553E-3</v>
          </cell>
          <cell r="AE61">
            <v>6.8971647498505817E-3</v>
          </cell>
          <cell r="AF61">
            <v>7.0580962008599535E-3</v>
          </cell>
          <cell r="AG61">
            <v>7.0877643924684985E-3</v>
          </cell>
          <cell r="AH61">
            <v>7.5104881350775976E-3</v>
          </cell>
          <cell r="AI61">
            <v>7.5721434807736188E-3</v>
          </cell>
          <cell r="AJ61">
            <v>7.6696094800536851E-3</v>
          </cell>
          <cell r="AK61">
            <v>7.7528521677436846E-3</v>
          </cell>
          <cell r="AL61">
            <v>8.0176729951155767E-3</v>
          </cell>
          <cell r="AM61">
            <v>8.2754439820340586E-3</v>
          </cell>
          <cell r="AN61">
            <v>8.3333748428089383E-3</v>
          </cell>
          <cell r="AO61">
            <v>8.4515036039651825E-3</v>
          </cell>
          <cell r="AP61">
            <v>8.1993789367065251E-3</v>
          </cell>
          <cell r="AQ61">
            <v>8.2037651409907486E-3</v>
          </cell>
          <cell r="AR61">
            <v>8.5786589507070854E-3</v>
          </cell>
          <cell r="AS61">
            <v>8.7307625962456115E-3</v>
          </cell>
          <cell r="AT61">
            <v>8.9108456510500478E-3</v>
          </cell>
          <cell r="AU61">
            <v>9.0512036352397018E-3</v>
          </cell>
          <cell r="AV61">
            <v>9.0437273655317174E-3</v>
          </cell>
        </row>
        <row r="62">
          <cell r="D62">
            <v>-4.3907889396788136E-5</v>
          </cell>
          <cell r="E62">
            <v>-1.28656672049976E-4</v>
          </cell>
          <cell r="F62">
            <v>-2.0034251153711047E-4</v>
          </cell>
          <cell r="G62">
            <v>-3.2270564666325718E-4</v>
          </cell>
          <cell r="H62">
            <v>-4.185491791612872E-4</v>
          </cell>
          <cell r="I62">
            <v>-5.0874436800307787E-4</v>
          </cell>
          <cell r="J62">
            <v>-6.2059526563151834E-4</v>
          </cell>
          <cell r="K62">
            <v>-7.092691098687931E-4</v>
          </cell>
          <cell r="L62">
            <v>-7.9220035412164158E-4</v>
          </cell>
          <cell r="M62">
            <v>-9.1219503517192546E-4</v>
          </cell>
          <cell r="N62">
            <v>-1.0732607120543802E-3</v>
          </cell>
          <cell r="O62">
            <v>-1.2005274990727344E-3</v>
          </cell>
          <cell r="P62">
            <v>-1.2656040755161246E-3</v>
          </cell>
          <cell r="Q62">
            <v>-1.4441173129483564E-3</v>
          </cell>
          <cell r="R62">
            <v>-1.6182295073546848E-3</v>
          </cell>
          <cell r="S62">
            <v>-1.6563768106900856E-3</v>
          </cell>
          <cell r="T62">
            <v>-1.7354567611378435E-3</v>
          </cell>
          <cell r="U62">
            <v>-1.7576312215045187E-3</v>
          </cell>
          <cell r="V62">
            <v>-1.8409119901049431E-3</v>
          </cell>
          <cell r="W62">
            <v>-1.8931662307617447E-3</v>
          </cell>
          <cell r="X62">
            <v>-1.928777966777373E-3</v>
          </cell>
          <cell r="Y62">
            <v>-1.9190216883774314E-3</v>
          </cell>
          <cell r="Z62">
            <v>-1.9616295097122372E-3</v>
          </cell>
          <cell r="AA62">
            <v>-1.9598197672570095E-3</v>
          </cell>
          <cell r="AB62">
            <v>-2.0668872901746793E-3</v>
          </cell>
          <cell r="AC62">
            <v>-2.0703761342850679E-3</v>
          </cell>
          <cell r="AD62">
            <v>-2.294561427253039E-3</v>
          </cell>
          <cell r="AE62">
            <v>-2.270335314662475E-3</v>
          </cell>
          <cell r="AF62">
            <v>-2.2985899564442747E-3</v>
          </cell>
          <cell r="AG62">
            <v>-2.3105798852649517E-3</v>
          </cell>
          <cell r="AH62">
            <v>-2.3281742301234365E-3</v>
          </cell>
          <cell r="AI62">
            <v>-2.2678195732912521E-3</v>
          </cell>
          <cell r="AJ62">
            <v>-2.1126790321104316E-3</v>
          </cell>
          <cell r="AK62">
            <v>-1.6617844434304585E-3</v>
          </cell>
          <cell r="AL62">
            <v>-1.787613512081454E-3</v>
          </cell>
          <cell r="AM62">
            <v>-1.6328389957231959E-3</v>
          </cell>
          <cell r="AN62">
            <v>-1.6923813423118661E-3</v>
          </cell>
          <cell r="AO62">
            <v>-1.6028856395184921E-3</v>
          </cell>
          <cell r="AP62">
            <v>-1.2947846563007293E-3</v>
          </cell>
          <cell r="AQ62">
            <v>-1.2234153522873159E-3</v>
          </cell>
          <cell r="AR62">
            <v>-1.5193424442304648E-3</v>
          </cell>
          <cell r="AS62">
            <v>-1.4601810180614461E-3</v>
          </cell>
          <cell r="AT62">
            <v>-1.3539221390245215E-3</v>
          </cell>
          <cell r="AU62">
            <v>-1.096296999263946E-3</v>
          </cell>
          <cell r="AV62">
            <v>-1.196795320494437E-3</v>
          </cell>
        </row>
      </sheetData>
      <sheetData sheetId="43"/>
      <sheetData sheetId="4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Feuil1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EF8_génération"/>
      <sheetName val="EF8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0</v>
          </cell>
          <cell r="F4">
            <v>0</v>
          </cell>
          <cell r="G4">
            <v>3.0565069650993371E-2</v>
          </cell>
          <cell r="H4">
            <v>2.9717513156211517E-2</v>
          </cell>
        </row>
        <row r="5">
          <cell r="B5" t="str">
            <v>Hommes</v>
          </cell>
          <cell r="D5" t="str">
            <v>Ensemble</v>
          </cell>
          <cell r="E5">
            <v>0</v>
          </cell>
          <cell r="F5">
            <v>0</v>
          </cell>
          <cell r="G5">
            <v>-2.5391884010056098E-2</v>
          </cell>
          <cell r="H5">
            <v>-2.5170595940059326E-2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0</v>
          </cell>
          <cell r="F7">
            <v>0</v>
          </cell>
          <cell r="G7">
            <v>2.1574076611771797E-2</v>
          </cell>
          <cell r="H7">
            <v>2.1209540893511125E-2</v>
          </cell>
        </row>
        <row r="8">
          <cell r="D8">
            <v>2</v>
          </cell>
          <cell r="E8">
            <v>0</v>
          </cell>
          <cell r="F8">
            <v>0</v>
          </cell>
          <cell r="G8">
            <v>4.6107268245300093E-2</v>
          </cell>
          <cell r="H8">
            <v>4.5450236268596012E-2</v>
          </cell>
        </row>
        <row r="9">
          <cell r="D9" t="str">
            <v>3 et plus</v>
          </cell>
          <cell r="E9">
            <v>0</v>
          </cell>
          <cell r="F9">
            <v>0</v>
          </cell>
          <cell r="G9">
            <v>2.7089905878385556E-2</v>
          </cell>
          <cell r="H9">
            <v>2.5335437746481171E-2</v>
          </cell>
        </row>
        <row r="10">
          <cell r="B10" t="str">
            <v>Hommes</v>
          </cell>
          <cell r="D10" t="str">
            <v>3 et plus</v>
          </cell>
          <cell r="E10">
            <v>0</v>
          </cell>
          <cell r="F10">
            <v>0</v>
          </cell>
          <cell r="G10">
            <v>-8.2679124623869837E-2</v>
          </cell>
          <cell r="H10">
            <v>-8.217970264847696E-2</v>
          </cell>
        </row>
        <row r="11">
          <cell r="B11" t="str">
            <v>Selon le régime d'affiliation</v>
          </cell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0</v>
          </cell>
          <cell r="F12">
            <v>0</v>
          </cell>
          <cell r="G12">
            <v>2.280092616101137E-2</v>
          </cell>
          <cell r="H12">
            <v>2.262131098361686E-2</v>
          </cell>
        </row>
        <row r="13">
          <cell r="D13">
            <v>2</v>
          </cell>
          <cell r="E13">
            <v>0</v>
          </cell>
          <cell r="F13">
            <v>0</v>
          </cell>
          <cell r="G13">
            <v>4.8181456704320391E-2</v>
          </cell>
          <cell r="H13">
            <v>4.7920706204942043E-2</v>
          </cell>
        </row>
        <row r="14">
          <cell r="D14" t="str">
            <v>3 et plus</v>
          </cell>
          <cell r="E14">
            <v>0</v>
          </cell>
          <cell r="F14">
            <v>0</v>
          </cell>
          <cell r="G14">
            <v>3.6475928456337625E-2</v>
          </cell>
          <cell r="H14">
            <v>3.5321061828923694E-2</v>
          </cell>
        </row>
        <row r="15">
          <cell r="C15" t="str">
            <v>Mono FP-RS</v>
          </cell>
          <cell r="D15">
            <v>1</v>
          </cell>
          <cell r="E15">
            <v>0</v>
          </cell>
          <cell r="F15">
            <v>0</v>
          </cell>
          <cell r="G15">
            <v>2.0324153726036798E-2</v>
          </cell>
          <cell r="H15">
            <v>1.9970445267739168E-2</v>
          </cell>
        </row>
        <row r="16">
          <cell r="D16">
            <v>2</v>
          </cell>
          <cell r="E16">
            <v>0</v>
          </cell>
          <cell r="F16">
            <v>0</v>
          </cell>
          <cell r="G16">
            <v>3.9758741505282691E-2</v>
          </cell>
          <cell r="H16">
            <v>3.9028711783519521E-2</v>
          </cell>
        </row>
        <row r="17">
          <cell r="D17" t="str">
            <v>3 et plus</v>
          </cell>
          <cell r="E17">
            <v>0</v>
          </cell>
          <cell r="F17">
            <v>0</v>
          </cell>
          <cell r="G17">
            <v>-7.2433902285984342E-4</v>
          </cell>
          <cell r="H17">
            <v>-1.3838432161933367E-3</v>
          </cell>
        </row>
        <row r="18">
          <cell r="C18" t="str">
            <v>Mono MSAE-PLIB</v>
          </cell>
          <cell r="D18">
            <v>1</v>
          </cell>
          <cell r="E18">
            <v>0</v>
          </cell>
          <cell r="F18">
            <v>0</v>
          </cell>
          <cell r="G18">
            <v>2.7032093190385575E-2</v>
          </cell>
          <cell r="H18">
            <v>2.7742496033897002E-2</v>
          </cell>
        </row>
        <row r="19">
          <cell r="D19">
            <v>2</v>
          </cell>
          <cell r="E19">
            <v>0</v>
          </cell>
          <cell r="F19">
            <v>0</v>
          </cell>
          <cell r="G19">
            <v>5.826543828171582E-2</v>
          </cell>
          <cell r="H19">
            <v>5.7764432905288432E-2</v>
          </cell>
        </row>
        <row r="20">
          <cell r="D20" t="str">
            <v>3 et plus</v>
          </cell>
          <cell r="E20">
            <v>0</v>
          </cell>
          <cell r="F20">
            <v>0</v>
          </cell>
          <cell r="G20">
            <v>6.302074358129639E-2</v>
          </cell>
          <cell r="H20">
            <v>6.1030262913357669E-2</v>
          </cell>
        </row>
        <row r="21">
          <cell r="C21" t="str">
            <v>Poly Lura-FP-RS</v>
          </cell>
          <cell r="D21">
            <v>1</v>
          </cell>
          <cell r="E21">
            <v>0</v>
          </cell>
          <cell r="F21">
            <v>0</v>
          </cell>
          <cell r="G21">
            <v>1.7617816400658404E-2</v>
          </cell>
          <cell r="H21">
            <v>1.7353531412222623E-2</v>
          </cell>
        </row>
        <row r="22">
          <cell r="D22">
            <v>2</v>
          </cell>
          <cell r="E22">
            <v>0</v>
          </cell>
          <cell r="F22">
            <v>0</v>
          </cell>
          <cell r="G22">
            <v>4.0879702929364603E-2</v>
          </cell>
          <cell r="H22">
            <v>3.9544173354939316E-2</v>
          </cell>
        </row>
        <row r="23">
          <cell r="D23" t="str">
            <v>3 et plus</v>
          </cell>
          <cell r="E23">
            <v>0</v>
          </cell>
          <cell r="F23">
            <v>0</v>
          </cell>
          <cell r="G23">
            <v>4.8550503313100624E-3</v>
          </cell>
          <cell r="H23">
            <v>3.340762330869218E-3</v>
          </cell>
        </row>
        <row r="24">
          <cell r="C24" t="str">
            <v>Poly Lura-MSAE-PLIB</v>
          </cell>
          <cell r="D24">
            <v>1</v>
          </cell>
          <cell r="E24">
            <v>0</v>
          </cell>
          <cell r="F24">
            <v>0</v>
          </cell>
          <cell r="G24">
            <v>2.2980923038103951E-2</v>
          </cell>
          <cell r="H24">
            <v>2.2248110399353926E-2</v>
          </cell>
        </row>
        <row r="25">
          <cell r="D25">
            <v>2</v>
          </cell>
          <cell r="E25">
            <v>0</v>
          </cell>
          <cell r="F25">
            <v>0</v>
          </cell>
          <cell r="G25">
            <v>4.6608407073875258E-2</v>
          </cell>
          <cell r="H25">
            <v>4.5763892929484795E-2</v>
          </cell>
        </row>
        <row r="26">
          <cell r="D26" t="str">
            <v>3 et plus</v>
          </cell>
          <cell r="E26">
            <v>0</v>
          </cell>
          <cell r="F26">
            <v>0</v>
          </cell>
          <cell r="G26">
            <v>1.6831323653412555E-2</v>
          </cell>
          <cell r="H26">
            <v>1.5265473054797196E-2</v>
          </cell>
        </row>
        <row r="27">
          <cell r="B27" t="str">
            <v>Selon le quintile de pension</v>
          </cell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0</v>
          </cell>
          <cell r="F28">
            <v>0</v>
          </cell>
          <cell r="G28">
            <v>2.9009988205554116E-2</v>
          </cell>
          <cell r="H28">
            <v>2.8731955495974404E-2</v>
          </cell>
        </row>
        <row r="29">
          <cell r="D29">
            <v>2</v>
          </cell>
          <cell r="E29">
            <v>0</v>
          </cell>
          <cell r="F29">
            <v>0</v>
          </cell>
          <cell r="G29">
            <v>5.7811078967574314E-2</v>
          </cell>
          <cell r="H29">
            <v>5.7472991531941187E-2</v>
          </cell>
        </row>
        <row r="30">
          <cell r="D30" t="str">
            <v>3 et plus</v>
          </cell>
          <cell r="E30">
            <v>0</v>
          </cell>
          <cell r="F30">
            <v>0</v>
          </cell>
          <cell r="G30">
            <v>8.9437331061358538E-2</v>
          </cell>
          <cell r="H30">
            <v>8.8589583213327217E-2</v>
          </cell>
        </row>
        <row r="31">
          <cell r="C31" t="str">
            <v>Q2</v>
          </cell>
          <cell r="D31">
            <v>1</v>
          </cell>
          <cell r="E31">
            <v>0</v>
          </cell>
          <cell r="F31">
            <v>0</v>
          </cell>
          <cell r="G31">
            <v>2.2757270624402581E-2</v>
          </cell>
          <cell r="H31">
            <v>2.1864813496544677E-2</v>
          </cell>
        </row>
        <row r="32">
          <cell r="D32">
            <v>2</v>
          </cell>
          <cell r="E32">
            <v>0</v>
          </cell>
          <cell r="F32">
            <v>0</v>
          </cell>
          <cell r="G32">
            <v>4.9969140136446821E-2</v>
          </cell>
          <cell r="H32">
            <v>4.8303586946308652E-2</v>
          </cell>
        </row>
        <row r="33">
          <cell r="D33" t="str">
            <v>3 et plus</v>
          </cell>
          <cell r="E33">
            <v>0</v>
          </cell>
          <cell r="F33">
            <v>0</v>
          </cell>
          <cell r="G33">
            <v>8.2210375297348204E-2</v>
          </cell>
          <cell r="H33">
            <v>7.9506111307786842E-2</v>
          </cell>
        </row>
        <row r="34">
          <cell r="C34" t="str">
            <v>Q3</v>
          </cell>
          <cell r="D34">
            <v>1</v>
          </cell>
          <cell r="E34">
            <v>0</v>
          </cell>
          <cell r="F34">
            <v>0</v>
          </cell>
          <cell r="G34">
            <v>2.0901306562268296E-2</v>
          </cell>
          <cell r="H34">
            <v>2.064022041520297E-2</v>
          </cell>
        </row>
        <row r="35">
          <cell r="D35">
            <v>2</v>
          </cell>
          <cell r="E35">
            <v>0</v>
          </cell>
          <cell r="F35">
            <v>0</v>
          </cell>
          <cell r="G35">
            <v>4.6172184445188558E-2</v>
          </cell>
          <cell r="H35">
            <v>4.5435889421031161E-2</v>
          </cell>
        </row>
        <row r="36">
          <cell r="D36" t="str">
            <v>3 et plus</v>
          </cell>
          <cell r="E36">
            <v>0</v>
          </cell>
          <cell r="F36">
            <v>0</v>
          </cell>
          <cell r="G36">
            <v>6.1871092375405778E-2</v>
          </cell>
          <cell r="H36">
            <v>5.9910818787513476E-2</v>
          </cell>
        </row>
        <row r="37">
          <cell r="C37" t="str">
            <v>Q4</v>
          </cell>
          <cell r="D37">
            <v>1</v>
          </cell>
          <cell r="E37">
            <v>0</v>
          </cell>
          <cell r="F37">
            <v>0</v>
          </cell>
          <cell r="G37">
            <v>2.1214081352398662E-2</v>
          </cell>
          <cell r="H37">
            <v>2.0968908022652499E-2</v>
          </cell>
        </row>
        <row r="38">
          <cell r="D38">
            <v>2</v>
          </cell>
          <cell r="E38">
            <v>0</v>
          </cell>
          <cell r="F38">
            <v>0</v>
          </cell>
          <cell r="G38">
            <v>4.5312723023561041E-2</v>
          </cell>
          <cell r="H38">
            <v>4.47433990301076E-2</v>
          </cell>
        </row>
        <row r="39">
          <cell r="D39" t="str">
            <v>3 et plus</v>
          </cell>
          <cell r="E39">
            <v>0</v>
          </cell>
          <cell r="F39">
            <v>0</v>
          </cell>
          <cell r="G39">
            <v>2.5562934093538381E-2</v>
          </cell>
          <cell r="H39">
            <v>2.379995841355198E-2</v>
          </cell>
        </row>
        <row r="40">
          <cell r="C40" t="str">
            <v>Q5</v>
          </cell>
          <cell r="D40">
            <v>1</v>
          </cell>
          <cell r="E40">
            <v>0</v>
          </cell>
          <cell r="F40">
            <v>0</v>
          </cell>
          <cell r="G40">
            <v>2.0605582635641717E-2</v>
          </cell>
          <cell r="H40">
            <v>2.0353528272654353E-2</v>
          </cell>
        </row>
        <row r="41">
          <cell r="D41">
            <v>2</v>
          </cell>
          <cell r="E41">
            <v>0</v>
          </cell>
          <cell r="F41">
            <v>0</v>
          </cell>
          <cell r="G41">
            <v>4.3311990599994132E-2</v>
          </cell>
          <cell r="H41">
            <v>4.3094800302332148E-2</v>
          </cell>
        </row>
        <row r="42">
          <cell r="D42" t="str">
            <v>3 et plus</v>
          </cell>
          <cell r="E42">
            <v>0</v>
          </cell>
          <cell r="F42">
            <v>0</v>
          </cell>
          <cell r="G42">
            <v>-2.1728736356697698E-2</v>
          </cell>
          <cell r="H42">
            <v>-2.1888002626980763E-2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Feuil1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EF8_génération"/>
      <sheetName val="EF8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-3.6042181026907087</v>
          </cell>
          <cell r="F4">
            <v>6.3236668479973446E-2</v>
          </cell>
          <cell r="G4">
            <v>3.450786540877826E-2</v>
          </cell>
          <cell r="H4">
            <v>3.175343253714491E-2</v>
          </cell>
        </row>
        <row r="5">
          <cell r="B5" t="str">
            <v>Hommes</v>
          </cell>
          <cell r="D5" t="str">
            <v>Ensemble</v>
          </cell>
          <cell r="E5">
            <v>0</v>
          </cell>
          <cell r="F5">
            <v>0</v>
          </cell>
          <cell r="G5">
            <v>-2.2203435052819298E-2</v>
          </cell>
          <cell r="H5">
            <v>-2.2260540674592599E-2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-1.4666918286469297</v>
          </cell>
          <cell r="F7">
            <v>3.5431213436496023E-2</v>
          </cell>
          <cell r="G7">
            <v>2.1623975992664635E-2</v>
          </cell>
          <cell r="H7">
            <v>1.9981260553612268E-2</v>
          </cell>
        </row>
        <row r="8">
          <cell r="D8">
            <v>2</v>
          </cell>
          <cell r="E8">
            <v>-3.0819952169456712</v>
          </cell>
          <cell r="F8">
            <v>7.2476559237728111E-2</v>
          </cell>
          <cell r="G8">
            <v>4.8254742462812805E-2</v>
          </cell>
          <cell r="H8">
            <v>4.5384990909551171E-2</v>
          </cell>
        </row>
        <row r="9">
          <cell r="D9" t="str">
            <v>3 et plus</v>
          </cell>
          <cell r="E9">
            <v>-8.1009159823120456</v>
          </cell>
          <cell r="F9">
            <v>0.10849652558432865</v>
          </cell>
          <cell r="G9">
            <v>4.6441736100028885E-2</v>
          </cell>
          <cell r="H9">
            <v>4.153243193647338E-2</v>
          </cell>
        </row>
        <row r="10">
          <cell r="B10" t="str">
            <v>Hommes</v>
          </cell>
          <cell r="D10" t="str">
            <v>3 et plus</v>
          </cell>
          <cell r="E10">
            <v>0</v>
          </cell>
          <cell r="F10">
            <v>0</v>
          </cell>
          <cell r="G10">
            <v>-8.6884827588970648E-2</v>
          </cell>
          <cell r="H10">
            <v>-8.7212488224522433E-2</v>
          </cell>
        </row>
        <row r="11">
          <cell r="B11" t="str">
            <v>Selon le régime d'affiliation</v>
          </cell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-2.1173333333333346</v>
          </cell>
          <cell r="F12">
            <v>4.921212121213614E-2</v>
          </cell>
          <cell r="G12">
            <v>1.7742715379553298E-2</v>
          </cell>
          <cell r="H12">
            <v>1.5110986739873322E-2</v>
          </cell>
        </row>
        <row r="13">
          <cell r="D13">
            <v>2</v>
          </cell>
          <cell r="E13">
            <v>-4.329584775086488</v>
          </cell>
          <cell r="F13">
            <v>9.4422818146867371E-2</v>
          </cell>
          <cell r="G13">
            <v>4.0449572587991423E-2</v>
          </cell>
          <cell r="H13">
            <v>3.6049104436043589E-2</v>
          </cell>
        </row>
        <row r="14">
          <cell r="D14" t="str">
            <v>3 et plus</v>
          </cell>
          <cell r="E14">
            <v>-9.9724891652534495</v>
          </cell>
          <cell r="F14">
            <v>0.12610702845296373</v>
          </cell>
          <cell r="G14">
            <v>3.5938053252604574E-2</v>
          </cell>
          <cell r="H14">
            <v>2.9564876497554682E-2</v>
          </cell>
        </row>
        <row r="15">
          <cell r="C15" t="str">
            <v>Mono FP-RS</v>
          </cell>
          <cell r="D15">
            <v>1</v>
          </cell>
          <cell r="E15">
            <v>1.75</v>
          </cell>
          <cell r="F15">
            <v>-9.953703703703809E-2</v>
          </cell>
          <cell r="G15">
            <v>4.6821872997989011E-2</v>
          </cell>
          <cell r="H15">
            <v>5.182195882439955E-2</v>
          </cell>
        </row>
        <row r="16">
          <cell r="D16">
            <v>2</v>
          </cell>
          <cell r="E16">
            <v>4.009523809523813</v>
          </cell>
          <cell r="F16">
            <v>-0.16111111111111143</v>
          </cell>
          <cell r="G16">
            <v>0.10226011165533566</v>
          </cell>
          <cell r="H16">
            <v>0.1088812025141237</v>
          </cell>
        </row>
        <row r="17">
          <cell r="D17" t="str">
            <v>3 et plus</v>
          </cell>
          <cell r="E17">
            <v>6.9583333333333144</v>
          </cell>
          <cell r="F17">
            <v>-3.6458333333342807E-2</v>
          </cell>
          <cell r="G17">
            <v>0.15466153224821788</v>
          </cell>
          <cell r="H17">
            <v>0.16319659483698068</v>
          </cell>
        </row>
        <row r="18">
          <cell r="C18" t="str">
            <v>Mono MSAE-PLIB</v>
          </cell>
          <cell r="D18">
            <v>1</v>
          </cell>
          <cell r="E18">
            <v>-2.4000000000000057</v>
          </cell>
          <cell r="F18">
            <v>0</v>
          </cell>
          <cell r="G18">
            <v>2.7499520076815109E-2</v>
          </cell>
          <cell r="H18">
            <v>2.8308394803278514E-2</v>
          </cell>
        </row>
        <row r="19">
          <cell r="D19">
            <v>2</v>
          </cell>
          <cell r="E19">
            <v>-4</v>
          </cell>
          <cell r="F19">
            <v>6.4814814814809552E-2</v>
          </cell>
          <cell r="G19">
            <v>5.6047280152478285E-2</v>
          </cell>
          <cell r="H19">
            <v>5.2391567572268816E-2</v>
          </cell>
        </row>
        <row r="20">
          <cell r="D20" t="str">
            <v>3 et plus</v>
          </cell>
          <cell r="E20">
            <v>-12.5</v>
          </cell>
          <cell r="F20">
            <v>0</v>
          </cell>
          <cell r="G20">
            <v>0.13121330327216851</v>
          </cell>
          <cell r="H20">
            <v>0.13132165754473069</v>
          </cell>
        </row>
        <row r="21">
          <cell r="C21" t="str">
            <v>Poly Lura-FP-RS</v>
          </cell>
          <cell r="D21">
            <v>1</v>
          </cell>
          <cell r="E21">
            <v>1.8313090418353397</v>
          </cell>
          <cell r="F21">
            <v>-3.0251911830859513E-2</v>
          </cell>
          <cell r="G21">
            <v>3.7835595107851061E-2</v>
          </cell>
          <cell r="H21">
            <v>3.970443819536551E-2</v>
          </cell>
        </row>
        <row r="22">
          <cell r="D22">
            <v>2</v>
          </cell>
          <cell r="E22">
            <v>3.775065387968624</v>
          </cell>
          <cell r="F22">
            <v>-4.1412380122061165E-2</v>
          </cell>
          <cell r="G22">
            <v>8.1897186858819415E-2</v>
          </cell>
          <cell r="H22">
            <v>8.5212734615924157E-2</v>
          </cell>
        </row>
        <row r="23">
          <cell r="D23" t="str">
            <v>3 et plus</v>
          </cell>
          <cell r="E23">
            <v>5.8303715670436134</v>
          </cell>
          <cell r="F23">
            <v>-1.6289714593433757E-2</v>
          </cell>
          <cell r="G23">
            <v>9.7944180556379878E-2</v>
          </cell>
          <cell r="H23">
            <v>0.10012773357276394</v>
          </cell>
        </row>
        <row r="24">
          <cell r="C24" t="str">
            <v>Poly Lura-MSAE-PLIB</v>
          </cell>
          <cell r="D24">
            <v>1</v>
          </cell>
          <cell r="E24">
            <v>-2.4460966542750953</v>
          </cell>
          <cell r="F24">
            <v>6.0718711276322779E-2</v>
          </cell>
          <cell r="G24">
            <v>1.2399701658364126E-2</v>
          </cell>
          <cell r="H24">
            <v>9.5950632106034384E-3</v>
          </cell>
        </row>
        <row r="25">
          <cell r="D25">
            <v>2</v>
          </cell>
          <cell r="E25">
            <v>-5.1557562076749548</v>
          </cell>
          <cell r="F25">
            <v>0.12001504890895376</v>
          </cell>
          <cell r="G25">
            <v>3.5533577288788143E-2</v>
          </cell>
          <cell r="H25">
            <v>3.0420341122748384E-2</v>
          </cell>
        </row>
        <row r="26">
          <cell r="D26" t="str">
            <v>3 et plus</v>
          </cell>
          <cell r="E26">
            <v>-9.6737588652482316</v>
          </cell>
          <cell r="F26">
            <v>0.13150118203309091</v>
          </cell>
          <cell r="G26">
            <v>3.0246514538001312E-2</v>
          </cell>
          <cell r="H26">
            <v>2.2022893355982953E-2</v>
          </cell>
        </row>
        <row r="27">
          <cell r="B27" t="str">
            <v>Selon le quintile de pension</v>
          </cell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-0.99385875127943279</v>
          </cell>
          <cell r="F28">
            <v>2.132378027980053E-3</v>
          </cell>
          <cell r="G28">
            <v>2.1352917896822365E-2</v>
          </cell>
          <cell r="H28">
            <v>2.0906672828485018E-2</v>
          </cell>
        </row>
        <row r="29">
          <cell r="D29">
            <v>2</v>
          </cell>
          <cell r="E29">
            <v>-1.7960358056266017</v>
          </cell>
          <cell r="F29">
            <v>5.1150895140636976E-3</v>
          </cell>
          <cell r="G29">
            <v>4.693603127689383E-2</v>
          </cell>
          <cell r="H29">
            <v>4.6815475201271273E-2</v>
          </cell>
        </row>
        <row r="30">
          <cell r="D30" t="str">
            <v>3 et plus</v>
          </cell>
          <cell r="E30">
            <v>-11.757595345830651</v>
          </cell>
          <cell r="F30">
            <v>1.1635423400122136E-2</v>
          </cell>
          <cell r="G30">
            <v>-4.6534207012205453E-2</v>
          </cell>
          <cell r="H30">
            <v>-4.8394521474587893E-2</v>
          </cell>
        </row>
        <row r="31">
          <cell r="C31" t="str">
            <v>Q2</v>
          </cell>
          <cell r="D31">
            <v>1</v>
          </cell>
          <cell r="E31">
            <v>-1.8161592505854571</v>
          </cell>
          <cell r="F31">
            <v>5.708430913350071E-2</v>
          </cell>
          <cell r="G31">
            <v>2.2419616869254977E-2</v>
          </cell>
          <cell r="H31">
            <v>1.9641862410925137E-2</v>
          </cell>
        </row>
        <row r="32">
          <cell r="D32">
            <v>2</v>
          </cell>
          <cell r="E32">
            <v>-3.9045599151643557</v>
          </cell>
          <cell r="F32">
            <v>0.12071403322730134</v>
          </cell>
          <cell r="G32">
            <v>4.6435196339287499E-2</v>
          </cell>
          <cell r="H32">
            <v>4.1341231350169982E-2</v>
          </cell>
        </row>
        <row r="33">
          <cell r="D33" t="str">
            <v>3 et plus</v>
          </cell>
          <cell r="E33">
            <v>-9.0624048706240501</v>
          </cell>
          <cell r="F33">
            <v>0.2036402841197571</v>
          </cell>
          <cell r="G33">
            <v>5.5124516531524614E-2</v>
          </cell>
          <cell r="H33">
            <v>4.4734226265369159E-2</v>
          </cell>
        </row>
        <row r="34">
          <cell r="C34" t="str">
            <v>Q3</v>
          </cell>
          <cell r="D34">
            <v>1</v>
          </cell>
          <cell r="E34">
            <v>-1.385162601626007</v>
          </cell>
          <cell r="F34">
            <v>4.0904471544713772E-2</v>
          </cell>
          <cell r="G34">
            <v>2.171037244156282E-2</v>
          </cell>
          <cell r="H34">
            <v>2.0627590863733669E-2</v>
          </cell>
        </row>
        <row r="35">
          <cell r="D35">
            <v>2</v>
          </cell>
          <cell r="E35">
            <v>-2.7866666666666617</v>
          </cell>
          <cell r="F35">
            <v>8.101851851852615E-2</v>
          </cell>
          <cell r="G35">
            <v>4.63251499474715E-2</v>
          </cell>
          <cell r="H35">
            <v>4.3261758380743753E-2</v>
          </cell>
        </row>
        <row r="36">
          <cell r="D36" t="str">
            <v>3 et plus</v>
          </cell>
          <cell r="E36">
            <v>-7.2477678571428612</v>
          </cell>
          <cell r="F36">
            <v>0.1173735119047592</v>
          </cell>
          <cell r="G36">
            <v>4.5329864880029325E-2</v>
          </cell>
          <cell r="H36">
            <v>4.0345737599443376E-2</v>
          </cell>
        </row>
        <row r="37">
          <cell r="C37" t="str">
            <v>Q4</v>
          </cell>
          <cell r="D37">
            <v>1</v>
          </cell>
          <cell r="E37">
            <v>-1.3028286189683911</v>
          </cell>
          <cell r="F37">
            <v>3.5912368275113238E-2</v>
          </cell>
          <cell r="G37">
            <v>2.1394438928782789E-2</v>
          </cell>
          <cell r="H37">
            <v>1.9855679471816323E-2</v>
          </cell>
        </row>
        <row r="38">
          <cell r="D38">
            <v>2</v>
          </cell>
          <cell r="E38">
            <v>-2.887115165336354</v>
          </cell>
          <cell r="F38">
            <v>6.0480805777260116E-2</v>
          </cell>
          <cell r="G38">
            <v>4.9702868864254235E-2</v>
          </cell>
          <cell r="H38">
            <v>4.7928842812197114E-2</v>
          </cell>
        </row>
        <row r="39">
          <cell r="D39" t="str">
            <v>3 et plus</v>
          </cell>
          <cell r="E39">
            <v>-5.2353998203054743</v>
          </cell>
          <cell r="F39">
            <v>0.10324947589097633</v>
          </cell>
          <cell r="G39">
            <v>4.9367870179594542E-2</v>
          </cell>
          <cell r="H39">
            <v>4.5574355448457338E-2</v>
          </cell>
        </row>
        <row r="40">
          <cell r="C40" t="str">
            <v>Q5</v>
          </cell>
          <cell r="D40">
            <v>1</v>
          </cell>
          <cell r="E40">
            <v>-1.8104524180967303</v>
          </cell>
          <cell r="F40">
            <v>4.1731669266766858E-2</v>
          </cell>
          <cell r="G40">
            <v>2.1558358234505803E-2</v>
          </cell>
          <cell r="H40">
            <v>1.9771928866037181E-2</v>
          </cell>
        </row>
        <row r="41">
          <cell r="D41">
            <v>2</v>
          </cell>
          <cell r="E41">
            <v>-3.8323016319639578</v>
          </cell>
          <cell r="F41">
            <v>8.3755392984429022E-2</v>
          </cell>
          <cell r="G41">
            <v>4.9287956602581229E-2</v>
          </cell>
          <cell r="H41">
            <v>4.6278556517503233E-2</v>
          </cell>
        </row>
        <row r="42">
          <cell r="D42" t="str">
            <v>3 et plus</v>
          </cell>
          <cell r="E42">
            <v>-5.5522682445759415</v>
          </cell>
          <cell r="F42">
            <v>0.12697238658776655</v>
          </cell>
          <cell r="G42">
            <v>6.5270010678610157E-2</v>
          </cell>
          <cell r="H42">
            <v>6.0262512130428325E-2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54">
          <cell r="D54">
            <v>3.0578163156391724E-4</v>
          </cell>
          <cell r="E54">
            <v>7.1927604689636659E-4</v>
          </cell>
          <cell r="F54">
            <v>1.0563808433010635E-3</v>
          </cell>
          <cell r="G54">
            <v>1.3416941605666199E-3</v>
          </cell>
          <cell r="H54">
            <v>1.5897075515718395E-3</v>
          </cell>
          <cell r="I54">
            <v>1.8364031914905876E-3</v>
          </cell>
          <cell r="J54">
            <v>2.0886967567359527E-3</v>
          </cell>
          <cell r="K54">
            <v>2.4067410397154987E-3</v>
          </cell>
          <cell r="L54">
            <v>2.7354338223906094E-3</v>
          </cell>
          <cell r="M54">
            <v>3.0910387620970425E-3</v>
          </cell>
          <cell r="N54">
            <v>3.4401827188892398E-3</v>
          </cell>
          <cell r="O54">
            <v>3.7987634636493794E-3</v>
          </cell>
          <cell r="P54">
            <v>4.1377960572310801E-3</v>
          </cell>
          <cell r="Q54">
            <v>4.4590217094153672E-3</v>
          </cell>
          <cell r="R54">
            <v>4.7749359735678176E-3</v>
          </cell>
          <cell r="S54">
            <v>5.1144660853930102E-3</v>
          </cell>
          <cell r="T54">
            <v>5.4219098881274075E-3</v>
          </cell>
          <cell r="U54">
            <v>5.7178042747061397E-3</v>
          </cell>
          <cell r="V54">
            <v>6.0188312079534345E-3</v>
          </cell>
          <cell r="W54">
            <v>6.3458730856555956E-3</v>
          </cell>
          <cell r="X54">
            <v>6.6522572059632967E-3</v>
          </cell>
          <cell r="Y54">
            <v>6.9380295266487924E-3</v>
          </cell>
          <cell r="Z54">
            <v>7.2174599633456626E-3</v>
          </cell>
          <cell r="AA54">
            <v>7.4531344047834569E-3</v>
          </cell>
          <cell r="AB54">
            <v>7.7107684141131116E-3</v>
          </cell>
          <cell r="AC54">
            <v>7.862877202817975E-3</v>
          </cell>
          <cell r="AD54">
            <v>8.0581284597285308E-3</v>
          </cell>
          <cell r="AE54">
            <v>8.1989610338755181E-3</v>
          </cell>
          <cell r="AF54">
            <v>8.2762255642163662E-3</v>
          </cell>
          <cell r="AG54">
            <v>8.3007157020167366E-3</v>
          </cell>
          <cell r="AH54">
            <v>8.2932752644191421E-3</v>
          </cell>
          <cell r="AI54">
            <v>8.2802517021800526E-3</v>
          </cell>
          <cell r="AJ54">
            <v>8.2290087871044193E-3</v>
          </cell>
          <cell r="AK54">
            <v>8.1620471498926594E-3</v>
          </cell>
          <cell r="AL54">
            <v>7.9714676556796871E-3</v>
          </cell>
          <cell r="AM54">
            <v>7.7622667378693944E-3</v>
          </cell>
          <cell r="AN54">
            <v>7.5884877289689179E-3</v>
          </cell>
          <cell r="AO54">
            <v>7.3687111112565873E-3</v>
          </cell>
          <cell r="AP54">
            <v>7.1477733663414256E-3</v>
          </cell>
          <cell r="AQ54">
            <v>6.820650958192731E-3</v>
          </cell>
          <cell r="AR54">
            <v>6.5907501286572856E-3</v>
          </cell>
          <cell r="AS54">
            <v>6.3345785071071692E-3</v>
          </cell>
          <cell r="AT54">
            <v>6.1300893021807301E-3</v>
          </cell>
          <cell r="AU54">
            <v>6.0101650311197297E-3</v>
          </cell>
          <cell r="AV54">
            <v>5.8685387354571183E-3</v>
          </cell>
        </row>
        <row r="55">
          <cell r="D55">
            <v>3.8311642767840937E-4</v>
          </cell>
          <cell r="E55">
            <v>8.8074784946279294E-4</v>
          </cell>
          <cell r="F55">
            <v>1.2431464584203855E-3</v>
          </cell>
          <cell r="G55">
            <v>1.539580040019306E-3</v>
          </cell>
          <cell r="H55">
            <v>1.7852816033445684E-3</v>
          </cell>
          <cell r="I55">
            <v>2.0191687386679202E-3</v>
          </cell>
          <cell r="J55">
            <v>2.2601081808264478E-3</v>
          </cell>
          <cell r="K55">
            <v>2.5554730620964694E-3</v>
          </cell>
          <cell r="L55">
            <v>2.8587579118275475E-3</v>
          </cell>
          <cell r="M55">
            <v>3.1972018908663635E-3</v>
          </cell>
          <cell r="N55">
            <v>3.5147532513588597E-3</v>
          </cell>
          <cell r="O55">
            <v>3.8341528859779928E-3</v>
          </cell>
          <cell r="P55">
            <v>4.1318637856793128E-3</v>
          </cell>
          <cell r="Q55">
            <v>4.4029699658125754E-3</v>
          </cell>
          <cell r="R55">
            <v>4.6647053069708289E-3</v>
          </cell>
          <cell r="S55">
            <v>4.9367155556470088E-3</v>
          </cell>
          <cell r="T55">
            <v>5.1673669764682462E-3</v>
          </cell>
          <cell r="U55">
            <v>5.4046542352186311E-3</v>
          </cell>
          <cell r="V55">
            <v>5.6320394355318104E-3</v>
          </cell>
          <cell r="W55">
            <v>5.8882326373663751E-3</v>
          </cell>
          <cell r="X55">
            <v>6.1111152300326044E-3</v>
          </cell>
          <cell r="Y55">
            <v>6.3248221176703812E-3</v>
          </cell>
          <cell r="Z55">
            <v>6.5381729622175921E-3</v>
          </cell>
          <cell r="AA55">
            <v>6.6911315121040982E-3</v>
          </cell>
          <cell r="AB55">
            <v>6.8715313187885929E-3</v>
          </cell>
          <cell r="AC55">
            <v>6.9325730527707297E-3</v>
          </cell>
          <cell r="AD55">
            <v>7.0372798958457938E-3</v>
          </cell>
          <cell r="AE55">
            <v>7.0483298412093998E-3</v>
          </cell>
          <cell r="AF55">
            <v>6.991705543074378E-3</v>
          </cell>
          <cell r="AG55">
            <v>6.8838787907736787E-3</v>
          </cell>
          <cell r="AH55">
            <v>6.713754097361857E-3</v>
          </cell>
          <cell r="AI55">
            <v>6.4682883751641107E-3</v>
          </cell>
          <cell r="AJ55">
            <v>6.1684677184217218E-3</v>
          </cell>
          <cell r="AK55">
            <v>5.8470690609555565E-3</v>
          </cell>
          <cell r="AL55">
            <v>5.3556604642486239E-3</v>
          </cell>
          <cell r="AM55">
            <v>4.8348191949387775E-3</v>
          </cell>
          <cell r="AN55">
            <v>4.3157789020276116E-3</v>
          </cell>
          <cell r="AO55">
            <v>3.7298537490426664E-3</v>
          </cell>
          <cell r="AP55">
            <v>3.1607130997155508E-3</v>
          </cell>
          <cell r="AQ55">
            <v>2.3768684362246439E-3</v>
          </cell>
          <cell r="AR55">
            <v>1.7715201712800166E-3</v>
          </cell>
          <cell r="AS55">
            <v>1.1280690472279531E-3</v>
          </cell>
          <cell r="AT55">
            <v>5.6176880472236235E-4</v>
          </cell>
          <cell r="AU55">
            <v>6.4571622004683249E-5</v>
          </cell>
          <cell r="AV55">
            <v>-4.5508503418290047E-4</v>
          </cell>
        </row>
        <row r="56">
          <cell r="D56">
            <v>2.3211314029802921E-4</v>
          </cell>
          <cell r="E56">
            <v>6.1931666254677609E-4</v>
          </cell>
          <cell r="F56">
            <v>9.9674773886659906E-4</v>
          </cell>
          <cell r="G56">
            <v>1.343488162944162E-3</v>
          </cell>
          <cell r="H56">
            <v>1.6579660257092232E-3</v>
          </cell>
          <cell r="I56">
            <v>1.9464803879827297E-3</v>
          </cell>
          <cell r="J56">
            <v>2.2363172350035043E-3</v>
          </cell>
          <cell r="K56">
            <v>2.6458719706821121E-3</v>
          </cell>
          <cell r="L56">
            <v>3.0658272415724497E-3</v>
          </cell>
          <cell r="M56">
            <v>3.5232862456135994E-3</v>
          </cell>
          <cell r="N56">
            <v>3.9762159623406568E-3</v>
          </cell>
          <cell r="O56">
            <v>4.414801245149258E-3</v>
          </cell>
          <cell r="P56">
            <v>4.8317851889407848E-3</v>
          </cell>
          <cell r="Q56">
            <v>5.196843690320252E-3</v>
          </cell>
          <cell r="R56">
            <v>5.5527421544852018E-3</v>
          </cell>
          <cell r="S56">
            <v>5.9327559448414391E-3</v>
          </cell>
          <cell r="T56">
            <v>6.2569979837221457E-3</v>
          </cell>
          <cell r="U56">
            <v>6.5710869896702384E-3</v>
          </cell>
          <cell r="V56">
            <v>6.8848520231958865E-3</v>
          </cell>
          <cell r="W56">
            <v>7.2426149498685533E-3</v>
          </cell>
          <cell r="X56">
            <v>7.5895196908544182E-3</v>
          </cell>
          <cell r="Y56">
            <v>7.8568851593070477E-3</v>
          </cell>
          <cell r="Z56">
            <v>8.1518737244681283E-3</v>
          </cell>
          <cell r="AA56">
            <v>8.3805298706556286E-3</v>
          </cell>
          <cell r="AB56">
            <v>8.6228895017497198E-3</v>
          </cell>
          <cell r="AC56">
            <v>8.7430400534902475E-3</v>
          </cell>
          <cell r="AD56">
            <v>8.9221259905216677E-3</v>
          </cell>
          <cell r="AE56">
            <v>9.0661841432426726E-3</v>
          </cell>
          <cell r="AF56">
            <v>9.114652698809067E-3</v>
          </cell>
          <cell r="AG56">
            <v>9.1897541086451984E-3</v>
          </cell>
          <cell r="AH56">
            <v>9.1509843560200199E-3</v>
          </cell>
          <cell r="AI56">
            <v>9.1580299184872427E-3</v>
          </cell>
          <cell r="AJ56">
            <v>9.1509201800603623E-3</v>
          </cell>
          <cell r="AK56">
            <v>9.1063400803239603E-3</v>
          </cell>
          <cell r="AL56">
            <v>8.9501265310392153E-3</v>
          </cell>
          <cell r="AM56">
            <v>8.8276811188359172E-3</v>
          </cell>
          <cell r="AN56">
            <v>8.7377526473042533E-3</v>
          </cell>
          <cell r="AO56">
            <v>8.5847880727267789E-3</v>
          </cell>
          <cell r="AP56">
            <v>8.4207216941161178E-3</v>
          </cell>
          <cell r="AQ56">
            <v>8.2000175129250952E-3</v>
          </cell>
          <cell r="AR56">
            <v>8.0816072188716337E-3</v>
          </cell>
          <cell r="AS56">
            <v>7.8470493228766092E-3</v>
          </cell>
          <cell r="AT56">
            <v>7.6931444369388036E-3</v>
          </cell>
          <cell r="AU56">
            <v>7.6563164667842187E-3</v>
          </cell>
          <cell r="AV56">
            <v>7.7028579906524008E-3</v>
          </cell>
        </row>
        <row r="57">
          <cell r="D57">
            <v>3.6061524779973375E-4</v>
          </cell>
          <cell r="E57">
            <v>8.3533808192570724E-4</v>
          </cell>
          <cell r="F57">
            <v>1.350814617317786E-3</v>
          </cell>
          <cell r="G57">
            <v>1.7885188381616679E-3</v>
          </cell>
          <cell r="H57">
            <v>2.2983883941434247E-3</v>
          </cell>
          <cell r="I57">
            <v>2.8020023715951137E-3</v>
          </cell>
          <cell r="J57">
            <v>3.2552549990358948E-3</v>
          </cell>
          <cell r="K57">
            <v>3.724098785639951E-3</v>
          </cell>
          <cell r="L57">
            <v>4.2638727812098765E-3</v>
          </cell>
          <cell r="M57">
            <v>4.7905519357636095E-3</v>
          </cell>
          <cell r="N57">
            <v>5.3366319502567983E-3</v>
          </cell>
          <cell r="O57">
            <v>5.9031317371218694E-3</v>
          </cell>
          <cell r="P57">
            <v>6.4506583298216125E-3</v>
          </cell>
          <cell r="Q57">
            <v>6.9226188368625152E-3</v>
          </cell>
          <cell r="R57">
            <v>7.3883124472391426E-3</v>
          </cell>
          <cell r="S57">
            <v>7.8118776332116724E-3</v>
          </cell>
          <cell r="T57">
            <v>8.3178022051073608E-3</v>
          </cell>
          <cell r="U57">
            <v>8.7767943243823865E-3</v>
          </cell>
          <cell r="V57">
            <v>9.1528827982942929E-3</v>
          </cell>
          <cell r="W57">
            <v>9.5244236511666802E-3</v>
          </cell>
          <cell r="X57">
            <v>9.9869247853356935E-3</v>
          </cell>
          <cell r="Y57">
            <v>1.0432717856315943E-2</v>
          </cell>
          <cell r="Z57">
            <v>1.1039244949850424E-2</v>
          </cell>
          <cell r="AA57">
            <v>1.1379716780259619E-2</v>
          </cell>
          <cell r="AB57">
            <v>1.1748099198344963E-2</v>
          </cell>
          <cell r="AC57">
            <v>1.1924777282633636E-2</v>
          </cell>
          <cell r="AD57">
            <v>1.2142791844949041E-2</v>
          </cell>
          <cell r="AE57">
            <v>1.2474192986800858E-2</v>
          </cell>
          <cell r="AF57">
            <v>1.2639289235793605E-2</v>
          </cell>
          <cell r="AG57">
            <v>1.2719532841548586E-2</v>
          </cell>
          <cell r="AH57">
            <v>1.2626076339979031E-2</v>
          </cell>
          <cell r="AI57">
            <v>1.2762687249997295E-2</v>
          </cell>
          <cell r="AJ57">
            <v>1.2770635085300075E-2</v>
          </cell>
          <cell r="AK57">
            <v>1.297188361659618E-2</v>
          </cell>
          <cell r="AL57">
            <v>1.2472160222591899E-2</v>
          </cell>
          <cell r="AM57">
            <v>1.2114447846872656E-2</v>
          </cell>
          <cell r="AN57">
            <v>1.2265207346370488E-2</v>
          </cell>
          <cell r="AO57">
            <v>1.205393293464585E-2</v>
          </cell>
          <cell r="AP57">
            <v>1.224770668199926E-2</v>
          </cell>
          <cell r="AQ57">
            <v>1.1832864174791125E-2</v>
          </cell>
          <cell r="AR57">
            <v>1.1720018128170695E-2</v>
          </cell>
          <cell r="AS57">
            <v>1.1513048864165043E-2</v>
          </cell>
          <cell r="AT57">
            <v>1.1423301078944181E-2</v>
          </cell>
          <cell r="AU57">
            <v>1.1207664989357324E-2</v>
          </cell>
          <cell r="AV57">
            <v>1.1452231376834154E-2</v>
          </cell>
        </row>
        <row r="58">
          <cell r="D58">
            <v>4.6856812312223717E-4</v>
          </cell>
          <cell r="E58">
            <v>1.4088889141157246E-3</v>
          </cell>
          <cell r="F58">
            <v>2.4861700404819054E-3</v>
          </cell>
          <cell r="G58">
            <v>3.4854466320153321E-3</v>
          </cell>
          <cell r="H58">
            <v>4.507848777197454E-3</v>
          </cell>
          <cell r="I58">
            <v>5.5076075895643672E-3</v>
          </cell>
          <cell r="J58">
            <v>6.4347907295543294E-3</v>
          </cell>
          <cell r="K58">
            <v>7.4750367852196575E-3</v>
          </cell>
          <cell r="L58">
            <v>8.4896789957107366E-3</v>
          </cell>
          <cell r="M58">
            <v>9.4618447639180925E-3</v>
          </cell>
          <cell r="N58">
            <v>1.0337028368830659E-2</v>
          </cell>
          <cell r="O58">
            <v>1.125252242239938E-2</v>
          </cell>
          <cell r="P58">
            <v>1.2128644998305793E-2</v>
          </cell>
          <cell r="Q58">
            <v>1.2931865817426003E-2</v>
          </cell>
          <cell r="R58">
            <v>1.3557457041656562E-2</v>
          </cell>
          <cell r="S58">
            <v>1.4198456554494143E-2</v>
          </cell>
          <cell r="T58">
            <v>1.4773799973316404E-2</v>
          </cell>
          <cell r="U58">
            <v>1.5419906505593772E-2</v>
          </cell>
          <cell r="V58">
            <v>1.5972187205430588E-2</v>
          </cell>
          <cell r="W58">
            <v>1.6509960989709027E-2</v>
          </cell>
          <cell r="X58">
            <v>1.7001078891111243E-2</v>
          </cell>
          <cell r="Y58">
            <v>1.7444241850264719E-2</v>
          </cell>
          <cell r="Z58">
            <v>1.7884673685186758E-2</v>
          </cell>
          <cell r="AA58">
            <v>1.8229020106125482E-2</v>
          </cell>
          <cell r="AB58">
            <v>1.8488355124708145E-2</v>
          </cell>
          <cell r="AC58">
            <v>1.8768944082147909E-2</v>
          </cell>
          <cell r="AD58">
            <v>1.9179217308619823E-2</v>
          </cell>
          <cell r="AE58">
            <v>1.9448955166452286E-2</v>
          </cell>
          <cell r="AF58">
            <v>1.9542675364790263E-2</v>
          </cell>
          <cell r="AG58">
            <v>1.9550484991715411E-2</v>
          </cell>
          <cell r="AH58">
            <v>1.9933764501329776E-2</v>
          </cell>
          <cell r="AI58">
            <v>1.9930309652322453E-2</v>
          </cell>
          <cell r="AJ58">
            <v>1.9897442043247171E-2</v>
          </cell>
          <cell r="AK58">
            <v>1.9679135900661615E-2</v>
          </cell>
          <cell r="AL58">
            <v>1.9727260496696486E-2</v>
          </cell>
          <cell r="AM58">
            <v>1.9829269324135312E-2</v>
          </cell>
          <cell r="AN58">
            <v>1.9670919291757905E-2</v>
          </cell>
          <cell r="AO58">
            <v>1.9565048180768319E-2</v>
          </cell>
          <cell r="AP58">
            <v>1.9409537861349024E-2</v>
          </cell>
          <cell r="AQ58">
            <v>1.9195676829532937E-2</v>
          </cell>
          <cell r="AR58">
            <v>1.8824430544043036E-2</v>
          </cell>
          <cell r="AS58">
            <v>1.8618448785331365E-2</v>
          </cell>
          <cell r="AT58">
            <v>1.8797007714444813E-2</v>
          </cell>
          <cell r="AU58">
            <v>1.874070932020655E-2</v>
          </cell>
          <cell r="AV58">
            <v>1.8507675792103884E-2</v>
          </cell>
        </row>
        <row r="59">
          <cell r="D59">
            <v>3.001136025040374E-4</v>
          </cell>
          <cell r="E59">
            <v>6.5801821982258701E-4</v>
          </cell>
          <cell r="F59">
            <v>9.5072401558637942E-4</v>
          </cell>
          <cell r="G59">
            <v>1.2081363336928774E-3</v>
          </cell>
          <cell r="H59">
            <v>1.4261439836054102E-3</v>
          </cell>
          <cell r="I59">
            <v>1.6730830508340233E-3</v>
          </cell>
          <cell r="J59">
            <v>1.9219791908138273E-3</v>
          </cell>
          <cell r="K59">
            <v>2.1987556558731303E-3</v>
          </cell>
          <cell r="L59">
            <v>2.4985836185404953E-3</v>
          </cell>
          <cell r="M59">
            <v>2.8269563031160239E-3</v>
          </cell>
          <cell r="N59">
            <v>3.1591056783570881E-3</v>
          </cell>
          <cell r="O59">
            <v>3.5294257489904002E-3</v>
          </cell>
          <cell r="P59">
            <v>3.8794332834508616E-3</v>
          </cell>
          <cell r="Q59">
            <v>4.2806988300994053E-3</v>
          </cell>
          <cell r="R59">
            <v>4.6840373810002056E-3</v>
          </cell>
          <cell r="S59">
            <v>5.1370935316146227E-3</v>
          </cell>
          <cell r="T59">
            <v>5.6051615900967189E-3</v>
          </cell>
          <cell r="U59">
            <v>6.0109640090009187E-3</v>
          </cell>
          <cell r="V59">
            <v>6.4901896365137102E-3</v>
          </cell>
          <cell r="W59">
            <v>6.9514365697611602E-3</v>
          </cell>
          <cell r="X59">
            <v>7.393447572182632E-3</v>
          </cell>
          <cell r="Y59">
            <v>7.8738892609113709E-3</v>
          </cell>
          <cell r="Z59">
            <v>8.3074491692360919E-3</v>
          </cell>
          <cell r="AA59">
            <v>8.7661247199435355E-3</v>
          </cell>
          <cell r="AB59">
            <v>9.2596343075450616E-3</v>
          </cell>
          <cell r="AC59">
            <v>9.6940357224715168E-3</v>
          </cell>
          <cell r="AD59">
            <v>1.0182248462194732E-2</v>
          </cell>
          <cell r="AE59">
            <v>1.0629692779649202E-2</v>
          </cell>
          <cell r="AF59">
            <v>1.1102736454707163E-2</v>
          </cell>
          <cell r="AG59">
            <v>1.1426822181328733E-2</v>
          </cell>
          <cell r="AH59">
            <v>1.1843350479611825E-2</v>
          </cell>
          <cell r="AI59">
            <v>1.2467728024065039E-2</v>
          </cell>
          <cell r="AJ59">
            <v>1.3063655027478305E-2</v>
          </cell>
          <cell r="AK59">
            <v>1.3703139680653509E-2</v>
          </cell>
          <cell r="AL59">
            <v>1.4358121603363694E-2</v>
          </cell>
          <cell r="AM59">
            <v>1.4953692336595825E-2</v>
          </cell>
          <cell r="AN59">
            <v>1.5725216864561631E-2</v>
          </cell>
          <cell r="AO59">
            <v>1.661973710331921E-2</v>
          </cell>
          <cell r="AP59">
            <v>1.7513245581097792E-2</v>
          </cell>
          <cell r="AQ59">
            <v>1.861835887021468E-2</v>
          </cell>
          <cell r="AR59">
            <v>1.9557784234865316E-2</v>
          </cell>
          <cell r="AS59">
            <v>2.0680071947979384E-2</v>
          </cell>
          <cell r="AT59">
            <v>2.1733202665813467E-2</v>
          </cell>
          <cell r="AU59">
            <v>2.2978735535013284E-2</v>
          </cell>
          <cell r="AV59">
            <v>2.4033952610813314E-2</v>
          </cell>
        </row>
        <row r="60">
          <cell r="D60">
            <v>-1.3703668980113992E-4</v>
          </cell>
          <cell r="E60">
            <v>-3.6626039333165217E-4</v>
          </cell>
          <cell r="F60">
            <v>-5.9054282778947531E-4</v>
          </cell>
          <cell r="G60">
            <v>-9.1074724563955378E-4</v>
          </cell>
          <cell r="H60">
            <v>-1.2865979178328102E-3</v>
          </cell>
          <cell r="I60">
            <v>-1.5530743178184814E-3</v>
          </cell>
          <cell r="J60">
            <v>-1.7265078747445983E-3</v>
          </cell>
          <cell r="K60">
            <v>-1.8908065479318337E-3</v>
          </cell>
          <cell r="L60">
            <v>-2.1189462141334436E-3</v>
          </cell>
          <cell r="M60">
            <v>-2.418798554653212E-3</v>
          </cell>
          <cell r="N60">
            <v>-2.6613594578885902E-3</v>
          </cell>
          <cell r="O60">
            <v>-2.9416385222469366E-3</v>
          </cell>
          <cell r="P60">
            <v>-3.1604343340296825E-3</v>
          </cell>
          <cell r="Q60">
            <v>-3.4578106689520105E-3</v>
          </cell>
          <cell r="R60">
            <v>-3.7196494003438607E-3</v>
          </cell>
          <cell r="S60">
            <v>-3.8996077744738455E-3</v>
          </cell>
          <cell r="T60">
            <v>-4.1186250208580244E-3</v>
          </cell>
          <cell r="U60">
            <v>-4.3606731609685534E-3</v>
          </cell>
          <cell r="V60">
            <v>-4.6598915817042119E-3</v>
          </cell>
          <cell r="W60">
            <v>-4.8257195718438561E-3</v>
          </cell>
          <cell r="X60">
            <v>-4.8558093706887462E-3</v>
          </cell>
          <cell r="Y60">
            <v>-5.0424489406648565E-3</v>
          </cell>
          <cell r="Z60">
            <v>-5.1477333885877607E-3</v>
          </cell>
          <cell r="AA60">
            <v>-5.2118659511295462E-3</v>
          </cell>
          <cell r="AB60">
            <v>-5.3287931425979318E-3</v>
          </cell>
          <cell r="AC60">
            <v>-5.4888079746678864E-3</v>
          </cell>
          <cell r="AD60">
            <v>-5.4987460498627794E-3</v>
          </cell>
          <cell r="AE60">
            <v>-5.4282031703423161E-3</v>
          </cell>
          <cell r="AF60">
            <v>-5.4422625821455295E-3</v>
          </cell>
          <cell r="AG60">
            <v>-5.3726572194753297E-3</v>
          </cell>
          <cell r="AH60">
            <v>-5.2464145600419343E-3</v>
          </cell>
          <cell r="AI60">
            <v>-5.2175515520929139E-3</v>
          </cell>
          <cell r="AJ60">
            <v>-5.0956910189110527E-3</v>
          </cell>
          <cell r="AK60">
            <v>-5.1176693717354116E-3</v>
          </cell>
          <cell r="AL60">
            <v>-4.9912949658288408E-3</v>
          </cell>
          <cell r="AM60">
            <v>-4.9501634234289105E-3</v>
          </cell>
          <cell r="AN60">
            <v>-4.6665588628166388E-3</v>
          </cell>
          <cell r="AO60">
            <v>-4.5315261066896095E-3</v>
          </cell>
          <cell r="AP60">
            <v>-4.4087177995475457E-3</v>
          </cell>
          <cell r="AQ60">
            <v>-4.417461293385827E-3</v>
          </cell>
          <cell r="AR60">
            <v>-4.4184165205078951E-3</v>
          </cell>
          <cell r="AS60">
            <v>-4.3632686736808646E-3</v>
          </cell>
          <cell r="AT60">
            <v>-4.2662113469115193E-3</v>
          </cell>
          <cell r="AU60">
            <v>-4.0957807316823747E-3</v>
          </cell>
          <cell r="AV60">
            <v>-3.8043666408172916E-3</v>
          </cell>
        </row>
        <row r="61">
          <cell r="D61">
            <v>7.797985579518496E-4</v>
          </cell>
          <cell r="E61">
            <v>1.8756931905179464E-3</v>
          </cell>
          <cell r="F61">
            <v>2.7138690782684272E-3</v>
          </cell>
          <cell r="G61">
            <v>3.397393611078936E-3</v>
          </cell>
          <cell r="H61">
            <v>4.155710148446623E-3</v>
          </cell>
          <cell r="I61">
            <v>4.7833995315131883E-3</v>
          </cell>
          <cell r="J61">
            <v>5.3398289606572114E-3</v>
          </cell>
          <cell r="K61">
            <v>6.0667841463668548E-3</v>
          </cell>
          <cell r="L61">
            <v>6.8184330407505822E-3</v>
          </cell>
          <cell r="M61">
            <v>7.4727226308632932E-3</v>
          </cell>
          <cell r="N61">
            <v>8.1810865429425839E-3</v>
          </cell>
          <cell r="O61">
            <v>8.990628296366765E-3</v>
          </cell>
          <cell r="P61">
            <v>9.6544038778261232E-3</v>
          </cell>
          <cell r="Q61">
            <v>1.0404708211471769E-2</v>
          </cell>
          <cell r="R61">
            <v>1.1174691054420816E-2</v>
          </cell>
          <cell r="S61">
            <v>1.1834193366929702E-2</v>
          </cell>
          <cell r="T61">
            <v>1.2376742841894828E-2</v>
          </cell>
          <cell r="U61">
            <v>1.2922118534130833E-2</v>
          </cell>
          <cell r="V61">
            <v>1.3444948248006572E-2</v>
          </cell>
          <cell r="W61">
            <v>1.4051493285171857E-2</v>
          </cell>
          <cell r="X61">
            <v>1.4575657607795778E-2</v>
          </cell>
          <cell r="Y61">
            <v>1.5156171943404351E-2</v>
          </cell>
          <cell r="Z61">
            <v>1.5415125849335576E-2</v>
          </cell>
          <cell r="AA61">
            <v>1.5701254493754035E-2</v>
          </cell>
          <cell r="AB61">
            <v>1.6121671801559323E-2</v>
          </cell>
          <cell r="AC61">
            <v>1.6426850838058726E-2</v>
          </cell>
          <cell r="AD61">
            <v>1.6427445044139954E-2</v>
          </cell>
          <cell r="AE61">
            <v>1.6684305615572992E-2</v>
          </cell>
          <cell r="AF61">
            <v>1.6777377372874103E-2</v>
          </cell>
          <cell r="AG61">
            <v>1.6672027030095737E-2</v>
          </cell>
          <cell r="AH61">
            <v>1.7019796778137364E-2</v>
          </cell>
          <cell r="AI61">
            <v>1.6980339971456981E-2</v>
          </cell>
          <cell r="AJ61">
            <v>1.6958058118163866E-2</v>
          </cell>
          <cell r="AK61">
            <v>1.6929901711086881E-2</v>
          </cell>
          <cell r="AL61">
            <v>1.7016030114166636E-2</v>
          </cell>
          <cell r="AM61">
            <v>1.7133309095507476E-2</v>
          </cell>
          <cell r="AN61">
            <v>1.7036318558567798E-2</v>
          </cell>
          <cell r="AO61">
            <v>1.6980478093489904E-2</v>
          </cell>
          <cell r="AP61">
            <v>1.6509286677972801E-2</v>
          </cell>
          <cell r="AQ61">
            <v>1.6341218754047482E-2</v>
          </cell>
          <cell r="AR61">
            <v>1.654406353013349E-2</v>
          </cell>
          <cell r="AS61">
            <v>1.6524151432273815E-2</v>
          </cell>
          <cell r="AT61">
            <v>1.6538635000246549E-2</v>
          </cell>
          <cell r="AU61">
            <v>1.6492127534829093E-2</v>
          </cell>
          <cell r="AV61">
            <v>1.6273054740685744E-2</v>
          </cell>
        </row>
        <row r="62">
          <cell r="D62">
            <v>-2.4560934820061497E-5</v>
          </cell>
          <cell r="E62">
            <v>-6.4351204519752514E-5</v>
          </cell>
          <cell r="F62">
            <v>-7.5035231939191149E-5</v>
          </cell>
          <cell r="G62">
            <v>-1.38463765055441E-4</v>
          </cell>
          <cell r="H62">
            <v>-1.9558526210494698E-4</v>
          </cell>
          <cell r="I62">
            <v>-2.5827719661941639E-4</v>
          </cell>
          <cell r="J62">
            <v>-3.3901809699043994E-4</v>
          </cell>
          <cell r="K62">
            <v>-3.885736669445583E-4</v>
          </cell>
          <cell r="L62">
            <v>-4.4676918453934178E-4</v>
          </cell>
          <cell r="M62">
            <v>-5.3128316661732455E-4</v>
          </cell>
          <cell r="N62">
            <v>-6.6123165767228986E-4</v>
          </cell>
          <cell r="O62">
            <v>-7.4787976642731735E-4</v>
          </cell>
          <cell r="P62">
            <v>-7.8385027425853515E-4</v>
          </cell>
          <cell r="Q62">
            <v>-9.1846875951828721E-4</v>
          </cell>
          <cell r="R62">
            <v>-1.0634136798479688E-3</v>
          </cell>
          <cell r="S62">
            <v>-1.0618164983655642E-3</v>
          </cell>
          <cell r="T62">
            <v>-1.0829673867431833E-3</v>
          </cell>
          <cell r="U62">
            <v>-1.0570388025611388E-3</v>
          </cell>
          <cell r="V62">
            <v>-1.1041466205142791E-3</v>
          </cell>
          <cell r="W62">
            <v>-1.1044753939423169E-3</v>
          </cell>
          <cell r="X62">
            <v>-1.1011383492041116E-3</v>
          </cell>
          <cell r="Y62">
            <v>-1.059874780317549E-3</v>
          </cell>
          <cell r="Z62">
            <v>-1.0795243619610151E-3</v>
          </cell>
          <cell r="AA62">
            <v>-1.049425081155464E-3</v>
          </cell>
          <cell r="AB62">
            <v>-1.1300208977821358E-3</v>
          </cell>
          <cell r="AC62">
            <v>-1.1057872120341372E-3</v>
          </cell>
          <cell r="AD62">
            <v>-1.3149081496679482E-3</v>
          </cell>
          <cell r="AE62">
            <v>-1.3482321190173563E-3</v>
          </cell>
          <cell r="AF62">
            <v>-1.3844588536747748E-3</v>
          </cell>
          <cell r="AG62">
            <v>-1.3849721616834287E-3</v>
          </cell>
          <cell r="AH62">
            <v>-1.3961869083810585E-3</v>
          </cell>
          <cell r="AI62">
            <v>-1.3487401851696168E-3</v>
          </cell>
          <cell r="AJ62">
            <v>-1.2048377798070664E-3</v>
          </cell>
          <cell r="AK62">
            <v>-7.5519282172897828E-4</v>
          </cell>
          <cell r="AL62">
            <v>-8.8110714813605107E-4</v>
          </cell>
          <cell r="AM62">
            <v>-7.3974300285639671E-4</v>
          </cell>
          <cell r="AN62">
            <v>-8.1956945154615379E-4</v>
          </cell>
          <cell r="AO62">
            <v>-7.3763875227350617E-4</v>
          </cell>
          <cell r="AP62">
            <v>-4.6699734785238256E-4</v>
          </cell>
          <cell r="AQ62">
            <v>-4.2223326218293611E-4</v>
          </cell>
          <cell r="AR62">
            <v>-7.3864904588794023E-4</v>
          </cell>
          <cell r="AS62">
            <v>-7.1158314475927575E-4</v>
          </cell>
          <cell r="AT62">
            <v>-6.3265692833791576E-4</v>
          </cell>
          <cell r="AU62">
            <v>-4.0359951201729416E-4</v>
          </cell>
          <cell r="AV62">
            <v>-5.0575448834133674E-4</v>
          </cell>
        </row>
      </sheetData>
      <sheetData sheetId="43"/>
      <sheetData sheetId="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Feuil1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EF8_génération"/>
      <sheetName val="EF8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0</v>
          </cell>
          <cell r="F4">
            <v>0</v>
          </cell>
          <cell r="G4">
            <v>4.5318594345509E-2</v>
          </cell>
          <cell r="H4">
            <v>4.4573944221710349E-2</v>
          </cell>
        </row>
        <row r="5">
          <cell r="B5" t="str">
            <v>Hommes</v>
          </cell>
          <cell r="D5" t="str">
            <v>Ensemble</v>
          </cell>
          <cell r="E5">
            <v>0</v>
          </cell>
          <cell r="F5">
            <v>0</v>
          </cell>
          <cell r="G5">
            <v>-2.52403154195735E-2</v>
          </cell>
          <cell r="H5">
            <v>-2.4953812406102061E-2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0</v>
          </cell>
          <cell r="F7">
            <v>0</v>
          </cell>
          <cell r="G7">
            <v>2.1633130167350245E-2</v>
          </cell>
          <cell r="H7">
            <v>2.1299736508850531E-2</v>
          </cell>
        </row>
        <row r="8">
          <cell r="D8">
            <v>2</v>
          </cell>
          <cell r="E8">
            <v>0</v>
          </cell>
          <cell r="F8">
            <v>0</v>
          </cell>
          <cell r="G8">
            <v>4.6614692417737746E-2</v>
          </cell>
          <cell r="H8">
            <v>4.5941448003988805E-2</v>
          </cell>
        </row>
        <row r="9">
          <cell r="D9" t="str">
            <v>3 et plus</v>
          </cell>
          <cell r="E9">
            <v>0</v>
          </cell>
          <cell r="F9">
            <v>0</v>
          </cell>
          <cell r="G9">
            <v>7.2681744199970755E-2</v>
          </cell>
          <cell r="H9">
            <v>7.090767380153995E-2</v>
          </cell>
        </row>
        <row r="10">
          <cell r="B10" t="str">
            <v>Hommes</v>
          </cell>
          <cell r="D10" t="str">
            <v>3 et plus</v>
          </cell>
          <cell r="E10">
            <v>0</v>
          </cell>
          <cell r="F10">
            <v>0</v>
          </cell>
          <cell r="G10">
            <v>-8.2185598488713429E-2</v>
          </cell>
          <cell r="H10">
            <v>-8.1471924159656539E-2</v>
          </cell>
        </row>
        <row r="11">
          <cell r="B11" t="str">
            <v>Selon le régime d'affiliation</v>
          </cell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0</v>
          </cell>
          <cell r="F12">
            <v>0</v>
          </cell>
          <cell r="G12">
            <v>2.2814675430372411E-2</v>
          </cell>
          <cell r="H12">
            <v>2.2634891998897455E-2</v>
          </cell>
        </row>
        <row r="13">
          <cell r="D13">
            <v>2</v>
          </cell>
          <cell r="E13">
            <v>0</v>
          </cell>
          <cell r="F13">
            <v>0</v>
          </cell>
          <cell r="G13">
            <v>4.8879782238517189E-2</v>
          </cell>
          <cell r="H13">
            <v>4.8598098762726138E-2</v>
          </cell>
        </row>
        <row r="14">
          <cell r="D14" t="str">
            <v>3 et plus</v>
          </cell>
          <cell r="E14">
            <v>0</v>
          </cell>
          <cell r="F14">
            <v>0</v>
          </cell>
          <cell r="G14">
            <v>7.9775715464680319E-2</v>
          </cell>
          <cell r="H14">
            <v>7.9511256727534008E-2</v>
          </cell>
        </row>
        <row r="15">
          <cell r="C15" t="str">
            <v>Mono FP-RS</v>
          </cell>
          <cell r="D15">
            <v>1</v>
          </cell>
          <cell r="E15">
            <v>0</v>
          </cell>
          <cell r="F15">
            <v>0</v>
          </cell>
          <cell r="G15">
            <v>2.0324153726036798E-2</v>
          </cell>
          <cell r="H15">
            <v>1.9970445267739168E-2</v>
          </cell>
        </row>
        <row r="16">
          <cell r="D16">
            <v>2</v>
          </cell>
          <cell r="E16">
            <v>0</v>
          </cell>
          <cell r="F16">
            <v>0</v>
          </cell>
          <cell r="G16">
            <v>3.9758741505282691E-2</v>
          </cell>
          <cell r="H16">
            <v>3.9028711783519521E-2</v>
          </cell>
        </row>
        <row r="17">
          <cell r="D17" t="str">
            <v>3 et plus</v>
          </cell>
          <cell r="E17">
            <v>0</v>
          </cell>
          <cell r="F17">
            <v>0</v>
          </cell>
          <cell r="G17">
            <v>3.9543679499370654E-2</v>
          </cell>
          <cell r="H17">
            <v>3.4510710622832175E-2</v>
          </cell>
        </row>
        <row r="18">
          <cell r="C18" t="str">
            <v>Mono MSAE-PLIB</v>
          </cell>
          <cell r="D18">
            <v>1</v>
          </cell>
          <cell r="E18">
            <v>0</v>
          </cell>
          <cell r="F18">
            <v>0</v>
          </cell>
          <cell r="G18">
            <v>2.7032093190385575E-2</v>
          </cell>
          <cell r="H18">
            <v>2.7742496033897002E-2</v>
          </cell>
        </row>
        <row r="19">
          <cell r="D19">
            <v>2</v>
          </cell>
          <cell r="E19">
            <v>0</v>
          </cell>
          <cell r="F19">
            <v>0</v>
          </cell>
          <cell r="G19">
            <v>5.826543828171582E-2</v>
          </cell>
          <cell r="H19">
            <v>5.7764432905288432E-2</v>
          </cell>
        </row>
        <row r="20">
          <cell r="D20" t="str">
            <v>3 et plus</v>
          </cell>
          <cell r="E20">
            <v>0</v>
          </cell>
          <cell r="F20">
            <v>0</v>
          </cell>
          <cell r="G20">
            <v>0.10975050082050219</v>
          </cell>
          <cell r="H20">
            <v>0.10711589470062721</v>
          </cell>
        </row>
        <row r="21">
          <cell r="C21" t="str">
            <v>Poly Lura-FP-RS</v>
          </cell>
          <cell r="D21">
            <v>1</v>
          </cell>
          <cell r="E21">
            <v>0</v>
          </cell>
          <cell r="F21">
            <v>0</v>
          </cell>
          <cell r="G21">
            <v>1.7760753164481891E-2</v>
          </cell>
          <cell r="H21">
            <v>1.755698512907844E-2</v>
          </cell>
        </row>
        <row r="22">
          <cell r="D22">
            <v>2</v>
          </cell>
          <cell r="E22">
            <v>0</v>
          </cell>
          <cell r="F22">
            <v>0</v>
          </cell>
          <cell r="G22">
            <v>4.0981729117362198E-2</v>
          </cell>
          <cell r="H22">
            <v>3.9663736453720455E-2</v>
          </cell>
        </row>
        <row r="23">
          <cell r="D23" t="str">
            <v>3 et plus</v>
          </cell>
          <cell r="E23">
            <v>0</v>
          </cell>
          <cell r="F23">
            <v>0</v>
          </cell>
          <cell r="G23">
            <v>5.1607826052595174E-2</v>
          </cell>
          <cell r="H23">
            <v>4.8304421536809805E-2</v>
          </cell>
        </row>
        <row r="24">
          <cell r="C24" t="str">
            <v>Poly Lura-MSAE-PLIB</v>
          </cell>
          <cell r="D24">
            <v>1</v>
          </cell>
          <cell r="E24">
            <v>0</v>
          </cell>
          <cell r="F24">
            <v>0</v>
          </cell>
          <cell r="G24">
            <v>2.2980923038103951E-2</v>
          </cell>
          <cell r="H24">
            <v>2.2248110399353926E-2</v>
          </cell>
        </row>
        <row r="25">
          <cell r="D25">
            <v>2</v>
          </cell>
          <cell r="E25">
            <v>0</v>
          </cell>
          <cell r="F25">
            <v>0</v>
          </cell>
          <cell r="G25">
            <v>4.698439975502966E-2</v>
          </cell>
          <cell r="H25">
            <v>4.609485447781525E-2</v>
          </cell>
        </row>
        <row r="26">
          <cell r="D26" t="str">
            <v>3 et plus</v>
          </cell>
          <cell r="E26">
            <v>0</v>
          </cell>
          <cell r="F26">
            <v>0</v>
          </cell>
          <cell r="G26">
            <v>8.4477703807433135E-2</v>
          </cell>
          <cell r="H26">
            <v>8.2472990465745077E-2</v>
          </cell>
        </row>
        <row r="27">
          <cell r="B27" t="str">
            <v>Selon le quintile de pension</v>
          </cell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0</v>
          </cell>
          <cell r="F28">
            <v>0</v>
          </cell>
          <cell r="G28">
            <v>2.9009988205554116E-2</v>
          </cell>
          <cell r="H28">
            <v>2.8731955495974404E-2</v>
          </cell>
        </row>
        <row r="29">
          <cell r="D29">
            <v>2</v>
          </cell>
          <cell r="E29">
            <v>0</v>
          </cell>
          <cell r="F29">
            <v>0</v>
          </cell>
          <cell r="G29">
            <v>5.7811078967574314E-2</v>
          </cell>
          <cell r="H29">
            <v>5.7472991531941187E-2</v>
          </cell>
        </row>
        <row r="30">
          <cell r="D30" t="str">
            <v>3 et plus</v>
          </cell>
          <cell r="E30">
            <v>0</v>
          </cell>
          <cell r="F30">
            <v>0</v>
          </cell>
          <cell r="G30">
            <v>8.9437331061358538E-2</v>
          </cell>
          <cell r="H30">
            <v>8.8589583213327217E-2</v>
          </cell>
        </row>
        <row r="31">
          <cell r="C31" t="str">
            <v>Q2</v>
          </cell>
          <cell r="D31">
            <v>1</v>
          </cell>
          <cell r="E31">
            <v>0</v>
          </cell>
          <cell r="F31">
            <v>0</v>
          </cell>
          <cell r="G31">
            <v>2.2757270624402581E-2</v>
          </cell>
          <cell r="H31">
            <v>2.1864813496544677E-2</v>
          </cell>
        </row>
        <row r="32">
          <cell r="D32">
            <v>2</v>
          </cell>
          <cell r="E32">
            <v>0</v>
          </cell>
          <cell r="F32">
            <v>0</v>
          </cell>
          <cell r="G32">
            <v>4.9969140136446821E-2</v>
          </cell>
          <cell r="H32">
            <v>4.8303586946308652E-2</v>
          </cell>
        </row>
        <row r="33">
          <cell r="D33" t="str">
            <v>3 et plus</v>
          </cell>
          <cell r="E33">
            <v>0</v>
          </cell>
          <cell r="F33">
            <v>0</v>
          </cell>
          <cell r="G33">
            <v>8.2253399487642209E-2</v>
          </cell>
          <cell r="H33">
            <v>7.957199278710525E-2</v>
          </cell>
        </row>
        <row r="34">
          <cell r="C34" t="str">
            <v>Q3</v>
          </cell>
          <cell r="D34">
            <v>1</v>
          </cell>
          <cell r="E34">
            <v>0</v>
          </cell>
          <cell r="F34">
            <v>0</v>
          </cell>
          <cell r="G34">
            <v>2.0901306562268296E-2</v>
          </cell>
          <cell r="H34">
            <v>2.064022041520297E-2</v>
          </cell>
        </row>
        <row r="35">
          <cell r="D35">
            <v>2</v>
          </cell>
          <cell r="E35">
            <v>0</v>
          </cell>
          <cell r="F35">
            <v>0</v>
          </cell>
          <cell r="G35">
            <v>4.6172184445188558E-2</v>
          </cell>
          <cell r="H35">
            <v>4.5435889421031161E-2</v>
          </cell>
        </row>
        <row r="36">
          <cell r="D36" t="str">
            <v>3 et plus</v>
          </cell>
          <cell r="E36">
            <v>0</v>
          </cell>
          <cell r="F36">
            <v>0</v>
          </cell>
          <cell r="G36">
            <v>7.1685293609075273E-2</v>
          </cell>
          <cell r="H36">
            <v>6.978641109764383E-2</v>
          </cell>
        </row>
        <row r="37">
          <cell r="C37" t="str">
            <v>Q4</v>
          </cell>
          <cell r="D37">
            <v>1</v>
          </cell>
          <cell r="E37">
            <v>0</v>
          </cell>
          <cell r="F37">
            <v>0</v>
          </cell>
          <cell r="G37">
            <v>2.1214081352398662E-2</v>
          </cell>
          <cell r="H37">
            <v>2.0968908022652499E-2</v>
          </cell>
        </row>
        <row r="38">
          <cell r="D38">
            <v>2</v>
          </cell>
          <cell r="E38">
            <v>0</v>
          </cell>
          <cell r="F38">
            <v>0</v>
          </cell>
          <cell r="G38">
            <v>4.5312723023561041E-2</v>
          </cell>
          <cell r="H38">
            <v>4.47433990301076E-2</v>
          </cell>
        </row>
        <row r="39">
          <cell r="D39" t="str">
            <v>3 et plus</v>
          </cell>
          <cell r="E39">
            <v>0</v>
          </cell>
          <cell r="F39">
            <v>0</v>
          </cell>
          <cell r="G39">
            <v>6.7819091779572016E-2</v>
          </cell>
          <cell r="H39">
            <v>6.5492227248588719E-2</v>
          </cell>
        </row>
        <row r="40">
          <cell r="C40" t="str">
            <v>Q5</v>
          </cell>
          <cell r="D40">
            <v>1</v>
          </cell>
          <cell r="E40">
            <v>0</v>
          </cell>
          <cell r="F40">
            <v>0</v>
          </cell>
          <cell r="G40">
            <v>2.076344709938116E-2</v>
          </cell>
          <cell r="H40">
            <v>2.0596549646669127E-2</v>
          </cell>
        </row>
        <row r="41">
          <cell r="D41">
            <v>2</v>
          </cell>
          <cell r="E41">
            <v>0</v>
          </cell>
          <cell r="F41">
            <v>0</v>
          </cell>
          <cell r="G41">
            <v>4.4709208453468596E-2</v>
          </cell>
          <cell r="H41">
            <v>4.4457718559004267E-2</v>
          </cell>
        </row>
        <row r="42">
          <cell r="D42" t="str">
            <v>3 et plus</v>
          </cell>
          <cell r="E42">
            <v>0</v>
          </cell>
          <cell r="F42">
            <v>0</v>
          </cell>
          <cell r="G42">
            <v>6.9788657769945361E-2</v>
          </cell>
          <cell r="H42">
            <v>6.9046579778885286E-2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ses_taux_réversion"/>
      <sheetName val="Généralisation"/>
      <sheetName val="Suppression"/>
      <sheetName val="année_HC1"/>
      <sheetName val="année_HC2"/>
      <sheetName val="année_HC3"/>
      <sheetName val="Masses_ressources"/>
      <sheetName val="Effectifs_ressources"/>
      <sheetName val="année_HC4"/>
      <sheetName val="année_HC5"/>
      <sheetName val="Masses_âge"/>
      <sheetName val="Effectifs_âge"/>
      <sheetName val="année_HC6"/>
      <sheetName val="année_HC7"/>
      <sheetName val="Masses_mariage"/>
      <sheetName val="Effectifs_mariage"/>
      <sheetName val="année_HC8"/>
      <sheetName val="année_HC9"/>
      <sheetName val="Masses_ressources+suppmariage"/>
      <sheetName val="Effectif_ressources+suppmariage"/>
      <sheetName val="année_HC10"/>
      <sheetName val="Masses_EC1"/>
      <sheetName val="Masses_EC1 (2)"/>
      <sheetName val="Effectifs_EC1"/>
      <sheetName val="année_EC1"/>
      <sheetName val="Masses_EC2"/>
      <sheetName val="Effectifs_EC2"/>
      <sheetName val="année_E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4">
          <cell r="E14">
            <v>2.1253013030897553E-2</v>
          </cell>
          <cell r="F14">
            <v>1.5818797756781078E-2</v>
          </cell>
          <cell r="G14">
            <v>9.4699720682811239E-3</v>
          </cell>
          <cell r="H14">
            <v>2.6476176689773398E-3</v>
          </cell>
          <cell r="I14">
            <v>-2.6673121756013323E-3</v>
          </cell>
          <cell r="J14">
            <v>-9.0474657347264821E-3</v>
          </cell>
          <cell r="K14">
            <v>-1.3894951232308429E-2</v>
          </cell>
          <cell r="L14">
            <v>-2.0178471604899995E-2</v>
          </cell>
          <cell r="M14">
            <v>-2.6143127005629395E-2</v>
          </cell>
          <cell r="N14">
            <v>-3.1072288049727701E-2</v>
          </cell>
          <cell r="O14">
            <v>-3.7291339291371281E-2</v>
          </cell>
          <cell r="P14">
            <v>-4.4168088091503348E-2</v>
          </cell>
          <cell r="Q14">
            <v>-4.7847712110049352E-2</v>
          </cell>
          <cell r="R14">
            <v>-5.3856395613095728E-2</v>
          </cell>
          <cell r="S14">
            <v>-5.7437351925758585E-2</v>
          </cell>
          <cell r="T14">
            <v>-6.2805156620252392E-2</v>
          </cell>
          <cell r="U14">
            <v>-6.8656448244040449E-2</v>
          </cell>
          <cell r="V14">
            <v>-7.2921034184151343E-2</v>
          </cell>
          <cell r="W14">
            <v>-7.5833660989836627E-2</v>
          </cell>
          <cell r="X14">
            <v>-7.9059883124465602E-2</v>
          </cell>
          <cell r="Y14">
            <v>-8.2342251028798857E-2</v>
          </cell>
          <cell r="Z14">
            <v>-8.6354505599430725E-2</v>
          </cell>
          <cell r="AA14">
            <v>-8.9314816647843381E-2</v>
          </cell>
          <cell r="AB14">
            <v>-9.3896059727104228E-2</v>
          </cell>
          <cell r="AC14">
            <v>-9.6434019356842135E-2</v>
          </cell>
          <cell r="AD14">
            <v>-0.1003746975783812</v>
          </cell>
          <cell r="AE14">
            <v>-0.10356924269422167</v>
          </cell>
          <cell r="AF14">
            <v>-0.10452772753994544</v>
          </cell>
          <cell r="AG14">
            <v>-0.10658494972392507</v>
          </cell>
          <cell r="AH14">
            <v>-0.10909810682102136</v>
          </cell>
          <cell r="AI14">
            <v>-0.11083896562391532</v>
          </cell>
          <cell r="AJ14">
            <v>-0.11253012296338637</v>
          </cell>
          <cell r="AK14">
            <v>-0.11443877473729483</v>
          </cell>
          <cell r="AL14">
            <v>-0.1142568270038619</v>
          </cell>
          <cell r="AM14">
            <v>-0.11568310177965836</v>
          </cell>
          <cell r="AN14">
            <v>-0.11623378095171745</v>
          </cell>
          <cell r="AO14">
            <v>-0.11876099102434669</v>
          </cell>
          <cell r="AP14">
            <v>-0.11881175751226315</v>
          </cell>
          <cell r="AQ14">
            <v>-0.12137943004380519</v>
          </cell>
          <cell r="AR14">
            <v>-0.12270270814824941</v>
          </cell>
          <cell r="AS14">
            <v>-0.12514484762226299</v>
          </cell>
          <cell r="AT14">
            <v>-0.12626856470264713</v>
          </cell>
          <cell r="AU14">
            <v>-0.12582101095334391</v>
          </cell>
          <cell r="AV14">
            <v>-0.12732019497429595</v>
          </cell>
          <cell r="AW14">
            <v>-0.1287411115417974</v>
          </cell>
        </row>
        <row r="15">
          <cell r="E15">
            <v>8.9657278714650249E-2</v>
          </cell>
          <cell r="F15">
            <v>0.10055708072165345</v>
          </cell>
          <cell r="G15">
            <v>0.11112249904599279</v>
          </cell>
          <cell r="H15">
            <v>0.11860704561658454</v>
          </cell>
          <cell r="I15">
            <v>0.13020052724419784</v>
          </cell>
          <cell r="J15">
            <v>0.13788684028416517</v>
          </cell>
          <cell r="K15">
            <v>0.14396101381554116</v>
          </cell>
          <cell r="L15">
            <v>0.14952589146913303</v>
          </cell>
          <cell r="M15">
            <v>0.15694633114969961</v>
          </cell>
          <cell r="N15">
            <v>0.16134362912930572</v>
          </cell>
          <cell r="O15">
            <v>0.16278684844887412</v>
          </cell>
          <cell r="P15">
            <v>0.16294987619789172</v>
          </cell>
          <cell r="Q15">
            <v>0.16557319020687464</v>
          </cell>
          <cell r="R15">
            <v>0.16710246816474281</v>
          </cell>
          <cell r="S15">
            <v>0.16834427272119298</v>
          </cell>
          <cell r="T15">
            <v>0.16489812671084339</v>
          </cell>
          <cell r="U15">
            <v>0.16381212764598363</v>
          </cell>
          <cell r="V15">
            <v>0.16079231070825206</v>
          </cell>
          <cell r="W15">
            <v>0.15857958729572014</v>
          </cell>
          <cell r="X15">
            <v>0.1583323302714478</v>
          </cell>
          <cell r="Y15">
            <v>0.15736081068778582</v>
          </cell>
          <cell r="Z15">
            <v>0.1575277751161013</v>
          </cell>
          <cell r="AA15">
            <v>0.15549233694600062</v>
          </cell>
          <cell r="AB15">
            <v>0.15285480013917954</v>
          </cell>
          <cell r="AC15">
            <v>0.14990813596789831</v>
          </cell>
          <cell r="AD15">
            <v>0.14387818370360819</v>
          </cell>
          <cell r="AE15">
            <v>0.13979758907549275</v>
          </cell>
          <cell r="AF15">
            <v>0.13714219632547087</v>
          </cell>
          <cell r="AG15">
            <v>0.13218479969035771</v>
          </cell>
          <cell r="AH15">
            <v>0.12647049917204761</v>
          </cell>
          <cell r="AI15">
            <v>0.12406568655844304</v>
          </cell>
          <cell r="AJ15">
            <v>0.11917531348408193</v>
          </cell>
          <cell r="AK15">
            <v>0.11540895387479602</v>
          </cell>
          <cell r="AL15">
            <v>0.11386873863553065</v>
          </cell>
          <cell r="AM15">
            <v>0.11342206910215921</v>
          </cell>
          <cell r="AN15">
            <v>0.11224845084266528</v>
          </cell>
          <cell r="AO15">
            <v>0.10713830143979919</v>
          </cell>
          <cell r="AP15">
            <v>0.10571332859496466</v>
          </cell>
          <cell r="AQ15">
            <v>9.9225332322991397E-2</v>
          </cell>
          <cell r="AR15">
            <v>9.6768678860465931E-2</v>
          </cell>
          <cell r="AS15">
            <v>9.0519691753397344E-2</v>
          </cell>
          <cell r="AT15">
            <v>8.3705842866983529E-2</v>
          </cell>
          <cell r="AU15">
            <v>7.6171324765027471E-2</v>
          </cell>
          <cell r="AV15">
            <v>6.6354167698902705E-2</v>
          </cell>
          <cell r="AW15">
            <v>6.2522063678684361E-2</v>
          </cell>
        </row>
        <row r="16">
          <cell r="E16">
            <v>-1.380183389491876E-2</v>
          </cell>
          <cell r="F16">
            <v>-2.595061332894024E-2</v>
          </cell>
          <cell r="G16">
            <v>-3.8946945500887058E-2</v>
          </cell>
          <cell r="H16">
            <v>-5.2471380246305113E-2</v>
          </cell>
          <cell r="I16">
            <v>-6.399509598379878E-2</v>
          </cell>
          <cell r="J16">
            <v>-7.3847143932407058E-2</v>
          </cell>
          <cell r="K16">
            <v>-8.1684768363495572E-2</v>
          </cell>
          <cell r="L16">
            <v>-9.2445970878946432E-2</v>
          </cell>
          <cell r="M16">
            <v>-0.10368310314510595</v>
          </cell>
          <cell r="N16">
            <v>-0.1114048210218728</v>
          </cell>
          <cell r="O16">
            <v>-0.12327878060700939</v>
          </cell>
          <cell r="P16">
            <v>-0.13465381409314103</v>
          </cell>
          <cell r="Q16">
            <v>-0.14298839702726496</v>
          </cell>
          <cell r="R16">
            <v>-0.15377099469508607</v>
          </cell>
          <cell r="S16">
            <v>-0.16084775550475258</v>
          </cell>
          <cell r="T16">
            <v>-0.16837454946292871</v>
          </cell>
          <cell r="U16">
            <v>-0.17629686865058708</v>
          </cell>
          <cell r="V16">
            <v>-0.18153264070036576</v>
          </cell>
          <cell r="W16">
            <v>-0.18680789824997193</v>
          </cell>
          <cell r="X16">
            <v>-0.19644170044124026</v>
          </cell>
          <cell r="Y16">
            <v>-0.20209144210763458</v>
          </cell>
          <cell r="Z16">
            <v>-0.21222085695450538</v>
          </cell>
          <cell r="AA16">
            <v>-0.2163107725508045</v>
          </cell>
          <cell r="AB16">
            <v>-0.22840129529443298</v>
          </cell>
          <cell r="AC16">
            <v>-0.23415982623064996</v>
          </cell>
          <cell r="AD16">
            <v>-0.23909704269263157</v>
          </cell>
          <cell r="AE16">
            <v>-0.24274091103526332</v>
          </cell>
          <cell r="AF16">
            <v>-0.24415443862589337</v>
          </cell>
          <cell r="AG16">
            <v>-0.24541110416879044</v>
          </cell>
          <cell r="AH16">
            <v>-0.24816733636227545</v>
          </cell>
          <cell r="AI16">
            <v>-0.25318224713026422</v>
          </cell>
          <cell r="AJ16">
            <v>-0.2553796617391037</v>
          </cell>
          <cell r="AK16">
            <v>-0.25737663926635423</v>
          </cell>
          <cell r="AL16">
            <v>-0.25737737362431889</v>
          </cell>
          <cell r="AM16">
            <v>-0.25997775113049382</v>
          </cell>
          <cell r="AN16">
            <v>-0.26142146478804756</v>
          </cell>
          <cell r="AO16">
            <v>-0.26359026858673562</v>
          </cell>
          <cell r="AP16">
            <v>-0.26234618570516677</v>
          </cell>
          <cell r="AQ16">
            <v>-0.26861326265432278</v>
          </cell>
          <cell r="AR16">
            <v>-0.26849337633265702</v>
          </cell>
          <cell r="AS16">
            <v>-0.27212752940816032</v>
          </cell>
          <cell r="AT16">
            <v>-0.26988782111245213</v>
          </cell>
          <cell r="AU16">
            <v>-0.26058270853868987</v>
          </cell>
          <cell r="AV16">
            <v>-0.2568986262518882</v>
          </cell>
          <cell r="AW16">
            <v>-0.25794604772119617</v>
          </cell>
        </row>
        <row r="17">
          <cell r="E17">
            <v>-1.7043157099453445E-2</v>
          </cell>
          <cell r="F17">
            <v>-3.2283198589736932E-2</v>
          </cell>
          <cell r="G17">
            <v>-4.9077900116340847E-2</v>
          </cell>
          <cell r="H17">
            <v>-6.3841733446089649E-2</v>
          </cell>
          <cell r="I17">
            <v>-8.0334764143677545E-2</v>
          </cell>
          <cell r="J17">
            <v>-9.6693970638288426E-2</v>
          </cell>
          <cell r="K17">
            <v>-0.11000475087862514</v>
          </cell>
          <cell r="L17">
            <v>-0.12474977084813879</v>
          </cell>
          <cell r="M17">
            <v>-0.1380977709396369</v>
          </cell>
          <cell r="N17">
            <v>-0.15009385975348694</v>
          </cell>
          <cell r="O17">
            <v>-0.16056990577295036</v>
          </cell>
          <cell r="P17">
            <v>-0.1724277812481273</v>
          </cell>
          <cell r="Q17">
            <v>-0.18150727101343955</v>
          </cell>
          <cell r="R17">
            <v>-0.19281324116340653</v>
          </cell>
          <cell r="S17">
            <v>-0.20045880691614879</v>
          </cell>
          <cell r="T17">
            <v>-0.21032472985261394</v>
          </cell>
          <cell r="U17">
            <v>-0.22066429639276941</v>
          </cell>
          <cell r="V17">
            <v>-0.23023655690870032</v>
          </cell>
          <cell r="W17">
            <v>-0.23634219166871764</v>
          </cell>
          <cell r="X17">
            <v>-0.24198177189388675</v>
          </cell>
          <cell r="Y17">
            <v>-0.25103832299735057</v>
          </cell>
          <cell r="Z17">
            <v>-0.25750024493852741</v>
          </cell>
          <cell r="AA17">
            <v>-0.26408743122710487</v>
          </cell>
          <cell r="AB17">
            <v>-0.26890269941621903</v>
          </cell>
          <cell r="AC17">
            <v>-0.27394434750186347</v>
          </cell>
          <cell r="AD17">
            <v>-0.27923773651580563</v>
          </cell>
          <cell r="AE17">
            <v>-0.28543109511735615</v>
          </cell>
          <cell r="AF17">
            <v>-0.28777254391873858</v>
          </cell>
          <cell r="AG17">
            <v>-0.29129728674909089</v>
          </cell>
          <cell r="AH17">
            <v>-0.29367208894084357</v>
          </cell>
          <cell r="AI17">
            <v>-0.29487437803597688</v>
          </cell>
          <cell r="AJ17">
            <v>-0.29671927754783201</v>
          </cell>
          <cell r="AK17">
            <v>-0.29919355468662656</v>
          </cell>
          <cell r="AL17">
            <v>-0.29944618834576942</v>
          </cell>
          <cell r="AM17">
            <v>-0.30238788813547496</v>
          </cell>
          <cell r="AN17">
            <v>-0.30337155577697639</v>
          </cell>
          <cell r="AO17">
            <v>-0.3039116068387363</v>
          </cell>
          <cell r="AP17">
            <v>-0.30598452091830297</v>
          </cell>
          <cell r="AQ17">
            <v>-0.30543501964824887</v>
          </cell>
          <cell r="AR17">
            <v>-0.30582734537061074</v>
          </cell>
          <cell r="AS17">
            <v>-0.3059451522562866</v>
          </cell>
          <cell r="AT17">
            <v>-0.3043544432107585</v>
          </cell>
          <cell r="AU17">
            <v>-0.3015748927940593</v>
          </cell>
          <cell r="AV17">
            <v>-0.30035117535698269</v>
          </cell>
          <cell r="AW17">
            <v>-0.3012406512249925</v>
          </cell>
        </row>
        <row r="18">
          <cell r="E18">
            <v>2.2054164944115495E-2</v>
          </cell>
          <cell r="F18">
            <v>1.4435341782280533E-2</v>
          </cell>
          <cell r="G18">
            <v>7.0864989830562945E-3</v>
          </cell>
          <cell r="H18">
            <v>-1.2076500202165558E-4</v>
          </cell>
          <cell r="I18">
            <v>-3.3451635139148139E-3</v>
          </cell>
          <cell r="J18">
            <v>-9.5070011510687107E-3</v>
          </cell>
          <cell r="K18">
            <v>-1.3333414220634672E-2</v>
          </cell>
          <cell r="L18">
            <v>-1.8536316909290671E-2</v>
          </cell>
          <cell r="M18">
            <v>-2.7581184742703595E-2</v>
          </cell>
          <cell r="N18">
            <v>-3.4808463006332002E-2</v>
          </cell>
          <cell r="O18">
            <v>-4.5494659640448104E-2</v>
          </cell>
          <cell r="P18">
            <v>-4.7128703628373222E-2</v>
          </cell>
          <cell r="Q18">
            <v>-5.1496708809964452E-2</v>
          </cell>
          <cell r="R18">
            <v>-5.7931253698148714E-2</v>
          </cell>
          <cell r="S18">
            <v>-6.4580008107900141E-2</v>
          </cell>
          <cell r="T18">
            <v>-6.5093137427178122E-2</v>
          </cell>
          <cell r="U18">
            <v>-7.3792009402674302E-2</v>
          </cell>
          <cell r="V18">
            <v>-7.5550169564050959E-2</v>
          </cell>
          <cell r="W18">
            <v>-8.2014413506320022E-2</v>
          </cell>
          <cell r="X18">
            <v>-8.24036611552946E-2</v>
          </cell>
          <cell r="Y18">
            <v>-8.161721325108677E-2</v>
          </cell>
          <cell r="Z18">
            <v>-9.1658852955721445E-2</v>
          </cell>
          <cell r="AA18">
            <v>-9.7140744146070448E-2</v>
          </cell>
          <cell r="AB18">
            <v>-0.10371709456375051</v>
          </cell>
          <cell r="AC18">
            <v>-9.7950536040170996E-2</v>
          </cell>
          <cell r="AD18">
            <v>-0.10140236137972856</v>
          </cell>
          <cell r="AE18">
            <v>-9.8510306969779957E-2</v>
          </cell>
          <cell r="AF18">
            <v>-9.5937554034048092E-2</v>
          </cell>
          <cell r="AG18">
            <v>-9.7734699993460683E-2</v>
          </cell>
          <cell r="AH18">
            <v>-9.986673530031126E-2</v>
          </cell>
          <cell r="AI18">
            <v>-9.9622118248591907E-2</v>
          </cell>
          <cell r="AJ18">
            <v>-0.10362822541294361</v>
          </cell>
          <cell r="AK18">
            <v>-0.10920414192942633</v>
          </cell>
          <cell r="AL18">
            <v>-0.11555507372230248</v>
          </cell>
          <cell r="AM18">
            <v>-0.11593472286542474</v>
          </cell>
          <cell r="AN18">
            <v>-0.11226553381430704</v>
          </cell>
          <cell r="AO18">
            <v>-0.12018265354096537</v>
          </cell>
          <cell r="AP18">
            <v>-0.11591729903045099</v>
          </cell>
          <cell r="AQ18">
            <v>-0.12635496325289045</v>
          </cell>
          <cell r="AR18">
            <v>-0.13200157301395596</v>
          </cell>
          <cell r="AS18">
            <v>-0.13591898793412571</v>
          </cell>
          <cell r="AT18">
            <v>-0.141836858215383</v>
          </cell>
          <cell r="AU18">
            <v>-0.14719673073054645</v>
          </cell>
          <cell r="AV18">
            <v>-0.14697714634259024</v>
          </cell>
          <cell r="AW18">
            <v>-0.14833793153878932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fs"/>
      <sheetName val="Pmdr_68ans"/>
      <sheetName val="Pmcv"/>
      <sheetName val="Âge"/>
      <sheetName val="Durée_perception"/>
      <sheetName val="Gagnants_perdants_2000"/>
      <sheetName val="Masses prestations"/>
      <sheetName val="Effectifs_année"/>
      <sheetName val="EC2_génération"/>
      <sheetName val="EC2_année"/>
    </sheetNames>
    <sheetDataSet>
      <sheetData sheetId="0"/>
      <sheetData sheetId="1"/>
      <sheetData sheetId="2"/>
      <sheetData sheetId="3"/>
      <sheetData sheetId="4"/>
      <sheetData sheetId="5"/>
      <sheetData sheetId="6">
        <row r="19">
          <cell r="D19">
            <v>-4.2801161725683545E-2</v>
          </cell>
          <cell r="E19">
            <v>-4.5636858930551527E-2</v>
          </cell>
          <cell r="F19">
            <v>-4.8695389891580586E-2</v>
          </cell>
          <cell r="G19">
            <v>-5.2599867311210122E-2</v>
          </cell>
          <cell r="H19">
            <v>-5.5355911569526094E-2</v>
          </cell>
          <cell r="I19">
            <v>-5.7589210980655156E-2</v>
          </cell>
          <cell r="J19">
            <v>-6.0880008553224341E-2</v>
          </cell>
          <cell r="K19">
            <v>-6.27238500330531E-2</v>
          </cell>
          <cell r="L19">
            <v>-6.5710103225778235E-2</v>
          </cell>
          <cell r="M19">
            <v>-6.8536583668402706E-2</v>
          </cell>
          <cell r="N19">
            <v>-7.1016565624623829E-2</v>
          </cell>
          <cell r="O19">
            <v>-7.3233953059302373E-2</v>
          </cell>
          <cell r="P19">
            <v>-7.4329780118954789E-2</v>
          </cell>
          <cell r="Q19">
            <v>-7.6447114146916934E-2</v>
          </cell>
          <cell r="R19">
            <v>-7.7495507977329542E-2</v>
          </cell>
          <cell r="S19">
            <v>-7.9642001137965629E-2</v>
          </cell>
          <cell r="T19">
            <v>-8.1291285528103704E-2</v>
          </cell>
          <cell r="U19">
            <v>-8.3043603865520246E-2</v>
          </cell>
          <cell r="V19">
            <v>-8.4059899313714548E-2</v>
          </cell>
          <cell r="W19">
            <v>-8.5402454144512557E-2</v>
          </cell>
          <cell r="X19">
            <v>-8.6199427785804805E-2</v>
          </cell>
          <cell r="Y19">
            <v>-8.5023113849192034E-2</v>
          </cell>
          <cell r="Z19">
            <v>-8.5767074027035956E-2</v>
          </cell>
          <cell r="AA19">
            <v>-8.6037571476403979E-2</v>
          </cell>
          <cell r="AB19">
            <v>-8.7479289363463539E-2</v>
          </cell>
          <cell r="AC19">
            <v>-8.7474296153375555E-2</v>
          </cell>
          <cell r="AD19">
            <v>-8.6337820520994091E-2</v>
          </cell>
          <cell r="AE19">
            <v>-8.5135595941084621E-2</v>
          </cell>
          <cell r="AF19">
            <v>-8.4545525809243099E-2</v>
          </cell>
          <cell r="AG19">
            <v>-8.4536311607898387E-2</v>
          </cell>
          <cell r="AH19">
            <v>-8.4209238856731178E-2</v>
          </cell>
          <cell r="AI19">
            <v>-8.3053516754816342E-2</v>
          </cell>
          <cell r="AJ19">
            <v>-8.1158086088477119E-2</v>
          </cell>
          <cell r="AK19">
            <v>-7.8640667815520773E-2</v>
          </cell>
          <cell r="AL19">
            <v>-7.7455387884598229E-2</v>
          </cell>
          <cell r="AM19">
            <v>-7.6681523729689394E-2</v>
          </cell>
          <cell r="AN19">
            <v>-7.4644459805765589E-2</v>
          </cell>
          <cell r="AO19">
            <v>-7.2565701099418067E-2</v>
          </cell>
          <cell r="AP19">
            <v>-7.136508154798922E-2</v>
          </cell>
          <cell r="AQ19">
            <v>-6.9396210221614213E-2</v>
          </cell>
          <cell r="AR19">
            <v>-6.6814441746948394E-2</v>
          </cell>
          <cell r="AS19">
            <v>-6.582479750378735E-2</v>
          </cell>
          <cell r="AT19">
            <v>-6.5568056465414234E-2</v>
          </cell>
          <cell r="AU19">
            <v>-6.502086974721745E-2</v>
          </cell>
          <cell r="AV19">
            <v>-6.4369192028999045E-2</v>
          </cell>
        </row>
        <row r="20">
          <cell r="D20">
            <v>-4.9272094784465745E-2</v>
          </cell>
          <cell r="E20">
            <v>-5.1710591493357064E-2</v>
          </cell>
          <cell r="F20">
            <v>-5.4243976643795329E-2</v>
          </cell>
          <cell r="G20">
            <v>-5.6613985634958112E-2</v>
          </cell>
          <cell r="H20">
            <v>-5.9509550592548324E-2</v>
          </cell>
          <cell r="I20">
            <v>-6.1405415155807691E-2</v>
          </cell>
          <cell r="J20">
            <v>-6.3800327516251198E-2</v>
          </cell>
          <cell r="K20">
            <v>-6.4096473433371701E-2</v>
          </cell>
          <cell r="L20">
            <v>-6.6847598164360825E-2</v>
          </cell>
          <cell r="M20">
            <v>-7.0024931068400728E-2</v>
          </cell>
          <cell r="N20">
            <v>-7.0385249708288022E-2</v>
          </cell>
          <cell r="O20">
            <v>-7.1918373357439641E-2</v>
          </cell>
          <cell r="P20">
            <v>-7.2247730390345349E-2</v>
          </cell>
          <cell r="Q20">
            <v>-7.2766623208370906E-2</v>
          </cell>
          <cell r="R20">
            <v>-7.3823230668127487E-2</v>
          </cell>
          <cell r="S20">
            <v>-7.4772992675069941E-2</v>
          </cell>
          <cell r="T20">
            <v>-7.57741576442231E-2</v>
          </cell>
          <cell r="U20">
            <v>-7.6532302911040295E-2</v>
          </cell>
          <cell r="V20">
            <v>-7.6748664491136181E-2</v>
          </cell>
          <cell r="W20">
            <v>-7.5936793311022641E-2</v>
          </cell>
          <cell r="X20">
            <v>-7.5243928236409408E-2</v>
          </cell>
          <cell r="Y20">
            <v>-7.277157226087734E-2</v>
          </cell>
          <cell r="Z20">
            <v>-7.2501550334125905E-2</v>
          </cell>
          <cell r="AA20">
            <v>-7.221326255825837E-2</v>
          </cell>
          <cell r="AB20">
            <v>-7.2288382896742387E-2</v>
          </cell>
          <cell r="AC20">
            <v>-7.1498745603211011E-2</v>
          </cell>
          <cell r="AD20">
            <v>-7.0262639349887357E-2</v>
          </cell>
          <cell r="AE20">
            <v>-6.6962842289544536E-2</v>
          </cell>
          <cell r="AF20">
            <v>-6.4209802883657296E-2</v>
          </cell>
          <cell r="AG20">
            <v>-6.3659320227255178E-2</v>
          </cell>
          <cell r="AH20">
            <v>-6.233166957255834E-2</v>
          </cell>
          <cell r="AI20">
            <v>-6.0913357910585303E-2</v>
          </cell>
          <cell r="AJ20">
            <v>-5.7762462962046519E-2</v>
          </cell>
          <cell r="AK20">
            <v>-5.3524723203628756E-2</v>
          </cell>
          <cell r="AL20">
            <v>-5.0438758309352703E-2</v>
          </cell>
          <cell r="AM20">
            <v>-4.752178738352144E-2</v>
          </cell>
          <cell r="AN20">
            <v>-4.4227853488484403E-2</v>
          </cell>
          <cell r="AO20">
            <v>-4.3009510627476266E-2</v>
          </cell>
          <cell r="AP20">
            <v>-3.9852601351577109E-2</v>
          </cell>
          <cell r="AQ20">
            <v>-3.6630753590605879E-2</v>
          </cell>
          <cell r="AR20">
            <v>-3.3345694465497039E-2</v>
          </cell>
          <cell r="AS20">
            <v>-3.12112039545865E-2</v>
          </cell>
          <cell r="AT20">
            <v>-2.9681968311451059E-2</v>
          </cell>
          <cell r="AU20">
            <v>-2.7329788660476806E-2</v>
          </cell>
          <cell r="AV20">
            <v>-2.5578623522277879E-2</v>
          </cell>
        </row>
        <row r="21">
          <cell r="D21">
            <v>-3.8022342940413449E-2</v>
          </cell>
          <cell r="E21">
            <v>-4.0722174842037488E-2</v>
          </cell>
          <cell r="F21">
            <v>-4.304635662408314E-2</v>
          </cell>
          <cell r="G21">
            <v>-4.6407018778431848E-2</v>
          </cell>
          <cell r="H21">
            <v>-4.829404758739874E-2</v>
          </cell>
          <cell r="I21">
            <v>-5.1019686400179995E-2</v>
          </cell>
          <cell r="J21">
            <v>-5.4598921245079569E-2</v>
          </cell>
          <cell r="K21">
            <v>-5.6795916409949035E-2</v>
          </cell>
          <cell r="L21">
            <v>-5.7727643034599097E-2</v>
          </cell>
          <cell r="M21">
            <v>-5.9209797143821165E-2</v>
          </cell>
          <cell r="N21">
            <v>-6.2976667687454246E-2</v>
          </cell>
          <cell r="O21">
            <v>-6.5934427802436996E-2</v>
          </cell>
          <cell r="P21">
            <v>-6.6017681996987418E-2</v>
          </cell>
          <cell r="Q21">
            <v>-6.8283924083455239E-2</v>
          </cell>
          <cell r="R21">
            <v>-6.8318627048776129E-2</v>
          </cell>
          <cell r="S21">
            <v>-7.0950192249650212E-2</v>
          </cell>
          <cell r="T21">
            <v>-7.29715041607399E-2</v>
          </cell>
          <cell r="U21">
            <v>-7.5078860592426591E-2</v>
          </cell>
          <cell r="V21">
            <v>-7.6193370077854039E-2</v>
          </cell>
          <cell r="W21">
            <v>-7.9663305585055633E-2</v>
          </cell>
          <cell r="X21">
            <v>-8.0864054104956798E-2</v>
          </cell>
          <cell r="Y21">
            <v>-7.9346993886089956E-2</v>
          </cell>
          <cell r="Z21">
            <v>-8.1323281565737676E-2</v>
          </cell>
          <cell r="AA21">
            <v>-8.1461880646419252E-2</v>
          </cell>
          <cell r="AB21">
            <v>-8.4665413799907829E-2</v>
          </cell>
          <cell r="AC21">
            <v>-8.2853651552012589E-2</v>
          </cell>
          <cell r="AD21">
            <v>-7.9233284731705517E-2</v>
          </cell>
          <cell r="AE21">
            <v>-8.0056561930410455E-2</v>
          </cell>
          <cell r="AF21">
            <v>-8.0273974304037002E-2</v>
          </cell>
          <cell r="AG21">
            <v>-7.9846091139133088E-2</v>
          </cell>
          <cell r="AH21">
            <v>-8.0901357532575477E-2</v>
          </cell>
          <cell r="AI21">
            <v>-7.8083421251785995E-2</v>
          </cell>
          <cell r="AJ21">
            <v>-7.6953827268518613E-2</v>
          </cell>
          <cell r="AK21">
            <v>-7.3211298405124303E-2</v>
          </cell>
          <cell r="AL21">
            <v>-7.3736631343809658E-2</v>
          </cell>
          <cell r="AM21">
            <v>-7.4991734080424172E-2</v>
          </cell>
          <cell r="AN21">
            <v>-7.1575250831281606E-2</v>
          </cell>
          <cell r="AO21">
            <v>-6.5746413619073837E-2</v>
          </cell>
          <cell r="AP21">
            <v>-6.3940089986711843E-2</v>
          </cell>
          <cell r="AQ21">
            <v>-6.1441695817894687E-2</v>
          </cell>
          <cell r="AR21">
            <v>-5.862621521141375E-2</v>
          </cell>
          <cell r="AS21">
            <v>-5.5943385077104224E-2</v>
          </cell>
          <cell r="AT21">
            <v>-5.6524502649133404E-2</v>
          </cell>
          <cell r="AU21">
            <v>-5.5219924330075977E-2</v>
          </cell>
          <cell r="AV21">
            <v>-5.4664498813253255E-2</v>
          </cell>
        </row>
        <row r="22">
          <cell r="D22">
            <v>-2.831124433435047E-2</v>
          </cell>
          <cell r="E22">
            <v>-3.1517855307268972E-2</v>
          </cell>
          <cell r="F22">
            <v>-3.4379468365078422E-2</v>
          </cell>
          <cell r="G22">
            <v>-3.9421085779937928E-2</v>
          </cell>
          <cell r="H22">
            <v>-4.3679659221099017E-2</v>
          </cell>
          <cell r="I22">
            <v>-4.6509348644754506E-2</v>
          </cell>
          <cell r="J22">
            <v>-4.8419229630082182E-2</v>
          </cell>
          <cell r="K22">
            <v>-5.203813297940442E-2</v>
          </cell>
          <cell r="L22">
            <v>-5.7005420360059351E-2</v>
          </cell>
          <cell r="M22">
            <v>-6.0288996684789584E-2</v>
          </cell>
          <cell r="N22">
            <v>-6.3967265928829051E-2</v>
          </cell>
          <cell r="O22">
            <v>-6.7067585640534361E-2</v>
          </cell>
          <cell r="P22">
            <v>-6.9608229455707077E-2</v>
          </cell>
          <cell r="Q22">
            <v>-7.4780261248704849E-2</v>
          </cell>
          <cell r="R22">
            <v>-7.6081205006303651E-2</v>
          </cell>
          <cell r="S22">
            <v>-7.8978775347130728E-2</v>
          </cell>
          <cell r="T22">
            <v>-8.0915381661683106E-2</v>
          </cell>
          <cell r="U22">
            <v>-8.4560381781702013E-2</v>
          </cell>
          <cell r="V22">
            <v>-8.7530876439931085E-2</v>
          </cell>
          <cell r="W22">
            <v>-8.84628637614992E-2</v>
          </cell>
          <cell r="X22">
            <v>-9.0421201401231721E-2</v>
          </cell>
          <cell r="Y22">
            <v>-9.0107321393810988E-2</v>
          </cell>
          <cell r="Z22">
            <v>-9.0925265581223436E-2</v>
          </cell>
          <cell r="AA22">
            <v>-9.0608759145208953E-2</v>
          </cell>
          <cell r="AB22">
            <v>-9.1631051793527804E-2</v>
          </cell>
          <cell r="AC22">
            <v>-9.2628114048634427E-2</v>
          </cell>
          <cell r="AD22">
            <v>-9.1741768494623552E-2</v>
          </cell>
          <cell r="AE22">
            <v>-9.2791604661158766E-2</v>
          </cell>
          <cell r="AF22">
            <v>-9.7074891629470306E-2</v>
          </cell>
          <cell r="AG22">
            <v>-9.7706453528751694E-2</v>
          </cell>
          <cell r="AH22">
            <v>-9.794271369389676E-2</v>
          </cell>
          <cell r="AI22">
            <v>-9.9465538790074012E-2</v>
          </cell>
          <cell r="AJ22">
            <v>-9.7301245514999274E-2</v>
          </cell>
          <cell r="AK22">
            <v>-9.3955860199752786E-2</v>
          </cell>
          <cell r="AL22">
            <v>-9.2264675865068674E-2</v>
          </cell>
          <cell r="AM22">
            <v>-9.2301436895921324E-2</v>
          </cell>
          <cell r="AN22">
            <v>-9.1402716508637835E-2</v>
          </cell>
          <cell r="AO22">
            <v>-8.9627300363997991E-2</v>
          </cell>
          <cell r="AP22">
            <v>-9.1052604856604977E-2</v>
          </cell>
          <cell r="AQ22">
            <v>-8.9688246547452194E-2</v>
          </cell>
          <cell r="AR22">
            <v>-8.7732826321096982E-2</v>
          </cell>
          <cell r="AS22">
            <v>-8.8905187790141879E-2</v>
          </cell>
          <cell r="AT22">
            <v>-8.844418448614437E-2</v>
          </cell>
          <cell r="AU22">
            <v>-8.8891806297378431E-2</v>
          </cell>
          <cell r="AV22">
            <v>-9.0148267022612541E-2</v>
          </cell>
        </row>
        <row r="23">
          <cell r="D23">
            <v>-4.3570685388664682E-2</v>
          </cell>
          <cell r="E23">
            <v>-4.6847027116593901E-2</v>
          </cell>
          <cell r="F23">
            <v>-5.0995737842077948E-2</v>
          </cell>
          <cell r="G23">
            <v>-5.6627044202664102E-2</v>
          </cell>
          <cell r="H23">
            <v>-5.9585757182217772E-2</v>
          </cell>
          <cell r="I23">
            <v>-6.1647132191037457E-2</v>
          </cell>
          <cell r="J23">
            <v>-6.5820089461987821E-2</v>
          </cell>
          <cell r="K23">
            <v>-6.854414262223063E-2</v>
          </cell>
          <cell r="L23">
            <v>-7.3176240007428117E-2</v>
          </cell>
          <cell r="M23">
            <v>-7.6681932055749621E-2</v>
          </cell>
          <cell r="N23">
            <v>-7.9833347446116101E-2</v>
          </cell>
          <cell r="O23">
            <v>-8.1898329645869836E-2</v>
          </cell>
          <cell r="P23">
            <v>-8.4120599106047286E-2</v>
          </cell>
          <cell r="Q23">
            <v>-8.7029842415501962E-2</v>
          </cell>
          <cell r="R23">
            <v>-8.8671357417540966E-2</v>
          </cell>
          <cell r="S23">
            <v>-9.1316752196346815E-2</v>
          </cell>
          <cell r="T23">
            <v>-9.3170473480590293E-2</v>
          </cell>
          <cell r="U23">
            <v>-9.5050055532260702E-2</v>
          </cell>
          <cell r="V23">
            <v>-9.6159611527081523E-2</v>
          </cell>
          <cell r="W23">
            <v>-9.7915073351279899E-2</v>
          </cell>
          <cell r="X23">
            <v>-9.9440402888980983E-2</v>
          </cell>
          <cell r="Y23">
            <v>-9.9405266244035617E-2</v>
          </cell>
          <cell r="Z23">
            <v>-0.1000829664309317</v>
          </cell>
          <cell r="AA23">
            <v>-0.10085445882813382</v>
          </cell>
          <cell r="AB23">
            <v>-0.10229353838749633</v>
          </cell>
          <cell r="AC23">
            <v>-0.10373045628961984</v>
          </cell>
          <cell r="AD23">
            <v>-0.1040027845635484</v>
          </cell>
          <cell r="AE23">
            <v>-0.10297861691254268</v>
          </cell>
          <cell r="AF23">
            <v>-0.10288552647507454</v>
          </cell>
          <cell r="AG23">
            <v>-0.10333620620713301</v>
          </cell>
          <cell r="AH23">
            <v>-0.1029361645180365</v>
          </cell>
          <cell r="AI23">
            <v>-0.10228399350417959</v>
          </cell>
          <cell r="AJ23">
            <v>-0.10093528570707772</v>
          </cell>
          <cell r="AK23">
            <v>-0.10039991712635182</v>
          </cell>
          <cell r="AL23">
            <v>-9.9967518417357001E-2</v>
          </cell>
          <cell r="AM23">
            <v>-9.9795744862494304E-2</v>
          </cell>
          <cell r="AN23">
            <v>-9.9306887343476771E-2</v>
          </cell>
          <cell r="AO23">
            <v>-9.8168775279974405E-2</v>
          </cell>
          <cell r="AP23">
            <v>-9.8068443399933508E-2</v>
          </cell>
          <cell r="AQ23">
            <v>-9.7256881102706749E-2</v>
          </cell>
          <cell r="AR23">
            <v>-9.4955008329509205E-2</v>
          </cell>
          <cell r="AS23">
            <v>-9.5052033236301098E-2</v>
          </cell>
          <cell r="AT23">
            <v>-9.5049772653171591E-2</v>
          </cell>
          <cell r="AU23">
            <v>-9.5467797052676578E-2</v>
          </cell>
          <cell r="AV23">
            <v>-9.5099689493397588E-2</v>
          </cell>
        </row>
      </sheetData>
      <sheetData sheetId="7">
        <row r="19">
          <cell r="D19">
            <v>5.2431950022317061E-3</v>
          </cell>
          <cell r="E19">
            <v>6.6129480411237802E-3</v>
          </cell>
          <cell r="F19">
            <v>8.6506143589181184E-3</v>
          </cell>
          <cell r="G19">
            <v>9.4313757745244694E-3</v>
          </cell>
          <cell r="H19">
            <v>1.0780203626067754E-2</v>
          </cell>
          <cell r="I19">
            <v>1.2170166935920636E-2</v>
          </cell>
          <cell r="J19">
            <v>1.3570777235428228E-2</v>
          </cell>
          <cell r="K19">
            <v>1.5014375465875562E-2</v>
          </cell>
          <cell r="L19">
            <v>1.5871336366528137E-2</v>
          </cell>
          <cell r="M19">
            <v>1.7124189894100261E-2</v>
          </cell>
          <cell r="N19">
            <v>1.769772905247477E-2</v>
          </cell>
          <cell r="O19">
            <v>1.8402688033090656E-2</v>
          </cell>
          <cell r="P19">
            <v>1.9869942196540397E-2</v>
          </cell>
          <cell r="Q19">
            <v>2.0186973494973948E-2</v>
          </cell>
          <cell r="R19">
            <v>2.2047486894860337E-2</v>
          </cell>
          <cell r="S19">
            <v>2.2762227007082313E-2</v>
          </cell>
          <cell r="T19">
            <v>2.3126687382212071E-2</v>
          </cell>
          <cell r="U19">
            <v>2.396824589080384E-2</v>
          </cell>
          <cell r="V19">
            <v>2.5869120654407666E-2</v>
          </cell>
          <cell r="W19">
            <v>2.6356192425804142E-2</v>
          </cell>
          <cell r="X19">
            <v>2.7269926047667769E-2</v>
          </cell>
          <cell r="Y19">
            <v>2.8168288789340235E-2</v>
          </cell>
          <cell r="Z19">
            <v>2.8130484154034314E-2</v>
          </cell>
          <cell r="AA19">
            <v>2.8575841828865519E-2</v>
          </cell>
          <cell r="AB19">
            <v>2.8102564102574858E-2</v>
          </cell>
          <cell r="AC19">
            <v>2.8430920547114866E-2</v>
          </cell>
          <cell r="AD19">
            <v>2.9916500179304941E-2</v>
          </cell>
          <cell r="AE19">
            <v>2.9707542329411325E-2</v>
          </cell>
          <cell r="AF19">
            <v>2.9298972235017037E-2</v>
          </cell>
          <cell r="AG19">
            <v>2.9455458224487082E-2</v>
          </cell>
          <cell r="AH19">
            <v>2.8950727597662772E-2</v>
          </cell>
          <cell r="AI19">
            <v>2.9311137210858412E-2</v>
          </cell>
          <cell r="AJ19">
            <v>2.9026837093253807E-2</v>
          </cell>
          <cell r="AK19">
            <v>2.8950175224756191E-2</v>
          </cell>
          <cell r="AL19">
            <v>2.8374194203349853E-2</v>
          </cell>
          <cell r="AM19">
            <v>2.8393562101438678E-2</v>
          </cell>
          <cell r="AN19">
            <v>2.8414252548715786E-2</v>
          </cell>
          <cell r="AO19">
            <v>2.9192296057286401E-2</v>
          </cell>
          <cell r="AP19">
            <v>3.0086176485421418E-2</v>
          </cell>
          <cell r="AQ19">
            <v>3.0452261306543695E-2</v>
          </cell>
          <cell r="AR19">
            <v>3.0984507746139187E-2</v>
          </cell>
          <cell r="AS19">
            <v>3.1032931887472689E-2</v>
          </cell>
          <cell r="AT19">
            <v>3.1251560081885454E-2</v>
          </cell>
          <cell r="AU19">
            <v>3.1273231897719023E-2</v>
          </cell>
          <cell r="AV19">
            <v>3.0803461063052814E-2</v>
          </cell>
        </row>
      </sheetData>
      <sheetData sheetId="8">
        <row r="1">
          <cell r="A1" t="str">
            <v>generation</v>
          </cell>
          <cell r="B1" t="str">
            <v>sexe</v>
          </cell>
          <cell r="C1" t="str">
            <v>quintile</v>
          </cell>
          <cell r="D1" t="str">
            <v>statut_pre_reforme</v>
          </cell>
          <cell r="O1" t="str">
            <v>part_100</v>
          </cell>
          <cell r="P1" t="str">
            <v>part_100_20</v>
          </cell>
          <cell r="Q1" t="str">
            <v>part_20_1</v>
          </cell>
          <cell r="R1" t="str">
            <v>part_1_1</v>
          </cell>
          <cell r="S1" t="str">
            <v>part_1_20</v>
          </cell>
          <cell r="T1" t="str">
            <v>part_plus20</v>
          </cell>
        </row>
        <row r="2">
          <cell r="A2">
            <v>1960</v>
          </cell>
          <cell r="B2" t="str">
            <v>Ensemble</v>
          </cell>
          <cell r="C2" t="str">
            <v>Ensemble</v>
          </cell>
          <cell r="D2" t="str">
            <v>Ensemble</v>
          </cell>
          <cell r="O2">
            <v>0</v>
          </cell>
          <cell r="P2">
            <v>11.033950617284001</v>
          </cell>
          <cell r="Q2">
            <v>13.7345679012346</v>
          </cell>
          <cell r="R2">
            <v>72.299382716049394</v>
          </cell>
          <cell r="S2">
            <v>1.31172839506173</v>
          </cell>
          <cell r="T2">
            <v>1.62037037037037</v>
          </cell>
        </row>
        <row r="3">
          <cell r="A3">
            <v>1966</v>
          </cell>
          <cell r="B3" t="str">
            <v>Ensemble</v>
          </cell>
          <cell r="C3" t="str">
            <v>Ensemble</v>
          </cell>
          <cell r="D3" t="str">
            <v>Ensemble</v>
          </cell>
          <cell r="O3">
            <v>0</v>
          </cell>
          <cell r="P3">
            <v>13.5724331926864</v>
          </cell>
          <cell r="Q3">
            <v>16.315049226441602</v>
          </cell>
          <cell r="R3">
            <v>64.486638537271403</v>
          </cell>
          <cell r="S3">
            <v>2.7426160337552701</v>
          </cell>
          <cell r="T3">
            <v>2.8832630098452898</v>
          </cell>
        </row>
        <row r="4">
          <cell r="A4">
            <v>1972</v>
          </cell>
          <cell r="B4" t="str">
            <v>Ensemble</v>
          </cell>
          <cell r="C4" t="str">
            <v>Ensemble</v>
          </cell>
          <cell r="D4" t="str">
            <v>Ensemble</v>
          </cell>
          <cell r="O4">
            <v>0</v>
          </cell>
          <cell r="P4">
            <v>14.009661835748799</v>
          </cell>
          <cell r="Q4">
            <v>15.113871635610799</v>
          </cell>
          <cell r="R4">
            <v>65.4244306418219</v>
          </cell>
          <cell r="S4">
            <v>2.13940648723257</v>
          </cell>
          <cell r="T4">
            <v>3.3126293995859202</v>
          </cell>
        </row>
        <row r="5">
          <cell r="A5">
            <v>1978</v>
          </cell>
          <cell r="B5" t="str">
            <v>Ensemble</v>
          </cell>
          <cell r="C5" t="str">
            <v>Ensemble</v>
          </cell>
          <cell r="D5" t="str">
            <v>Ensemble</v>
          </cell>
          <cell r="O5">
            <v>0</v>
          </cell>
          <cell r="P5">
            <v>14.3669985775249</v>
          </cell>
          <cell r="Q5">
            <v>13.5846372688478</v>
          </cell>
          <cell r="R5">
            <v>67.069701280227605</v>
          </cell>
          <cell r="S5">
            <v>1.70697012802276</v>
          </cell>
          <cell r="T5">
            <v>3.27169274537696</v>
          </cell>
        </row>
        <row r="6">
          <cell r="A6">
            <v>1984</v>
          </cell>
          <cell r="B6" t="str">
            <v>Ensemble</v>
          </cell>
          <cell r="C6" t="str">
            <v>Ensemble</v>
          </cell>
          <cell r="D6" t="str">
            <v>Ensemble</v>
          </cell>
          <cell r="O6">
            <v>6.7888662593346902E-2</v>
          </cell>
          <cell r="P6">
            <v>14.5960624575696</v>
          </cell>
          <cell r="Q6">
            <v>11.0658520027155</v>
          </cell>
          <cell r="R6">
            <v>65.648336727766505</v>
          </cell>
          <cell r="S6">
            <v>4.14120841819416</v>
          </cell>
          <cell r="T6">
            <v>4.4806517311608998</v>
          </cell>
        </row>
        <row r="7">
          <cell r="A7">
            <v>1990</v>
          </cell>
          <cell r="B7" t="str">
            <v>Ensemble</v>
          </cell>
          <cell r="C7" t="str">
            <v>Ensemble</v>
          </cell>
          <cell r="D7" t="str">
            <v>Ensemble</v>
          </cell>
          <cell r="O7">
            <v>0</v>
          </cell>
          <cell r="P7">
            <v>11.6043119847812</v>
          </cell>
          <cell r="Q7">
            <v>10.653138871274599</v>
          </cell>
          <cell r="R7">
            <v>64.743183259353202</v>
          </cell>
          <cell r="S7">
            <v>7.1020925808497104</v>
          </cell>
          <cell r="T7">
            <v>5.8972733037412803</v>
          </cell>
        </row>
        <row r="8">
          <cell r="A8">
            <v>1996</v>
          </cell>
          <cell r="B8" t="str">
            <v>Ensemble</v>
          </cell>
          <cell r="C8" t="str">
            <v>Ensemble</v>
          </cell>
          <cell r="D8" t="str">
            <v>Ensemble</v>
          </cell>
          <cell r="O8">
            <v>0</v>
          </cell>
          <cell r="P8">
            <v>12.2588674548849</v>
          </cell>
          <cell r="Q8">
            <v>10.5787181082763</v>
          </cell>
          <cell r="R8">
            <v>65.650280024891103</v>
          </cell>
          <cell r="S8">
            <v>6.72059738643435</v>
          </cell>
          <cell r="T8">
            <v>4.7915370255133798</v>
          </cell>
        </row>
        <row r="9">
          <cell r="A9">
            <v>2000</v>
          </cell>
          <cell r="B9" t="str">
            <v>Ensemble</v>
          </cell>
          <cell r="C9" t="str">
            <v>Ensemble</v>
          </cell>
          <cell r="D9" t="str">
            <v>Ensemble</v>
          </cell>
          <cell r="O9">
            <v>0</v>
          </cell>
          <cell r="P9">
            <v>11.3510178901912</v>
          </cell>
          <cell r="Q9">
            <v>9.9321406539173296</v>
          </cell>
          <cell r="R9">
            <v>64.713140037014199</v>
          </cell>
          <cell r="S9">
            <v>8.8834053053670594</v>
          </cell>
          <cell r="T9">
            <v>5.1202961135101797</v>
          </cell>
        </row>
        <row r="10">
          <cell r="A10">
            <v>1960</v>
          </cell>
          <cell r="B10" t="str">
            <v>Femmes</v>
          </cell>
          <cell r="C10" t="str">
            <v>Ensemble</v>
          </cell>
          <cell r="D10" t="str">
            <v>Ensemble</v>
          </cell>
          <cell r="O10">
            <v>0</v>
          </cell>
          <cell r="P10">
            <v>11.926605504587201</v>
          </cell>
          <cell r="Q10">
            <v>13.9908256880734</v>
          </cell>
          <cell r="R10">
            <v>72.362385321100902</v>
          </cell>
          <cell r="S10">
            <v>0.91743119266055095</v>
          </cell>
          <cell r="T10">
            <v>0.80275229357798195</v>
          </cell>
        </row>
        <row r="11">
          <cell r="A11">
            <v>1960</v>
          </cell>
          <cell r="B11" t="str">
            <v>Hommes</v>
          </cell>
          <cell r="C11" t="str">
            <v>Ensemble</v>
          </cell>
          <cell r="D11" t="str">
            <v>Ensemble</v>
          </cell>
          <cell r="O11">
            <v>0</v>
          </cell>
          <cell r="P11">
            <v>9.1981132075471699</v>
          </cell>
          <cell r="Q11">
            <v>13.207547169811299</v>
          </cell>
          <cell r="R11">
            <v>72.169811320754704</v>
          </cell>
          <cell r="S11">
            <v>2.1226415094339601</v>
          </cell>
          <cell r="T11">
            <v>3.3018867924528301</v>
          </cell>
        </row>
        <row r="12">
          <cell r="A12">
            <v>1966</v>
          </cell>
          <cell r="B12" t="str">
            <v>Femmes</v>
          </cell>
          <cell r="C12" t="str">
            <v>Ensemble</v>
          </cell>
          <cell r="D12" t="str">
            <v>Ensemble</v>
          </cell>
          <cell r="O12">
            <v>0</v>
          </cell>
          <cell r="P12">
            <v>13.766519823788499</v>
          </cell>
          <cell r="Q12">
            <v>17.180616740088102</v>
          </cell>
          <cell r="R12">
            <v>64.537444933920696</v>
          </cell>
          <cell r="S12">
            <v>2.09251101321586</v>
          </cell>
          <cell r="T12">
            <v>2.4229074889867799</v>
          </cell>
        </row>
        <row r="13">
          <cell r="A13">
            <v>1966</v>
          </cell>
          <cell r="B13" t="str">
            <v>Hommes</v>
          </cell>
          <cell r="C13" t="str">
            <v>Ensemble</v>
          </cell>
          <cell r="D13" t="str">
            <v>Ensemble</v>
          </cell>
          <cell r="O13">
            <v>0</v>
          </cell>
          <cell r="P13">
            <v>13.2295719844358</v>
          </cell>
          <cell r="Q13">
            <v>14.7859922178988</v>
          </cell>
          <cell r="R13">
            <v>64.396887159533094</v>
          </cell>
          <cell r="S13">
            <v>3.8910505836575902</v>
          </cell>
          <cell r="T13">
            <v>3.6964980544747101</v>
          </cell>
        </row>
        <row r="14">
          <cell r="A14">
            <v>1972</v>
          </cell>
          <cell r="B14" t="str">
            <v>Femmes</v>
          </cell>
          <cell r="C14" t="str">
            <v>Ensemble</v>
          </cell>
          <cell r="D14" t="str">
            <v>Ensemble</v>
          </cell>
          <cell r="O14">
            <v>0</v>
          </cell>
          <cell r="P14">
            <v>13.348676639815899</v>
          </cell>
          <cell r="Q14">
            <v>15.535097813578799</v>
          </cell>
          <cell r="R14">
            <v>65.477560414269306</v>
          </cell>
          <cell r="S14">
            <v>2.5316455696202498</v>
          </cell>
          <cell r="T14">
            <v>3.1070195627157702</v>
          </cell>
        </row>
        <row r="15">
          <cell r="A15">
            <v>1972</v>
          </cell>
          <cell r="B15" t="str">
            <v>Hommes</v>
          </cell>
          <cell r="C15" t="str">
            <v>Ensemble</v>
          </cell>
          <cell r="D15" t="str">
            <v>Ensemble</v>
          </cell>
          <cell r="O15">
            <v>0</v>
          </cell>
          <cell r="P15">
            <v>15</v>
          </cell>
          <cell r="Q15">
            <v>14.482758620689699</v>
          </cell>
          <cell r="R15">
            <v>65.344827586206904</v>
          </cell>
          <cell r="S15">
            <v>1.55172413793103</v>
          </cell>
          <cell r="T15">
            <v>3.6206896551724101</v>
          </cell>
        </row>
        <row r="16">
          <cell r="A16">
            <v>1978</v>
          </cell>
          <cell r="B16" t="str">
            <v>Femmes</v>
          </cell>
          <cell r="C16" t="str">
            <v>Ensemble</v>
          </cell>
          <cell r="D16" t="str">
            <v>Ensemble</v>
          </cell>
          <cell r="O16">
            <v>0</v>
          </cell>
          <cell r="P16">
            <v>14.123711340206199</v>
          </cell>
          <cell r="Q16">
            <v>14.123711340206199</v>
          </cell>
          <cell r="R16">
            <v>67.319587628866003</v>
          </cell>
          <cell r="S16">
            <v>1.85567010309278</v>
          </cell>
          <cell r="T16">
            <v>2.5773195876288701</v>
          </cell>
        </row>
        <row r="17">
          <cell r="A17">
            <v>1978</v>
          </cell>
          <cell r="B17" t="str">
            <v>Hommes</v>
          </cell>
          <cell r="C17" t="str">
            <v>Ensemble</v>
          </cell>
          <cell r="D17" t="str">
            <v>Ensemble</v>
          </cell>
          <cell r="O17">
            <v>0</v>
          </cell>
          <cell r="P17">
            <v>14.9082568807339</v>
          </cell>
          <cell r="Q17">
            <v>12.3853211009174</v>
          </cell>
          <cell r="R17">
            <v>66.513761467889907</v>
          </cell>
          <cell r="S17">
            <v>1.3761467889908301</v>
          </cell>
          <cell r="T17">
            <v>4.8165137614678901</v>
          </cell>
        </row>
        <row r="18">
          <cell r="A18">
            <v>1984</v>
          </cell>
          <cell r="B18" t="str">
            <v>Femmes</v>
          </cell>
          <cell r="C18" t="str">
            <v>Ensemble</v>
          </cell>
          <cell r="D18" t="str">
            <v>Ensemble</v>
          </cell>
          <cell r="O18">
            <v>0</v>
          </cell>
          <cell r="P18">
            <v>15.400410677618099</v>
          </cell>
          <cell r="Q18">
            <v>11.6016427104723</v>
          </cell>
          <cell r="R18">
            <v>64.681724845995902</v>
          </cell>
          <cell r="S18">
            <v>4.62012320328542</v>
          </cell>
          <cell r="T18">
            <v>3.69609856262834</v>
          </cell>
        </row>
        <row r="19">
          <cell r="A19">
            <v>1984</v>
          </cell>
          <cell r="B19" t="str">
            <v>Hommes</v>
          </cell>
          <cell r="C19" t="str">
            <v>Ensemble</v>
          </cell>
          <cell r="D19" t="str">
            <v>Ensemble</v>
          </cell>
          <cell r="O19">
            <v>0.200400801603206</v>
          </cell>
          <cell r="P19">
            <v>13.0260521042084</v>
          </cell>
          <cell r="Q19">
            <v>10.0200400801603</v>
          </cell>
          <cell r="R19">
            <v>67.535070140280595</v>
          </cell>
          <cell r="S19">
            <v>3.2064128256513</v>
          </cell>
          <cell r="T19">
            <v>6.0120240480961904</v>
          </cell>
        </row>
        <row r="20">
          <cell r="A20">
            <v>1990</v>
          </cell>
          <cell r="B20" t="str">
            <v>Femmes</v>
          </cell>
          <cell r="C20" t="str">
            <v>Ensemble</v>
          </cell>
          <cell r="D20" t="str">
            <v>Ensemble</v>
          </cell>
          <cell r="O20">
            <v>0</v>
          </cell>
          <cell r="P20">
            <v>10.9969167523124</v>
          </cell>
          <cell r="Q20">
            <v>10.791366906474799</v>
          </cell>
          <cell r="R20">
            <v>65.570400822199403</v>
          </cell>
          <cell r="S20">
            <v>7.3997944501541602</v>
          </cell>
          <cell r="T20">
            <v>5.2415210688591998</v>
          </cell>
        </row>
        <row r="21">
          <cell r="A21">
            <v>1990</v>
          </cell>
          <cell r="B21" t="str">
            <v>Hommes</v>
          </cell>
          <cell r="C21" t="str">
            <v>Ensemble</v>
          </cell>
          <cell r="D21" t="str">
            <v>Ensemble</v>
          </cell>
          <cell r="O21">
            <v>0</v>
          </cell>
          <cell r="P21">
            <v>12.582781456953599</v>
          </cell>
          <cell r="Q21">
            <v>10.4304635761589</v>
          </cell>
          <cell r="R21">
            <v>63.410596026490097</v>
          </cell>
          <cell r="S21">
            <v>6.6225165562913899</v>
          </cell>
          <cell r="T21">
            <v>6.9536423841059598</v>
          </cell>
        </row>
        <row r="22">
          <cell r="A22">
            <v>1996</v>
          </cell>
          <cell r="B22" t="str">
            <v>Femmes</v>
          </cell>
          <cell r="C22" t="str">
            <v>Ensemble</v>
          </cell>
          <cell r="D22" t="str">
            <v>Ensemble</v>
          </cell>
          <cell r="O22">
            <v>0</v>
          </cell>
          <cell r="P22">
            <v>12.077294685990299</v>
          </cell>
          <cell r="Q22">
            <v>11.1111111111111</v>
          </cell>
          <cell r="R22">
            <v>65.024154589372003</v>
          </cell>
          <cell r="S22">
            <v>8.4057971014492807</v>
          </cell>
          <cell r="T22">
            <v>3.3816425120772902</v>
          </cell>
        </row>
        <row r="23">
          <cell r="A23">
            <v>1996</v>
          </cell>
          <cell r="B23" t="str">
            <v>Hommes</v>
          </cell>
          <cell r="C23" t="str">
            <v>Ensemble</v>
          </cell>
          <cell r="D23" t="str">
            <v>Ensemble</v>
          </cell>
          <cell r="O23">
            <v>0</v>
          </cell>
          <cell r="P23">
            <v>12.587412587412601</v>
          </cell>
          <cell r="Q23">
            <v>9.6153846153846096</v>
          </cell>
          <cell r="R23">
            <v>66.783216783216801</v>
          </cell>
          <cell r="S23">
            <v>3.6713286713286699</v>
          </cell>
          <cell r="T23">
            <v>7.3426573426573398</v>
          </cell>
        </row>
        <row r="24">
          <cell r="A24">
            <v>2000</v>
          </cell>
          <cell r="B24" t="str">
            <v>Femmes</v>
          </cell>
          <cell r="C24" t="str">
            <v>Ensemble</v>
          </cell>
          <cell r="D24" t="str">
            <v>Ensemble</v>
          </cell>
          <cell r="O24">
            <v>0</v>
          </cell>
          <cell r="P24">
            <v>11.143410852713201</v>
          </cell>
          <cell r="Q24">
            <v>9.8837209302325597</v>
          </cell>
          <cell r="R24">
            <v>64.825581395348806</v>
          </cell>
          <cell r="S24">
            <v>9.2054263565891503</v>
          </cell>
          <cell r="T24">
            <v>4.9418604651162799</v>
          </cell>
        </row>
        <row r="25">
          <cell r="A25">
            <v>2000</v>
          </cell>
          <cell r="B25" t="str">
            <v>Hommes</v>
          </cell>
          <cell r="C25" t="str">
            <v>Ensemble</v>
          </cell>
          <cell r="D25" t="str">
            <v>Ensemble</v>
          </cell>
          <cell r="O25">
            <v>0</v>
          </cell>
          <cell r="P25">
            <v>11.714770797962601</v>
          </cell>
          <cell r="Q25">
            <v>10.0169779286927</v>
          </cell>
          <cell r="R25">
            <v>64.516129032258107</v>
          </cell>
          <cell r="S25">
            <v>8.3191850594227503</v>
          </cell>
          <cell r="T25">
            <v>5.4329371816638403</v>
          </cell>
        </row>
        <row r="26">
          <cell r="A26">
            <v>1960</v>
          </cell>
          <cell r="B26" t="str">
            <v>Ensemble</v>
          </cell>
          <cell r="C26" t="str">
            <v>1</v>
          </cell>
          <cell r="D26" t="str">
            <v>Ensemble</v>
          </cell>
          <cell r="O26">
            <v>0</v>
          </cell>
          <cell r="P26">
            <v>12.132352941176499</v>
          </cell>
          <cell r="Q26">
            <v>10.661764705882399</v>
          </cell>
          <cell r="R26">
            <v>75.367647058823493</v>
          </cell>
          <cell r="S26">
            <v>1.8382352941176501</v>
          </cell>
          <cell r="T26">
            <v>0</v>
          </cell>
        </row>
        <row r="27">
          <cell r="A27">
            <v>1960</v>
          </cell>
          <cell r="B27" t="str">
            <v>Ensemble</v>
          </cell>
          <cell r="C27" t="str">
            <v>2</v>
          </cell>
          <cell r="D27" t="str">
            <v>Ensemble</v>
          </cell>
          <cell r="O27">
            <v>0</v>
          </cell>
          <cell r="P27">
            <v>7.94392523364486</v>
          </cell>
          <cell r="Q27">
            <v>10.2803738317757</v>
          </cell>
          <cell r="R27">
            <v>78.971962616822395</v>
          </cell>
          <cell r="S27">
            <v>0.934579439252336</v>
          </cell>
          <cell r="T27">
            <v>1.86915887850467</v>
          </cell>
        </row>
        <row r="28">
          <cell r="A28">
            <v>1960</v>
          </cell>
          <cell r="B28" t="str">
            <v>Ensemble</v>
          </cell>
          <cell r="C28" t="str">
            <v>3</v>
          </cell>
          <cell r="D28" t="str">
            <v>Ensemble</v>
          </cell>
          <cell r="O28">
            <v>0</v>
          </cell>
          <cell r="P28">
            <v>11.1111111111111</v>
          </cell>
          <cell r="Q28">
            <v>12.301587301587301</v>
          </cell>
          <cell r="R28">
            <v>74.206349206349202</v>
          </cell>
          <cell r="S28">
            <v>1.5873015873015901</v>
          </cell>
          <cell r="T28">
            <v>0.79365079365079405</v>
          </cell>
        </row>
        <row r="29">
          <cell r="A29">
            <v>1960</v>
          </cell>
          <cell r="B29" t="str">
            <v>Ensemble</v>
          </cell>
          <cell r="C29" t="str">
            <v>4</v>
          </cell>
          <cell r="D29" t="str">
            <v>Ensemble</v>
          </cell>
          <cell r="O29">
            <v>0</v>
          </cell>
          <cell r="P29">
            <v>12.1527777777778</v>
          </cell>
          <cell r="Q29">
            <v>17.3611111111111</v>
          </cell>
          <cell r="R29">
            <v>67.0138888888889</v>
          </cell>
          <cell r="S29">
            <v>1.7361111111111101</v>
          </cell>
          <cell r="T29">
            <v>1.7361111111111101</v>
          </cell>
        </row>
        <row r="30">
          <cell r="A30">
            <v>1960</v>
          </cell>
          <cell r="B30" t="str">
            <v>Ensemble</v>
          </cell>
          <cell r="C30" t="str">
            <v>5</v>
          </cell>
          <cell r="D30" t="str">
            <v>Ensemble</v>
          </cell>
          <cell r="O30">
            <v>0</v>
          </cell>
          <cell r="P30">
            <v>11.1111111111111</v>
          </cell>
          <cell r="Q30">
            <v>17.037037037036999</v>
          </cell>
          <cell r="R30">
            <v>67.7777777777778</v>
          </cell>
          <cell r="S30">
            <v>0.37037037037037002</v>
          </cell>
          <cell r="T30">
            <v>3.7037037037037002</v>
          </cell>
        </row>
        <row r="31">
          <cell r="A31">
            <v>1966</v>
          </cell>
          <cell r="B31" t="str">
            <v>Ensemble</v>
          </cell>
          <cell r="C31" t="str">
            <v>1</v>
          </cell>
          <cell r="D31" t="str">
            <v>Ensemble</v>
          </cell>
          <cell r="O31">
            <v>0</v>
          </cell>
          <cell r="P31">
            <v>5.4347826086956497</v>
          </cell>
          <cell r="Q31">
            <v>14.130434782608701</v>
          </cell>
          <cell r="R31">
            <v>74.456521739130395</v>
          </cell>
          <cell r="S31">
            <v>4.8913043478260896</v>
          </cell>
          <cell r="T31">
            <v>1.0869565217391299</v>
          </cell>
        </row>
        <row r="32">
          <cell r="A32">
            <v>1966</v>
          </cell>
          <cell r="B32" t="str">
            <v>Ensemble</v>
          </cell>
          <cell r="C32" t="str">
            <v>2</v>
          </cell>
          <cell r="D32" t="str">
            <v>Ensemble</v>
          </cell>
          <cell r="O32">
            <v>0</v>
          </cell>
          <cell r="P32">
            <v>11.4624505928854</v>
          </cell>
          <cell r="Q32">
            <v>13.833992094861699</v>
          </cell>
          <cell r="R32">
            <v>70.750988142292499</v>
          </cell>
          <cell r="S32">
            <v>1.5810276679841899</v>
          </cell>
          <cell r="T32">
            <v>2.3715415019762802</v>
          </cell>
        </row>
        <row r="33">
          <cell r="A33">
            <v>1966</v>
          </cell>
          <cell r="B33" t="str">
            <v>Ensemble</v>
          </cell>
          <cell r="C33" t="str">
            <v>3</v>
          </cell>
          <cell r="D33" t="str">
            <v>Ensemble</v>
          </cell>
          <cell r="O33">
            <v>0</v>
          </cell>
          <cell r="P33">
            <v>9.0909090909090899</v>
          </cell>
          <cell r="Q33">
            <v>17.845117845117802</v>
          </cell>
          <cell r="R33">
            <v>69.360269360269399</v>
          </cell>
          <cell r="S33">
            <v>2.3569023569023599</v>
          </cell>
          <cell r="T33">
            <v>1.34680134680135</v>
          </cell>
        </row>
        <row r="34">
          <cell r="A34">
            <v>1966</v>
          </cell>
          <cell r="B34" t="str">
            <v>Ensemble</v>
          </cell>
          <cell r="C34" t="str">
            <v>4</v>
          </cell>
          <cell r="D34" t="str">
            <v>Ensemble</v>
          </cell>
          <cell r="O34">
            <v>0</v>
          </cell>
          <cell r="P34">
            <v>19.3460490463215</v>
          </cell>
          <cell r="Q34">
            <v>19.3460490463215</v>
          </cell>
          <cell r="R34">
            <v>55.040871934604901</v>
          </cell>
          <cell r="S34">
            <v>3.81471389645777</v>
          </cell>
          <cell r="T34">
            <v>2.4523160762942799</v>
          </cell>
        </row>
        <row r="35">
          <cell r="A35">
            <v>1966</v>
          </cell>
          <cell r="B35" t="str">
            <v>Ensemble</v>
          </cell>
          <cell r="C35" t="str">
            <v>5</v>
          </cell>
          <cell r="D35" t="str">
            <v>Ensemble</v>
          </cell>
          <cell r="O35">
            <v>0</v>
          </cell>
          <cell r="P35">
            <v>17.445482866043601</v>
          </cell>
          <cell r="Q35">
            <v>14.641744548286599</v>
          </cell>
          <cell r="R35">
            <v>60.1246105919003</v>
          </cell>
          <cell r="S35">
            <v>1.55763239875389</v>
          </cell>
          <cell r="T35">
            <v>6.2305295950155797</v>
          </cell>
        </row>
        <row r="36">
          <cell r="A36">
            <v>1972</v>
          </cell>
          <cell r="B36" t="str">
            <v>Ensemble</v>
          </cell>
          <cell r="C36" t="str">
            <v>1</v>
          </cell>
          <cell r="D36" t="str">
            <v>Ensemble</v>
          </cell>
          <cell r="O36">
            <v>0</v>
          </cell>
          <cell r="P36">
            <v>8.0385852090032195</v>
          </cell>
          <cell r="Q36">
            <v>10.932475884244401</v>
          </cell>
          <cell r="R36">
            <v>76.527331189710594</v>
          </cell>
          <cell r="S36">
            <v>3.21543408360129</v>
          </cell>
          <cell r="T36">
            <v>1.2861736334405101</v>
          </cell>
        </row>
        <row r="37">
          <cell r="A37">
            <v>1972</v>
          </cell>
          <cell r="B37" t="str">
            <v>Ensemble</v>
          </cell>
          <cell r="C37" t="str">
            <v>2</v>
          </cell>
          <cell r="D37" t="str">
            <v>Ensemble</v>
          </cell>
          <cell r="O37">
            <v>0</v>
          </cell>
          <cell r="P37">
            <v>14.912280701754399</v>
          </cell>
          <cell r="Q37">
            <v>14.473684210526301</v>
          </cell>
          <cell r="R37">
            <v>67.105263157894697</v>
          </cell>
          <cell r="S37">
            <v>0.87719298245613997</v>
          </cell>
          <cell r="T37">
            <v>2.6315789473684199</v>
          </cell>
        </row>
        <row r="38">
          <cell r="A38">
            <v>1972</v>
          </cell>
          <cell r="B38" t="str">
            <v>Ensemble</v>
          </cell>
          <cell r="C38" t="str">
            <v>3</v>
          </cell>
          <cell r="D38" t="str">
            <v>Ensemble</v>
          </cell>
          <cell r="O38">
            <v>0</v>
          </cell>
          <cell r="P38">
            <v>12.7659574468085</v>
          </cell>
          <cell r="Q38">
            <v>14.539007092198601</v>
          </cell>
          <cell r="R38">
            <v>67.375886524822704</v>
          </cell>
          <cell r="S38">
            <v>3.1914893617021298</v>
          </cell>
          <cell r="T38">
            <v>2.12765957446809</v>
          </cell>
        </row>
        <row r="39">
          <cell r="A39">
            <v>1972</v>
          </cell>
          <cell r="B39" t="str">
            <v>Ensemble</v>
          </cell>
          <cell r="C39" t="str">
            <v>4</v>
          </cell>
          <cell r="D39" t="str">
            <v>Ensemble</v>
          </cell>
          <cell r="O39">
            <v>0</v>
          </cell>
          <cell r="P39">
            <v>16.5625</v>
          </cell>
          <cell r="Q39">
            <v>19.6875</v>
          </cell>
          <cell r="R39">
            <v>58.125</v>
          </cell>
          <cell r="S39">
            <v>2.1875</v>
          </cell>
          <cell r="T39">
            <v>3.4375</v>
          </cell>
        </row>
        <row r="40">
          <cell r="A40">
            <v>1972</v>
          </cell>
          <cell r="B40" t="str">
            <v>Ensemble</v>
          </cell>
          <cell r="C40" t="str">
            <v>5</v>
          </cell>
          <cell r="D40" t="str">
            <v>Ensemble</v>
          </cell>
          <cell r="O40">
            <v>0</v>
          </cell>
          <cell r="P40">
            <v>17.8571428571429</v>
          </cell>
          <cell r="Q40">
            <v>15.5844155844156</v>
          </cell>
          <cell r="R40">
            <v>58.766233766233803</v>
          </cell>
          <cell r="S40">
            <v>0.97402597402597402</v>
          </cell>
          <cell r="T40">
            <v>6.8181818181818201</v>
          </cell>
        </row>
        <row r="41">
          <cell r="A41">
            <v>1978</v>
          </cell>
          <cell r="B41" t="str">
            <v>Ensemble</v>
          </cell>
          <cell r="C41" t="str">
            <v>1</v>
          </cell>
          <cell r="D41" t="str">
            <v>Ensemble</v>
          </cell>
          <cell r="O41">
            <v>0</v>
          </cell>
          <cell r="P41">
            <v>11.787072243346</v>
          </cell>
          <cell r="Q41">
            <v>10.646387832699601</v>
          </cell>
          <cell r="R41">
            <v>73.384030418250902</v>
          </cell>
          <cell r="S41">
            <v>1.90114068441065</v>
          </cell>
          <cell r="T41">
            <v>2.2813688212927801</v>
          </cell>
        </row>
        <row r="42">
          <cell r="A42">
            <v>1978</v>
          </cell>
          <cell r="B42" t="str">
            <v>Ensemble</v>
          </cell>
          <cell r="C42" t="str">
            <v>2</v>
          </cell>
          <cell r="D42" t="str">
            <v>Ensemble</v>
          </cell>
          <cell r="O42">
            <v>0</v>
          </cell>
          <cell r="P42">
            <v>16.783216783216801</v>
          </cell>
          <cell r="Q42">
            <v>10.489510489510501</v>
          </cell>
          <cell r="R42">
            <v>67.832167832167798</v>
          </cell>
          <cell r="S42">
            <v>2.0979020979021001</v>
          </cell>
          <cell r="T42">
            <v>2.7972027972028002</v>
          </cell>
        </row>
        <row r="43">
          <cell r="A43">
            <v>1978</v>
          </cell>
          <cell r="B43" t="str">
            <v>Ensemble</v>
          </cell>
          <cell r="C43" t="str">
            <v>3</v>
          </cell>
          <cell r="D43" t="str">
            <v>Ensemble</v>
          </cell>
          <cell r="O43">
            <v>0</v>
          </cell>
          <cell r="P43">
            <v>13.868613138686101</v>
          </cell>
          <cell r="Q43">
            <v>13.138686131386899</v>
          </cell>
          <cell r="R43">
            <v>67.153284671532802</v>
          </cell>
          <cell r="S43">
            <v>2.1897810218978102</v>
          </cell>
          <cell r="T43">
            <v>3.6496350364963499</v>
          </cell>
        </row>
        <row r="44">
          <cell r="A44">
            <v>1978</v>
          </cell>
          <cell r="B44" t="str">
            <v>Ensemble</v>
          </cell>
          <cell r="C44" t="str">
            <v>4</v>
          </cell>
          <cell r="D44" t="str">
            <v>Ensemble</v>
          </cell>
          <cell r="O44">
            <v>0</v>
          </cell>
          <cell r="P44">
            <v>15.960912052117299</v>
          </cell>
          <cell r="Q44">
            <v>15.6351791530945</v>
          </cell>
          <cell r="R44">
            <v>63.843648208469098</v>
          </cell>
          <cell r="S44">
            <v>1.95439739413681</v>
          </cell>
          <cell r="T44">
            <v>2.6058631921824098</v>
          </cell>
        </row>
        <row r="45">
          <cell r="A45">
            <v>1978</v>
          </cell>
          <cell r="B45" t="str">
            <v>Ensemble</v>
          </cell>
          <cell r="C45" t="str">
            <v>5</v>
          </cell>
          <cell r="D45" t="str">
            <v>Ensemble</v>
          </cell>
          <cell r="O45">
            <v>0</v>
          </cell>
          <cell r="P45">
            <v>13.0434782608696</v>
          </cell>
          <cell r="Q45">
            <v>17.7536231884058</v>
          </cell>
          <cell r="R45">
            <v>63.768115942028999</v>
          </cell>
          <cell r="S45">
            <v>0.36231884057970998</v>
          </cell>
          <cell r="T45">
            <v>5.0724637681159397</v>
          </cell>
        </row>
        <row r="46">
          <cell r="A46">
            <v>1984</v>
          </cell>
          <cell r="B46" t="str">
            <v>Ensemble</v>
          </cell>
          <cell r="C46" t="str">
            <v>1</v>
          </cell>
          <cell r="D46" t="str">
            <v>Ensemble</v>
          </cell>
          <cell r="O46">
            <v>0</v>
          </cell>
          <cell r="P46">
            <v>11.5942028985507</v>
          </cell>
          <cell r="Q46">
            <v>10.869565217391299</v>
          </cell>
          <cell r="R46">
            <v>68.840579710144894</v>
          </cell>
          <cell r="S46">
            <v>6.1594202898550696</v>
          </cell>
          <cell r="T46">
            <v>2.5362318840579698</v>
          </cell>
        </row>
        <row r="47">
          <cell r="A47">
            <v>1984</v>
          </cell>
          <cell r="B47" t="str">
            <v>Ensemble</v>
          </cell>
          <cell r="C47" t="str">
            <v>2</v>
          </cell>
          <cell r="D47" t="str">
            <v>Ensemble</v>
          </cell>
          <cell r="O47">
            <v>0</v>
          </cell>
          <cell r="P47">
            <v>11.307420494699601</v>
          </cell>
          <cell r="Q47">
            <v>8.8339222614840995</v>
          </cell>
          <cell r="R47">
            <v>71.024734982332106</v>
          </cell>
          <cell r="S47">
            <v>4.9469964664311004</v>
          </cell>
          <cell r="T47">
            <v>3.8869257950530001</v>
          </cell>
        </row>
        <row r="48">
          <cell r="A48">
            <v>1984</v>
          </cell>
          <cell r="B48" t="str">
            <v>Ensemble</v>
          </cell>
          <cell r="C48" t="str">
            <v>3</v>
          </cell>
          <cell r="D48" t="str">
            <v>Ensemble</v>
          </cell>
          <cell r="O48">
            <v>0.35460992907801397</v>
          </cell>
          <cell r="P48">
            <v>14.893617021276601</v>
          </cell>
          <cell r="Q48">
            <v>9.9290780141843999</v>
          </cell>
          <cell r="R48">
            <v>68.794326241134797</v>
          </cell>
          <cell r="S48">
            <v>3.5460992907801399</v>
          </cell>
          <cell r="T48">
            <v>2.4822695035461</v>
          </cell>
        </row>
        <row r="49">
          <cell r="A49">
            <v>1984</v>
          </cell>
          <cell r="B49" t="str">
            <v>Ensemble</v>
          </cell>
          <cell r="C49" t="str">
            <v>4</v>
          </cell>
          <cell r="D49" t="str">
            <v>Ensemble</v>
          </cell>
          <cell r="O49">
            <v>0</v>
          </cell>
          <cell r="P49">
            <v>18.360655737704899</v>
          </cell>
          <cell r="Q49">
            <v>15.409836065573799</v>
          </cell>
          <cell r="R49">
            <v>56.721311475409799</v>
          </cell>
          <cell r="S49">
            <v>2.6229508196721301</v>
          </cell>
          <cell r="T49">
            <v>6.8852459016393404</v>
          </cell>
        </row>
        <row r="50">
          <cell r="A50">
            <v>1984</v>
          </cell>
          <cell r="B50" t="str">
            <v>Ensemble</v>
          </cell>
          <cell r="C50" t="str">
            <v>5</v>
          </cell>
          <cell r="D50" t="str">
            <v>Ensemble</v>
          </cell>
          <cell r="O50">
            <v>0</v>
          </cell>
          <cell r="P50">
            <v>16.207951070336399</v>
          </cell>
          <cell r="Q50">
            <v>10.0917431192661</v>
          </cell>
          <cell r="R50">
            <v>63.914373088684997</v>
          </cell>
          <cell r="S50">
            <v>3.6697247706421998</v>
          </cell>
          <cell r="T50">
            <v>6.11620795107034</v>
          </cell>
        </row>
        <row r="51">
          <cell r="A51">
            <v>1990</v>
          </cell>
          <cell r="B51" t="str">
            <v>Ensemble</v>
          </cell>
          <cell r="C51" t="str">
            <v>1</v>
          </cell>
          <cell r="D51" t="str">
            <v>Ensemble</v>
          </cell>
          <cell r="O51">
            <v>0</v>
          </cell>
          <cell r="P51">
            <v>12.251655629139099</v>
          </cell>
          <cell r="Q51">
            <v>10.2649006622517</v>
          </cell>
          <cell r="R51">
            <v>66.556291390728504</v>
          </cell>
          <cell r="S51">
            <v>7.6158940397350996</v>
          </cell>
          <cell r="T51">
            <v>3.3112582781456998</v>
          </cell>
        </row>
        <row r="52">
          <cell r="A52">
            <v>1990</v>
          </cell>
          <cell r="B52" t="str">
            <v>Ensemble</v>
          </cell>
          <cell r="C52" t="str">
            <v>2</v>
          </cell>
          <cell r="D52" t="str">
            <v>Ensemble</v>
          </cell>
          <cell r="O52">
            <v>0</v>
          </cell>
          <cell r="P52">
            <v>14.551083591331301</v>
          </cell>
          <cell r="Q52">
            <v>8.3591331269349904</v>
          </cell>
          <cell r="R52">
            <v>64.705882352941202</v>
          </cell>
          <cell r="S52">
            <v>9.5975232198142404</v>
          </cell>
          <cell r="T52">
            <v>2.7863777089783301</v>
          </cell>
        </row>
        <row r="53">
          <cell r="A53">
            <v>1990</v>
          </cell>
          <cell r="B53" t="str">
            <v>Ensemble</v>
          </cell>
          <cell r="C53" t="str">
            <v>3</v>
          </cell>
          <cell r="D53" t="str">
            <v>Ensemble</v>
          </cell>
          <cell r="O53">
            <v>0</v>
          </cell>
          <cell r="P53">
            <v>8.8888888888888893</v>
          </cell>
          <cell r="Q53">
            <v>8.8888888888888893</v>
          </cell>
          <cell r="R53">
            <v>70.793650793650798</v>
          </cell>
          <cell r="S53">
            <v>5.71428571428571</v>
          </cell>
          <cell r="T53">
            <v>5.71428571428571</v>
          </cell>
        </row>
        <row r="54">
          <cell r="A54">
            <v>1990</v>
          </cell>
          <cell r="B54" t="str">
            <v>Ensemble</v>
          </cell>
          <cell r="C54" t="str">
            <v>4</v>
          </cell>
          <cell r="D54" t="str">
            <v>Ensemble</v>
          </cell>
          <cell r="O54">
            <v>0</v>
          </cell>
          <cell r="P54">
            <v>9.6676737160120805</v>
          </cell>
          <cell r="Q54">
            <v>12.6888217522659</v>
          </cell>
          <cell r="R54">
            <v>58.006042296072501</v>
          </cell>
          <cell r="S54">
            <v>8.1570996978852008</v>
          </cell>
          <cell r="T54">
            <v>11.4803625377643</v>
          </cell>
        </row>
        <row r="55">
          <cell r="A55">
            <v>1990</v>
          </cell>
          <cell r="B55" t="str">
            <v>Ensemble</v>
          </cell>
          <cell r="C55" t="str">
            <v>5</v>
          </cell>
          <cell r="D55" t="str">
            <v>Ensemble</v>
          </cell>
          <cell r="O55">
            <v>0</v>
          </cell>
          <cell r="P55">
            <v>12.7450980392157</v>
          </cell>
          <cell r="Q55">
            <v>13.071895424836599</v>
          </cell>
          <cell r="R55">
            <v>64.052287581699304</v>
          </cell>
          <cell r="S55">
            <v>4.2483660130718999</v>
          </cell>
          <cell r="T55">
            <v>5.8823529411764701</v>
          </cell>
        </row>
        <row r="56">
          <cell r="A56">
            <v>1996</v>
          </cell>
          <cell r="B56" t="str">
            <v>Ensemble</v>
          </cell>
          <cell r="C56" t="str">
            <v>1</v>
          </cell>
          <cell r="D56" t="str">
            <v>Ensemble</v>
          </cell>
          <cell r="O56">
            <v>0</v>
          </cell>
          <cell r="P56">
            <v>15.087719298245601</v>
          </cell>
          <cell r="Q56">
            <v>10.175438596491199</v>
          </cell>
          <cell r="R56">
            <v>63.859649122806999</v>
          </cell>
          <cell r="S56">
            <v>8.7719298245614006</v>
          </cell>
          <cell r="T56">
            <v>2.1052631578947398</v>
          </cell>
        </row>
        <row r="57">
          <cell r="A57">
            <v>1996</v>
          </cell>
          <cell r="B57" t="str">
            <v>Ensemble</v>
          </cell>
          <cell r="C57" t="str">
            <v>2</v>
          </cell>
          <cell r="D57" t="str">
            <v>Ensemble</v>
          </cell>
          <cell r="O57">
            <v>0</v>
          </cell>
          <cell r="P57">
            <v>11.217948717948699</v>
          </cell>
          <cell r="Q57">
            <v>7.6923076923076898</v>
          </cell>
          <cell r="R57">
            <v>68.589743589743605</v>
          </cell>
          <cell r="S57">
            <v>9.2948717948717992</v>
          </cell>
          <cell r="T57">
            <v>3.2051282051282102</v>
          </cell>
        </row>
        <row r="58">
          <cell r="A58">
            <v>1996</v>
          </cell>
          <cell r="B58" t="str">
            <v>Ensemble</v>
          </cell>
          <cell r="C58" t="str">
            <v>3</v>
          </cell>
          <cell r="D58" t="str">
            <v>Ensemble</v>
          </cell>
          <cell r="O58">
            <v>0</v>
          </cell>
          <cell r="P58">
            <v>14.953271028037401</v>
          </cell>
          <cell r="Q58">
            <v>9.6573208722741395</v>
          </cell>
          <cell r="R58">
            <v>65.109034267912804</v>
          </cell>
          <cell r="S58">
            <v>5.6074766355140202</v>
          </cell>
          <cell r="T58">
            <v>4.6728971962616797</v>
          </cell>
        </row>
        <row r="59">
          <cell r="A59">
            <v>1996</v>
          </cell>
          <cell r="B59" t="str">
            <v>Ensemble</v>
          </cell>
          <cell r="C59" t="str">
            <v>4</v>
          </cell>
          <cell r="D59" t="str">
            <v>Ensemble</v>
          </cell>
          <cell r="O59">
            <v>0</v>
          </cell>
          <cell r="P59">
            <v>8.9887640449438209</v>
          </cell>
          <cell r="Q59">
            <v>15.168539325842699</v>
          </cell>
          <cell r="R59">
            <v>68.539325842696599</v>
          </cell>
          <cell r="S59">
            <v>4.2134831460674196</v>
          </cell>
          <cell r="T59">
            <v>3.0898876404494402</v>
          </cell>
        </row>
        <row r="60">
          <cell r="A60">
            <v>1996</v>
          </cell>
          <cell r="B60" t="str">
            <v>Ensemble</v>
          </cell>
          <cell r="C60" t="str">
            <v>5</v>
          </cell>
          <cell r="D60" t="str">
            <v>Ensemble</v>
          </cell>
          <cell r="O60">
            <v>0</v>
          </cell>
          <cell r="P60">
            <v>11.7117117117117</v>
          </cell>
          <cell r="Q60">
            <v>9.6096096096096097</v>
          </cell>
          <cell r="R60">
            <v>61.861861861861897</v>
          </cell>
          <cell r="S60">
            <v>6.3063063063063103</v>
          </cell>
          <cell r="T60">
            <v>10.5105105105105</v>
          </cell>
        </row>
        <row r="61">
          <cell r="A61">
            <v>2000</v>
          </cell>
          <cell r="B61" t="str">
            <v>Ensemble</v>
          </cell>
          <cell r="C61" t="str">
            <v>1</v>
          </cell>
          <cell r="D61" t="str">
            <v>Ensemble</v>
          </cell>
          <cell r="O61">
            <v>0</v>
          </cell>
          <cell r="P61">
            <v>10.9215017064846</v>
          </cell>
          <cell r="Q61">
            <v>8.5324232081911298</v>
          </cell>
          <cell r="R61">
            <v>68.600682593856703</v>
          </cell>
          <cell r="S61">
            <v>8.5324232081911298</v>
          </cell>
          <cell r="T61">
            <v>3.4129692832764502</v>
          </cell>
        </row>
        <row r="62">
          <cell r="A62">
            <v>2000</v>
          </cell>
          <cell r="B62" t="str">
            <v>Ensemble</v>
          </cell>
          <cell r="C62" t="str">
            <v>2</v>
          </cell>
          <cell r="D62" t="str">
            <v>Ensemble</v>
          </cell>
          <cell r="O62">
            <v>0</v>
          </cell>
          <cell r="P62">
            <v>12.3493975903614</v>
          </cell>
          <cell r="Q62">
            <v>8.4337349397590398</v>
          </cell>
          <cell r="R62">
            <v>65.662650602409599</v>
          </cell>
          <cell r="S62">
            <v>9.0361445783132499</v>
          </cell>
          <cell r="T62">
            <v>4.5180722891566303</v>
          </cell>
        </row>
        <row r="63">
          <cell r="A63">
            <v>2000</v>
          </cell>
          <cell r="B63" t="str">
            <v>Ensemble</v>
          </cell>
          <cell r="C63" t="str">
            <v>3</v>
          </cell>
          <cell r="D63" t="str">
            <v>Ensemble</v>
          </cell>
          <cell r="O63">
            <v>0</v>
          </cell>
          <cell r="P63">
            <v>11.849710982658999</v>
          </cell>
          <cell r="Q63">
            <v>11.560693641618499</v>
          </cell>
          <cell r="R63">
            <v>62.427745664739902</v>
          </cell>
          <cell r="S63">
            <v>10.115606936416199</v>
          </cell>
          <cell r="T63">
            <v>4.04624277456647</v>
          </cell>
        </row>
        <row r="64">
          <cell r="A64">
            <v>2000</v>
          </cell>
          <cell r="B64" t="str">
            <v>Ensemble</v>
          </cell>
          <cell r="C64" t="str">
            <v>4</v>
          </cell>
          <cell r="D64" t="str">
            <v>Ensemble</v>
          </cell>
          <cell r="O64">
            <v>0</v>
          </cell>
          <cell r="P64">
            <v>12.202380952381001</v>
          </cell>
          <cell r="Q64">
            <v>13.0952380952381</v>
          </cell>
          <cell r="R64">
            <v>60.119047619047599</v>
          </cell>
          <cell r="S64">
            <v>9.5238095238095202</v>
          </cell>
          <cell r="T64">
            <v>5.0595238095238102</v>
          </cell>
        </row>
        <row r="65">
          <cell r="A65">
            <v>2000</v>
          </cell>
          <cell r="B65" t="str">
            <v>Ensemble</v>
          </cell>
          <cell r="C65" t="str">
            <v>5</v>
          </cell>
          <cell r="D65" t="str">
            <v>Ensemble</v>
          </cell>
          <cell r="O65">
            <v>0</v>
          </cell>
          <cell r="P65">
            <v>9.2356687898089191</v>
          </cell>
          <cell r="Q65">
            <v>7.6433121019108299</v>
          </cell>
          <cell r="R65">
            <v>67.515923566878996</v>
          </cell>
          <cell r="S65">
            <v>7.0063694267515899</v>
          </cell>
          <cell r="T65">
            <v>8.5987261146496792</v>
          </cell>
        </row>
        <row r="66">
          <cell r="A66">
            <v>1960</v>
          </cell>
          <cell r="B66" t="str">
            <v>Ensemble</v>
          </cell>
          <cell r="C66" t="str">
            <v>Ensemble</v>
          </cell>
          <cell r="D66" t="str">
            <v>Mono-pensionné FP</v>
          </cell>
          <cell r="O66">
            <v>0</v>
          </cell>
          <cell r="P66">
            <v>8.4615384615384599</v>
          </cell>
          <cell r="Q66">
            <v>7.6923076923076898</v>
          </cell>
          <cell r="R66">
            <v>81.538461538461505</v>
          </cell>
          <cell r="S66">
            <v>1.5384615384615401</v>
          </cell>
          <cell r="T66">
            <v>0.76923076923076905</v>
          </cell>
        </row>
        <row r="67">
          <cell r="A67">
            <v>1960</v>
          </cell>
          <cell r="B67" t="str">
            <v>Ensemble</v>
          </cell>
          <cell r="C67" t="str">
            <v>Ensemble</v>
          </cell>
          <cell r="D67" t="str">
            <v>Mono-pensionné Lura</v>
          </cell>
          <cell r="O67">
            <v>0</v>
          </cell>
          <cell r="P67">
            <v>10.526315789473699</v>
          </cell>
          <cell r="Q67">
            <v>14.6761133603239</v>
          </cell>
          <cell r="R67">
            <v>71.862348178137694</v>
          </cell>
          <cell r="S67">
            <v>1.417004048583</v>
          </cell>
          <cell r="T67">
            <v>1.51821862348178</v>
          </cell>
        </row>
        <row r="68">
          <cell r="A68">
            <v>1960</v>
          </cell>
          <cell r="B68" t="str">
            <v>Ensemble</v>
          </cell>
          <cell r="C68" t="str">
            <v>Ensemble</v>
          </cell>
          <cell r="D68" t="str">
            <v>Polypensionné Lura/FP</v>
          </cell>
          <cell r="O68">
            <v>0</v>
          </cell>
          <cell r="P68">
            <v>15.819209039547999</v>
          </cell>
          <cell r="Q68">
            <v>12.9943502824859</v>
          </cell>
          <cell r="R68">
            <v>68.361581920904001</v>
          </cell>
          <cell r="S68">
            <v>0.56497175141242895</v>
          </cell>
          <cell r="T68">
            <v>2.2598870056497198</v>
          </cell>
        </row>
        <row r="69">
          <cell r="A69">
            <v>1966</v>
          </cell>
          <cell r="B69" t="str">
            <v>Ensemble</v>
          </cell>
          <cell r="C69" t="str">
            <v>Ensemble</v>
          </cell>
          <cell r="D69" t="str">
            <v>Mono-pensionné FP</v>
          </cell>
          <cell r="O69">
            <v>0</v>
          </cell>
          <cell r="P69">
            <v>9.0277777777777803</v>
          </cell>
          <cell r="Q69">
            <v>17.3611111111111</v>
          </cell>
          <cell r="R69">
            <v>70.1388888888889</v>
          </cell>
          <cell r="S69">
            <v>0.69444444444444398</v>
          </cell>
          <cell r="T69">
            <v>2.7777777777777799</v>
          </cell>
        </row>
        <row r="70">
          <cell r="A70">
            <v>1966</v>
          </cell>
          <cell r="B70" t="str">
            <v>Ensemble</v>
          </cell>
          <cell r="C70" t="str">
            <v>Ensemble</v>
          </cell>
          <cell r="D70" t="str">
            <v>Mono-pensionné Lura</v>
          </cell>
          <cell r="O70">
            <v>0</v>
          </cell>
          <cell r="P70">
            <v>13.905930470347601</v>
          </cell>
          <cell r="Q70">
            <v>16.2576687116564</v>
          </cell>
          <cell r="R70">
            <v>63.701431492842502</v>
          </cell>
          <cell r="S70">
            <v>3.3742331288343599</v>
          </cell>
          <cell r="T70">
            <v>2.7607361963190198</v>
          </cell>
        </row>
        <row r="71">
          <cell r="A71">
            <v>1966</v>
          </cell>
          <cell r="B71" t="str">
            <v>Ensemble</v>
          </cell>
          <cell r="C71" t="str">
            <v>Ensemble</v>
          </cell>
          <cell r="D71" t="str">
            <v>Polypensionné Lura/FP</v>
          </cell>
          <cell r="O71">
            <v>0</v>
          </cell>
          <cell r="P71">
            <v>14.6666666666667</v>
          </cell>
          <cell r="Q71">
            <v>16</v>
          </cell>
          <cell r="R71">
            <v>64.3333333333333</v>
          </cell>
          <cell r="S71">
            <v>1.6666666666666701</v>
          </cell>
          <cell r="T71">
            <v>3.3333333333333299</v>
          </cell>
        </row>
        <row r="72">
          <cell r="A72">
            <v>1972</v>
          </cell>
          <cell r="B72" t="str">
            <v>Ensemble</v>
          </cell>
          <cell r="C72" t="str">
            <v>Ensemble</v>
          </cell>
          <cell r="D72" t="str">
            <v>Mono-pensionné FP</v>
          </cell>
          <cell r="O72">
            <v>0</v>
          </cell>
          <cell r="P72">
            <v>16.7741935483871</v>
          </cell>
          <cell r="Q72">
            <v>11.6129032258065</v>
          </cell>
          <cell r="R72">
            <v>69.677419354838705</v>
          </cell>
          <cell r="S72">
            <v>0</v>
          </cell>
          <cell r="T72">
            <v>1.93548387096774</v>
          </cell>
        </row>
        <row r="73">
          <cell r="A73">
            <v>1972</v>
          </cell>
          <cell r="B73" t="str">
            <v>Ensemble</v>
          </cell>
          <cell r="C73" t="str">
            <v>Ensemble</v>
          </cell>
          <cell r="D73" t="str">
            <v>Mono-pensionné Lura</v>
          </cell>
          <cell r="O73">
            <v>0</v>
          </cell>
          <cell r="P73">
            <v>14.3414634146341</v>
          </cell>
          <cell r="Q73">
            <v>17.170731707317099</v>
          </cell>
          <cell r="R73">
            <v>63.317073170731703</v>
          </cell>
          <cell r="S73">
            <v>2.1463414634146298</v>
          </cell>
          <cell r="T73">
            <v>3.0243902439024399</v>
          </cell>
        </row>
        <row r="74">
          <cell r="A74">
            <v>1972</v>
          </cell>
          <cell r="B74" t="str">
            <v>Ensemble</v>
          </cell>
          <cell r="C74" t="str">
            <v>Ensemble</v>
          </cell>
          <cell r="D74" t="str">
            <v>Polypensionné Lura/FP</v>
          </cell>
          <cell r="O74">
            <v>0</v>
          </cell>
          <cell r="P74">
            <v>11.1524163568773</v>
          </cell>
          <cell r="Q74">
            <v>9.2936802973977706</v>
          </cell>
          <cell r="R74">
            <v>71.003717472119007</v>
          </cell>
          <cell r="S74">
            <v>3.3457249070631998</v>
          </cell>
          <cell r="T74">
            <v>5.2044609665427499</v>
          </cell>
        </row>
        <row r="75">
          <cell r="A75">
            <v>1978</v>
          </cell>
          <cell r="B75" t="str">
            <v>Ensemble</v>
          </cell>
          <cell r="C75" t="str">
            <v>Ensemble</v>
          </cell>
          <cell r="D75" t="str">
            <v>Mono-pensionné FP</v>
          </cell>
          <cell r="O75">
            <v>0</v>
          </cell>
          <cell r="P75">
            <v>7.4468085106383004</v>
          </cell>
          <cell r="Q75">
            <v>15.9574468085106</v>
          </cell>
          <cell r="R75">
            <v>72.340425531914903</v>
          </cell>
          <cell r="S75">
            <v>0</v>
          </cell>
          <cell r="T75">
            <v>4.2553191489361701</v>
          </cell>
        </row>
        <row r="76">
          <cell r="A76">
            <v>1978</v>
          </cell>
          <cell r="B76" t="str">
            <v>Ensemble</v>
          </cell>
          <cell r="C76" t="str">
            <v>Ensemble</v>
          </cell>
          <cell r="D76" t="str">
            <v>Mono-pensionné Lura</v>
          </cell>
          <cell r="O76">
            <v>0</v>
          </cell>
          <cell r="P76">
            <v>13.951310861423201</v>
          </cell>
          <cell r="Q76">
            <v>13.764044943820201</v>
          </cell>
          <cell r="R76">
            <v>67.790262172284599</v>
          </cell>
          <cell r="S76">
            <v>1.9662921348314599</v>
          </cell>
          <cell r="T76">
            <v>2.5280898876404501</v>
          </cell>
        </row>
        <row r="77">
          <cell r="A77">
            <v>1978</v>
          </cell>
          <cell r="B77" t="str">
            <v>Ensemble</v>
          </cell>
          <cell r="C77" t="str">
            <v>Ensemble</v>
          </cell>
          <cell r="D77" t="str">
            <v>Polypensionné Lura/FP</v>
          </cell>
          <cell r="O77">
            <v>0</v>
          </cell>
          <cell r="P77">
            <v>19.087136929460598</v>
          </cell>
          <cell r="Q77">
            <v>12.0331950207469</v>
          </cell>
          <cell r="R77">
            <v>62.655601659750999</v>
          </cell>
          <cell r="S77">
            <v>1.2448132780083001</v>
          </cell>
          <cell r="T77">
            <v>4.9792531120332004</v>
          </cell>
        </row>
        <row r="78">
          <cell r="A78">
            <v>1984</v>
          </cell>
          <cell r="B78" t="str">
            <v>Ensemble</v>
          </cell>
          <cell r="C78" t="str">
            <v>Ensemble</v>
          </cell>
          <cell r="D78" t="str">
            <v>Mono-pensionné FP</v>
          </cell>
          <cell r="O78">
            <v>0</v>
          </cell>
          <cell r="P78">
            <v>13.0841121495327</v>
          </cell>
          <cell r="Q78">
            <v>10.2803738317757</v>
          </cell>
          <cell r="R78">
            <v>73.8317757009346</v>
          </cell>
          <cell r="S78">
            <v>0</v>
          </cell>
          <cell r="T78">
            <v>2.8037383177570101</v>
          </cell>
        </row>
        <row r="79">
          <cell r="A79">
            <v>1984</v>
          </cell>
          <cell r="B79" t="str">
            <v>Ensemble</v>
          </cell>
          <cell r="C79" t="str">
            <v>Ensemble</v>
          </cell>
          <cell r="D79" t="str">
            <v>Mono-pensionné Lura</v>
          </cell>
          <cell r="O79">
            <v>8.9365504915102797E-2</v>
          </cell>
          <cell r="P79">
            <v>14.745308310992</v>
          </cell>
          <cell r="Q79">
            <v>11.438784629133201</v>
          </cell>
          <cell r="R79">
            <v>65.862377122430701</v>
          </cell>
          <cell r="S79">
            <v>4.2895442359249296</v>
          </cell>
          <cell r="T79">
            <v>3.5746201966041098</v>
          </cell>
        </row>
        <row r="80">
          <cell r="A80">
            <v>1984</v>
          </cell>
          <cell r="B80" t="str">
            <v>Ensemble</v>
          </cell>
          <cell r="C80" t="str">
            <v>Ensemble</v>
          </cell>
          <cell r="D80" t="str">
            <v>Polypensionné Lura/FP</v>
          </cell>
          <cell r="O80">
            <v>0</v>
          </cell>
          <cell r="P80">
            <v>15.0627615062761</v>
          </cell>
          <cell r="Q80">
            <v>10.0418410041841</v>
          </cell>
          <cell r="R80">
            <v>63.179916317991598</v>
          </cell>
          <cell r="S80">
            <v>5.4393305439330497</v>
          </cell>
          <cell r="T80">
            <v>6.2761506276150598</v>
          </cell>
        </row>
        <row r="81">
          <cell r="A81">
            <v>1990</v>
          </cell>
          <cell r="B81" t="str">
            <v>Ensemble</v>
          </cell>
          <cell r="C81" t="str">
            <v>Ensemble</v>
          </cell>
          <cell r="D81" t="str">
            <v>Mono-pensionné FP</v>
          </cell>
          <cell r="O81">
            <v>0</v>
          </cell>
          <cell r="P81">
            <v>15.662650602409601</v>
          </cell>
          <cell r="Q81">
            <v>10.8433734939759</v>
          </cell>
          <cell r="R81">
            <v>72.289156626505999</v>
          </cell>
          <cell r="S81">
            <v>0</v>
          </cell>
          <cell r="T81">
            <v>1.2048192771084301</v>
          </cell>
        </row>
        <row r="82">
          <cell r="A82">
            <v>1990</v>
          </cell>
          <cell r="B82" t="str">
            <v>Ensemble</v>
          </cell>
          <cell r="C82" t="str">
            <v>Ensemble</v>
          </cell>
          <cell r="D82" t="str">
            <v>Mono-pensionné Lura</v>
          </cell>
          <cell r="O82">
            <v>0</v>
          </cell>
          <cell r="P82">
            <v>11.5853658536585</v>
          </cell>
          <cell r="Q82">
            <v>10.104529616724699</v>
          </cell>
          <cell r="R82">
            <v>65.156794425087099</v>
          </cell>
          <cell r="S82">
            <v>7.3170731707317103</v>
          </cell>
          <cell r="T82">
            <v>5.8362369337979096</v>
          </cell>
        </row>
        <row r="83">
          <cell r="A83">
            <v>1990</v>
          </cell>
          <cell r="B83" t="str">
            <v>Ensemble</v>
          </cell>
          <cell r="C83" t="str">
            <v>Ensemble</v>
          </cell>
          <cell r="D83" t="str">
            <v>Polypensionné Lura/FP</v>
          </cell>
          <cell r="O83">
            <v>0</v>
          </cell>
          <cell r="P83">
            <v>11.0119047619048</v>
          </cell>
          <cell r="Q83">
            <v>12.797619047618999</v>
          </cell>
          <cell r="R83">
            <v>63.392857142857103</v>
          </cell>
          <cell r="S83">
            <v>8.3333333333333304</v>
          </cell>
          <cell r="T83">
            <v>4.46428571428571</v>
          </cell>
        </row>
        <row r="84">
          <cell r="A84">
            <v>1996</v>
          </cell>
          <cell r="B84" t="str">
            <v>Ensemble</v>
          </cell>
          <cell r="C84" t="str">
            <v>Ensemble</v>
          </cell>
          <cell r="D84" t="str">
            <v>Mono-pensionné FP</v>
          </cell>
          <cell r="O84">
            <v>0</v>
          </cell>
          <cell r="P84">
            <v>12.9032258064516</v>
          </cell>
          <cell r="Q84">
            <v>6.4516129032258096</v>
          </cell>
          <cell r="R84">
            <v>80.645161290322605</v>
          </cell>
          <cell r="S84">
            <v>0</v>
          </cell>
          <cell r="T84">
            <v>0</v>
          </cell>
        </row>
        <row r="85">
          <cell r="A85">
            <v>1996</v>
          </cell>
          <cell r="B85" t="str">
            <v>Ensemble</v>
          </cell>
          <cell r="C85" t="str">
            <v>Ensemble</v>
          </cell>
          <cell r="D85" t="str">
            <v>Mono-pensionné Lura</v>
          </cell>
          <cell r="O85">
            <v>0</v>
          </cell>
          <cell r="P85">
            <v>12.1794871794872</v>
          </cell>
          <cell r="Q85">
            <v>10.5769230769231</v>
          </cell>
          <cell r="R85">
            <v>65.064102564102598</v>
          </cell>
          <cell r="S85">
            <v>7.4519230769230802</v>
          </cell>
          <cell r="T85">
            <v>4.7275641025641004</v>
          </cell>
        </row>
        <row r="86">
          <cell r="A86">
            <v>1996</v>
          </cell>
          <cell r="B86" t="str">
            <v>Ensemble</v>
          </cell>
          <cell r="C86" t="str">
            <v>Ensemble</v>
          </cell>
          <cell r="D86" t="str">
            <v>Polypensionné Lura/FP</v>
          </cell>
          <cell r="O86">
            <v>0</v>
          </cell>
          <cell r="P86">
            <v>12.758620689655199</v>
          </cell>
          <cell r="Q86">
            <v>11.7241379310345</v>
          </cell>
          <cell r="R86">
            <v>66.551724137931004</v>
          </cell>
          <cell r="S86">
            <v>5.1724137931034502</v>
          </cell>
          <cell r="T86">
            <v>3.7931034482758599</v>
          </cell>
        </row>
        <row r="87">
          <cell r="A87">
            <v>2000</v>
          </cell>
          <cell r="B87" t="str">
            <v>Ensemble</v>
          </cell>
          <cell r="C87" t="str">
            <v>Ensemble</v>
          </cell>
          <cell r="D87" t="str">
            <v>Mono-pensionné FP</v>
          </cell>
          <cell r="O87">
            <v>0</v>
          </cell>
          <cell r="P87">
            <v>17.7777777777778</v>
          </cell>
          <cell r="Q87">
            <v>6.6666666666666696</v>
          </cell>
          <cell r="R87">
            <v>71.1111111111111</v>
          </cell>
          <cell r="S87">
            <v>0</v>
          </cell>
          <cell r="T87">
            <v>4.4444444444444402</v>
          </cell>
        </row>
        <row r="88">
          <cell r="A88">
            <v>2000</v>
          </cell>
          <cell r="B88" t="str">
            <v>Ensemble</v>
          </cell>
          <cell r="C88" t="str">
            <v>Ensemble</v>
          </cell>
          <cell r="D88" t="str">
            <v>Mono-pensionné Lura</v>
          </cell>
          <cell r="O88">
            <v>0</v>
          </cell>
          <cell r="P88">
            <v>11.8195956454121</v>
          </cell>
          <cell r="Q88">
            <v>9.8755832037325</v>
          </cell>
          <cell r="R88">
            <v>64.385692068429194</v>
          </cell>
          <cell r="S88">
            <v>9.1757387247278395</v>
          </cell>
          <cell r="T88">
            <v>4.7433903576982903</v>
          </cell>
        </row>
        <row r="89">
          <cell r="A89">
            <v>2000</v>
          </cell>
          <cell r="B89" t="str">
            <v>Ensemble</v>
          </cell>
          <cell r="C89" t="str">
            <v>Ensemble</v>
          </cell>
          <cell r="D89" t="str">
            <v>Polypensionné Lura/FP</v>
          </cell>
          <cell r="O89">
            <v>0</v>
          </cell>
          <cell r="P89">
            <v>8.4210526315789505</v>
          </cell>
          <cell r="Q89">
            <v>10.8771929824561</v>
          </cell>
          <cell r="R89">
            <v>66.315789473684205</v>
          </cell>
          <cell r="S89">
            <v>9.1228070175438596</v>
          </cell>
          <cell r="T89">
            <v>5.2631578947368398</v>
          </cell>
        </row>
        <row r="90">
          <cell r="A90">
            <v>1960</v>
          </cell>
          <cell r="B90" t="str">
            <v>Femmes</v>
          </cell>
          <cell r="C90" t="str">
            <v>1</v>
          </cell>
          <cell r="D90" t="str">
            <v>Ensemble</v>
          </cell>
          <cell r="O90">
            <v>0</v>
          </cell>
          <cell r="P90">
            <v>11.377245508982</v>
          </cell>
          <cell r="Q90">
            <v>10.7784431137725</v>
          </cell>
          <cell r="R90">
            <v>75.449101796407206</v>
          </cell>
          <cell r="S90">
            <v>2.39520958083832</v>
          </cell>
          <cell r="T90">
            <v>0</v>
          </cell>
        </row>
        <row r="91">
          <cell r="A91">
            <v>1960</v>
          </cell>
          <cell r="B91" t="str">
            <v>Femmes</v>
          </cell>
          <cell r="C91" t="str">
            <v>2</v>
          </cell>
          <cell r="D91" t="str">
            <v>Ensemble</v>
          </cell>
          <cell r="O91">
            <v>0</v>
          </cell>
          <cell r="P91">
            <v>10.179640718562901</v>
          </cell>
          <cell r="Q91">
            <v>8.3832335329341294</v>
          </cell>
          <cell r="R91">
            <v>80.239520958083801</v>
          </cell>
          <cell r="S91">
            <v>0.59880239520958101</v>
          </cell>
          <cell r="T91">
            <v>0.59880239520958101</v>
          </cell>
        </row>
        <row r="92">
          <cell r="A92">
            <v>1960</v>
          </cell>
          <cell r="B92" t="str">
            <v>Femmes</v>
          </cell>
          <cell r="C92" t="str">
            <v>3</v>
          </cell>
          <cell r="D92" t="str">
            <v>Ensemble</v>
          </cell>
          <cell r="O92">
            <v>0</v>
          </cell>
          <cell r="P92">
            <v>8.4967320261437909</v>
          </cell>
          <cell r="Q92">
            <v>12.4183006535948</v>
          </cell>
          <cell r="R92">
            <v>78.431372549019599</v>
          </cell>
          <cell r="S92">
            <v>0.65359477124182996</v>
          </cell>
          <cell r="T92">
            <v>0</v>
          </cell>
        </row>
        <row r="93">
          <cell r="A93">
            <v>1960</v>
          </cell>
          <cell r="B93" t="str">
            <v>Femmes</v>
          </cell>
          <cell r="C93" t="str">
            <v>4</v>
          </cell>
          <cell r="D93" t="str">
            <v>Ensemble</v>
          </cell>
          <cell r="O93">
            <v>0</v>
          </cell>
          <cell r="P93">
            <v>12.1827411167513</v>
          </cell>
          <cell r="Q93">
            <v>15.736040609137101</v>
          </cell>
          <cell r="R93">
            <v>69.543147208121795</v>
          </cell>
          <cell r="S93">
            <v>1.0152284263959399</v>
          </cell>
          <cell r="T93">
            <v>1.5228426395939101</v>
          </cell>
        </row>
        <row r="94">
          <cell r="A94">
            <v>1960</v>
          </cell>
          <cell r="B94" t="str">
            <v>Femmes</v>
          </cell>
          <cell r="C94" t="str">
            <v>5</v>
          </cell>
          <cell r="D94" t="str">
            <v>Ensemble</v>
          </cell>
          <cell r="O94">
            <v>0</v>
          </cell>
          <cell r="P94">
            <v>16.489361702127699</v>
          </cell>
          <cell r="Q94">
            <v>21.2765957446809</v>
          </cell>
          <cell r="R94">
            <v>60.638297872340402</v>
          </cell>
          <cell r="S94">
            <v>0</v>
          </cell>
          <cell r="T94">
            <v>1.59574468085106</v>
          </cell>
        </row>
        <row r="95">
          <cell r="A95">
            <v>1960</v>
          </cell>
          <cell r="B95" t="str">
            <v>Hommes</v>
          </cell>
          <cell r="C95" t="str">
            <v>1</v>
          </cell>
          <cell r="D95" t="str">
            <v>Ensemble</v>
          </cell>
          <cell r="O95">
            <v>0</v>
          </cell>
          <cell r="P95">
            <v>7.4074074074074101</v>
          </cell>
          <cell r="Q95">
            <v>11.1111111111111</v>
          </cell>
          <cell r="R95">
            <v>79.629629629629605</v>
          </cell>
          <cell r="S95">
            <v>0</v>
          </cell>
          <cell r="T95">
            <v>1.8518518518518501</v>
          </cell>
        </row>
        <row r="96">
          <cell r="A96">
            <v>1960</v>
          </cell>
          <cell r="B96" t="str">
            <v>Hommes</v>
          </cell>
          <cell r="C96" t="str">
            <v>2</v>
          </cell>
          <cell r="D96" t="str">
            <v>Ensemble</v>
          </cell>
          <cell r="O96">
            <v>0</v>
          </cell>
          <cell r="P96">
            <v>13.3333333333333</v>
          </cell>
          <cell r="Q96">
            <v>14.6666666666667</v>
          </cell>
          <cell r="R96">
            <v>66.6666666666667</v>
          </cell>
          <cell r="S96">
            <v>2.6666666666666701</v>
          </cell>
          <cell r="T96">
            <v>2.6666666666666701</v>
          </cell>
        </row>
        <row r="97">
          <cell r="A97">
            <v>1960</v>
          </cell>
          <cell r="B97" t="str">
            <v>Hommes</v>
          </cell>
          <cell r="C97" t="str">
            <v>3</v>
          </cell>
          <cell r="D97" t="str">
            <v>Ensemble</v>
          </cell>
          <cell r="O97">
            <v>0</v>
          </cell>
          <cell r="P97">
            <v>8.6956521739130395</v>
          </cell>
          <cell r="Q97">
            <v>11.9565217391304</v>
          </cell>
          <cell r="R97">
            <v>72.826086956521706</v>
          </cell>
          <cell r="S97">
            <v>4.3478260869565197</v>
          </cell>
          <cell r="T97">
            <v>2.1739130434782599</v>
          </cell>
        </row>
        <row r="98">
          <cell r="A98">
            <v>1960</v>
          </cell>
          <cell r="B98" t="str">
            <v>Hommes</v>
          </cell>
          <cell r="C98" t="str">
            <v>4</v>
          </cell>
          <cell r="D98" t="str">
            <v>Ensemble</v>
          </cell>
          <cell r="O98">
            <v>0</v>
          </cell>
          <cell r="P98">
            <v>8.4210526315789505</v>
          </cell>
          <cell r="Q98">
            <v>12.6315789473684</v>
          </cell>
          <cell r="R98">
            <v>73.684210526315795</v>
          </cell>
          <cell r="S98">
            <v>2.1052631578947398</v>
          </cell>
          <cell r="T98">
            <v>3.1578947368421102</v>
          </cell>
        </row>
        <row r="99">
          <cell r="A99">
            <v>1960</v>
          </cell>
          <cell r="B99" t="str">
            <v>Hommes</v>
          </cell>
          <cell r="C99" t="str">
            <v>5</v>
          </cell>
          <cell r="D99" t="str">
            <v>Ensemble</v>
          </cell>
          <cell r="O99">
            <v>0</v>
          </cell>
          <cell r="P99">
            <v>8.3333333333333304</v>
          </cell>
          <cell r="Q99">
            <v>14.814814814814801</v>
          </cell>
          <cell r="R99">
            <v>70.370370370370395</v>
          </cell>
          <cell r="S99">
            <v>0.92592592592592604</v>
          </cell>
          <cell r="T99">
            <v>5.5555555555555598</v>
          </cell>
        </row>
        <row r="100">
          <cell r="A100">
            <v>1966</v>
          </cell>
          <cell r="B100" t="str">
            <v>Femmes</v>
          </cell>
          <cell r="C100" t="str">
            <v>1</v>
          </cell>
          <cell r="D100" t="str">
            <v>Ensemble</v>
          </cell>
          <cell r="O100">
            <v>0</v>
          </cell>
          <cell r="P100">
            <v>6.3157894736842097</v>
          </cell>
          <cell r="Q100">
            <v>17.894736842105299</v>
          </cell>
          <cell r="R100">
            <v>69.473684210526301</v>
          </cell>
          <cell r="S100">
            <v>5.2631578947368398</v>
          </cell>
          <cell r="T100">
            <v>1.0526315789473699</v>
          </cell>
        </row>
        <row r="101">
          <cell r="A101">
            <v>1966</v>
          </cell>
          <cell r="B101" t="str">
            <v>Femmes</v>
          </cell>
          <cell r="C101" t="str">
            <v>2</v>
          </cell>
          <cell r="D101" t="str">
            <v>Ensemble</v>
          </cell>
          <cell r="O101">
            <v>0</v>
          </cell>
          <cell r="P101">
            <v>10.179640718562901</v>
          </cell>
          <cell r="Q101">
            <v>10.179640718562901</v>
          </cell>
          <cell r="R101">
            <v>74.850299401197603</v>
          </cell>
          <cell r="S101">
            <v>1.79640718562874</v>
          </cell>
          <cell r="T101">
            <v>2.9940119760478998</v>
          </cell>
        </row>
        <row r="102">
          <cell r="A102">
            <v>1966</v>
          </cell>
          <cell r="B102" t="str">
            <v>Femmes</v>
          </cell>
          <cell r="C102" t="str">
            <v>3</v>
          </cell>
          <cell r="D102" t="str">
            <v>Ensemble</v>
          </cell>
          <cell r="O102">
            <v>0</v>
          </cell>
          <cell r="P102">
            <v>6.3829787234042596</v>
          </cell>
          <cell r="Q102">
            <v>21.2765957446809</v>
          </cell>
          <cell r="R102">
            <v>69.680851063829806</v>
          </cell>
          <cell r="S102">
            <v>0.53191489361702105</v>
          </cell>
          <cell r="T102">
            <v>2.12765957446809</v>
          </cell>
        </row>
        <row r="103">
          <cell r="A103">
            <v>1966</v>
          </cell>
          <cell r="B103" t="str">
            <v>Femmes</v>
          </cell>
          <cell r="C103" t="str">
            <v>4</v>
          </cell>
          <cell r="D103" t="str">
            <v>Ensemble</v>
          </cell>
          <cell r="O103">
            <v>0</v>
          </cell>
          <cell r="P103">
            <v>20</v>
          </cell>
          <cell r="Q103">
            <v>17.0833333333333</v>
          </cell>
          <cell r="R103">
            <v>59.1666666666667</v>
          </cell>
          <cell r="S103">
            <v>2.9166666666666701</v>
          </cell>
          <cell r="T103">
            <v>0.83333333333333304</v>
          </cell>
        </row>
        <row r="104">
          <cell r="A104">
            <v>1966</v>
          </cell>
          <cell r="B104" t="str">
            <v>Femmes</v>
          </cell>
          <cell r="C104" t="str">
            <v>5</v>
          </cell>
          <cell r="D104" t="str">
            <v>Ensemble</v>
          </cell>
          <cell r="O104">
            <v>0</v>
          </cell>
          <cell r="P104">
            <v>19.2660550458716</v>
          </cell>
          <cell r="Q104">
            <v>18.807339449541299</v>
          </cell>
          <cell r="R104">
            <v>55.9633027522936</v>
          </cell>
          <cell r="S104">
            <v>1.3761467889908301</v>
          </cell>
          <cell r="T104">
            <v>4.5871559633027497</v>
          </cell>
        </row>
        <row r="105">
          <cell r="A105">
            <v>1966</v>
          </cell>
          <cell r="B105" t="str">
            <v>Hommes</v>
          </cell>
          <cell r="C105" t="str">
            <v>1</v>
          </cell>
          <cell r="D105" t="str">
            <v>Ensemble</v>
          </cell>
          <cell r="O105">
            <v>0</v>
          </cell>
          <cell r="P105">
            <v>6.0606060606060597</v>
          </cell>
          <cell r="Q105">
            <v>9.0909090909090899</v>
          </cell>
          <cell r="R105">
            <v>81.818181818181799</v>
          </cell>
          <cell r="S105">
            <v>3.0303030303030298</v>
          </cell>
          <cell r="T105">
            <v>0</v>
          </cell>
        </row>
        <row r="106">
          <cell r="A106">
            <v>1966</v>
          </cell>
          <cell r="B106" t="str">
            <v>Hommes</v>
          </cell>
          <cell r="C106" t="str">
            <v>2</v>
          </cell>
          <cell r="D106" t="str">
            <v>Ensemble</v>
          </cell>
          <cell r="O106">
            <v>0</v>
          </cell>
          <cell r="P106">
            <v>13.7931034482759</v>
          </cell>
          <cell r="Q106">
            <v>14.9425287356322</v>
          </cell>
          <cell r="R106">
            <v>63.218390804597703</v>
          </cell>
          <cell r="S106">
            <v>5.7471264367816097</v>
          </cell>
          <cell r="T106">
            <v>2.29885057471264</v>
          </cell>
        </row>
        <row r="107">
          <cell r="A107">
            <v>1966</v>
          </cell>
          <cell r="B107" t="str">
            <v>Hommes</v>
          </cell>
          <cell r="C107" t="str">
            <v>3</v>
          </cell>
          <cell r="D107" t="str">
            <v>Ensemble</v>
          </cell>
          <cell r="O107">
            <v>0</v>
          </cell>
          <cell r="P107">
            <v>10.909090909090899</v>
          </cell>
          <cell r="Q107">
            <v>20.909090909090899</v>
          </cell>
          <cell r="R107">
            <v>63.636363636363598</v>
          </cell>
          <cell r="S107">
            <v>3.6363636363636398</v>
          </cell>
          <cell r="T107">
            <v>0.90909090909090895</v>
          </cell>
        </row>
        <row r="108">
          <cell r="A108">
            <v>1966</v>
          </cell>
          <cell r="B108" t="str">
            <v>Hommes</v>
          </cell>
          <cell r="C108" t="str">
            <v>4</v>
          </cell>
          <cell r="D108" t="str">
            <v>Ensemble</v>
          </cell>
          <cell r="O108">
            <v>0</v>
          </cell>
          <cell r="P108">
            <v>17.692307692307701</v>
          </cell>
          <cell r="Q108">
            <v>16.923076923076898</v>
          </cell>
          <cell r="R108">
            <v>57.692307692307701</v>
          </cell>
          <cell r="S108">
            <v>5.3846153846153904</v>
          </cell>
          <cell r="T108">
            <v>2.3076923076923102</v>
          </cell>
        </row>
        <row r="109">
          <cell r="A109">
            <v>1966</v>
          </cell>
          <cell r="B109" t="str">
            <v>Hommes</v>
          </cell>
          <cell r="C109" t="str">
            <v>5</v>
          </cell>
          <cell r="D109" t="str">
            <v>Ensemble</v>
          </cell>
          <cell r="O109">
            <v>0</v>
          </cell>
          <cell r="P109">
            <v>14.049586776859501</v>
          </cell>
          <cell r="Q109">
            <v>9.9173553719008307</v>
          </cell>
          <cell r="R109">
            <v>63.636363636363598</v>
          </cell>
          <cell r="S109">
            <v>1.65289256198347</v>
          </cell>
          <cell r="T109">
            <v>10.7438016528926</v>
          </cell>
        </row>
        <row r="110">
          <cell r="A110">
            <v>1972</v>
          </cell>
          <cell r="B110" t="str">
            <v>Femmes</v>
          </cell>
          <cell r="C110" t="str">
            <v>1</v>
          </cell>
          <cell r="D110" t="str">
            <v>Ensemble</v>
          </cell>
          <cell r="O110">
            <v>0</v>
          </cell>
          <cell r="P110">
            <v>7.4468085106383004</v>
          </cell>
          <cell r="Q110">
            <v>9.0425531914893593</v>
          </cell>
          <cell r="R110">
            <v>79.255319148936195</v>
          </cell>
          <cell r="S110">
            <v>3.7234042553191502</v>
          </cell>
          <cell r="T110">
            <v>0.53191489361702105</v>
          </cell>
        </row>
        <row r="111">
          <cell r="A111">
            <v>1972</v>
          </cell>
          <cell r="B111" t="str">
            <v>Femmes</v>
          </cell>
          <cell r="C111" t="str">
            <v>2</v>
          </cell>
          <cell r="D111" t="str">
            <v>Ensemble</v>
          </cell>
          <cell r="O111">
            <v>0</v>
          </cell>
          <cell r="P111">
            <v>11.290322580645199</v>
          </cell>
          <cell r="Q111">
            <v>19.354838709677399</v>
          </cell>
          <cell r="R111">
            <v>62.903225806451601</v>
          </cell>
          <cell r="S111">
            <v>3.2258064516128999</v>
          </cell>
          <cell r="T111">
            <v>3.2258064516128999</v>
          </cell>
        </row>
        <row r="112">
          <cell r="A112">
            <v>1972</v>
          </cell>
          <cell r="B112" t="str">
            <v>Femmes</v>
          </cell>
          <cell r="C112" t="str">
            <v>3</v>
          </cell>
          <cell r="D112" t="str">
            <v>Ensemble</v>
          </cell>
          <cell r="O112">
            <v>0</v>
          </cell>
          <cell r="P112">
            <v>15.1315789473684</v>
          </cell>
          <cell r="Q112">
            <v>15.1315789473684</v>
          </cell>
          <cell r="R112">
            <v>66.447368421052602</v>
          </cell>
          <cell r="S112">
            <v>1.9736842105263199</v>
          </cell>
          <cell r="T112">
            <v>1.31578947368421</v>
          </cell>
        </row>
        <row r="113">
          <cell r="A113">
            <v>1972</v>
          </cell>
          <cell r="B113" t="str">
            <v>Femmes</v>
          </cell>
          <cell r="C113" t="str">
            <v>4</v>
          </cell>
          <cell r="D113" t="str">
            <v>Ensemble</v>
          </cell>
          <cell r="O113">
            <v>0</v>
          </cell>
          <cell r="P113">
            <v>17.619047619047599</v>
          </cell>
          <cell r="Q113">
            <v>18.571428571428601</v>
          </cell>
          <cell r="R113">
            <v>58.571428571428598</v>
          </cell>
          <cell r="S113">
            <v>2.8571428571428599</v>
          </cell>
          <cell r="T113">
            <v>2.38095238095238</v>
          </cell>
        </row>
        <row r="114">
          <cell r="A114">
            <v>1972</v>
          </cell>
          <cell r="B114" t="str">
            <v>Femmes</v>
          </cell>
          <cell r="C114" t="str">
            <v>5</v>
          </cell>
          <cell r="D114" t="str">
            <v>Ensemble</v>
          </cell>
          <cell r="O114">
            <v>0</v>
          </cell>
          <cell r="P114">
            <v>14.3589743589744</v>
          </cell>
          <cell r="Q114">
            <v>16.410256410256402</v>
          </cell>
          <cell r="R114">
            <v>60.512820512820497</v>
          </cell>
          <cell r="S114">
            <v>1.02564102564103</v>
          </cell>
          <cell r="T114">
            <v>7.6923076923076898</v>
          </cell>
        </row>
        <row r="115">
          <cell r="A115">
            <v>1972</v>
          </cell>
          <cell r="B115" t="str">
            <v>Hommes</v>
          </cell>
          <cell r="C115" t="str">
            <v>1</v>
          </cell>
          <cell r="D115" t="str">
            <v>Ensemble</v>
          </cell>
          <cell r="O115">
            <v>0</v>
          </cell>
          <cell r="P115">
            <v>11.1111111111111</v>
          </cell>
          <cell r="Q115">
            <v>13.8888888888889</v>
          </cell>
          <cell r="R115">
            <v>72.2222222222222</v>
          </cell>
          <cell r="S115">
            <v>0.92592592592592604</v>
          </cell>
          <cell r="T115">
            <v>1.8518518518518501</v>
          </cell>
        </row>
        <row r="116">
          <cell r="A116">
            <v>1972</v>
          </cell>
          <cell r="B116" t="str">
            <v>Hommes</v>
          </cell>
          <cell r="C116" t="str">
            <v>2</v>
          </cell>
          <cell r="D116" t="str">
            <v>Ensemble</v>
          </cell>
          <cell r="O116">
            <v>0</v>
          </cell>
          <cell r="P116">
            <v>11.4754098360656</v>
          </cell>
          <cell r="Q116">
            <v>10.655737704918</v>
          </cell>
          <cell r="R116">
            <v>72.950819672131104</v>
          </cell>
          <cell r="S116">
            <v>2.4590163934426199</v>
          </cell>
          <cell r="T116">
            <v>2.4590163934426199</v>
          </cell>
        </row>
        <row r="117">
          <cell r="A117">
            <v>1972</v>
          </cell>
          <cell r="B117" t="str">
            <v>Hommes</v>
          </cell>
          <cell r="C117" t="str">
            <v>3</v>
          </cell>
          <cell r="D117" t="str">
            <v>Ensemble</v>
          </cell>
          <cell r="O117">
            <v>0</v>
          </cell>
          <cell r="P117">
            <v>11.4285714285714</v>
          </cell>
          <cell r="Q117">
            <v>10.476190476190499</v>
          </cell>
          <cell r="R117">
            <v>71.428571428571402</v>
          </cell>
          <cell r="S117">
            <v>1.9047619047619</v>
          </cell>
          <cell r="T117">
            <v>4.7619047619047601</v>
          </cell>
        </row>
        <row r="118">
          <cell r="A118">
            <v>1972</v>
          </cell>
          <cell r="B118" t="str">
            <v>Hommes</v>
          </cell>
          <cell r="C118" t="str">
            <v>4</v>
          </cell>
          <cell r="D118" t="str">
            <v>Ensemble</v>
          </cell>
          <cell r="O118">
            <v>0</v>
          </cell>
          <cell r="P118">
            <v>20.300751879699199</v>
          </cell>
          <cell r="Q118">
            <v>21.052631578947398</v>
          </cell>
          <cell r="R118">
            <v>53.383458646616504</v>
          </cell>
          <cell r="S118">
            <v>1.5037593984962401</v>
          </cell>
          <cell r="T118">
            <v>3.7593984962406002</v>
          </cell>
        </row>
        <row r="119">
          <cell r="A119">
            <v>1972</v>
          </cell>
          <cell r="B119" t="str">
            <v>Hommes</v>
          </cell>
          <cell r="C119" t="str">
            <v>5</v>
          </cell>
          <cell r="D119" t="str">
            <v>Ensemble</v>
          </cell>
          <cell r="O119">
            <v>0</v>
          </cell>
          <cell r="P119">
            <v>19.6428571428571</v>
          </cell>
          <cell r="Q119">
            <v>15.1785714285714</v>
          </cell>
          <cell r="R119">
            <v>58.928571428571402</v>
          </cell>
          <cell r="S119">
            <v>0.89285714285714302</v>
          </cell>
          <cell r="T119">
            <v>5.3571428571428603</v>
          </cell>
        </row>
        <row r="120">
          <cell r="A120">
            <v>1978</v>
          </cell>
          <cell r="B120" t="str">
            <v>Femmes</v>
          </cell>
          <cell r="C120" t="str">
            <v>1</v>
          </cell>
          <cell r="D120" t="str">
            <v>Ensemble</v>
          </cell>
          <cell r="O120">
            <v>0</v>
          </cell>
          <cell r="P120">
            <v>12.2994652406417</v>
          </cell>
          <cell r="Q120">
            <v>11.2299465240642</v>
          </cell>
          <cell r="R120">
            <v>71.6577540106952</v>
          </cell>
          <cell r="S120">
            <v>2.6737967914438499</v>
          </cell>
          <cell r="T120">
            <v>2.1390374331550799</v>
          </cell>
        </row>
        <row r="121">
          <cell r="A121">
            <v>1978</v>
          </cell>
          <cell r="B121" t="str">
            <v>Femmes</v>
          </cell>
          <cell r="C121" t="str">
            <v>2</v>
          </cell>
          <cell r="D121" t="str">
            <v>Ensemble</v>
          </cell>
          <cell r="O121">
            <v>0</v>
          </cell>
          <cell r="P121">
            <v>12.2340425531915</v>
          </cell>
          <cell r="Q121">
            <v>9.5744680851063801</v>
          </cell>
          <cell r="R121">
            <v>72.872340425531902</v>
          </cell>
          <cell r="S121">
            <v>2.12765957446809</v>
          </cell>
          <cell r="T121">
            <v>3.1914893617021298</v>
          </cell>
        </row>
        <row r="122">
          <cell r="A122">
            <v>1978</v>
          </cell>
          <cell r="B122" t="str">
            <v>Femmes</v>
          </cell>
          <cell r="C122" t="str">
            <v>3</v>
          </cell>
          <cell r="D122" t="str">
            <v>Ensemble</v>
          </cell>
          <cell r="O122">
            <v>0</v>
          </cell>
          <cell r="P122">
            <v>14.572864321608</v>
          </cell>
          <cell r="Q122">
            <v>14.070351758794001</v>
          </cell>
          <cell r="R122">
            <v>66.834170854271406</v>
          </cell>
          <cell r="S122">
            <v>2.0100502512562799</v>
          </cell>
          <cell r="T122">
            <v>2.5125628140703502</v>
          </cell>
        </row>
        <row r="123">
          <cell r="A123">
            <v>1978</v>
          </cell>
          <cell r="B123" t="str">
            <v>Femmes</v>
          </cell>
          <cell r="C123" t="str">
            <v>4</v>
          </cell>
          <cell r="D123" t="str">
            <v>Ensemble</v>
          </cell>
          <cell r="O123">
            <v>0</v>
          </cell>
          <cell r="P123">
            <v>18.981481481481499</v>
          </cell>
          <cell r="Q123">
            <v>15.7407407407407</v>
          </cell>
          <cell r="R123">
            <v>60.648148148148103</v>
          </cell>
          <cell r="S123">
            <v>1.8518518518518501</v>
          </cell>
          <cell r="T123">
            <v>2.7777777777777799</v>
          </cell>
        </row>
        <row r="124">
          <cell r="A124">
            <v>1978</v>
          </cell>
          <cell r="B124" t="str">
            <v>Femmes</v>
          </cell>
          <cell r="C124" t="str">
            <v>5</v>
          </cell>
          <cell r="D124" t="str">
            <v>Ensemble</v>
          </cell>
          <cell r="O124">
            <v>0</v>
          </cell>
          <cell r="P124">
            <v>11.6666666666667</v>
          </cell>
          <cell r="Q124">
            <v>20</v>
          </cell>
          <cell r="R124">
            <v>65.5555555555556</v>
          </cell>
          <cell r="S124">
            <v>0.55555555555555602</v>
          </cell>
          <cell r="T124">
            <v>2.2222222222222201</v>
          </cell>
        </row>
        <row r="125">
          <cell r="A125">
            <v>1978</v>
          </cell>
          <cell r="B125" t="str">
            <v>Hommes</v>
          </cell>
          <cell r="C125" t="str">
            <v>1</v>
          </cell>
          <cell r="D125" t="str">
            <v>Ensemble</v>
          </cell>
          <cell r="O125">
            <v>0</v>
          </cell>
          <cell r="P125">
            <v>11.4285714285714</v>
          </cell>
          <cell r="Q125">
            <v>10</v>
          </cell>
          <cell r="R125">
            <v>74.285714285714306</v>
          </cell>
          <cell r="S125">
            <v>1.4285714285714299</v>
          </cell>
          <cell r="T125">
            <v>2.8571428571428599</v>
          </cell>
        </row>
        <row r="126">
          <cell r="A126">
            <v>1978</v>
          </cell>
          <cell r="B126" t="str">
            <v>Hommes</v>
          </cell>
          <cell r="C126" t="str">
            <v>2</v>
          </cell>
          <cell r="D126" t="str">
            <v>Ensemble</v>
          </cell>
          <cell r="O126">
            <v>0</v>
          </cell>
          <cell r="P126">
            <v>21.518987341772199</v>
          </cell>
          <cell r="Q126">
            <v>11.3924050632911</v>
          </cell>
          <cell r="R126">
            <v>63.291139240506297</v>
          </cell>
          <cell r="S126">
            <v>1.26582278481013</v>
          </cell>
          <cell r="T126">
            <v>2.5316455696202498</v>
          </cell>
        </row>
        <row r="127">
          <cell r="A127">
            <v>1978</v>
          </cell>
          <cell r="B127" t="str">
            <v>Hommes</v>
          </cell>
          <cell r="C127" t="str">
            <v>3</v>
          </cell>
          <cell r="D127" t="str">
            <v>Ensemble</v>
          </cell>
          <cell r="O127">
            <v>0</v>
          </cell>
          <cell r="P127">
            <v>17.647058823529399</v>
          </cell>
          <cell r="Q127">
            <v>9.4117647058823497</v>
          </cell>
          <cell r="R127">
            <v>65.882352941176507</v>
          </cell>
          <cell r="S127">
            <v>2.3529411764705901</v>
          </cell>
          <cell r="T127">
            <v>4.7058823529411802</v>
          </cell>
        </row>
        <row r="128">
          <cell r="A128">
            <v>1978</v>
          </cell>
          <cell r="B128" t="str">
            <v>Hommes</v>
          </cell>
          <cell r="C128" t="str">
            <v>4</v>
          </cell>
          <cell r="D128" t="str">
            <v>Ensemble</v>
          </cell>
          <cell r="O128">
            <v>0</v>
          </cell>
          <cell r="P128">
            <v>10.2040816326531</v>
          </cell>
          <cell r="Q128">
            <v>15.3061224489796</v>
          </cell>
          <cell r="R128">
            <v>68.367346938775498</v>
          </cell>
          <cell r="S128">
            <v>2.0408163265306101</v>
          </cell>
          <cell r="T128">
            <v>4.0816326530612201</v>
          </cell>
        </row>
        <row r="129">
          <cell r="A129">
            <v>1978</v>
          </cell>
          <cell r="B129" t="str">
            <v>Hommes</v>
          </cell>
          <cell r="C129" t="str">
            <v>5</v>
          </cell>
          <cell r="D129" t="str">
            <v>Ensemble</v>
          </cell>
          <cell r="O129">
            <v>0</v>
          </cell>
          <cell r="P129">
            <v>14.4230769230769</v>
          </cell>
          <cell r="Q129">
            <v>14.4230769230769</v>
          </cell>
          <cell r="R129">
            <v>62.5</v>
          </cell>
          <cell r="S129">
            <v>0</v>
          </cell>
          <cell r="T129">
            <v>8.6538461538461497</v>
          </cell>
        </row>
        <row r="130">
          <cell r="A130">
            <v>1984</v>
          </cell>
          <cell r="B130" t="str">
            <v>Femmes</v>
          </cell>
          <cell r="C130" t="str">
            <v>1</v>
          </cell>
          <cell r="D130" t="str">
            <v>Ensemble</v>
          </cell>
          <cell r="O130">
            <v>0</v>
          </cell>
          <cell r="P130">
            <v>8.6206896551724093</v>
          </cell>
          <cell r="Q130">
            <v>14.9425287356322</v>
          </cell>
          <cell r="R130">
            <v>68.390804597701106</v>
          </cell>
          <cell r="S130">
            <v>6.3218390804597702</v>
          </cell>
          <cell r="T130">
            <v>1.72413793103448</v>
          </cell>
        </row>
        <row r="131">
          <cell r="A131">
            <v>1984</v>
          </cell>
          <cell r="B131" t="str">
            <v>Femmes</v>
          </cell>
          <cell r="C131" t="str">
            <v>2</v>
          </cell>
          <cell r="D131" t="str">
            <v>Ensemble</v>
          </cell>
          <cell r="O131">
            <v>0</v>
          </cell>
          <cell r="P131">
            <v>11.1111111111111</v>
          </cell>
          <cell r="Q131">
            <v>6.6666666666666696</v>
          </cell>
          <cell r="R131">
            <v>73.3333333333333</v>
          </cell>
          <cell r="S131">
            <v>5.5555555555555598</v>
          </cell>
          <cell r="T131">
            <v>3.3333333333333299</v>
          </cell>
        </row>
        <row r="132">
          <cell r="A132">
            <v>1984</v>
          </cell>
          <cell r="B132" t="str">
            <v>Femmes</v>
          </cell>
          <cell r="C132" t="str">
            <v>3</v>
          </cell>
          <cell r="D132" t="str">
            <v>Ensemble</v>
          </cell>
          <cell r="O132">
            <v>0</v>
          </cell>
          <cell r="P132">
            <v>16.402116402116398</v>
          </cell>
          <cell r="Q132">
            <v>8.4656084656084705</v>
          </cell>
          <cell r="R132">
            <v>67.195767195767203</v>
          </cell>
          <cell r="S132">
            <v>5.2910052910052903</v>
          </cell>
          <cell r="T132">
            <v>2.64550264550265</v>
          </cell>
        </row>
        <row r="133">
          <cell r="A133">
            <v>1984</v>
          </cell>
          <cell r="B133" t="str">
            <v>Femmes</v>
          </cell>
          <cell r="C133" t="str">
            <v>4</v>
          </cell>
          <cell r="D133" t="str">
            <v>Ensemble</v>
          </cell>
          <cell r="O133">
            <v>0</v>
          </cell>
          <cell r="P133">
            <v>19.512195121951201</v>
          </cell>
          <cell r="Q133">
            <v>15.609756097561</v>
          </cell>
          <cell r="R133">
            <v>59.024390243902403</v>
          </cell>
          <cell r="S133">
            <v>2.9268292682926802</v>
          </cell>
          <cell r="T133">
            <v>2.9268292682926802</v>
          </cell>
        </row>
        <row r="134">
          <cell r="A134">
            <v>1984</v>
          </cell>
          <cell r="B134" t="str">
            <v>Femmes</v>
          </cell>
          <cell r="C134" t="str">
            <v>5</v>
          </cell>
          <cell r="D134" t="str">
            <v>Ensemble</v>
          </cell>
          <cell r="O134">
            <v>0</v>
          </cell>
          <cell r="P134">
            <v>19.469026548672598</v>
          </cell>
          <cell r="Q134">
            <v>11.9469026548673</v>
          </cell>
          <cell r="R134">
            <v>57.964601769911503</v>
          </cell>
          <cell r="S134">
            <v>3.5398230088495599</v>
          </cell>
          <cell r="T134">
            <v>7.0796460176991198</v>
          </cell>
        </row>
        <row r="135">
          <cell r="A135">
            <v>1984</v>
          </cell>
          <cell r="B135" t="str">
            <v>Hommes</v>
          </cell>
          <cell r="C135" t="str">
            <v>1</v>
          </cell>
          <cell r="D135" t="str">
            <v>Ensemble</v>
          </cell>
          <cell r="O135">
            <v>0</v>
          </cell>
          <cell r="P135">
            <v>18.9873417721519</v>
          </cell>
          <cell r="Q135">
            <v>7.59493670886076</v>
          </cell>
          <cell r="R135">
            <v>67.088607594936704</v>
          </cell>
          <cell r="S135">
            <v>2.5316455696202498</v>
          </cell>
          <cell r="T135">
            <v>3.79746835443038</v>
          </cell>
        </row>
        <row r="136">
          <cell r="A136">
            <v>1984</v>
          </cell>
          <cell r="B136" t="str">
            <v>Hommes</v>
          </cell>
          <cell r="C136" t="str">
            <v>2</v>
          </cell>
          <cell r="D136" t="str">
            <v>Ensemble</v>
          </cell>
          <cell r="O136">
            <v>0</v>
          </cell>
          <cell r="P136">
            <v>11.8279569892473</v>
          </cell>
          <cell r="Q136">
            <v>7.5268817204301097</v>
          </cell>
          <cell r="R136">
            <v>69.892473118279597</v>
          </cell>
          <cell r="S136">
            <v>5.3763440860215104</v>
          </cell>
          <cell r="T136">
            <v>5.3763440860215104</v>
          </cell>
        </row>
        <row r="137">
          <cell r="A137">
            <v>1984</v>
          </cell>
          <cell r="B137" t="str">
            <v>Hommes</v>
          </cell>
          <cell r="C137" t="str">
            <v>3</v>
          </cell>
          <cell r="D137" t="str">
            <v>Ensemble</v>
          </cell>
          <cell r="O137">
            <v>0.98039215686274495</v>
          </cell>
          <cell r="P137">
            <v>9.8039215686274499</v>
          </cell>
          <cell r="Q137">
            <v>11.764705882352899</v>
          </cell>
          <cell r="R137">
            <v>72.549019607843107</v>
          </cell>
          <cell r="S137">
            <v>0.98039215686274495</v>
          </cell>
          <cell r="T137">
            <v>3.9215686274509798</v>
          </cell>
        </row>
        <row r="138">
          <cell r="A138">
            <v>1984</v>
          </cell>
          <cell r="B138" t="str">
            <v>Hommes</v>
          </cell>
          <cell r="C138" t="str">
            <v>4</v>
          </cell>
          <cell r="D138" t="str">
            <v>Ensemble</v>
          </cell>
          <cell r="O138">
            <v>0</v>
          </cell>
          <cell r="P138">
            <v>13.157894736842101</v>
          </cell>
          <cell r="Q138">
            <v>14.0350877192982</v>
          </cell>
          <cell r="R138">
            <v>59.649122807017498</v>
          </cell>
          <cell r="S138">
            <v>2.6315789473684199</v>
          </cell>
          <cell r="T138">
            <v>10.526315789473699</v>
          </cell>
        </row>
        <row r="139">
          <cell r="A139">
            <v>1984</v>
          </cell>
          <cell r="B139" t="str">
            <v>Hommes</v>
          </cell>
          <cell r="C139" t="str">
            <v>5</v>
          </cell>
          <cell r="D139" t="str">
            <v>Ensemble</v>
          </cell>
          <cell r="O139">
            <v>0</v>
          </cell>
          <cell r="P139">
            <v>12.612612612612599</v>
          </cell>
          <cell r="Q139">
            <v>8.1081081081081106</v>
          </cell>
          <cell r="R139">
            <v>69.369369369369394</v>
          </cell>
          <cell r="S139">
            <v>4.5045045045045002</v>
          </cell>
          <cell r="T139">
            <v>5.4054054054054097</v>
          </cell>
        </row>
        <row r="140">
          <cell r="A140">
            <v>1990</v>
          </cell>
          <cell r="B140" t="str">
            <v>Femmes</v>
          </cell>
          <cell r="C140" t="str">
            <v>1</v>
          </cell>
          <cell r="D140" t="str">
            <v>Ensemble</v>
          </cell>
          <cell r="O140">
            <v>0</v>
          </cell>
          <cell r="P140">
            <v>11.538461538461499</v>
          </cell>
          <cell r="Q140">
            <v>9.3406593406593394</v>
          </cell>
          <cell r="R140">
            <v>67.582417582417605</v>
          </cell>
          <cell r="S140">
            <v>8.7912087912087902</v>
          </cell>
          <cell r="T140">
            <v>2.7472527472527499</v>
          </cell>
        </row>
        <row r="141">
          <cell r="A141">
            <v>1990</v>
          </cell>
          <cell r="B141" t="str">
            <v>Femmes</v>
          </cell>
          <cell r="C141" t="str">
            <v>2</v>
          </cell>
          <cell r="D141" t="str">
            <v>Ensemble</v>
          </cell>
          <cell r="O141">
            <v>0</v>
          </cell>
          <cell r="P141">
            <v>10</v>
          </cell>
          <cell r="Q141">
            <v>8.3333333333333304</v>
          </cell>
          <cell r="R141">
            <v>70</v>
          </cell>
          <cell r="S141">
            <v>10.5555555555556</v>
          </cell>
          <cell r="T141">
            <v>1.1111111111111101</v>
          </cell>
        </row>
        <row r="142">
          <cell r="A142">
            <v>1990</v>
          </cell>
          <cell r="B142" t="str">
            <v>Femmes</v>
          </cell>
          <cell r="C142" t="str">
            <v>3</v>
          </cell>
          <cell r="D142" t="str">
            <v>Ensemble</v>
          </cell>
          <cell r="O142">
            <v>0</v>
          </cell>
          <cell r="P142">
            <v>9.6153846153846096</v>
          </cell>
          <cell r="Q142">
            <v>9.6153846153846096</v>
          </cell>
          <cell r="R142">
            <v>66.346153846153797</v>
          </cell>
          <cell r="S142">
            <v>7.6923076923076898</v>
          </cell>
          <cell r="T142">
            <v>6.7307692307692299</v>
          </cell>
        </row>
        <row r="143">
          <cell r="A143">
            <v>1990</v>
          </cell>
          <cell r="B143" t="str">
            <v>Femmes</v>
          </cell>
          <cell r="C143" t="str">
            <v>4</v>
          </cell>
          <cell r="D143" t="str">
            <v>Ensemble</v>
          </cell>
          <cell r="O143">
            <v>0</v>
          </cell>
          <cell r="P143">
            <v>9.9502487562188993</v>
          </cell>
          <cell r="Q143">
            <v>10.9452736318408</v>
          </cell>
          <cell r="R143">
            <v>60.6965174129353</v>
          </cell>
          <cell r="S143">
            <v>8.4577114427860707</v>
          </cell>
          <cell r="T143">
            <v>9.9502487562188993</v>
          </cell>
        </row>
        <row r="144">
          <cell r="A144">
            <v>1990</v>
          </cell>
          <cell r="B144" t="str">
            <v>Femmes</v>
          </cell>
          <cell r="C144" t="str">
            <v>5</v>
          </cell>
          <cell r="D144" t="str">
            <v>Ensemble</v>
          </cell>
          <cell r="O144">
            <v>0</v>
          </cell>
          <cell r="P144">
            <v>13.8613861386139</v>
          </cell>
          <cell r="Q144">
            <v>15.3465346534653</v>
          </cell>
          <cell r="R144">
            <v>63.861386138613902</v>
          </cell>
          <cell r="S144">
            <v>1.98019801980198</v>
          </cell>
          <cell r="T144">
            <v>4.9504950495049496</v>
          </cell>
        </row>
        <row r="145">
          <cell r="A145">
            <v>1990</v>
          </cell>
          <cell r="B145" t="str">
            <v>Hommes</v>
          </cell>
          <cell r="C145" t="str">
            <v>1</v>
          </cell>
          <cell r="D145" t="str">
            <v>Ensemble</v>
          </cell>
          <cell r="O145">
            <v>0</v>
          </cell>
          <cell r="P145">
            <v>18.691588785046701</v>
          </cell>
          <cell r="Q145">
            <v>13.0841121495327</v>
          </cell>
          <cell r="R145">
            <v>58.878504672897201</v>
          </cell>
          <cell r="S145">
            <v>4.6728971962616797</v>
          </cell>
          <cell r="T145">
            <v>4.6728971962616797</v>
          </cell>
        </row>
        <row r="146">
          <cell r="A146">
            <v>1990</v>
          </cell>
          <cell r="B146" t="str">
            <v>Hommes</v>
          </cell>
          <cell r="C146" t="str">
            <v>2</v>
          </cell>
          <cell r="D146" t="str">
            <v>Ensemble</v>
          </cell>
          <cell r="O146">
            <v>0</v>
          </cell>
          <cell r="P146">
            <v>14.876033057851201</v>
          </cell>
          <cell r="Q146">
            <v>7.4380165289256199</v>
          </cell>
          <cell r="R146">
            <v>69.421487603305806</v>
          </cell>
          <cell r="S146">
            <v>4.95867768595041</v>
          </cell>
          <cell r="T146">
            <v>3.30578512396694</v>
          </cell>
        </row>
        <row r="147">
          <cell r="A147">
            <v>1990</v>
          </cell>
          <cell r="B147" t="str">
            <v>Hommes</v>
          </cell>
          <cell r="C147" t="str">
            <v>3</v>
          </cell>
          <cell r="D147" t="str">
            <v>Ensemble</v>
          </cell>
          <cell r="O147">
            <v>0</v>
          </cell>
          <cell r="P147">
            <v>8.8709677419354804</v>
          </cell>
          <cell r="Q147">
            <v>10.4838709677419</v>
          </cell>
          <cell r="R147">
            <v>65.322580645161295</v>
          </cell>
          <cell r="S147">
            <v>7.2580645161290303</v>
          </cell>
          <cell r="T147">
            <v>8.0645161290322598</v>
          </cell>
        </row>
        <row r="148">
          <cell r="A148">
            <v>1990</v>
          </cell>
          <cell r="B148" t="str">
            <v>Hommes</v>
          </cell>
          <cell r="C148" t="str">
            <v>4</v>
          </cell>
          <cell r="D148" t="str">
            <v>Ensemble</v>
          </cell>
          <cell r="O148">
            <v>0</v>
          </cell>
          <cell r="P148">
            <v>12.0967741935484</v>
          </cell>
          <cell r="Q148">
            <v>10.4838709677419</v>
          </cell>
          <cell r="R148">
            <v>55.645161290322598</v>
          </cell>
          <cell r="S148">
            <v>10.4838709677419</v>
          </cell>
          <cell r="T148">
            <v>11.290322580645199</v>
          </cell>
        </row>
        <row r="149">
          <cell r="A149">
            <v>1990</v>
          </cell>
          <cell r="B149" t="str">
            <v>Hommes</v>
          </cell>
          <cell r="C149" t="str">
            <v>5</v>
          </cell>
          <cell r="D149" t="str">
            <v>Ensemble</v>
          </cell>
          <cell r="O149">
            <v>0</v>
          </cell>
          <cell r="P149">
            <v>9.375</v>
          </cell>
          <cell r="Q149">
            <v>10.9375</v>
          </cell>
          <cell r="R149">
            <v>67.1875</v>
          </cell>
          <cell r="S149">
            <v>5.46875</v>
          </cell>
          <cell r="T149">
            <v>7.03125</v>
          </cell>
        </row>
        <row r="150">
          <cell r="A150">
            <v>1996</v>
          </cell>
          <cell r="B150" t="str">
            <v>Femmes</v>
          </cell>
          <cell r="C150" t="str">
            <v>1</v>
          </cell>
          <cell r="D150" t="str">
            <v>Ensemble</v>
          </cell>
          <cell r="O150">
            <v>0</v>
          </cell>
          <cell r="P150">
            <v>18.8571428571429</v>
          </cell>
          <cell r="Q150">
            <v>6.8571428571428603</v>
          </cell>
          <cell r="R150">
            <v>62.285714285714299</v>
          </cell>
          <cell r="S150">
            <v>10.8571428571429</v>
          </cell>
          <cell r="T150">
            <v>1.1428571428571399</v>
          </cell>
        </row>
        <row r="151">
          <cell r="A151">
            <v>1996</v>
          </cell>
          <cell r="B151" t="str">
            <v>Femmes</v>
          </cell>
          <cell r="C151" t="str">
            <v>2</v>
          </cell>
          <cell r="D151" t="str">
            <v>Ensemble</v>
          </cell>
          <cell r="O151">
            <v>0</v>
          </cell>
          <cell r="P151">
            <v>8.2872928176795604</v>
          </cell>
          <cell r="Q151">
            <v>10.4972375690608</v>
          </cell>
          <cell r="R151">
            <v>69.613259668508306</v>
          </cell>
          <cell r="S151">
            <v>9.94475138121547</v>
          </cell>
          <cell r="T151">
            <v>1.65745856353591</v>
          </cell>
        </row>
        <row r="152">
          <cell r="A152">
            <v>1996</v>
          </cell>
          <cell r="B152" t="str">
            <v>Femmes</v>
          </cell>
          <cell r="C152" t="str">
            <v>3</v>
          </cell>
          <cell r="D152" t="str">
            <v>Ensemble</v>
          </cell>
          <cell r="O152">
            <v>0</v>
          </cell>
          <cell r="P152">
            <v>15.1376146788991</v>
          </cell>
          <cell r="Q152">
            <v>10.550458715596299</v>
          </cell>
          <cell r="R152">
            <v>62.385321100917402</v>
          </cell>
          <cell r="S152">
            <v>7.7981651376146797</v>
          </cell>
          <cell r="T152">
            <v>4.1284403669724803</v>
          </cell>
        </row>
        <row r="153">
          <cell r="A153">
            <v>1996</v>
          </cell>
          <cell r="B153" t="str">
            <v>Femmes</v>
          </cell>
          <cell r="C153" t="str">
            <v>4</v>
          </cell>
          <cell r="D153" t="str">
            <v>Ensemble</v>
          </cell>
          <cell r="O153">
            <v>0</v>
          </cell>
          <cell r="P153">
            <v>9.2511013215858995</v>
          </cell>
          <cell r="Q153">
            <v>13.656387665198199</v>
          </cell>
          <cell r="R153">
            <v>67.400881057268705</v>
          </cell>
          <cell r="S153">
            <v>7.4889867841409696</v>
          </cell>
          <cell r="T153">
            <v>2.2026431718061699</v>
          </cell>
        </row>
        <row r="154">
          <cell r="A154">
            <v>1996</v>
          </cell>
          <cell r="B154" t="str">
            <v>Femmes</v>
          </cell>
          <cell r="C154" t="str">
            <v>5</v>
          </cell>
          <cell r="D154" t="str">
            <v>Ensemble</v>
          </cell>
          <cell r="O154">
            <v>0</v>
          </cell>
          <cell r="P154">
            <v>9.8290598290598297</v>
          </cell>
          <cell r="Q154">
            <v>12.8205128205128</v>
          </cell>
          <cell r="R154">
            <v>63.675213675213698</v>
          </cell>
          <cell r="S154">
            <v>6.83760683760684</v>
          </cell>
          <cell r="T154">
            <v>6.83760683760684</v>
          </cell>
        </row>
        <row r="155">
          <cell r="A155">
            <v>1996</v>
          </cell>
          <cell r="B155" t="str">
            <v>Hommes</v>
          </cell>
          <cell r="C155" t="str">
            <v>1</v>
          </cell>
          <cell r="D155" t="str">
            <v>Ensemble</v>
          </cell>
          <cell r="O155">
            <v>0</v>
          </cell>
          <cell r="P155">
            <v>10.3092783505155</v>
          </cell>
          <cell r="Q155">
            <v>12.3711340206186</v>
          </cell>
          <cell r="R155">
            <v>68.041237113402104</v>
          </cell>
          <cell r="S155">
            <v>4.1237113402061896</v>
          </cell>
          <cell r="T155">
            <v>5.1546391752577296</v>
          </cell>
        </row>
        <row r="156">
          <cell r="A156">
            <v>1996</v>
          </cell>
          <cell r="B156" t="str">
            <v>Hommes</v>
          </cell>
          <cell r="C156" t="str">
            <v>2</v>
          </cell>
          <cell r="D156" t="str">
            <v>Ensemble</v>
          </cell>
          <cell r="O156">
            <v>0</v>
          </cell>
          <cell r="P156">
            <v>15.044247787610599</v>
          </cell>
          <cell r="Q156">
            <v>6.19469026548673</v>
          </cell>
          <cell r="R156">
            <v>68.141592920354</v>
          </cell>
          <cell r="S156">
            <v>5.3097345132743401</v>
          </cell>
          <cell r="T156">
            <v>5.3097345132743401</v>
          </cell>
        </row>
        <row r="157">
          <cell r="A157">
            <v>1996</v>
          </cell>
          <cell r="B157" t="str">
            <v>Hommes</v>
          </cell>
          <cell r="C157" t="str">
            <v>3</v>
          </cell>
          <cell r="D157" t="str">
            <v>Ensemble</v>
          </cell>
          <cell r="O157">
            <v>0</v>
          </cell>
          <cell r="P157">
            <v>12.605042016806699</v>
          </cell>
          <cell r="Q157">
            <v>7.5630252100840298</v>
          </cell>
          <cell r="R157">
            <v>71.428571428571402</v>
          </cell>
          <cell r="S157">
            <v>4.2016806722689104</v>
          </cell>
          <cell r="T157">
            <v>4.2016806722689104</v>
          </cell>
        </row>
        <row r="158">
          <cell r="A158">
            <v>1996</v>
          </cell>
          <cell r="B158" t="str">
            <v>Hommes</v>
          </cell>
          <cell r="C158" t="str">
            <v>4</v>
          </cell>
          <cell r="D158" t="str">
            <v>Ensemble</v>
          </cell>
          <cell r="O158">
            <v>0</v>
          </cell>
          <cell r="P158">
            <v>11.2</v>
          </cell>
          <cell r="Q158">
            <v>12.8</v>
          </cell>
          <cell r="R158">
            <v>67.2</v>
          </cell>
          <cell r="S158">
            <v>0.8</v>
          </cell>
          <cell r="T158">
            <v>8</v>
          </cell>
        </row>
        <row r="159">
          <cell r="A159">
            <v>1996</v>
          </cell>
          <cell r="B159" t="str">
            <v>Hommes</v>
          </cell>
          <cell r="C159" t="str">
            <v>5</v>
          </cell>
          <cell r="D159" t="str">
            <v>Ensemble</v>
          </cell>
          <cell r="O159">
            <v>0</v>
          </cell>
          <cell r="P159">
            <v>13.559322033898299</v>
          </cell>
          <cell r="Q159">
            <v>9.3220338983050794</v>
          </cell>
          <cell r="R159">
            <v>59.322033898305101</v>
          </cell>
          <cell r="S159">
            <v>4.2372881355932197</v>
          </cell>
          <cell r="T159">
            <v>13.559322033898299</v>
          </cell>
        </row>
        <row r="160">
          <cell r="A160">
            <v>2000</v>
          </cell>
          <cell r="B160" t="str">
            <v>Femmes</v>
          </cell>
          <cell r="C160" t="str">
            <v>1</v>
          </cell>
          <cell r="D160" t="str">
            <v>Ensemble</v>
          </cell>
          <cell r="O160">
            <v>0</v>
          </cell>
          <cell r="P160">
            <v>10.588235294117601</v>
          </cell>
          <cell r="Q160">
            <v>7.0588235294117601</v>
          </cell>
          <cell r="R160">
            <v>71.764705882352899</v>
          </cell>
          <cell r="S160">
            <v>7.6470588235294104</v>
          </cell>
          <cell r="T160">
            <v>2.9411764705882399</v>
          </cell>
        </row>
        <row r="161">
          <cell r="A161">
            <v>2000</v>
          </cell>
          <cell r="B161" t="str">
            <v>Femmes</v>
          </cell>
          <cell r="C161" t="str">
            <v>2</v>
          </cell>
          <cell r="D161" t="str">
            <v>Ensemble</v>
          </cell>
          <cell r="O161">
            <v>0</v>
          </cell>
          <cell r="P161">
            <v>11.1650485436893</v>
          </cell>
          <cell r="Q161">
            <v>10.194174757281599</v>
          </cell>
          <cell r="R161">
            <v>64.077669902912604</v>
          </cell>
          <cell r="S161">
            <v>10.6796116504854</v>
          </cell>
          <cell r="T161">
            <v>3.8834951456310698</v>
          </cell>
        </row>
        <row r="162">
          <cell r="A162">
            <v>2000</v>
          </cell>
          <cell r="B162" t="str">
            <v>Femmes</v>
          </cell>
          <cell r="C162" t="str">
            <v>3</v>
          </cell>
          <cell r="D162" t="str">
            <v>Ensemble</v>
          </cell>
          <cell r="O162">
            <v>0</v>
          </cell>
          <cell r="P162">
            <v>12.616822429906501</v>
          </cell>
          <cell r="Q162">
            <v>12.1495327102804</v>
          </cell>
          <cell r="R162">
            <v>60.747663551401899</v>
          </cell>
          <cell r="S162">
            <v>11.214953271028</v>
          </cell>
          <cell r="T162">
            <v>3.2710280373831799</v>
          </cell>
        </row>
        <row r="163">
          <cell r="A163">
            <v>2000</v>
          </cell>
          <cell r="B163" t="str">
            <v>Femmes</v>
          </cell>
          <cell r="C163" t="str">
            <v>4</v>
          </cell>
          <cell r="D163" t="str">
            <v>Ensemble</v>
          </cell>
          <cell r="O163">
            <v>0</v>
          </cell>
          <cell r="P163">
            <v>12.8571428571429</v>
          </cell>
          <cell r="Q163">
            <v>9.5238095238095202</v>
          </cell>
          <cell r="R163">
            <v>63.809523809523803</v>
          </cell>
          <cell r="S163">
            <v>10</v>
          </cell>
          <cell r="T163">
            <v>3.8095238095238102</v>
          </cell>
        </row>
        <row r="164">
          <cell r="A164">
            <v>2000</v>
          </cell>
          <cell r="B164" t="str">
            <v>Femmes</v>
          </cell>
          <cell r="C164" t="str">
            <v>5</v>
          </cell>
          <cell r="D164" t="str">
            <v>Ensemble</v>
          </cell>
          <cell r="O164">
            <v>0</v>
          </cell>
          <cell r="P164">
            <v>8.6206896551724093</v>
          </cell>
          <cell r="Q164">
            <v>9.9137931034482794</v>
          </cell>
          <cell r="R164">
            <v>65.086206896551701</v>
          </cell>
          <cell r="S164">
            <v>6.4655172413793096</v>
          </cell>
          <cell r="T164">
            <v>9.9137931034482794</v>
          </cell>
        </row>
        <row r="165">
          <cell r="A165">
            <v>2000</v>
          </cell>
          <cell r="B165" t="str">
            <v>Hommes</v>
          </cell>
          <cell r="C165" t="str">
            <v>1</v>
          </cell>
          <cell r="D165" t="str">
            <v>Ensemble</v>
          </cell>
          <cell r="O165">
            <v>0</v>
          </cell>
          <cell r="P165">
            <v>12.962962962962999</v>
          </cell>
          <cell r="Q165">
            <v>9.2592592592592595</v>
          </cell>
          <cell r="R165">
            <v>64.814814814814795</v>
          </cell>
          <cell r="S165">
            <v>7.4074074074074101</v>
          </cell>
          <cell r="T165">
            <v>5.5555555555555598</v>
          </cell>
        </row>
        <row r="166">
          <cell r="A166">
            <v>2000</v>
          </cell>
          <cell r="B166" t="str">
            <v>Hommes</v>
          </cell>
          <cell r="C166" t="str">
            <v>2</v>
          </cell>
          <cell r="D166" t="str">
            <v>Ensemble</v>
          </cell>
          <cell r="O166">
            <v>0</v>
          </cell>
          <cell r="P166">
            <v>12.5</v>
          </cell>
          <cell r="Q166">
            <v>7.8125</v>
          </cell>
          <cell r="R166">
            <v>66.40625</v>
          </cell>
          <cell r="S166">
            <v>7.03125</v>
          </cell>
          <cell r="T166">
            <v>6.25</v>
          </cell>
        </row>
        <row r="167">
          <cell r="A167">
            <v>2000</v>
          </cell>
          <cell r="B167" t="str">
            <v>Hommes</v>
          </cell>
          <cell r="C167" t="str">
            <v>3</v>
          </cell>
          <cell r="D167" t="str">
            <v>Ensemble</v>
          </cell>
          <cell r="O167">
            <v>0</v>
          </cell>
          <cell r="P167">
            <v>12.698412698412699</v>
          </cell>
          <cell r="Q167">
            <v>12.698412698412699</v>
          </cell>
          <cell r="R167">
            <v>61.1111111111111</v>
          </cell>
          <cell r="S167">
            <v>8.7301587301587293</v>
          </cell>
          <cell r="T167">
            <v>4.7619047619047601</v>
          </cell>
        </row>
        <row r="168">
          <cell r="A168">
            <v>2000</v>
          </cell>
          <cell r="B168" t="str">
            <v>Hommes</v>
          </cell>
          <cell r="C168" t="str">
            <v>4</v>
          </cell>
          <cell r="D168" t="str">
            <v>Ensemble</v>
          </cell>
          <cell r="O168">
            <v>0</v>
          </cell>
          <cell r="P168">
            <v>9.6491228070175392</v>
          </cell>
          <cell r="Q168">
            <v>16.6666666666667</v>
          </cell>
          <cell r="R168">
            <v>57.017543859649102</v>
          </cell>
          <cell r="S168">
            <v>13.157894736842101</v>
          </cell>
          <cell r="T168">
            <v>3.5087719298245599</v>
          </cell>
        </row>
        <row r="169">
          <cell r="A169">
            <v>2000</v>
          </cell>
          <cell r="B169" t="str">
            <v>Hommes</v>
          </cell>
          <cell r="C169" t="str">
            <v>5</v>
          </cell>
          <cell r="D169" t="str">
            <v>Ensemble</v>
          </cell>
          <cell r="O169">
            <v>0</v>
          </cell>
          <cell r="P169">
            <v>10.6194690265487</v>
          </cell>
          <cell r="Q169">
            <v>3.5398230088495599</v>
          </cell>
          <cell r="R169">
            <v>73.451327433628293</v>
          </cell>
          <cell r="S169">
            <v>5.3097345132743401</v>
          </cell>
          <cell r="T169">
            <v>7.0796460176991198</v>
          </cell>
        </row>
        <row r="170">
          <cell r="A170">
            <v>1960</v>
          </cell>
          <cell r="B170" t="str">
            <v>Femmes</v>
          </cell>
          <cell r="C170" t="str">
            <v>Ensemble</v>
          </cell>
          <cell r="D170" t="str">
            <v>Mono-pensionné FP</v>
          </cell>
          <cell r="O170">
            <v>0</v>
          </cell>
          <cell r="P170">
            <v>1.47058823529412</v>
          </cell>
          <cell r="Q170">
            <v>4.4117647058823497</v>
          </cell>
          <cell r="R170">
            <v>94.117647058823493</v>
          </cell>
          <cell r="S170">
            <v>0</v>
          </cell>
          <cell r="T170">
            <v>0</v>
          </cell>
        </row>
        <row r="171">
          <cell r="A171">
            <v>1960</v>
          </cell>
          <cell r="B171" t="str">
            <v>Femmes</v>
          </cell>
          <cell r="C171" t="str">
            <v>Ensemble</v>
          </cell>
          <cell r="D171" t="str">
            <v>Mono-pensionné Lura</v>
          </cell>
          <cell r="O171">
            <v>0</v>
          </cell>
          <cell r="P171">
            <v>11.866859623733699</v>
          </cell>
          <cell r="Q171">
            <v>15.3400868306802</v>
          </cell>
          <cell r="R171">
            <v>70.767004341534005</v>
          </cell>
          <cell r="S171">
            <v>1.1577424023154801</v>
          </cell>
          <cell r="T171">
            <v>0.86830680173661401</v>
          </cell>
        </row>
        <row r="172">
          <cell r="A172">
            <v>1960</v>
          </cell>
          <cell r="B172" t="str">
            <v>Femmes</v>
          </cell>
          <cell r="C172" t="str">
            <v>Ensemble</v>
          </cell>
          <cell r="D172" t="str">
            <v>Polypensionné Lura/FP</v>
          </cell>
          <cell r="O172">
            <v>0</v>
          </cell>
          <cell r="P172">
            <v>18.5840707964602</v>
          </cell>
          <cell r="Q172">
            <v>11.5044247787611</v>
          </cell>
          <cell r="R172">
            <v>69.026548672566406</v>
          </cell>
          <cell r="S172">
            <v>0</v>
          </cell>
          <cell r="T172">
            <v>0.88495575221238898</v>
          </cell>
        </row>
        <row r="173">
          <cell r="A173">
            <v>1960</v>
          </cell>
          <cell r="B173" t="str">
            <v>Hommes</v>
          </cell>
          <cell r="C173" t="str">
            <v>Ensemble</v>
          </cell>
          <cell r="D173" t="str">
            <v>Mono-pensionné FP</v>
          </cell>
          <cell r="O173">
            <v>0</v>
          </cell>
          <cell r="P173">
            <v>16.129032258064498</v>
          </cell>
          <cell r="Q173">
            <v>11.290322580645199</v>
          </cell>
          <cell r="R173">
            <v>67.741935483871003</v>
          </cell>
          <cell r="S173">
            <v>3.2258064516128999</v>
          </cell>
          <cell r="T173">
            <v>1.61290322580645</v>
          </cell>
        </row>
        <row r="174">
          <cell r="A174">
            <v>1960</v>
          </cell>
          <cell r="B174" t="str">
            <v>Hommes</v>
          </cell>
          <cell r="C174" t="str">
            <v>Ensemble</v>
          </cell>
          <cell r="D174" t="str">
            <v>Mono-pensionné Lura</v>
          </cell>
          <cell r="O174">
            <v>0</v>
          </cell>
          <cell r="P174">
            <v>7.4074074074074101</v>
          </cell>
          <cell r="Q174">
            <v>13.1313131313131</v>
          </cell>
          <cell r="R174">
            <v>74.410774410774394</v>
          </cell>
          <cell r="S174">
            <v>2.0202020202020199</v>
          </cell>
          <cell r="T174">
            <v>3.0303030303030298</v>
          </cell>
        </row>
        <row r="175">
          <cell r="A175">
            <v>1960</v>
          </cell>
          <cell r="B175" t="str">
            <v>Hommes</v>
          </cell>
          <cell r="C175" t="str">
            <v>Ensemble</v>
          </cell>
          <cell r="D175" t="str">
            <v>Polypensionné Lura/FP</v>
          </cell>
          <cell r="O175">
            <v>0</v>
          </cell>
          <cell r="P175">
            <v>10.9375</v>
          </cell>
          <cell r="Q175">
            <v>15.625</v>
          </cell>
          <cell r="R175">
            <v>67.1875</v>
          </cell>
          <cell r="S175">
            <v>1.5625</v>
          </cell>
          <cell r="T175">
            <v>4.6875</v>
          </cell>
        </row>
        <row r="176">
          <cell r="A176">
            <v>1966</v>
          </cell>
          <cell r="B176" t="str">
            <v>Femmes</v>
          </cell>
          <cell r="C176" t="str">
            <v>Ensemble</v>
          </cell>
          <cell r="D176" t="str">
            <v>Mono-pensionné FP</v>
          </cell>
          <cell r="O176">
            <v>0</v>
          </cell>
          <cell r="P176">
            <v>5.7971014492753596</v>
          </cell>
          <cell r="Q176">
            <v>15.9420289855072</v>
          </cell>
          <cell r="R176">
            <v>78.260869565217405</v>
          </cell>
          <cell r="S176">
            <v>0</v>
          </cell>
          <cell r="T176">
            <v>0</v>
          </cell>
        </row>
        <row r="177">
          <cell r="A177">
            <v>1966</v>
          </cell>
          <cell r="B177" t="str">
            <v>Femmes</v>
          </cell>
          <cell r="C177" t="str">
            <v>Ensemble</v>
          </cell>
          <cell r="D177" t="str">
            <v>Mono-pensionné Lura</v>
          </cell>
          <cell r="O177">
            <v>0</v>
          </cell>
          <cell r="P177">
            <v>13.313609467455599</v>
          </cell>
          <cell r="Q177">
            <v>16.863905325443799</v>
          </cell>
          <cell r="R177">
            <v>64.2011834319527</v>
          </cell>
          <cell r="S177">
            <v>2.81065088757396</v>
          </cell>
          <cell r="T177">
            <v>2.81065088757396</v>
          </cell>
        </row>
        <row r="178">
          <cell r="A178">
            <v>1966</v>
          </cell>
          <cell r="B178" t="str">
            <v>Femmes</v>
          </cell>
          <cell r="C178" t="str">
            <v>Ensemble</v>
          </cell>
          <cell r="D178" t="str">
            <v>Polypensionné Lura/FP</v>
          </cell>
          <cell r="O178">
            <v>0</v>
          </cell>
          <cell r="P178">
            <v>19.018404907975501</v>
          </cell>
          <cell r="Q178">
            <v>19.018404907975501</v>
          </cell>
          <cell r="R178">
            <v>60.122699386503101</v>
          </cell>
          <cell r="S178">
            <v>0</v>
          </cell>
          <cell r="T178">
            <v>1.8404907975460101</v>
          </cell>
        </row>
        <row r="179">
          <cell r="A179">
            <v>1966</v>
          </cell>
          <cell r="B179" t="str">
            <v>Hommes</v>
          </cell>
          <cell r="C179" t="str">
            <v>Ensemble</v>
          </cell>
          <cell r="D179" t="str">
            <v>Mono-pensionné FP</v>
          </cell>
          <cell r="O179">
            <v>0</v>
          </cell>
          <cell r="P179">
            <v>12</v>
          </cell>
          <cell r="Q179">
            <v>18.6666666666667</v>
          </cell>
          <cell r="R179">
            <v>62.6666666666667</v>
          </cell>
          <cell r="S179">
            <v>1.3333333333333299</v>
          </cell>
          <cell r="T179">
            <v>5.3333333333333304</v>
          </cell>
        </row>
        <row r="180">
          <cell r="A180">
            <v>1966</v>
          </cell>
          <cell r="B180" t="str">
            <v>Hommes</v>
          </cell>
          <cell r="C180" t="str">
            <v>Ensemble</v>
          </cell>
          <cell r="D180" t="str">
            <v>Mono-pensionné Lura</v>
          </cell>
          <cell r="O180">
            <v>0</v>
          </cell>
          <cell r="P180">
            <v>15.231788079470199</v>
          </cell>
          <cell r="Q180">
            <v>14.9006622516556</v>
          </cell>
          <cell r="R180">
            <v>62.582781456953597</v>
          </cell>
          <cell r="S180">
            <v>4.6357615894039697</v>
          </cell>
          <cell r="T180">
            <v>2.64900662251656</v>
          </cell>
        </row>
        <row r="181">
          <cell r="A181">
            <v>1966</v>
          </cell>
          <cell r="B181" t="str">
            <v>Hommes</v>
          </cell>
          <cell r="C181" t="str">
            <v>Ensemble</v>
          </cell>
          <cell r="D181" t="str">
            <v>Polypensionné Lura/FP</v>
          </cell>
          <cell r="O181">
            <v>0</v>
          </cell>
          <cell r="P181">
            <v>9.4890510948905096</v>
          </cell>
          <cell r="Q181">
            <v>12.408759124087601</v>
          </cell>
          <cell r="R181">
            <v>69.343065693430702</v>
          </cell>
          <cell r="S181">
            <v>3.6496350364963499</v>
          </cell>
          <cell r="T181">
            <v>5.10948905109489</v>
          </cell>
        </row>
        <row r="182">
          <cell r="A182">
            <v>1972</v>
          </cell>
          <cell r="B182" t="str">
            <v>Femmes</v>
          </cell>
          <cell r="C182" t="str">
            <v>Ensemble</v>
          </cell>
          <cell r="D182" t="str">
            <v>Mono-pensionné FP</v>
          </cell>
          <cell r="O182">
            <v>0</v>
          </cell>
          <cell r="P182">
            <v>13.4328358208955</v>
          </cell>
          <cell r="Q182">
            <v>14.9253731343284</v>
          </cell>
          <cell r="R182">
            <v>71.641791044776099</v>
          </cell>
          <cell r="S182">
            <v>0</v>
          </cell>
          <cell r="T182">
            <v>0</v>
          </cell>
        </row>
        <row r="183">
          <cell r="A183">
            <v>1972</v>
          </cell>
          <cell r="B183" t="str">
            <v>Femmes</v>
          </cell>
          <cell r="C183" t="str">
            <v>Ensemble</v>
          </cell>
          <cell r="D183" t="str">
            <v>Mono-pensionné Lura</v>
          </cell>
          <cell r="O183">
            <v>0</v>
          </cell>
          <cell r="P183">
            <v>15.1033386327504</v>
          </cell>
          <cell r="Q183">
            <v>17.329093799681999</v>
          </cell>
          <cell r="R183">
            <v>61.844197138314797</v>
          </cell>
          <cell r="S183">
            <v>2.3847376788553301</v>
          </cell>
          <cell r="T183">
            <v>3.3386327503974602</v>
          </cell>
        </row>
        <row r="184">
          <cell r="A184">
            <v>1972</v>
          </cell>
          <cell r="B184" t="str">
            <v>Femmes</v>
          </cell>
          <cell r="C184" t="str">
            <v>Ensemble</v>
          </cell>
          <cell r="D184" t="str">
            <v>Polypensionné Lura/FP</v>
          </cell>
          <cell r="O184">
            <v>0</v>
          </cell>
          <cell r="P184">
            <v>6.9364161849711001</v>
          </cell>
          <cell r="Q184">
            <v>9.2485549132948002</v>
          </cell>
          <cell r="R184">
            <v>76.300578034682104</v>
          </cell>
          <cell r="S184">
            <v>4.04624277456647</v>
          </cell>
          <cell r="T184">
            <v>3.4682080924855501</v>
          </cell>
        </row>
        <row r="185">
          <cell r="A185">
            <v>1972</v>
          </cell>
          <cell r="B185" t="str">
            <v>Hommes</v>
          </cell>
          <cell r="C185" t="str">
            <v>Ensemble</v>
          </cell>
          <cell r="D185" t="str">
            <v>Mono-pensionné FP</v>
          </cell>
          <cell r="O185">
            <v>0</v>
          </cell>
          <cell r="P185">
            <v>19.318181818181799</v>
          </cell>
          <cell r="Q185">
            <v>9.0909090909090899</v>
          </cell>
          <cell r="R185">
            <v>68.181818181818201</v>
          </cell>
          <cell r="S185">
            <v>0</v>
          </cell>
          <cell r="T185">
            <v>3.4090909090909101</v>
          </cell>
        </row>
        <row r="186">
          <cell r="A186">
            <v>1972</v>
          </cell>
          <cell r="B186" t="str">
            <v>Hommes</v>
          </cell>
          <cell r="C186" t="str">
            <v>Ensemble</v>
          </cell>
          <cell r="D186" t="str">
            <v>Mono-pensionné Lura</v>
          </cell>
          <cell r="O186">
            <v>0</v>
          </cell>
          <cell r="P186">
            <v>13.1313131313131</v>
          </cell>
          <cell r="Q186">
            <v>16.919191919191899</v>
          </cell>
          <cell r="R186">
            <v>65.656565656565704</v>
          </cell>
          <cell r="S186">
            <v>1.76767676767677</v>
          </cell>
          <cell r="T186">
            <v>2.52525252525253</v>
          </cell>
        </row>
        <row r="187">
          <cell r="A187">
            <v>1972</v>
          </cell>
          <cell r="B187" t="str">
            <v>Hommes</v>
          </cell>
          <cell r="C187" t="str">
            <v>Ensemble</v>
          </cell>
          <cell r="D187" t="str">
            <v>Polypensionné Lura/FP</v>
          </cell>
          <cell r="O187">
            <v>0</v>
          </cell>
          <cell r="P187">
            <v>18.75</v>
          </cell>
          <cell r="Q187">
            <v>9.375</v>
          </cell>
          <cell r="R187">
            <v>61.4583333333333</v>
          </cell>
          <cell r="S187">
            <v>2.0833333333333299</v>
          </cell>
          <cell r="T187">
            <v>8.3333333333333304</v>
          </cell>
        </row>
        <row r="188">
          <cell r="A188">
            <v>1978</v>
          </cell>
          <cell r="B188" t="str">
            <v>Femmes</v>
          </cell>
          <cell r="C188" t="str">
            <v>Ensemble</v>
          </cell>
          <cell r="D188" t="str">
            <v>Mono-pensionné FP</v>
          </cell>
          <cell r="O188">
            <v>0</v>
          </cell>
          <cell r="P188">
            <v>7.4626865671641802</v>
          </cell>
          <cell r="Q188">
            <v>14.9253731343284</v>
          </cell>
          <cell r="R188">
            <v>77.611940298507506</v>
          </cell>
          <cell r="S188">
            <v>0</v>
          </cell>
          <cell r="T188">
            <v>0</v>
          </cell>
        </row>
        <row r="189">
          <cell r="A189">
            <v>1978</v>
          </cell>
          <cell r="B189" t="str">
            <v>Femmes</v>
          </cell>
          <cell r="C189" t="str">
            <v>Ensemble</v>
          </cell>
          <cell r="D189" t="str">
            <v>Mono-pensionné Lura</v>
          </cell>
          <cell r="O189">
            <v>0</v>
          </cell>
          <cell r="P189">
            <v>12.7129750982962</v>
          </cell>
          <cell r="Q189">
            <v>14.023591087811299</v>
          </cell>
          <cell r="R189">
            <v>68.938401048492807</v>
          </cell>
          <cell r="S189">
            <v>1.9659239842726099</v>
          </cell>
          <cell r="T189">
            <v>2.3591087811271301</v>
          </cell>
        </row>
        <row r="190">
          <cell r="A190">
            <v>1978</v>
          </cell>
          <cell r="B190" t="str">
            <v>Femmes</v>
          </cell>
          <cell r="C190" t="str">
            <v>Ensemble</v>
          </cell>
          <cell r="D190" t="str">
            <v>Polypensionné Lura/FP</v>
          </cell>
          <cell r="O190">
            <v>0</v>
          </cell>
          <cell r="P190">
            <v>25.179856115107899</v>
          </cell>
          <cell r="Q190">
            <v>14.3884892086331</v>
          </cell>
          <cell r="R190">
            <v>53.956834532374103</v>
          </cell>
          <cell r="S190">
            <v>2.1582733812949599</v>
          </cell>
          <cell r="T190">
            <v>4.3165467625899296</v>
          </cell>
        </row>
        <row r="191">
          <cell r="A191">
            <v>1978</v>
          </cell>
          <cell r="B191" t="str">
            <v>Hommes</v>
          </cell>
          <cell r="C191" t="str">
            <v>Ensemble</v>
          </cell>
          <cell r="D191" t="str">
            <v>Mono-pensionné FP</v>
          </cell>
          <cell r="O191">
            <v>0</v>
          </cell>
          <cell r="P191">
            <v>7.4074074074074101</v>
          </cell>
          <cell r="Q191">
            <v>18.518518518518501</v>
          </cell>
          <cell r="R191">
            <v>59.259259259259302</v>
          </cell>
          <cell r="S191">
            <v>0</v>
          </cell>
          <cell r="T191">
            <v>14.814814814814801</v>
          </cell>
        </row>
        <row r="192">
          <cell r="A192">
            <v>1978</v>
          </cell>
          <cell r="B192" t="str">
            <v>Hommes</v>
          </cell>
          <cell r="C192" t="str">
            <v>Ensemble</v>
          </cell>
          <cell r="D192" t="str">
            <v>Mono-pensionné Lura</v>
          </cell>
          <cell r="O192">
            <v>0</v>
          </cell>
          <cell r="P192">
            <v>17.0491803278689</v>
          </cell>
          <cell r="Q192">
            <v>13.1147540983607</v>
          </cell>
          <cell r="R192">
            <v>64.918032786885206</v>
          </cell>
          <cell r="S192">
            <v>1.9672131147541001</v>
          </cell>
          <cell r="T192">
            <v>2.9508196721311499</v>
          </cell>
        </row>
        <row r="193">
          <cell r="A193">
            <v>1978</v>
          </cell>
          <cell r="B193" t="str">
            <v>Hommes</v>
          </cell>
          <cell r="C193" t="str">
            <v>Ensemble</v>
          </cell>
          <cell r="D193" t="str">
            <v>Polypensionné Lura/FP</v>
          </cell>
          <cell r="O193">
            <v>0</v>
          </cell>
          <cell r="P193">
            <v>10.7843137254902</v>
          </cell>
          <cell r="Q193">
            <v>8.8235294117647101</v>
          </cell>
          <cell r="R193">
            <v>74.509803921568604</v>
          </cell>
          <cell r="S193">
            <v>0</v>
          </cell>
          <cell r="T193">
            <v>5.8823529411764701</v>
          </cell>
        </row>
        <row r="194">
          <cell r="A194">
            <v>1984</v>
          </cell>
          <cell r="B194" t="str">
            <v>Femmes</v>
          </cell>
          <cell r="C194" t="str">
            <v>Ensemble</v>
          </cell>
          <cell r="D194" t="str">
            <v>Mono-pensionné FP</v>
          </cell>
          <cell r="O194">
            <v>0</v>
          </cell>
          <cell r="P194">
            <v>18.644067796610202</v>
          </cell>
          <cell r="Q194">
            <v>13.559322033898299</v>
          </cell>
          <cell r="R194">
            <v>66.1016949152542</v>
          </cell>
          <cell r="S194">
            <v>0</v>
          </cell>
          <cell r="T194">
            <v>1.6949152542372901</v>
          </cell>
        </row>
        <row r="195">
          <cell r="A195">
            <v>1984</v>
          </cell>
          <cell r="B195" t="str">
            <v>Femmes</v>
          </cell>
          <cell r="C195" t="str">
            <v>Ensemble</v>
          </cell>
          <cell r="D195" t="str">
            <v>Mono-pensionné Lura</v>
          </cell>
          <cell r="O195">
            <v>0</v>
          </cell>
          <cell r="P195">
            <v>15.5388471177945</v>
          </cell>
          <cell r="Q195">
            <v>11.278195488721799</v>
          </cell>
          <cell r="R195">
            <v>64.912280701754398</v>
          </cell>
          <cell r="S195">
            <v>4.7619047619047601</v>
          </cell>
          <cell r="T195">
            <v>3.5087719298245599</v>
          </cell>
        </row>
        <row r="196">
          <cell r="A196">
            <v>1984</v>
          </cell>
          <cell r="B196" t="str">
            <v>Femmes</v>
          </cell>
          <cell r="C196" t="str">
            <v>Ensemble</v>
          </cell>
          <cell r="D196" t="str">
            <v>Polypensionné Lura/FP</v>
          </cell>
          <cell r="O196">
            <v>0</v>
          </cell>
          <cell r="P196">
            <v>13.0434782608696</v>
          </cell>
          <cell r="Q196">
            <v>13.0434782608696</v>
          </cell>
          <cell r="R196">
            <v>63.478260869565197</v>
          </cell>
          <cell r="S196">
            <v>6.0869565217391299</v>
          </cell>
          <cell r="T196">
            <v>4.3478260869565197</v>
          </cell>
        </row>
        <row r="197">
          <cell r="A197">
            <v>1984</v>
          </cell>
          <cell r="B197" t="str">
            <v>Hommes</v>
          </cell>
          <cell r="C197" t="str">
            <v>Ensemble</v>
          </cell>
          <cell r="D197" t="str">
            <v>Mono-pensionné FP</v>
          </cell>
          <cell r="O197">
            <v>0</v>
          </cell>
          <cell r="P197">
            <v>6.25</v>
          </cell>
          <cell r="Q197">
            <v>6.25</v>
          </cell>
          <cell r="R197">
            <v>83.3333333333333</v>
          </cell>
          <cell r="S197">
            <v>0</v>
          </cell>
          <cell r="T197">
            <v>4.1666666666666696</v>
          </cell>
        </row>
        <row r="198">
          <cell r="A198">
            <v>1984</v>
          </cell>
          <cell r="B198" t="str">
            <v>Hommes</v>
          </cell>
          <cell r="C198" t="str">
            <v>Ensemble</v>
          </cell>
          <cell r="D198" t="str">
            <v>Mono-pensionné Lura</v>
          </cell>
          <cell r="O198">
            <v>0.31152647975077902</v>
          </cell>
          <cell r="P198">
            <v>12.7725856697819</v>
          </cell>
          <cell r="Q198">
            <v>11.838006230529601</v>
          </cell>
          <cell r="R198">
            <v>68.224299065420595</v>
          </cell>
          <cell r="S198">
            <v>3.1152647975077898</v>
          </cell>
          <cell r="T198">
            <v>3.7383177570093502</v>
          </cell>
        </row>
        <row r="199">
          <cell r="A199">
            <v>1984</v>
          </cell>
          <cell r="B199" t="str">
            <v>Hommes</v>
          </cell>
          <cell r="C199" t="str">
            <v>Ensemble</v>
          </cell>
          <cell r="D199" t="str">
            <v>Polypensionné Lura/FP</v>
          </cell>
          <cell r="O199">
            <v>0</v>
          </cell>
          <cell r="P199">
            <v>16.935483870967701</v>
          </cell>
          <cell r="Q199">
            <v>7.2580645161290303</v>
          </cell>
          <cell r="R199">
            <v>62.903225806451601</v>
          </cell>
          <cell r="S199">
            <v>4.8387096774193497</v>
          </cell>
          <cell r="T199">
            <v>8.0645161290322598</v>
          </cell>
        </row>
        <row r="200">
          <cell r="A200">
            <v>1990</v>
          </cell>
          <cell r="B200" t="str">
            <v>Femmes</v>
          </cell>
          <cell r="C200" t="str">
            <v>Ensemble</v>
          </cell>
          <cell r="D200" t="str">
            <v>Mono-pensionné FP</v>
          </cell>
          <cell r="O200">
            <v>0</v>
          </cell>
          <cell r="P200">
            <v>14.545454545454501</v>
          </cell>
          <cell r="Q200">
            <v>12.7272727272727</v>
          </cell>
          <cell r="R200">
            <v>72.727272727272705</v>
          </cell>
          <cell r="S200">
            <v>0</v>
          </cell>
          <cell r="T200">
            <v>0</v>
          </cell>
        </row>
        <row r="201">
          <cell r="A201">
            <v>1990</v>
          </cell>
          <cell r="B201" t="str">
            <v>Femmes</v>
          </cell>
          <cell r="C201" t="str">
            <v>Ensemble</v>
          </cell>
          <cell r="D201" t="str">
            <v>Mono-pensionné Lura</v>
          </cell>
          <cell r="O201">
            <v>0</v>
          </cell>
          <cell r="P201">
            <v>10.9739368998628</v>
          </cell>
          <cell r="Q201">
            <v>9.4650205761316908</v>
          </cell>
          <cell r="R201">
            <v>66.117969821673498</v>
          </cell>
          <cell r="S201">
            <v>8.2304526748971192</v>
          </cell>
          <cell r="T201">
            <v>5.2126200274348404</v>
          </cell>
        </row>
        <row r="202">
          <cell r="A202">
            <v>1990</v>
          </cell>
          <cell r="B202" t="str">
            <v>Femmes</v>
          </cell>
          <cell r="C202" t="str">
            <v>Ensemble</v>
          </cell>
          <cell r="D202" t="str">
            <v>Polypensionné Lura/FP</v>
          </cell>
          <cell r="O202">
            <v>0</v>
          </cell>
          <cell r="P202">
            <v>10.106382978723399</v>
          </cell>
          <cell r="Q202">
            <v>15.4255319148936</v>
          </cell>
          <cell r="R202">
            <v>61.702127659574501</v>
          </cell>
          <cell r="S202">
            <v>6.3829787234042596</v>
          </cell>
          <cell r="T202">
            <v>6.3829787234042596</v>
          </cell>
        </row>
        <row r="203">
          <cell r="A203">
            <v>1990</v>
          </cell>
          <cell r="B203" t="str">
            <v>Hommes</v>
          </cell>
          <cell r="C203" t="str">
            <v>Ensemble</v>
          </cell>
          <cell r="D203" t="str">
            <v>Mono-pensionné FP</v>
          </cell>
          <cell r="O203">
            <v>0</v>
          </cell>
          <cell r="P203">
            <v>17.8571428571429</v>
          </cell>
          <cell r="Q203">
            <v>7.1428571428571397</v>
          </cell>
          <cell r="R203">
            <v>71.428571428571402</v>
          </cell>
          <cell r="S203">
            <v>0</v>
          </cell>
          <cell r="T203">
            <v>3.5714285714285698</v>
          </cell>
        </row>
        <row r="204">
          <cell r="A204">
            <v>1990</v>
          </cell>
          <cell r="B204" t="str">
            <v>Hommes</v>
          </cell>
          <cell r="C204" t="str">
            <v>Ensemble</v>
          </cell>
          <cell r="D204" t="str">
            <v>Mono-pensionné Lura</v>
          </cell>
          <cell r="O204">
            <v>0</v>
          </cell>
          <cell r="P204">
            <v>12.649164677804301</v>
          </cell>
          <cell r="Q204">
            <v>11.2171837708831</v>
          </cell>
          <cell r="R204">
            <v>63.484486873508402</v>
          </cell>
          <cell r="S204">
            <v>5.7279236276849597</v>
          </cell>
          <cell r="T204">
            <v>6.9212410501193302</v>
          </cell>
        </row>
        <row r="205">
          <cell r="A205">
            <v>1990</v>
          </cell>
          <cell r="B205" t="str">
            <v>Hommes</v>
          </cell>
          <cell r="C205" t="str">
            <v>Ensemble</v>
          </cell>
          <cell r="D205" t="str">
            <v>Polypensionné Lura/FP</v>
          </cell>
          <cell r="O205">
            <v>0</v>
          </cell>
          <cell r="P205">
            <v>12.1621621621622</v>
          </cell>
          <cell r="Q205">
            <v>9.4594594594594597</v>
          </cell>
          <cell r="R205">
            <v>65.540540540540505</v>
          </cell>
          <cell r="S205">
            <v>10.8108108108108</v>
          </cell>
          <cell r="T205">
            <v>2.0270270270270299</v>
          </cell>
        </row>
        <row r="206">
          <cell r="A206">
            <v>1996</v>
          </cell>
          <cell r="B206" t="str">
            <v>Femmes</v>
          </cell>
          <cell r="C206" t="str">
            <v>Ensemble</v>
          </cell>
          <cell r="D206" t="str">
            <v>Mono-pensionné FP</v>
          </cell>
          <cell r="O206">
            <v>0</v>
          </cell>
          <cell r="P206">
            <v>12.5</v>
          </cell>
          <cell r="Q206">
            <v>10</v>
          </cell>
          <cell r="R206">
            <v>77.5</v>
          </cell>
          <cell r="S206">
            <v>0</v>
          </cell>
          <cell r="T206">
            <v>0</v>
          </cell>
        </row>
        <row r="207">
          <cell r="A207">
            <v>1996</v>
          </cell>
          <cell r="B207" t="str">
            <v>Femmes</v>
          </cell>
          <cell r="C207" t="str">
            <v>Ensemble</v>
          </cell>
          <cell r="D207" t="str">
            <v>Mono-pensionné Lura</v>
          </cell>
          <cell r="O207">
            <v>0</v>
          </cell>
          <cell r="P207">
            <v>11.799761620977399</v>
          </cell>
          <cell r="Q207">
            <v>10.965435041716299</v>
          </cell>
          <cell r="R207">
            <v>64.481525625744894</v>
          </cell>
          <cell r="S207">
            <v>9.41597139451728</v>
          </cell>
          <cell r="T207">
            <v>3.3373063170441002</v>
          </cell>
        </row>
        <row r="208">
          <cell r="A208">
            <v>1996</v>
          </cell>
          <cell r="B208" t="str">
            <v>Femmes</v>
          </cell>
          <cell r="C208" t="str">
            <v>Ensemble</v>
          </cell>
          <cell r="D208" t="str">
            <v>Polypensionné Lura/FP</v>
          </cell>
          <cell r="O208">
            <v>0</v>
          </cell>
          <cell r="P208">
            <v>13.548387096774199</v>
          </cell>
          <cell r="Q208">
            <v>12.258064516129</v>
          </cell>
          <cell r="R208">
            <v>65.161290322580598</v>
          </cell>
          <cell r="S208">
            <v>5.1612903225806503</v>
          </cell>
          <cell r="T208">
            <v>3.87096774193548</v>
          </cell>
        </row>
        <row r="209">
          <cell r="A209">
            <v>1996</v>
          </cell>
          <cell r="B209" t="str">
            <v>Hommes</v>
          </cell>
          <cell r="C209" t="str">
            <v>Ensemble</v>
          </cell>
          <cell r="D209" t="str">
            <v>Mono-pensionné FP</v>
          </cell>
          <cell r="O209">
            <v>0</v>
          </cell>
          <cell r="P209">
            <v>13.636363636363599</v>
          </cell>
          <cell r="Q209">
            <v>0</v>
          </cell>
          <cell r="R209">
            <v>86.363636363636402</v>
          </cell>
          <cell r="S209">
            <v>0</v>
          </cell>
          <cell r="T209">
            <v>0</v>
          </cell>
        </row>
        <row r="210">
          <cell r="A210">
            <v>1996</v>
          </cell>
          <cell r="B210" t="str">
            <v>Hommes</v>
          </cell>
          <cell r="C210" t="str">
            <v>Ensemble</v>
          </cell>
          <cell r="D210" t="str">
            <v>Mono-pensionné Lura</v>
          </cell>
          <cell r="O210">
            <v>0</v>
          </cell>
          <cell r="P210">
            <v>12.958435207823999</v>
          </cell>
          <cell r="Q210">
            <v>9.7799511002444994</v>
          </cell>
          <cell r="R210">
            <v>66.259168704156494</v>
          </cell>
          <cell r="S210">
            <v>3.4229828850855699</v>
          </cell>
          <cell r="T210">
            <v>7.5794621026894902</v>
          </cell>
        </row>
        <row r="211">
          <cell r="A211">
            <v>1996</v>
          </cell>
          <cell r="B211" t="str">
            <v>Hommes</v>
          </cell>
          <cell r="C211" t="str">
            <v>Ensemble</v>
          </cell>
          <cell r="D211" t="str">
            <v>Polypensionné Lura/FP</v>
          </cell>
          <cell r="O211">
            <v>0</v>
          </cell>
          <cell r="P211">
            <v>11.851851851851899</v>
          </cell>
          <cell r="Q211">
            <v>11.1111111111111</v>
          </cell>
          <cell r="R211">
            <v>68.148148148148195</v>
          </cell>
          <cell r="S211">
            <v>5.1851851851851896</v>
          </cell>
          <cell r="T211">
            <v>3.7037037037037002</v>
          </cell>
        </row>
        <row r="212">
          <cell r="A212">
            <v>2000</v>
          </cell>
          <cell r="B212" t="str">
            <v>Femmes</v>
          </cell>
          <cell r="C212" t="str">
            <v>Ensemble</v>
          </cell>
          <cell r="D212" t="str">
            <v>Mono-pensionné FP</v>
          </cell>
          <cell r="O212">
            <v>0</v>
          </cell>
          <cell r="P212">
            <v>13.636363636363599</v>
          </cell>
          <cell r="Q212">
            <v>13.636363636363599</v>
          </cell>
          <cell r="R212">
            <v>63.636363636363598</v>
          </cell>
          <cell r="S212">
            <v>0</v>
          </cell>
          <cell r="T212">
            <v>9.0909090909090899</v>
          </cell>
        </row>
        <row r="213">
          <cell r="A213">
            <v>2000</v>
          </cell>
          <cell r="B213" t="str">
            <v>Femmes</v>
          </cell>
          <cell r="C213" t="str">
            <v>Ensemble</v>
          </cell>
          <cell r="D213" t="str">
            <v>Mono-pensionné Lura</v>
          </cell>
          <cell r="O213">
            <v>0</v>
          </cell>
          <cell r="P213">
            <v>11.560693641618499</v>
          </cell>
          <cell r="Q213">
            <v>9.4797687861271704</v>
          </cell>
          <cell r="R213">
            <v>64.971098265896003</v>
          </cell>
          <cell r="S213">
            <v>9.2485549132948002</v>
          </cell>
          <cell r="T213">
            <v>4.7398843930635799</v>
          </cell>
        </row>
        <row r="214">
          <cell r="A214">
            <v>2000</v>
          </cell>
          <cell r="B214" t="str">
            <v>Femmes</v>
          </cell>
          <cell r="C214" t="str">
            <v>Ensemble</v>
          </cell>
          <cell r="D214" t="str">
            <v>Polypensionné Lura/FP</v>
          </cell>
          <cell r="O214">
            <v>0</v>
          </cell>
          <cell r="P214">
            <v>8.3333333333333304</v>
          </cell>
          <cell r="Q214">
            <v>11.8055555555556</v>
          </cell>
          <cell r="R214">
            <v>64.5833333333333</v>
          </cell>
          <cell r="S214">
            <v>10.4166666666667</v>
          </cell>
          <cell r="T214">
            <v>4.8611111111111098</v>
          </cell>
        </row>
        <row r="215">
          <cell r="A215">
            <v>2000</v>
          </cell>
          <cell r="B215" t="str">
            <v>Hommes</v>
          </cell>
          <cell r="C215" t="str">
            <v>Ensemble</v>
          </cell>
          <cell r="D215" t="str">
            <v>Mono-pensionné FP</v>
          </cell>
          <cell r="O215">
            <v>0</v>
          </cell>
          <cell r="P215">
            <v>21.739130434782599</v>
          </cell>
          <cell r="Q215">
            <v>0</v>
          </cell>
          <cell r="R215">
            <v>78.260869565217405</v>
          </cell>
          <cell r="S215">
            <v>0</v>
          </cell>
          <cell r="T215">
            <v>0</v>
          </cell>
        </row>
        <row r="216">
          <cell r="A216">
            <v>2000</v>
          </cell>
          <cell r="B216" t="str">
            <v>Hommes</v>
          </cell>
          <cell r="C216" t="str">
            <v>Ensemble</v>
          </cell>
          <cell r="D216" t="str">
            <v>Mono-pensionné Lura</v>
          </cell>
          <cell r="O216">
            <v>0</v>
          </cell>
          <cell r="P216">
            <v>12.351543942992899</v>
          </cell>
          <cell r="Q216">
            <v>10.688836104513101</v>
          </cell>
          <cell r="R216">
            <v>63.182897862232799</v>
          </cell>
          <cell r="S216">
            <v>9.0261282660332505</v>
          </cell>
          <cell r="T216">
            <v>4.7505938242280301</v>
          </cell>
        </row>
        <row r="217">
          <cell r="A217">
            <v>2000</v>
          </cell>
          <cell r="B217" t="str">
            <v>Hommes</v>
          </cell>
          <cell r="C217" t="str">
            <v>Ensemble</v>
          </cell>
          <cell r="D217" t="str">
            <v>Polypensionné Lura/FP</v>
          </cell>
          <cell r="O217">
            <v>0</v>
          </cell>
          <cell r="P217">
            <v>8.5106382978723403</v>
          </cell>
          <cell r="Q217">
            <v>9.9290780141843999</v>
          </cell>
          <cell r="R217">
            <v>68.085106382978694</v>
          </cell>
          <cell r="S217">
            <v>7.8014184397163104</v>
          </cell>
          <cell r="T217">
            <v>5.6737588652482298</v>
          </cell>
        </row>
        <row r="218">
          <cell r="A218">
            <v>1960</v>
          </cell>
          <cell r="B218" t="str">
            <v>Ensemble</v>
          </cell>
          <cell r="C218" t="str">
            <v>1</v>
          </cell>
          <cell r="D218" t="str">
            <v>Mono-pensionné FP</v>
          </cell>
          <cell r="O218">
            <v>0</v>
          </cell>
          <cell r="P218">
            <v>8.3333333333333304</v>
          </cell>
          <cell r="Q218">
            <v>0</v>
          </cell>
          <cell r="R218">
            <v>91.6666666666667</v>
          </cell>
          <cell r="S218">
            <v>0</v>
          </cell>
          <cell r="T218">
            <v>0</v>
          </cell>
        </row>
        <row r="219">
          <cell r="A219">
            <v>1960</v>
          </cell>
          <cell r="B219" t="str">
            <v>Ensemble</v>
          </cell>
          <cell r="C219" t="str">
            <v>1</v>
          </cell>
          <cell r="D219" t="str">
            <v>Mono-pensionné Lura</v>
          </cell>
          <cell r="O219">
            <v>0</v>
          </cell>
          <cell r="P219">
            <v>10.1321585903084</v>
          </cell>
          <cell r="Q219">
            <v>12.3348017621145</v>
          </cell>
          <cell r="R219">
            <v>75.330396475770897</v>
          </cell>
          <cell r="S219">
            <v>2.2026431718061699</v>
          </cell>
          <cell r="T219">
            <v>0</v>
          </cell>
        </row>
        <row r="220">
          <cell r="A220">
            <v>1960</v>
          </cell>
          <cell r="B220" t="str">
            <v>Ensemble</v>
          </cell>
          <cell r="C220" t="str">
            <v>1</v>
          </cell>
          <cell r="D220" t="str">
            <v>Polypensionné Lura/FP</v>
          </cell>
          <cell r="O220">
            <v>0</v>
          </cell>
          <cell r="P220">
            <v>27.272727272727298</v>
          </cell>
          <cell r="Q220">
            <v>3.0303030303030298</v>
          </cell>
          <cell r="R220">
            <v>69.696969696969703</v>
          </cell>
          <cell r="S220">
            <v>0</v>
          </cell>
          <cell r="T220">
            <v>0</v>
          </cell>
        </row>
        <row r="221">
          <cell r="A221">
            <v>1960</v>
          </cell>
          <cell r="B221" t="str">
            <v>Ensemble</v>
          </cell>
          <cell r="C221" t="str">
            <v>2</v>
          </cell>
          <cell r="D221" t="str">
            <v>Mono-pensionné FP</v>
          </cell>
          <cell r="O221">
            <v>0</v>
          </cell>
          <cell r="P221">
            <v>0</v>
          </cell>
          <cell r="Q221">
            <v>3.5714285714285698</v>
          </cell>
          <cell r="R221">
            <v>96.428571428571402</v>
          </cell>
          <cell r="S221">
            <v>0</v>
          </cell>
          <cell r="T221">
            <v>0</v>
          </cell>
        </row>
        <row r="222">
          <cell r="A222">
            <v>1960</v>
          </cell>
          <cell r="B222" t="str">
            <v>Ensemble</v>
          </cell>
          <cell r="C222" t="str">
            <v>2</v>
          </cell>
          <cell r="D222" t="str">
            <v>Mono-pensionné Lura</v>
          </cell>
          <cell r="O222">
            <v>0</v>
          </cell>
          <cell r="P222">
            <v>6.9620253164557004</v>
          </cell>
          <cell r="Q222">
            <v>10.7594936708861</v>
          </cell>
          <cell r="R222">
            <v>79.746835443037995</v>
          </cell>
          <cell r="S222">
            <v>0.632911392405063</v>
          </cell>
          <cell r="T222">
            <v>1.89873417721519</v>
          </cell>
        </row>
        <row r="223">
          <cell r="A223">
            <v>1960</v>
          </cell>
          <cell r="B223" t="str">
            <v>Ensemble</v>
          </cell>
          <cell r="C223" t="str">
            <v>2</v>
          </cell>
          <cell r="D223" t="str">
            <v>Polypensionné Lura/FP</v>
          </cell>
          <cell r="O223">
            <v>0</v>
          </cell>
          <cell r="P223">
            <v>22.2222222222222</v>
          </cell>
          <cell r="Q223">
            <v>14.814814814814801</v>
          </cell>
          <cell r="R223">
            <v>59.259259259259302</v>
          </cell>
          <cell r="S223">
            <v>3.7037037037037002</v>
          </cell>
          <cell r="T223">
            <v>0</v>
          </cell>
        </row>
        <row r="224">
          <cell r="A224">
            <v>1960</v>
          </cell>
          <cell r="B224" t="str">
            <v>Ensemble</v>
          </cell>
          <cell r="C224" t="str">
            <v>3</v>
          </cell>
          <cell r="D224" t="str">
            <v>Mono-pensionné FP</v>
          </cell>
          <cell r="O224">
            <v>0</v>
          </cell>
          <cell r="P224">
            <v>16.6666666666667</v>
          </cell>
          <cell r="Q224">
            <v>4.1666666666666696</v>
          </cell>
          <cell r="R224">
            <v>75</v>
          </cell>
          <cell r="S224">
            <v>4.1666666666666696</v>
          </cell>
          <cell r="T224">
            <v>0</v>
          </cell>
        </row>
        <row r="225">
          <cell r="A225">
            <v>1960</v>
          </cell>
          <cell r="B225" t="str">
            <v>Ensemble</v>
          </cell>
          <cell r="C225" t="str">
            <v>3</v>
          </cell>
          <cell r="D225" t="str">
            <v>Mono-pensionné Lura</v>
          </cell>
          <cell r="O225">
            <v>0</v>
          </cell>
          <cell r="P225">
            <v>10.2564102564103</v>
          </cell>
          <cell r="Q225">
            <v>13.3333333333333</v>
          </cell>
          <cell r="R225">
            <v>73.846153846153797</v>
          </cell>
          <cell r="S225">
            <v>1.5384615384615401</v>
          </cell>
          <cell r="T225">
            <v>1.02564102564103</v>
          </cell>
        </row>
        <row r="226">
          <cell r="A226">
            <v>1960</v>
          </cell>
          <cell r="B226" t="str">
            <v>Ensemble</v>
          </cell>
          <cell r="C226" t="str">
            <v>3</v>
          </cell>
          <cell r="D226" t="str">
            <v>Polypensionné Lura/FP</v>
          </cell>
          <cell r="O226">
            <v>0</v>
          </cell>
          <cell r="P226">
            <v>12.1212121212121</v>
          </cell>
          <cell r="Q226">
            <v>12.1212121212121</v>
          </cell>
          <cell r="R226">
            <v>75.757575757575793</v>
          </cell>
          <cell r="S226">
            <v>0</v>
          </cell>
          <cell r="T226">
            <v>0</v>
          </cell>
        </row>
        <row r="227">
          <cell r="A227">
            <v>1960</v>
          </cell>
          <cell r="B227" t="str">
            <v>Ensemble</v>
          </cell>
          <cell r="C227" t="str">
            <v>4</v>
          </cell>
          <cell r="D227" t="str">
            <v>Mono-pensionné FP</v>
          </cell>
          <cell r="O227">
            <v>0</v>
          </cell>
          <cell r="P227">
            <v>13.636363636363599</v>
          </cell>
          <cell r="Q227">
            <v>9.0909090909090899</v>
          </cell>
          <cell r="R227">
            <v>72.727272727272705</v>
          </cell>
          <cell r="S227">
            <v>4.5454545454545503</v>
          </cell>
          <cell r="T227">
            <v>0</v>
          </cell>
        </row>
        <row r="228">
          <cell r="A228">
            <v>1960</v>
          </cell>
          <cell r="B228" t="str">
            <v>Ensemble</v>
          </cell>
          <cell r="C228" t="str">
            <v>4</v>
          </cell>
          <cell r="D228" t="str">
            <v>Mono-pensionné Lura</v>
          </cell>
          <cell r="O228">
            <v>0</v>
          </cell>
          <cell r="P228">
            <v>11.764705882352899</v>
          </cell>
          <cell r="Q228">
            <v>19.9095022624434</v>
          </cell>
          <cell r="R228">
            <v>64.253393665158399</v>
          </cell>
          <cell r="S228">
            <v>1.80995475113122</v>
          </cell>
          <cell r="T228">
            <v>2.2624434389140302</v>
          </cell>
        </row>
        <row r="229">
          <cell r="A229">
            <v>1960</v>
          </cell>
          <cell r="B229" t="str">
            <v>Ensemble</v>
          </cell>
          <cell r="C229" t="str">
            <v>4</v>
          </cell>
          <cell r="D229" t="str">
            <v>Polypensionné Lura/FP</v>
          </cell>
          <cell r="O229">
            <v>0</v>
          </cell>
          <cell r="P229">
            <v>13.3333333333333</v>
          </cell>
          <cell r="Q229">
            <v>8.8888888888888893</v>
          </cell>
          <cell r="R229">
            <v>77.7777777777778</v>
          </cell>
          <cell r="S229">
            <v>0</v>
          </cell>
          <cell r="T229">
            <v>0</v>
          </cell>
        </row>
        <row r="230">
          <cell r="A230">
            <v>1960</v>
          </cell>
          <cell r="B230" t="str">
            <v>Ensemble</v>
          </cell>
          <cell r="C230" t="str">
            <v>5</v>
          </cell>
          <cell r="D230" t="str">
            <v>Mono-pensionné FP</v>
          </cell>
          <cell r="O230">
            <v>0</v>
          </cell>
          <cell r="P230">
            <v>6.8181818181818201</v>
          </cell>
          <cell r="Q230">
            <v>13.636363636363599</v>
          </cell>
          <cell r="R230">
            <v>77.272727272727295</v>
          </cell>
          <cell r="S230">
            <v>0</v>
          </cell>
          <cell r="T230">
            <v>2.2727272727272698</v>
          </cell>
        </row>
        <row r="231">
          <cell r="A231">
            <v>1960</v>
          </cell>
          <cell r="B231" t="str">
            <v>Ensemble</v>
          </cell>
          <cell r="C231" t="str">
            <v>5</v>
          </cell>
          <cell r="D231" t="str">
            <v>Mono-pensionné Lura</v>
          </cell>
          <cell r="O231">
            <v>0</v>
          </cell>
          <cell r="P231">
            <v>12.834224598930501</v>
          </cell>
          <cell r="Q231">
            <v>16.042780748663102</v>
          </cell>
          <cell r="R231">
            <v>67.914438502673804</v>
          </cell>
          <cell r="S231">
            <v>0.53475935828876997</v>
          </cell>
          <cell r="T231">
            <v>2.6737967914438499</v>
          </cell>
        </row>
        <row r="232">
          <cell r="A232">
            <v>1960</v>
          </cell>
          <cell r="B232" t="str">
            <v>Ensemble</v>
          </cell>
          <cell r="C232" t="str">
            <v>5</v>
          </cell>
          <cell r="D232" t="str">
            <v>Polypensionné Lura/FP</v>
          </cell>
          <cell r="O232">
            <v>0</v>
          </cell>
          <cell r="P232">
            <v>7.6923076923076898</v>
          </cell>
          <cell r="Q232">
            <v>25.6410256410256</v>
          </cell>
          <cell r="R232">
            <v>56.410256410256402</v>
          </cell>
          <cell r="S232">
            <v>0</v>
          </cell>
          <cell r="T232">
            <v>10.2564102564103</v>
          </cell>
        </row>
        <row r="233">
          <cell r="A233">
            <v>1966</v>
          </cell>
          <cell r="B233" t="str">
            <v>Ensemble</v>
          </cell>
          <cell r="C233" t="str">
            <v>1</v>
          </cell>
          <cell r="D233" t="str">
            <v>Mono-pensionné FP</v>
          </cell>
          <cell r="O233">
            <v>0</v>
          </cell>
          <cell r="P233">
            <v>0</v>
          </cell>
          <cell r="Q233">
            <v>0</v>
          </cell>
          <cell r="R233">
            <v>100</v>
          </cell>
          <cell r="S233">
            <v>0</v>
          </cell>
          <cell r="T233">
            <v>0</v>
          </cell>
        </row>
        <row r="234">
          <cell r="A234">
            <v>1966</v>
          </cell>
          <cell r="B234" t="str">
            <v>Ensemble</v>
          </cell>
          <cell r="C234" t="str">
            <v>1</v>
          </cell>
          <cell r="D234" t="str">
            <v>Mono-pensionné Lura</v>
          </cell>
          <cell r="O234">
            <v>0</v>
          </cell>
          <cell r="P234">
            <v>4.2253521126760596</v>
          </cell>
          <cell r="Q234">
            <v>13.3802816901408</v>
          </cell>
          <cell r="R234">
            <v>76.056338028168994</v>
          </cell>
          <cell r="S234">
            <v>5.6338028169014098</v>
          </cell>
          <cell r="T234">
            <v>0.70422535211267601</v>
          </cell>
        </row>
        <row r="235">
          <cell r="A235">
            <v>1966</v>
          </cell>
          <cell r="B235" t="str">
            <v>Ensemble</v>
          </cell>
          <cell r="C235" t="str">
            <v>1</v>
          </cell>
          <cell r="D235" t="str">
            <v>Polypensionné Lura/FP</v>
          </cell>
          <cell r="O235">
            <v>0</v>
          </cell>
          <cell r="P235">
            <v>10.2564102564103</v>
          </cell>
          <cell r="Q235">
            <v>17.948717948717899</v>
          </cell>
          <cell r="R235">
            <v>66.6666666666667</v>
          </cell>
          <cell r="S235">
            <v>2.5641025641025599</v>
          </cell>
          <cell r="T235">
            <v>2.5641025641025599</v>
          </cell>
        </row>
        <row r="236">
          <cell r="A236">
            <v>1966</v>
          </cell>
          <cell r="B236" t="str">
            <v>Ensemble</v>
          </cell>
          <cell r="C236" t="str">
            <v>2</v>
          </cell>
          <cell r="D236" t="str">
            <v>Mono-pensionné FP</v>
          </cell>
          <cell r="O236">
            <v>0</v>
          </cell>
          <cell r="P236">
            <v>18.181818181818201</v>
          </cell>
          <cell r="Q236">
            <v>27.272727272727298</v>
          </cell>
          <cell r="R236">
            <v>54.545454545454497</v>
          </cell>
          <cell r="S236">
            <v>0</v>
          </cell>
          <cell r="T236">
            <v>0</v>
          </cell>
        </row>
        <row r="237">
          <cell r="A237">
            <v>1966</v>
          </cell>
          <cell r="B237" t="str">
            <v>Ensemble</v>
          </cell>
          <cell r="C237" t="str">
            <v>2</v>
          </cell>
          <cell r="D237" t="str">
            <v>Mono-pensionné Lura</v>
          </cell>
          <cell r="O237">
            <v>0</v>
          </cell>
          <cell r="P237">
            <v>10</v>
          </cell>
          <cell r="Q237">
            <v>13.3333333333333</v>
          </cell>
          <cell r="R237">
            <v>72.2222222222222</v>
          </cell>
          <cell r="S237">
            <v>2.2222222222222201</v>
          </cell>
          <cell r="T237">
            <v>2.2222222222222201</v>
          </cell>
        </row>
        <row r="238">
          <cell r="A238">
            <v>1966</v>
          </cell>
          <cell r="B238" t="str">
            <v>Ensemble</v>
          </cell>
          <cell r="C238" t="str">
            <v>2</v>
          </cell>
          <cell r="D238" t="str">
            <v>Polypensionné Lura/FP</v>
          </cell>
          <cell r="O238">
            <v>0</v>
          </cell>
          <cell r="P238">
            <v>14.5161290322581</v>
          </cell>
          <cell r="Q238">
            <v>12.9032258064516</v>
          </cell>
          <cell r="R238">
            <v>69.354838709677395</v>
          </cell>
          <cell r="S238">
            <v>0</v>
          </cell>
          <cell r="T238">
            <v>3.2258064516128999</v>
          </cell>
        </row>
        <row r="239">
          <cell r="A239">
            <v>1966</v>
          </cell>
          <cell r="B239" t="str">
            <v>Ensemble</v>
          </cell>
          <cell r="C239" t="str">
            <v>3</v>
          </cell>
          <cell r="D239" t="str">
            <v>Mono-pensionné FP</v>
          </cell>
          <cell r="O239">
            <v>0</v>
          </cell>
          <cell r="P239">
            <v>10</v>
          </cell>
          <cell r="Q239">
            <v>20</v>
          </cell>
          <cell r="R239">
            <v>70</v>
          </cell>
          <cell r="S239">
            <v>0</v>
          </cell>
          <cell r="T239">
            <v>0</v>
          </cell>
        </row>
        <row r="240">
          <cell r="A240">
            <v>1966</v>
          </cell>
          <cell r="B240" t="str">
            <v>Ensemble</v>
          </cell>
          <cell r="C240" t="str">
            <v>3</v>
          </cell>
          <cell r="D240" t="str">
            <v>Mono-pensionné Lura</v>
          </cell>
          <cell r="O240">
            <v>0</v>
          </cell>
          <cell r="P240">
            <v>7.2115384615384599</v>
          </cell>
          <cell r="Q240">
            <v>16.826923076923102</v>
          </cell>
          <cell r="R240">
            <v>71.153846153846203</v>
          </cell>
          <cell r="S240">
            <v>2.8846153846153801</v>
          </cell>
          <cell r="T240">
            <v>1.92307692307692</v>
          </cell>
        </row>
        <row r="241">
          <cell r="A241">
            <v>1966</v>
          </cell>
          <cell r="B241" t="str">
            <v>Ensemble</v>
          </cell>
          <cell r="C241" t="str">
            <v>3</v>
          </cell>
          <cell r="D241" t="str">
            <v>Polypensionné Lura/FP</v>
          </cell>
          <cell r="O241">
            <v>0</v>
          </cell>
          <cell r="P241">
            <v>14.492753623188401</v>
          </cell>
          <cell r="Q241">
            <v>20.289855072463801</v>
          </cell>
          <cell r="R241">
            <v>63.768115942028999</v>
          </cell>
          <cell r="S241">
            <v>1.4492753623188399</v>
          </cell>
          <cell r="T241">
            <v>0</v>
          </cell>
        </row>
        <row r="242">
          <cell r="A242">
            <v>1966</v>
          </cell>
          <cell r="B242" t="str">
            <v>Ensemble</v>
          </cell>
          <cell r="C242" t="str">
            <v>4</v>
          </cell>
          <cell r="D242" t="str">
            <v>Mono-pensionné FP</v>
          </cell>
          <cell r="O242">
            <v>0</v>
          </cell>
          <cell r="P242">
            <v>13.5135135135135</v>
          </cell>
          <cell r="Q242">
            <v>21.6216216216216</v>
          </cell>
          <cell r="R242">
            <v>64.864864864864899</v>
          </cell>
          <cell r="S242">
            <v>0</v>
          </cell>
          <cell r="T242">
            <v>0</v>
          </cell>
        </row>
        <row r="243">
          <cell r="A243">
            <v>1966</v>
          </cell>
          <cell r="B243" t="str">
            <v>Ensemble</v>
          </cell>
          <cell r="C243" t="str">
            <v>4</v>
          </cell>
          <cell r="D243" t="str">
            <v>Mono-pensionné Lura</v>
          </cell>
          <cell r="O243">
            <v>0</v>
          </cell>
          <cell r="P243">
            <v>20.384615384615401</v>
          </cell>
          <cell r="Q243">
            <v>19.615384615384599</v>
          </cell>
          <cell r="R243">
            <v>53.461538461538503</v>
          </cell>
          <cell r="S243">
            <v>4.6153846153846096</v>
          </cell>
          <cell r="T243">
            <v>1.92307692307692</v>
          </cell>
        </row>
        <row r="244">
          <cell r="A244">
            <v>1966</v>
          </cell>
          <cell r="B244" t="str">
            <v>Ensemble</v>
          </cell>
          <cell r="C244" t="str">
            <v>4</v>
          </cell>
          <cell r="D244" t="str">
            <v>Polypensionné Lura/FP</v>
          </cell>
          <cell r="O244">
            <v>0</v>
          </cell>
          <cell r="P244">
            <v>18.571428571428601</v>
          </cell>
          <cell r="Q244">
            <v>17.1428571428571</v>
          </cell>
          <cell r="R244">
            <v>55.714285714285701</v>
          </cell>
          <cell r="S244">
            <v>2.8571428571428599</v>
          </cell>
          <cell r="T244">
            <v>5.71428571428571</v>
          </cell>
        </row>
        <row r="245">
          <cell r="A245">
            <v>1966</v>
          </cell>
          <cell r="B245" t="str">
            <v>Ensemble</v>
          </cell>
          <cell r="C245" t="str">
            <v>5</v>
          </cell>
          <cell r="D245" t="str">
            <v>Mono-pensionné FP</v>
          </cell>
          <cell r="O245">
            <v>0</v>
          </cell>
          <cell r="P245">
            <v>5.4794520547945202</v>
          </cell>
          <cell r="Q245">
            <v>13.698630136986299</v>
          </cell>
          <cell r="R245">
            <v>73.972602739726</v>
          </cell>
          <cell r="S245">
            <v>1.3698630136986301</v>
          </cell>
          <cell r="T245">
            <v>5.4794520547945202</v>
          </cell>
        </row>
        <row r="246">
          <cell r="A246">
            <v>1966</v>
          </cell>
          <cell r="B246" t="str">
            <v>Ensemble</v>
          </cell>
          <cell r="C246" t="str">
            <v>5</v>
          </cell>
          <cell r="D246" t="str">
            <v>Mono-pensionné Lura</v>
          </cell>
          <cell r="O246">
            <v>0</v>
          </cell>
          <cell r="P246">
            <v>23.404255319148898</v>
          </cell>
          <cell r="Q246">
            <v>15.9574468085106</v>
          </cell>
          <cell r="R246">
            <v>52.127659574468098</v>
          </cell>
          <cell r="S246">
            <v>1.59574468085106</v>
          </cell>
          <cell r="T246">
            <v>6.9148936170212796</v>
          </cell>
        </row>
        <row r="247">
          <cell r="A247">
            <v>1966</v>
          </cell>
          <cell r="B247" t="str">
            <v>Ensemble</v>
          </cell>
          <cell r="C247" t="str">
            <v>5</v>
          </cell>
          <cell r="D247" t="str">
            <v>Polypensionné Lura/FP</v>
          </cell>
          <cell r="O247">
            <v>0</v>
          </cell>
          <cell r="P247">
            <v>13.3333333333333</v>
          </cell>
          <cell r="Q247">
            <v>11.6666666666667</v>
          </cell>
          <cell r="R247">
            <v>68.3333333333333</v>
          </cell>
          <cell r="S247">
            <v>1.6666666666666701</v>
          </cell>
          <cell r="T247">
            <v>5</v>
          </cell>
        </row>
        <row r="248">
          <cell r="A248">
            <v>1972</v>
          </cell>
          <cell r="B248" t="str">
            <v>Ensemble</v>
          </cell>
          <cell r="C248" t="str">
            <v>1</v>
          </cell>
          <cell r="D248" t="str">
            <v>Mono-pensionné FP</v>
          </cell>
          <cell r="O248">
            <v>0</v>
          </cell>
          <cell r="P248">
            <v>8</v>
          </cell>
          <cell r="Q248">
            <v>4</v>
          </cell>
          <cell r="R248">
            <v>88</v>
          </cell>
          <cell r="S248">
            <v>0</v>
          </cell>
          <cell r="T248">
            <v>0</v>
          </cell>
        </row>
        <row r="249">
          <cell r="A249">
            <v>1972</v>
          </cell>
          <cell r="B249" t="str">
            <v>Ensemble</v>
          </cell>
          <cell r="C249" t="str">
            <v>1</v>
          </cell>
          <cell r="D249" t="str">
            <v>Mono-pensionné Lura</v>
          </cell>
          <cell r="O249">
            <v>0</v>
          </cell>
          <cell r="P249">
            <v>9.9502487562188993</v>
          </cell>
          <cell r="Q249">
            <v>13.9303482587065</v>
          </cell>
          <cell r="R249">
            <v>72.139303482587096</v>
          </cell>
          <cell r="S249">
            <v>2.98507462686567</v>
          </cell>
          <cell r="T249">
            <v>0.99502487562189101</v>
          </cell>
        </row>
        <row r="250">
          <cell r="A250">
            <v>1972</v>
          </cell>
          <cell r="B250" t="str">
            <v>Ensemble</v>
          </cell>
          <cell r="C250" t="str">
            <v>1</v>
          </cell>
          <cell r="D250" t="str">
            <v>Polypensionné Lura/FP</v>
          </cell>
          <cell r="O250">
            <v>0</v>
          </cell>
          <cell r="P250">
            <v>3.52941176470588</v>
          </cell>
          <cell r="Q250">
            <v>5.8823529411764701</v>
          </cell>
          <cell r="R250">
            <v>83.529411764705898</v>
          </cell>
          <cell r="S250">
            <v>4.7058823529411802</v>
          </cell>
          <cell r="T250">
            <v>2.3529411764705901</v>
          </cell>
        </row>
        <row r="251">
          <cell r="A251">
            <v>1972</v>
          </cell>
          <cell r="B251" t="str">
            <v>Ensemble</v>
          </cell>
          <cell r="C251" t="str">
            <v>2</v>
          </cell>
          <cell r="D251" t="str">
            <v>Mono-pensionné FP</v>
          </cell>
          <cell r="O251">
            <v>0</v>
          </cell>
          <cell r="P251">
            <v>18.181818181818201</v>
          </cell>
          <cell r="Q251">
            <v>9.0909090909090899</v>
          </cell>
          <cell r="R251">
            <v>63.636363636363598</v>
          </cell>
          <cell r="S251">
            <v>0</v>
          </cell>
          <cell r="T251">
            <v>9.0909090909090899</v>
          </cell>
        </row>
        <row r="252">
          <cell r="A252">
            <v>1972</v>
          </cell>
          <cell r="B252" t="str">
            <v>Ensemble</v>
          </cell>
          <cell r="C252" t="str">
            <v>2</v>
          </cell>
          <cell r="D252" t="str">
            <v>Mono-pensionné Lura</v>
          </cell>
          <cell r="O252">
            <v>0</v>
          </cell>
          <cell r="P252">
            <v>15.9235668789809</v>
          </cell>
          <cell r="Q252">
            <v>17.834394904458598</v>
          </cell>
          <cell r="R252">
            <v>64.331210191082803</v>
          </cell>
          <cell r="S252">
            <v>0.63694267515923597</v>
          </cell>
          <cell r="T252">
            <v>1.2738853503184699</v>
          </cell>
        </row>
        <row r="253">
          <cell r="A253">
            <v>1972</v>
          </cell>
          <cell r="B253" t="str">
            <v>Ensemble</v>
          </cell>
          <cell r="C253" t="str">
            <v>2</v>
          </cell>
          <cell r="D253" t="str">
            <v>Polypensionné Lura/FP</v>
          </cell>
          <cell r="O253">
            <v>0</v>
          </cell>
          <cell r="P253">
            <v>7.8947368421052602</v>
          </cell>
          <cell r="Q253">
            <v>5.2631578947368398</v>
          </cell>
          <cell r="R253">
            <v>81.578947368421098</v>
          </cell>
          <cell r="S253">
            <v>2.6315789473684199</v>
          </cell>
          <cell r="T253">
            <v>2.6315789473684199</v>
          </cell>
        </row>
        <row r="254">
          <cell r="A254">
            <v>1972</v>
          </cell>
          <cell r="B254" t="str">
            <v>Ensemble</v>
          </cell>
          <cell r="C254" t="str">
            <v>3</v>
          </cell>
          <cell r="D254" t="str">
            <v>Mono-pensionné FP</v>
          </cell>
          <cell r="O254">
            <v>0</v>
          </cell>
          <cell r="P254">
            <v>17.8571428571429</v>
          </cell>
          <cell r="Q254">
            <v>21.428571428571399</v>
          </cell>
          <cell r="R254">
            <v>60.714285714285701</v>
          </cell>
          <cell r="S254">
            <v>0</v>
          </cell>
          <cell r="T254">
            <v>0</v>
          </cell>
        </row>
        <row r="255">
          <cell r="A255">
            <v>1972</v>
          </cell>
          <cell r="B255" t="str">
            <v>Ensemble</v>
          </cell>
          <cell r="C255" t="str">
            <v>3</v>
          </cell>
          <cell r="D255" t="str">
            <v>Mono-pensionné Lura</v>
          </cell>
          <cell r="O255">
            <v>0</v>
          </cell>
          <cell r="P255">
            <v>12.0192307692308</v>
          </cell>
          <cell r="Q255">
            <v>15.384615384615399</v>
          </cell>
          <cell r="R255">
            <v>67.788461538461505</v>
          </cell>
          <cell r="S255">
            <v>3.3653846153846199</v>
          </cell>
          <cell r="T255">
            <v>1.4423076923076901</v>
          </cell>
        </row>
        <row r="256">
          <cell r="A256">
            <v>1972</v>
          </cell>
          <cell r="B256" t="str">
            <v>Ensemble</v>
          </cell>
          <cell r="C256" t="str">
            <v>3</v>
          </cell>
          <cell r="D256" t="str">
            <v>Polypensionné Lura/FP</v>
          </cell>
          <cell r="O256">
            <v>0</v>
          </cell>
          <cell r="P256">
            <v>13.0434782608696</v>
          </cell>
          <cell r="Q256">
            <v>6.5217391304347796</v>
          </cell>
          <cell r="R256">
            <v>69.565217391304301</v>
          </cell>
          <cell r="S256">
            <v>4.3478260869565197</v>
          </cell>
          <cell r="T256">
            <v>6.5217391304347796</v>
          </cell>
        </row>
        <row r="257">
          <cell r="A257">
            <v>1972</v>
          </cell>
          <cell r="B257" t="str">
            <v>Ensemble</v>
          </cell>
          <cell r="C257" t="str">
            <v>4</v>
          </cell>
          <cell r="D257" t="str">
            <v>Mono-pensionné FP</v>
          </cell>
          <cell r="O257">
            <v>0</v>
          </cell>
          <cell r="P257">
            <v>23.076923076923102</v>
          </cell>
          <cell r="Q257">
            <v>11.538461538461499</v>
          </cell>
          <cell r="R257">
            <v>65.384615384615401</v>
          </cell>
          <cell r="S257">
            <v>0</v>
          </cell>
          <cell r="T257">
            <v>0</v>
          </cell>
        </row>
        <row r="258">
          <cell r="A258">
            <v>1972</v>
          </cell>
          <cell r="B258" t="str">
            <v>Ensemble</v>
          </cell>
          <cell r="C258" t="str">
            <v>4</v>
          </cell>
          <cell r="D258" t="str">
            <v>Mono-pensionné Lura</v>
          </cell>
          <cell r="O258">
            <v>0</v>
          </cell>
          <cell r="P258">
            <v>15.789473684210501</v>
          </cell>
          <cell r="Q258">
            <v>21.862348178137701</v>
          </cell>
          <cell r="R258">
            <v>56.275303643724698</v>
          </cell>
          <cell r="S258">
            <v>2.42914979757085</v>
          </cell>
          <cell r="T258">
            <v>3.6437246963562799</v>
          </cell>
        </row>
        <row r="259">
          <cell r="A259">
            <v>1972</v>
          </cell>
          <cell r="B259" t="str">
            <v>Ensemble</v>
          </cell>
          <cell r="C259" t="str">
            <v>4</v>
          </cell>
          <cell r="D259" t="str">
            <v>Polypensionné Lura/FP</v>
          </cell>
          <cell r="O259">
            <v>0</v>
          </cell>
          <cell r="P259">
            <v>17.021276595744698</v>
          </cell>
          <cell r="Q259">
            <v>12.7659574468085</v>
          </cell>
          <cell r="R259">
            <v>63.829787234042598</v>
          </cell>
          <cell r="S259">
            <v>2.12765957446809</v>
          </cell>
          <cell r="T259">
            <v>4.2553191489361701</v>
          </cell>
        </row>
        <row r="260">
          <cell r="A260">
            <v>1972</v>
          </cell>
          <cell r="B260" t="str">
            <v>Ensemble</v>
          </cell>
          <cell r="C260" t="str">
            <v>5</v>
          </cell>
          <cell r="D260" t="str">
            <v>Mono-pensionné FP</v>
          </cell>
          <cell r="O260">
            <v>0</v>
          </cell>
          <cell r="P260">
            <v>16.2790697674419</v>
          </cell>
          <cell r="Q260">
            <v>11.6279069767442</v>
          </cell>
          <cell r="R260">
            <v>72.093023255813904</v>
          </cell>
          <cell r="S260">
            <v>0</v>
          </cell>
          <cell r="T260">
            <v>0</v>
          </cell>
        </row>
        <row r="261">
          <cell r="A261">
            <v>1972</v>
          </cell>
          <cell r="B261" t="str">
            <v>Ensemble</v>
          </cell>
          <cell r="C261" t="str">
            <v>5</v>
          </cell>
          <cell r="D261" t="str">
            <v>Mono-pensionné Lura</v>
          </cell>
          <cell r="O261">
            <v>0</v>
          </cell>
          <cell r="P261">
            <v>17.924528301886799</v>
          </cell>
          <cell r="Q261">
            <v>16.037735849056599</v>
          </cell>
          <cell r="R261">
            <v>58.018867924528301</v>
          </cell>
          <cell r="S261">
            <v>0.94339622641509402</v>
          </cell>
          <cell r="T261">
            <v>7.0754716981132102</v>
          </cell>
        </row>
        <row r="262">
          <cell r="A262">
            <v>1972</v>
          </cell>
          <cell r="B262" t="str">
            <v>Ensemble</v>
          </cell>
          <cell r="C262" t="str">
            <v>5</v>
          </cell>
          <cell r="D262" t="str">
            <v>Polypensionné Lura/FP</v>
          </cell>
          <cell r="O262">
            <v>0</v>
          </cell>
          <cell r="P262">
            <v>18.867924528301899</v>
          </cell>
          <cell r="Q262">
            <v>16.981132075471699</v>
          </cell>
          <cell r="R262">
            <v>50.943396226415103</v>
          </cell>
          <cell r="S262">
            <v>1.88679245283019</v>
          </cell>
          <cell r="T262">
            <v>11.320754716981099</v>
          </cell>
        </row>
        <row r="263">
          <cell r="A263">
            <v>1978</v>
          </cell>
          <cell r="B263" t="str">
            <v>Ensemble</v>
          </cell>
          <cell r="C263" t="str">
            <v>1</v>
          </cell>
          <cell r="D263" t="str">
            <v>Mono-pensionné FP</v>
          </cell>
          <cell r="O263">
            <v>0</v>
          </cell>
          <cell r="P263">
            <v>33.3333333333333</v>
          </cell>
          <cell r="Q263">
            <v>16.6666666666667</v>
          </cell>
          <cell r="R263">
            <v>50</v>
          </cell>
          <cell r="S263">
            <v>0</v>
          </cell>
          <cell r="T263">
            <v>0</v>
          </cell>
        </row>
        <row r="264">
          <cell r="A264">
            <v>1978</v>
          </cell>
          <cell r="B264" t="str">
            <v>Ensemble</v>
          </cell>
          <cell r="C264" t="str">
            <v>1</v>
          </cell>
          <cell r="D264" t="str">
            <v>Mono-pensionné Lura</v>
          </cell>
          <cell r="O264">
            <v>0</v>
          </cell>
          <cell r="P264">
            <v>10.2803738317757</v>
          </cell>
          <cell r="Q264">
            <v>10.2803738317757</v>
          </cell>
          <cell r="R264">
            <v>76.1682242990654</v>
          </cell>
          <cell r="S264">
            <v>2.3364485981308398</v>
          </cell>
          <cell r="T264">
            <v>0.934579439252336</v>
          </cell>
        </row>
        <row r="265">
          <cell r="A265">
            <v>1978</v>
          </cell>
          <cell r="B265" t="str">
            <v>Ensemble</v>
          </cell>
          <cell r="C265" t="str">
            <v>1</v>
          </cell>
          <cell r="D265" t="str">
            <v>Polypensionné Lura/FP</v>
          </cell>
          <cell r="O265">
            <v>0</v>
          </cell>
          <cell r="P265">
            <v>16.2790697674419</v>
          </cell>
          <cell r="Q265">
            <v>11.6279069767442</v>
          </cell>
          <cell r="R265">
            <v>62.790697674418603</v>
          </cell>
          <cell r="S265">
            <v>0</v>
          </cell>
          <cell r="T265">
            <v>9.3023255813953494</v>
          </cell>
        </row>
        <row r="266">
          <cell r="A266">
            <v>1978</v>
          </cell>
          <cell r="B266" t="str">
            <v>Ensemble</v>
          </cell>
          <cell r="C266" t="str">
            <v>2</v>
          </cell>
          <cell r="D266" t="str">
            <v>Mono-pensionné FP</v>
          </cell>
          <cell r="O266">
            <v>0</v>
          </cell>
          <cell r="P266">
            <v>21.428571428571399</v>
          </cell>
          <cell r="Q266">
            <v>14.285714285714301</v>
          </cell>
          <cell r="R266">
            <v>57.142857142857103</v>
          </cell>
          <cell r="S266">
            <v>0</v>
          </cell>
          <cell r="T266">
            <v>7.1428571428571397</v>
          </cell>
        </row>
        <row r="267">
          <cell r="A267">
            <v>1978</v>
          </cell>
          <cell r="B267" t="str">
            <v>Ensemble</v>
          </cell>
          <cell r="C267" t="str">
            <v>2</v>
          </cell>
          <cell r="D267" t="str">
            <v>Mono-pensionné Lura</v>
          </cell>
          <cell r="O267">
            <v>0</v>
          </cell>
          <cell r="P267">
            <v>14.8648648648649</v>
          </cell>
          <cell r="Q267">
            <v>9.9099099099099099</v>
          </cell>
          <cell r="R267">
            <v>70.720720720720706</v>
          </cell>
          <cell r="S267">
            <v>2.7027027027027</v>
          </cell>
          <cell r="T267">
            <v>1.8018018018018001</v>
          </cell>
        </row>
        <row r="268">
          <cell r="A268">
            <v>1978</v>
          </cell>
          <cell r="B268" t="str">
            <v>Ensemble</v>
          </cell>
          <cell r="C268" t="str">
            <v>2</v>
          </cell>
          <cell r="D268" t="str">
            <v>Polypensionné Lura/FP</v>
          </cell>
          <cell r="O268">
            <v>0</v>
          </cell>
          <cell r="P268">
            <v>24.4897959183673</v>
          </cell>
          <cell r="Q268">
            <v>12.244897959183699</v>
          </cell>
          <cell r="R268">
            <v>59.183673469387799</v>
          </cell>
          <cell r="S268">
            <v>0</v>
          </cell>
          <cell r="T268">
            <v>4.0816326530612201</v>
          </cell>
        </row>
        <row r="269">
          <cell r="A269">
            <v>1978</v>
          </cell>
          <cell r="B269" t="str">
            <v>Ensemble</v>
          </cell>
          <cell r="C269" t="str">
            <v>3</v>
          </cell>
          <cell r="D269" t="str">
            <v>Mono-pensionné FP</v>
          </cell>
          <cell r="O269">
            <v>0</v>
          </cell>
          <cell r="P269">
            <v>0</v>
          </cell>
          <cell r="Q269">
            <v>6.6666666666666696</v>
          </cell>
          <cell r="R269">
            <v>86.6666666666667</v>
          </cell>
          <cell r="S269">
            <v>0</v>
          </cell>
          <cell r="T269">
            <v>6.6666666666666696</v>
          </cell>
        </row>
        <row r="270">
          <cell r="A270">
            <v>1978</v>
          </cell>
          <cell r="B270" t="str">
            <v>Ensemble</v>
          </cell>
          <cell r="C270" t="str">
            <v>3</v>
          </cell>
          <cell r="D270" t="str">
            <v>Mono-pensionné Lura</v>
          </cell>
          <cell r="O270">
            <v>0</v>
          </cell>
          <cell r="P270">
            <v>15.3488372093023</v>
          </cell>
          <cell r="Q270">
            <v>13.023255813953501</v>
          </cell>
          <cell r="R270">
            <v>65.116279069767401</v>
          </cell>
          <cell r="S270">
            <v>2.32558139534884</v>
          </cell>
          <cell r="T270">
            <v>4.18604651162791</v>
          </cell>
        </row>
        <row r="271">
          <cell r="A271">
            <v>1978</v>
          </cell>
          <cell r="B271" t="str">
            <v>Ensemble</v>
          </cell>
          <cell r="C271" t="str">
            <v>3</v>
          </cell>
          <cell r="D271" t="str">
            <v>Polypensionné Lura/FP</v>
          </cell>
          <cell r="O271">
            <v>0</v>
          </cell>
          <cell r="P271">
            <v>11.363636363636401</v>
          </cell>
          <cell r="Q271">
            <v>15.909090909090899</v>
          </cell>
          <cell r="R271">
            <v>70.454545454545496</v>
          </cell>
          <cell r="S271">
            <v>2.2727272727272698</v>
          </cell>
          <cell r="T271">
            <v>0</v>
          </cell>
        </row>
        <row r="272">
          <cell r="A272">
            <v>1978</v>
          </cell>
          <cell r="B272" t="str">
            <v>Ensemble</v>
          </cell>
          <cell r="C272" t="str">
            <v>4</v>
          </cell>
          <cell r="D272" t="str">
            <v>Mono-pensionné FP</v>
          </cell>
          <cell r="O272">
            <v>0</v>
          </cell>
          <cell r="P272">
            <v>0</v>
          </cell>
          <cell r="Q272">
            <v>10</v>
          </cell>
          <cell r="R272">
            <v>85</v>
          </cell>
          <cell r="S272">
            <v>0</v>
          </cell>
          <cell r="T272">
            <v>5</v>
          </cell>
        </row>
        <row r="273">
          <cell r="A273">
            <v>1978</v>
          </cell>
          <cell r="B273" t="str">
            <v>Ensemble</v>
          </cell>
          <cell r="C273" t="str">
            <v>4</v>
          </cell>
          <cell r="D273" t="str">
            <v>Mono-pensionné Lura</v>
          </cell>
          <cell r="O273">
            <v>0</v>
          </cell>
          <cell r="P273">
            <v>15.3508771929825</v>
          </cell>
          <cell r="Q273">
            <v>17.105263157894701</v>
          </cell>
          <cell r="R273">
            <v>63.596491228070199</v>
          </cell>
          <cell r="S273">
            <v>1.7543859649122799</v>
          </cell>
          <cell r="T273">
            <v>2.1929824561403501</v>
          </cell>
        </row>
        <row r="274">
          <cell r="A274">
            <v>1978</v>
          </cell>
          <cell r="B274" t="str">
            <v>Ensemble</v>
          </cell>
          <cell r="C274" t="str">
            <v>4</v>
          </cell>
          <cell r="D274" t="str">
            <v>Polypensionné Lura/FP</v>
          </cell>
          <cell r="O274">
            <v>0</v>
          </cell>
          <cell r="P274">
            <v>23.728813559321999</v>
          </cell>
          <cell r="Q274">
            <v>11.864406779661</v>
          </cell>
          <cell r="R274">
            <v>57.627118644067799</v>
          </cell>
          <cell r="S274">
            <v>3.3898305084745801</v>
          </cell>
          <cell r="T274">
            <v>3.3898305084745801</v>
          </cell>
        </row>
        <row r="275">
          <cell r="A275">
            <v>1978</v>
          </cell>
          <cell r="B275" t="str">
            <v>Ensemble</v>
          </cell>
          <cell r="C275" t="str">
            <v>5</v>
          </cell>
          <cell r="D275" t="str">
            <v>Mono-pensionné FP</v>
          </cell>
          <cell r="O275">
            <v>0</v>
          </cell>
          <cell r="P275">
            <v>5.1282051282051304</v>
          </cell>
          <cell r="Q275">
            <v>23.076923076923102</v>
          </cell>
          <cell r="R275">
            <v>69.230769230769198</v>
          </cell>
          <cell r="S275">
            <v>0</v>
          </cell>
          <cell r="T275">
            <v>2.5641025641025599</v>
          </cell>
        </row>
        <row r="276">
          <cell r="A276">
            <v>1978</v>
          </cell>
          <cell r="B276" t="str">
            <v>Ensemble</v>
          </cell>
          <cell r="C276" t="str">
            <v>5</v>
          </cell>
          <cell r="D276" t="str">
            <v>Mono-pensionné Lura</v>
          </cell>
          <cell r="O276">
            <v>0</v>
          </cell>
          <cell r="P276">
            <v>13.756613756613801</v>
          </cell>
          <cell r="Q276">
            <v>19.047619047619001</v>
          </cell>
          <cell r="R276">
            <v>62.962962962962997</v>
          </cell>
          <cell r="S276">
            <v>0.52910052910052896</v>
          </cell>
          <cell r="T276">
            <v>3.7037037037037002</v>
          </cell>
        </row>
        <row r="277">
          <cell r="A277">
            <v>1978</v>
          </cell>
          <cell r="B277" t="str">
            <v>Ensemble</v>
          </cell>
          <cell r="C277" t="str">
            <v>5</v>
          </cell>
          <cell r="D277" t="str">
            <v>Polypensionné Lura/FP</v>
          </cell>
          <cell r="O277">
            <v>0</v>
          </cell>
          <cell r="P277">
            <v>17.3913043478261</v>
          </cell>
          <cell r="Q277">
            <v>8.6956521739130395</v>
          </cell>
          <cell r="R277">
            <v>65.2173913043478</v>
          </cell>
          <cell r="S277">
            <v>0</v>
          </cell>
          <cell r="T277">
            <v>8.6956521739130395</v>
          </cell>
        </row>
        <row r="278">
          <cell r="A278">
            <v>1984</v>
          </cell>
          <cell r="B278" t="str">
            <v>Ensemble</v>
          </cell>
          <cell r="C278" t="str">
            <v>1</v>
          </cell>
          <cell r="D278" t="str">
            <v>Mono-pensionné FP</v>
          </cell>
          <cell r="O278">
            <v>0</v>
          </cell>
          <cell r="P278">
            <v>16.6666666666667</v>
          </cell>
          <cell r="Q278">
            <v>0</v>
          </cell>
          <cell r="R278">
            <v>83.3333333333333</v>
          </cell>
          <cell r="S278">
            <v>0</v>
          </cell>
          <cell r="T278">
            <v>0</v>
          </cell>
        </row>
        <row r="279">
          <cell r="A279">
            <v>1984</v>
          </cell>
          <cell r="B279" t="str">
            <v>Ensemble</v>
          </cell>
          <cell r="C279" t="str">
            <v>1</v>
          </cell>
          <cell r="D279" t="str">
            <v>Mono-pensionné Lura</v>
          </cell>
          <cell r="O279">
            <v>0</v>
          </cell>
          <cell r="P279">
            <v>10.454545454545499</v>
          </cell>
          <cell r="Q279">
            <v>10.454545454545499</v>
          </cell>
          <cell r="R279">
            <v>70.454545454545496</v>
          </cell>
          <cell r="S279">
            <v>6.8181818181818201</v>
          </cell>
          <cell r="T279">
            <v>1.8181818181818199</v>
          </cell>
        </row>
        <row r="280">
          <cell r="A280">
            <v>1984</v>
          </cell>
          <cell r="B280" t="str">
            <v>Ensemble</v>
          </cell>
          <cell r="C280" t="str">
            <v>1</v>
          </cell>
          <cell r="D280" t="str">
            <v>Polypensionné Lura/FP</v>
          </cell>
          <cell r="O280">
            <v>0</v>
          </cell>
          <cell r="P280">
            <v>15.909090909090899</v>
          </cell>
          <cell r="Q280">
            <v>15.909090909090899</v>
          </cell>
          <cell r="R280">
            <v>56.818181818181799</v>
          </cell>
          <cell r="S280">
            <v>4.5454545454545503</v>
          </cell>
          <cell r="T280">
            <v>6.8181818181818201</v>
          </cell>
        </row>
        <row r="281">
          <cell r="A281">
            <v>1984</v>
          </cell>
          <cell r="B281" t="str">
            <v>Ensemble</v>
          </cell>
          <cell r="C281" t="str">
            <v>2</v>
          </cell>
          <cell r="D281" t="str">
            <v>Mono-pensionné FP</v>
          </cell>
          <cell r="O281">
            <v>0</v>
          </cell>
          <cell r="P281">
            <v>4.7619047619047601</v>
          </cell>
          <cell r="Q281">
            <v>19.047619047619001</v>
          </cell>
          <cell r="R281">
            <v>71.428571428571402</v>
          </cell>
          <cell r="S281">
            <v>0</v>
          </cell>
          <cell r="T281">
            <v>4.7619047619047601</v>
          </cell>
        </row>
        <row r="282">
          <cell r="A282">
            <v>1984</v>
          </cell>
          <cell r="B282" t="str">
            <v>Ensemble</v>
          </cell>
          <cell r="C282" t="str">
            <v>2</v>
          </cell>
          <cell r="D282" t="str">
            <v>Mono-pensionné Lura</v>
          </cell>
          <cell r="O282">
            <v>0</v>
          </cell>
          <cell r="P282">
            <v>11.312217194570101</v>
          </cell>
          <cell r="Q282">
            <v>8.1447963800905008</v>
          </cell>
          <cell r="R282">
            <v>71.945701357466106</v>
          </cell>
          <cell r="S282">
            <v>5.4298642533936698</v>
          </cell>
          <cell r="T282">
            <v>3.1674208144796401</v>
          </cell>
        </row>
        <row r="283">
          <cell r="A283">
            <v>1984</v>
          </cell>
          <cell r="B283" t="str">
            <v>Ensemble</v>
          </cell>
          <cell r="C283" t="str">
            <v>2</v>
          </cell>
          <cell r="D283" t="str">
            <v>Polypensionné Lura/FP</v>
          </cell>
          <cell r="O283">
            <v>0</v>
          </cell>
          <cell r="P283">
            <v>15.384615384615399</v>
          </cell>
          <cell r="Q283">
            <v>7.6923076923076898</v>
          </cell>
          <cell r="R283">
            <v>69.230769230769198</v>
          </cell>
          <cell r="S283">
            <v>5.1282051282051304</v>
          </cell>
          <cell r="T283">
            <v>2.5641025641025599</v>
          </cell>
        </row>
        <row r="284">
          <cell r="A284">
            <v>1984</v>
          </cell>
          <cell r="B284" t="str">
            <v>Ensemble</v>
          </cell>
          <cell r="C284" t="str">
            <v>3</v>
          </cell>
          <cell r="D284" t="str">
            <v>Mono-pensionné FP</v>
          </cell>
          <cell r="O284">
            <v>0</v>
          </cell>
          <cell r="P284">
            <v>10.526315789473699</v>
          </cell>
          <cell r="Q284">
            <v>0</v>
          </cell>
          <cell r="R284">
            <v>89.473684210526301</v>
          </cell>
          <cell r="S284">
            <v>0</v>
          </cell>
          <cell r="T284">
            <v>0</v>
          </cell>
        </row>
        <row r="285">
          <cell r="A285">
            <v>1984</v>
          </cell>
          <cell r="B285" t="str">
            <v>Ensemble</v>
          </cell>
          <cell r="C285" t="str">
            <v>3</v>
          </cell>
          <cell r="D285" t="str">
            <v>Mono-pensionné Lura</v>
          </cell>
          <cell r="O285">
            <v>0.44843049327354301</v>
          </cell>
          <cell r="P285">
            <v>16.143497757847499</v>
          </cell>
          <cell r="Q285">
            <v>11.6591928251121</v>
          </cell>
          <cell r="R285">
            <v>66.367713004484301</v>
          </cell>
          <cell r="S285">
            <v>4.03587443946188</v>
          </cell>
          <cell r="T285">
            <v>1.3452914798206299</v>
          </cell>
        </row>
        <row r="286">
          <cell r="A286">
            <v>1984</v>
          </cell>
          <cell r="B286" t="str">
            <v>Ensemble</v>
          </cell>
          <cell r="C286" t="str">
            <v>3</v>
          </cell>
          <cell r="D286" t="str">
            <v>Polypensionné Lura/FP</v>
          </cell>
          <cell r="O286">
            <v>0</v>
          </cell>
          <cell r="P286">
            <v>10.2564102564103</v>
          </cell>
          <cell r="Q286">
            <v>5.1282051282051304</v>
          </cell>
          <cell r="R286">
            <v>74.358974358974393</v>
          </cell>
          <cell r="S286">
            <v>2.5641025641025599</v>
          </cell>
          <cell r="T286">
            <v>7.6923076923076898</v>
          </cell>
        </row>
        <row r="287">
          <cell r="A287">
            <v>1984</v>
          </cell>
          <cell r="B287" t="str">
            <v>Ensemble</v>
          </cell>
          <cell r="C287" t="str">
            <v>4</v>
          </cell>
          <cell r="D287" t="str">
            <v>Mono-pensionné FP</v>
          </cell>
          <cell r="O287">
            <v>0</v>
          </cell>
          <cell r="P287">
            <v>15.384615384615399</v>
          </cell>
          <cell r="Q287">
            <v>7.6923076923076898</v>
          </cell>
          <cell r="R287">
            <v>69.230769230769198</v>
          </cell>
          <cell r="S287">
            <v>0</v>
          </cell>
          <cell r="T287">
            <v>7.6923076923076898</v>
          </cell>
        </row>
        <row r="288">
          <cell r="A288">
            <v>1984</v>
          </cell>
          <cell r="B288" t="str">
            <v>Ensemble</v>
          </cell>
          <cell r="C288" t="str">
            <v>4</v>
          </cell>
          <cell r="D288" t="str">
            <v>Mono-pensionné Lura</v>
          </cell>
          <cell r="O288">
            <v>0</v>
          </cell>
          <cell r="P288">
            <v>18.942731277532999</v>
          </cell>
          <cell r="Q288">
            <v>17.621145374449299</v>
          </cell>
          <cell r="R288">
            <v>54.625550660793003</v>
          </cell>
          <cell r="S288">
            <v>2.6431718061674001</v>
          </cell>
          <cell r="T288">
            <v>6.1674008810572696</v>
          </cell>
        </row>
        <row r="289">
          <cell r="A289">
            <v>1984</v>
          </cell>
          <cell r="B289" t="str">
            <v>Ensemble</v>
          </cell>
          <cell r="C289" t="str">
            <v>4</v>
          </cell>
          <cell r="D289" t="str">
            <v>Polypensionné Lura/FP</v>
          </cell>
          <cell r="O289">
            <v>0</v>
          </cell>
          <cell r="P289">
            <v>17.307692307692299</v>
          </cell>
          <cell r="Q289">
            <v>9.6153846153846096</v>
          </cell>
          <cell r="R289">
            <v>59.615384615384599</v>
          </cell>
          <cell r="S289">
            <v>3.8461538461538498</v>
          </cell>
          <cell r="T289">
            <v>9.6153846153846096</v>
          </cell>
        </row>
        <row r="290">
          <cell r="A290">
            <v>1984</v>
          </cell>
          <cell r="B290" t="str">
            <v>Ensemble</v>
          </cell>
          <cell r="C290" t="str">
            <v>5</v>
          </cell>
          <cell r="D290" t="str">
            <v>Mono-pensionné FP</v>
          </cell>
          <cell r="O290">
            <v>0</v>
          </cell>
          <cell r="P290">
            <v>17.241379310344801</v>
          </cell>
          <cell r="Q290">
            <v>17.241379310344801</v>
          </cell>
          <cell r="R290">
            <v>65.517241379310306</v>
          </cell>
          <cell r="S290">
            <v>0</v>
          </cell>
          <cell r="T290">
            <v>0</v>
          </cell>
        </row>
        <row r="291">
          <cell r="A291">
            <v>1984</v>
          </cell>
          <cell r="B291" t="str">
            <v>Ensemble</v>
          </cell>
          <cell r="C291" t="str">
            <v>5</v>
          </cell>
          <cell r="D291" t="str">
            <v>Mono-pensionné Lura</v>
          </cell>
          <cell r="O291">
            <v>0</v>
          </cell>
          <cell r="P291">
            <v>16.6666666666667</v>
          </cell>
          <cell r="Q291">
            <v>9.2105263157894708</v>
          </cell>
          <cell r="R291">
            <v>66.228070175438603</v>
          </cell>
          <cell r="S291">
            <v>2.6315789473684199</v>
          </cell>
          <cell r="T291">
            <v>5.2631578947368398</v>
          </cell>
        </row>
        <row r="292">
          <cell r="A292">
            <v>1984</v>
          </cell>
          <cell r="B292" t="str">
            <v>Ensemble</v>
          </cell>
          <cell r="C292" t="str">
            <v>5</v>
          </cell>
          <cell r="D292" t="str">
            <v>Polypensionné Lura/FP</v>
          </cell>
          <cell r="O292">
            <v>0</v>
          </cell>
          <cell r="P292">
            <v>15.384615384615399</v>
          </cell>
          <cell r="Q292">
            <v>10.7692307692308</v>
          </cell>
          <cell r="R292">
            <v>60</v>
          </cell>
          <cell r="S292">
            <v>9.2307692307692299</v>
          </cell>
          <cell r="T292">
            <v>4.6153846153846096</v>
          </cell>
        </row>
        <row r="293">
          <cell r="A293">
            <v>1990</v>
          </cell>
          <cell r="B293" t="str">
            <v>Ensemble</v>
          </cell>
          <cell r="C293" t="str">
            <v>1</v>
          </cell>
          <cell r="D293" t="str">
            <v>Mono-pensionné FP</v>
          </cell>
          <cell r="O293">
            <v>0</v>
          </cell>
          <cell r="P293">
            <v>0</v>
          </cell>
          <cell r="Q293">
            <v>20</v>
          </cell>
          <cell r="R293">
            <v>80</v>
          </cell>
          <cell r="S293">
            <v>0</v>
          </cell>
          <cell r="T293">
            <v>0</v>
          </cell>
        </row>
        <row r="294">
          <cell r="A294">
            <v>1990</v>
          </cell>
          <cell r="B294" t="str">
            <v>Ensemble</v>
          </cell>
          <cell r="C294" t="str">
            <v>1</v>
          </cell>
          <cell r="D294" t="str">
            <v>Mono-pensionné Lura</v>
          </cell>
          <cell r="O294">
            <v>0</v>
          </cell>
          <cell r="P294">
            <v>12.1212121212121</v>
          </cell>
          <cell r="Q294">
            <v>10.8225108225108</v>
          </cell>
          <cell r="R294">
            <v>64.935064935064901</v>
          </cell>
          <cell r="S294">
            <v>9.5238095238095202</v>
          </cell>
          <cell r="T294">
            <v>2.5974025974026</v>
          </cell>
        </row>
        <row r="295">
          <cell r="A295">
            <v>1990</v>
          </cell>
          <cell r="B295" t="str">
            <v>Ensemble</v>
          </cell>
          <cell r="C295" t="str">
            <v>1</v>
          </cell>
          <cell r="D295" t="str">
            <v>Polypensionné Lura/FP</v>
          </cell>
          <cell r="O295">
            <v>0</v>
          </cell>
          <cell r="P295">
            <v>15.517241379310301</v>
          </cell>
          <cell r="Q295">
            <v>6.8965517241379297</v>
          </cell>
          <cell r="R295">
            <v>74.137931034482804</v>
          </cell>
          <cell r="S295">
            <v>1.72413793103448</v>
          </cell>
          <cell r="T295">
            <v>1.72413793103448</v>
          </cell>
        </row>
        <row r="296">
          <cell r="A296">
            <v>1990</v>
          </cell>
          <cell r="B296" t="str">
            <v>Ensemble</v>
          </cell>
          <cell r="C296" t="str">
            <v>2</v>
          </cell>
          <cell r="D296" t="str">
            <v>Mono-pensionné FP</v>
          </cell>
          <cell r="O296">
            <v>0</v>
          </cell>
          <cell r="P296">
            <v>40</v>
          </cell>
          <cell r="Q296">
            <v>0</v>
          </cell>
          <cell r="R296">
            <v>60</v>
          </cell>
          <cell r="S296">
            <v>0</v>
          </cell>
          <cell r="T296">
            <v>0</v>
          </cell>
        </row>
        <row r="297">
          <cell r="A297">
            <v>1990</v>
          </cell>
          <cell r="B297" t="str">
            <v>Ensemble</v>
          </cell>
          <cell r="C297" t="str">
            <v>2</v>
          </cell>
          <cell r="D297" t="str">
            <v>Mono-pensionné Lura</v>
          </cell>
          <cell r="O297">
            <v>0</v>
          </cell>
          <cell r="P297">
            <v>13.934426229508199</v>
          </cell>
          <cell r="Q297">
            <v>7.3770491803278704</v>
          </cell>
          <cell r="R297">
            <v>66.393442622950801</v>
          </cell>
          <cell r="S297">
            <v>9.4262295081967196</v>
          </cell>
          <cell r="T297">
            <v>2.8688524590163902</v>
          </cell>
        </row>
        <row r="298">
          <cell r="A298">
            <v>1990</v>
          </cell>
          <cell r="B298" t="str">
            <v>Ensemble</v>
          </cell>
          <cell r="C298" t="str">
            <v>2</v>
          </cell>
          <cell r="D298" t="str">
            <v>Polypensionné Lura/FP</v>
          </cell>
          <cell r="O298">
            <v>0</v>
          </cell>
          <cell r="P298">
            <v>13.0434782608696</v>
          </cell>
          <cell r="Q298">
            <v>13.0434782608696</v>
          </cell>
          <cell r="R298">
            <v>59.420289855072497</v>
          </cell>
          <cell r="S298">
            <v>11.5942028985507</v>
          </cell>
          <cell r="T298">
            <v>2.8985507246376798</v>
          </cell>
        </row>
        <row r="299">
          <cell r="A299">
            <v>1990</v>
          </cell>
          <cell r="B299" t="str">
            <v>Ensemble</v>
          </cell>
          <cell r="C299" t="str">
            <v>3</v>
          </cell>
          <cell r="D299" t="str">
            <v>Mono-pensionné FP</v>
          </cell>
          <cell r="O299">
            <v>0</v>
          </cell>
          <cell r="P299">
            <v>5.8823529411764701</v>
          </cell>
          <cell r="Q299">
            <v>17.647058823529399</v>
          </cell>
          <cell r="R299">
            <v>76.470588235294102</v>
          </cell>
          <cell r="S299">
            <v>0</v>
          </cell>
          <cell r="T299">
            <v>0</v>
          </cell>
        </row>
        <row r="300">
          <cell r="A300">
            <v>1990</v>
          </cell>
          <cell r="B300" t="str">
            <v>Ensemble</v>
          </cell>
          <cell r="C300" t="str">
            <v>3</v>
          </cell>
          <cell r="D300" t="str">
            <v>Mono-pensionné Lura</v>
          </cell>
          <cell r="O300">
            <v>0</v>
          </cell>
          <cell r="P300">
            <v>9.6330275229357802</v>
          </cell>
          <cell r="Q300">
            <v>8.2568807339449499</v>
          </cell>
          <cell r="R300">
            <v>70.183486238532097</v>
          </cell>
          <cell r="S300">
            <v>6.4220183486238502</v>
          </cell>
          <cell r="T300">
            <v>5.5045871559632999</v>
          </cell>
        </row>
        <row r="301">
          <cell r="A301">
            <v>1990</v>
          </cell>
          <cell r="B301" t="str">
            <v>Ensemble</v>
          </cell>
          <cell r="C301" t="str">
            <v>3</v>
          </cell>
          <cell r="D301" t="str">
            <v>Polypensionné Lura/FP</v>
          </cell>
          <cell r="O301">
            <v>0</v>
          </cell>
          <cell r="P301">
            <v>7.59493670886076</v>
          </cell>
          <cell r="Q301">
            <v>8.8607594936708907</v>
          </cell>
          <cell r="R301">
            <v>72.151898734177195</v>
          </cell>
          <cell r="S301">
            <v>5.0632911392405102</v>
          </cell>
          <cell r="T301">
            <v>6.3291139240506302</v>
          </cell>
        </row>
        <row r="302">
          <cell r="A302">
            <v>1990</v>
          </cell>
          <cell r="B302" t="str">
            <v>Ensemble</v>
          </cell>
          <cell r="C302" t="str">
            <v>4</v>
          </cell>
          <cell r="D302" t="str">
            <v>Mono-pensionné FP</v>
          </cell>
          <cell r="O302">
            <v>0</v>
          </cell>
          <cell r="P302">
            <v>5.8823529411764701</v>
          </cell>
          <cell r="Q302">
            <v>0</v>
          </cell>
          <cell r="R302">
            <v>88.235294117647101</v>
          </cell>
          <cell r="S302">
            <v>0</v>
          </cell>
          <cell r="T302">
            <v>5.8823529411764701</v>
          </cell>
        </row>
        <row r="303">
          <cell r="A303">
            <v>1990</v>
          </cell>
          <cell r="B303" t="str">
            <v>Ensemble</v>
          </cell>
          <cell r="C303" t="str">
            <v>4</v>
          </cell>
          <cell r="D303" t="str">
            <v>Mono-pensionné Lura</v>
          </cell>
          <cell r="O303">
            <v>0</v>
          </cell>
          <cell r="P303">
            <v>10.0418410041841</v>
          </cell>
          <cell r="Q303">
            <v>12.1338912133891</v>
          </cell>
          <cell r="R303">
            <v>58.577405857740601</v>
          </cell>
          <cell r="S303">
            <v>7.94979079497908</v>
          </cell>
          <cell r="T303">
            <v>11.297071129707099</v>
          </cell>
        </row>
        <row r="304">
          <cell r="A304">
            <v>1990</v>
          </cell>
          <cell r="B304" t="str">
            <v>Ensemble</v>
          </cell>
          <cell r="C304" t="str">
            <v>4</v>
          </cell>
          <cell r="D304" t="str">
            <v>Polypensionné Lura/FP</v>
          </cell>
          <cell r="O304">
            <v>0</v>
          </cell>
          <cell r="P304">
            <v>9.7222222222222197</v>
          </cell>
          <cell r="Q304">
            <v>18.0555555555556</v>
          </cell>
          <cell r="R304">
            <v>51.3888888888889</v>
          </cell>
          <cell r="S304">
            <v>11.1111111111111</v>
          </cell>
          <cell r="T304">
            <v>9.7222222222222197</v>
          </cell>
        </row>
        <row r="305">
          <cell r="A305">
            <v>1990</v>
          </cell>
          <cell r="B305" t="str">
            <v>Ensemble</v>
          </cell>
          <cell r="C305" t="str">
            <v>5</v>
          </cell>
          <cell r="D305" t="str">
            <v>Mono-pensionné FP</v>
          </cell>
          <cell r="O305">
            <v>0</v>
          </cell>
          <cell r="P305">
            <v>24.137931034482801</v>
          </cell>
          <cell r="Q305">
            <v>13.7931034482759</v>
          </cell>
          <cell r="R305">
            <v>62.068965517241402</v>
          </cell>
          <cell r="S305">
            <v>0</v>
          </cell>
          <cell r="T305">
            <v>0</v>
          </cell>
        </row>
        <row r="306">
          <cell r="A306">
            <v>1990</v>
          </cell>
          <cell r="B306" t="str">
            <v>Ensemble</v>
          </cell>
          <cell r="C306" t="str">
            <v>5</v>
          </cell>
          <cell r="D306" t="str">
            <v>Mono-pensionné Lura</v>
          </cell>
          <cell r="O306">
            <v>0</v>
          </cell>
          <cell r="P306">
            <v>12.037037037037001</v>
          </cell>
          <cell r="Q306">
            <v>12.037037037037001</v>
          </cell>
          <cell r="R306">
            <v>66.203703703703695</v>
          </cell>
          <cell r="S306">
            <v>2.7777777777777799</v>
          </cell>
          <cell r="T306">
            <v>6.9444444444444402</v>
          </cell>
        </row>
        <row r="307">
          <cell r="A307">
            <v>1990</v>
          </cell>
          <cell r="B307" t="str">
            <v>Ensemble</v>
          </cell>
          <cell r="C307" t="str">
            <v>5</v>
          </cell>
          <cell r="D307" t="str">
            <v>Polypensionné Lura/FP</v>
          </cell>
          <cell r="O307">
            <v>0</v>
          </cell>
          <cell r="P307">
            <v>10.3448275862069</v>
          </cell>
          <cell r="Q307">
            <v>17.241379310344801</v>
          </cell>
          <cell r="R307">
            <v>60.344827586206897</v>
          </cell>
          <cell r="S307">
            <v>12.0689655172414</v>
          </cell>
          <cell r="T307">
            <v>0</v>
          </cell>
        </row>
        <row r="308">
          <cell r="A308">
            <v>1996</v>
          </cell>
          <cell r="B308" t="str">
            <v>Ensemble</v>
          </cell>
          <cell r="C308" t="str">
            <v>1</v>
          </cell>
          <cell r="D308" t="str">
            <v>Mono-pensionné FP</v>
          </cell>
          <cell r="O308">
            <v>0</v>
          </cell>
          <cell r="P308">
            <v>12.5</v>
          </cell>
          <cell r="Q308">
            <v>12.5</v>
          </cell>
          <cell r="R308">
            <v>75</v>
          </cell>
          <cell r="S308">
            <v>0</v>
          </cell>
          <cell r="T308">
            <v>0</v>
          </cell>
        </row>
        <row r="309">
          <cell r="A309">
            <v>1996</v>
          </cell>
          <cell r="B309" t="str">
            <v>Ensemble</v>
          </cell>
          <cell r="C309" t="str">
            <v>1</v>
          </cell>
          <cell r="D309" t="str">
            <v>Mono-pensionné Lura</v>
          </cell>
          <cell r="O309">
            <v>0</v>
          </cell>
          <cell r="P309">
            <v>14.957264957265</v>
          </cell>
          <cell r="Q309">
            <v>10.2564102564103</v>
          </cell>
          <cell r="R309">
            <v>64.102564102564102</v>
          </cell>
          <cell r="S309">
            <v>8.9743589743589691</v>
          </cell>
          <cell r="T309">
            <v>1.70940170940171</v>
          </cell>
        </row>
        <row r="310">
          <cell r="A310">
            <v>1996</v>
          </cell>
          <cell r="B310" t="str">
            <v>Ensemble</v>
          </cell>
          <cell r="C310" t="str">
            <v>1</v>
          </cell>
          <cell r="D310" t="str">
            <v>Polypensionné Lura/FP</v>
          </cell>
          <cell r="O310">
            <v>0</v>
          </cell>
          <cell r="P310">
            <v>16.6666666666667</v>
          </cell>
          <cell r="Q310">
            <v>9.5238095238095202</v>
          </cell>
          <cell r="R310">
            <v>61.904761904761898</v>
          </cell>
          <cell r="S310">
            <v>9.5238095238095202</v>
          </cell>
          <cell r="T310">
            <v>2.38095238095238</v>
          </cell>
        </row>
        <row r="311">
          <cell r="A311">
            <v>1996</v>
          </cell>
          <cell r="B311" t="str">
            <v>Ensemble</v>
          </cell>
          <cell r="C311" t="str">
            <v>2</v>
          </cell>
          <cell r="D311" t="str">
            <v>Mono-pensionné FP</v>
          </cell>
          <cell r="O311">
            <v>0</v>
          </cell>
          <cell r="P311">
            <v>0</v>
          </cell>
          <cell r="Q311">
            <v>14.285714285714301</v>
          </cell>
          <cell r="R311">
            <v>85.714285714285694</v>
          </cell>
          <cell r="S311">
            <v>0</v>
          </cell>
          <cell r="T311">
            <v>0</v>
          </cell>
        </row>
        <row r="312">
          <cell r="A312">
            <v>1996</v>
          </cell>
          <cell r="B312" t="str">
            <v>Ensemble</v>
          </cell>
          <cell r="C312" t="str">
            <v>2</v>
          </cell>
          <cell r="D312" t="str">
            <v>Mono-pensionné Lura</v>
          </cell>
          <cell r="O312">
            <v>0</v>
          </cell>
          <cell r="P312">
            <v>12.145748987854301</v>
          </cell>
          <cell r="Q312">
            <v>5.6680161943319796</v>
          </cell>
          <cell r="R312">
            <v>67.206477732793502</v>
          </cell>
          <cell r="S312">
            <v>10.931174089068801</v>
          </cell>
          <cell r="T312">
            <v>4.0485829959514197</v>
          </cell>
        </row>
        <row r="313">
          <cell r="A313">
            <v>1996</v>
          </cell>
          <cell r="B313" t="str">
            <v>Ensemble</v>
          </cell>
          <cell r="C313" t="str">
            <v>2</v>
          </cell>
          <cell r="D313" t="str">
            <v>Polypensionné Lura/FP</v>
          </cell>
          <cell r="O313">
            <v>0</v>
          </cell>
          <cell r="P313">
            <v>8.6206896551724093</v>
          </cell>
          <cell r="Q313">
            <v>15.517241379310301</v>
          </cell>
          <cell r="R313">
            <v>72.413793103448299</v>
          </cell>
          <cell r="S313">
            <v>3.4482758620689702</v>
          </cell>
          <cell r="T313">
            <v>0</v>
          </cell>
        </row>
        <row r="314">
          <cell r="A314">
            <v>1996</v>
          </cell>
          <cell r="B314" t="str">
            <v>Ensemble</v>
          </cell>
          <cell r="C314" t="str">
            <v>3</v>
          </cell>
          <cell r="D314" t="str">
            <v>Mono-pensionné FP</v>
          </cell>
          <cell r="O314">
            <v>0</v>
          </cell>
          <cell r="P314">
            <v>6.6666666666666696</v>
          </cell>
          <cell r="Q314">
            <v>6.6666666666666696</v>
          </cell>
          <cell r="R314">
            <v>86.6666666666667</v>
          </cell>
          <cell r="S314">
            <v>0</v>
          </cell>
          <cell r="T314">
            <v>0</v>
          </cell>
        </row>
        <row r="315">
          <cell r="A315">
            <v>1996</v>
          </cell>
          <cell r="B315" t="str">
            <v>Ensemble</v>
          </cell>
          <cell r="C315" t="str">
            <v>3</v>
          </cell>
          <cell r="D315" t="str">
            <v>Mono-pensionné Lura</v>
          </cell>
          <cell r="O315">
            <v>0</v>
          </cell>
          <cell r="P315">
            <v>15.6</v>
          </cell>
          <cell r="Q315">
            <v>11.2</v>
          </cell>
          <cell r="R315">
            <v>63.2</v>
          </cell>
          <cell r="S315">
            <v>5.6</v>
          </cell>
          <cell r="T315">
            <v>4.4000000000000004</v>
          </cell>
        </row>
        <row r="316">
          <cell r="A316">
            <v>1996</v>
          </cell>
          <cell r="B316" t="str">
            <v>Ensemble</v>
          </cell>
          <cell r="C316" t="str">
            <v>3</v>
          </cell>
          <cell r="D316" t="str">
            <v>Polypensionné Lura/FP</v>
          </cell>
          <cell r="O316">
            <v>0</v>
          </cell>
          <cell r="P316">
            <v>14.545454545454501</v>
          </cell>
          <cell r="Q316">
            <v>3.6363636363636398</v>
          </cell>
          <cell r="R316">
            <v>69.090909090909093</v>
          </cell>
          <cell r="S316">
            <v>7.2727272727272698</v>
          </cell>
          <cell r="T316">
            <v>5.4545454545454497</v>
          </cell>
        </row>
        <row r="317">
          <cell r="A317">
            <v>1996</v>
          </cell>
          <cell r="B317" t="str">
            <v>Ensemble</v>
          </cell>
          <cell r="C317" t="str">
            <v>4</v>
          </cell>
          <cell r="D317" t="str">
            <v>Mono-pensionné FP</v>
          </cell>
          <cell r="O317">
            <v>0</v>
          </cell>
          <cell r="P317">
            <v>16.6666666666667</v>
          </cell>
          <cell r="Q317">
            <v>5.5555555555555598</v>
          </cell>
          <cell r="R317">
            <v>77.7777777777778</v>
          </cell>
          <cell r="S317">
            <v>0</v>
          </cell>
          <cell r="T317">
            <v>0</v>
          </cell>
        </row>
        <row r="318">
          <cell r="A318">
            <v>1996</v>
          </cell>
          <cell r="B318" t="str">
            <v>Ensemble</v>
          </cell>
          <cell r="C318" t="str">
            <v>4</v>
          </cell>
          <cell r="D318" t="str">
            <v>Mono-pensionné Lura</v>
          </cell>
          <cell r="O318">
            <v>0</v>
          </cell>
          <cell r="P318">
            <v>8.5185185185185208</v>
          </cell>
          <cell r="Q318">
            <v>15.185185185185199</v>
          </cell>
          <cell r="R318">
            <v>67.7777777777778</v>
          </cell>
          <cell r="S318">
            <v>4.4444444444444402</v>
          </cell>
          <cell r="T318">
            <v>4.07407407407407</v>
          </cell>
        </row>
        <row r="319">
          <cell r="A319">
            <v>1996</v>
          </cell>
          <cell r="B319" t="str">
            <v>Ensemble</v>
          </cell>
          <cell r="C319" t="str">
            <v>4</v>
          </cell>
          <cell r="D319" t="str">
            <v>Polypensionné Lura/FP</v>
          </cell>
          <cell r="O319">
            <v>0</v>
          </cell>
          <cell r="P319">
            <v>8.8235294117647101</v>
          </cell>
          <cell r="Q319">
            <v>17.647058823529399</v>
          </cell>
          <cell r="R319">
            <v>69.117647058823493</v>
          </cell>
          <cell r="S319">
            <v>4.4117647058823497</v>
          </cell>
          <cell r="T319">
            <v>0</v>
          </cell>
        </row>
        <row r="320">
          <cell r="A320">
            <v>1996</v>
          </cell>
          <cell r="B320" t="str">
            <v>Ensemble</v>
          </cell>
          <cell r="C320" t="str">
            <v>5</v>
          </cell>
          <cell r="D320" t="str">
            <v>Mono-pensionné FP</v>
          </cell>
          <cell r="O320">
            <v>0</v>
          </cell>
          <cell r="P320">
            <v>21.428571428571399</v>
          </cell>
          <cell r="Q320">
            <v>0</v>
          </cell>
          <cell r="R320">
            <v>78.571428571428598</v>
          </cell>
          <cell r="S320">
            <v>0</v>
          </cell>
          <cell r="T320">
            <v>0</v>
          </cell>
        </row>
        <row r="321">
          <cell r="A321">
            <v>1996</v>
          </cell>
          <cell r="B321" t="str">
            <v>Ensemble</v>
          </cell>
          <cell r="C321" t="str">
            <v>5</v>
          </cell>
          <cell r="D321" t="str">
            <v>Mono-pensionné Lura</v>
          </cell>
          <cell r="O321">
            <v>0</v>
          </cell>
          <cell r="P321">
            <v>10.1214574898785</v>
          </cell>
          <cell r="Q321">
            <v>10.1214574898785</v>
          </cell>
          <cell r="R321">
            <v>62.753036437246998</v>
          </cell>
          <cell r="S321">
            <v>7.6923076923076898</v>
          </cell>
          <cell r="T321">
            <v>9.3117408906882595</v>
          </cell>
        </row>
        <row r="322">
          <cell r="A322">
            <v>1996</v>
          </cell>
          <cell r="B322" t="str">
            <v>Ensemble</v>
          </cell>
          <cell r="C322" t="str">
            <v>5</v>
          </cell>
          <cell r="D322" t="str">
            <v>Polypensionné Lura/FP</v>
          </cell>
          <cell r="O322">
            <v>0</v>
          </cell>
          <cell r="P322">
            <v>16.417910447761201</v>
          </cell>
          <cell r="Q322">
            <v>10.4477611940299</v>
          </cell>
          <cell r="R322">
            <v>59.701492537313399</v>
          </cell>
          <cell r="S322">
            <v>2.98507462686567</v>
          </cell>
          <cell r="T322">
            <v>10.4477611940299</v>
          </cell>
        </row>
        <row r="323">
          <cell r="A323">
            <v>2000</v>
          </cell>
          <cell r="B323" t="str">
            <v>Ensemble</v>
          </cell>
          <cell r="C323" t="str">
            <v>1</v>
          </cell>
          <cell r="D323" t="str">
            <v>Mono-pensionné FP</v>
          </cell>
          <cell r="O323">
            <v>0</v>
          </cell>
          <cell r="P323">
            <v>20</v>
          </cell>
          <cell r="Q323">
            <v>20</v>
          </cell>
          <cell r="R323">
            <v>60</v>
          </cell>
          <cell r="S323">
            <v>0</v>
          </cell>
          <cell r="T323">
            <v>0</v>
          </cell>
        </row>
        <row r="324">
          <cell r="A324">
            <v>2000</v>
          </cell>
          <cell r="B324" t="str">
            <v>Ensemble</v>
          </cell>
          <cell r="C324" t="str">
            <v>1</v>
          </cell>
          <cell r="D324" t="str">
            <v>Mono-pensionné Lura</v>
          </cell>
          <cell r="O324">
            <v>0</v>
          </cell>
          <cell r="P324">
            <v>11.1111111111111</v>
          </cell>
          <cell r="Q324">
            <v>8.6419753086419693</v>
          </cell>
          <cell r="R324">
            <v>68.724279835390902</v>
          </cell>
          <cell r="S324">
            <v>8.2304526748971192</v>
          </cell>
          <cell r="T324">
            <v>3.2921810699588501</v>
          </cell>
        </row>
        <row r="325">
          <cell r="A325">
            <v>2000</v>
          </cell>
          <cell r="B325" t="str">
            <v>Ensemble</v>
          </cell>
          <cell r="C325" t="str">
            <v>1</v>
          </cell>
          <cell r="D325" t="str">
            <v>Polypensionné Lura/FP</v>
          </cell>
          <cell r="O325">
            <v>0</v>
          </cell>
          <cell r="P325">
            <v>9.0909090909090899</v>
          </cell>
          <cell r="Q325">
            <v>6.8181818181818201</v>
          </cell>
          <cell r="R325">
            <v>70.454545454545496</v>
          </cell>
          <cell r="S325">
            <v>11.363636363636401</v>
          </cell>
          <cell r="T325">
            <v>2.2727272727272698</v>
          </cell>
        </row>
        <row r="326">
          <cell r="A326">
            <v>2000</v>
          </cell>
          <cell r="B326" t="str">
            <v>Ensemble</v>
          </cell>
          <cell r="C326" t="str">
            <v>2</v>
          </cell>
          <cell r="D326" t="str">
            <v>Mono-pensionné FP</v>
          </cell>
          <cell r="O326">
            <v>0</v>
          </cell>
          <cell r="P326">
            <v>33.3333333333333</v>
          </cell>
          <cell r="Q326">
            <v>0</v>
          </cell>
          <cell r="R326">
            <v>33.3333333333333</v>
          </cell>
          <cell r="S326">
            <v>0</v>
          </cell>
          <cell r="T326">
            <v>33.3333333333333</v>
          </cell>
        </row>
        <row r="327">
          <cell r="A327">
            <v>2000</v>
          </cell>
          <cell r="B327" t="str">
            <v>Ensemble</v>
          </cell>
          <cell r="C327" t="str">
            <v>2</v>
          </cell>
          <cell r="D327" t="str">
            <v>Mono-pensionné Lura</v>
          </cell>
          <cell r="O327">
            <v>0</v>
          </cell>
          <cell r="P327">
            <v>12.8205128205128</v>
          </cell>
          <cell r="Q327">
            <v>8.7912087912087902</v>
          </cell>
          <cell r="R327">
            <v>65.567765567765605</v>
          </cell>
          <cell r="S327">
            <v>9.1575091575091605</v>
          </cell>
          <cell r="T327">
            <v>3.6630036630036602</v>
          </cell>
        </row>
        <row r="328">
          <cell r="A328">
            <v>2000</v>
          </cell>
          <cell r="B328" t="str">
            <v>Ensemble</v>
          </cell>
          <cell r="C328" t="str">
            <v>2</v>
          </cell>
          <cell r="D328" t="str">
            <v>Polypensionné Lura/FP</v>
          </cell>
          <cell r="O328">
            <v>0</v>
          </cell>
          <cell r="P328">
            <v>9.0909090909090899</v>
          </cell>
          <cell r="Q328">
            <v>7.2727272727272698</v>
          </cell>
          <cell r="R328">
            <v>69.090909090909093</v>
          </cell>
          <cell r="S328">
            <v>9.0909090909090899</v>
          </cell>
          <cell r="T328">
            <v>5.4545454545454497</v>
          </cell>
        </row>
        <row r="329">
          <cell r="A329">
            <v>2000</v>
          </cell>
          <cell r="B329" t="str">
            <v>Ensemble</v>
          </cell>
          <cell r="C329" t="str">
            <v>3</v>
          </cell>
          <cell r="D329" t="str">
            <v>Mono-pensionné FP</v>
          </cell>
          <cell r="O329">
            <v>0</v>
          </cell>
          <cell r="P329">
            <v>15.384615384615399</v>
          </cell>
          <cell r="Q329">
            <v>7.6923076923076898</v>
          </cell>
          <cell r="R329">
            <v>69.230769230769198</v>
          </cell>
          <cell r="S329">
            <v>0</v>
          </cell>
          <cell r="T329">
            <v>7.6923076923076898</v>
          </cell>
        </row>
        <row r="330">
          <cell r="A330">
            <v>2000</v>
          </cell>
          <cell r="B330" t="str">
            <v>Ensemble</v>
          </cell>
          <cell r="C330" t="str">
            <v>3</v>
          </cell>
          <cell r="D330" t="str">
            <v>Mono-pensionné Lura</v>
          </cell>
          <cell r="O330">
            <v>0</v>
          </cell>
          <cell r="P330">
            <v>13.157894736842101</v>
          </cell>
          <cell r="Q330">
            <v>10.150375939849599</v>
          </cell>
          <cell r="R330">
            <v>62.781954887217999</v>
          </cell>
          <cell r="S330">
            <v>10.902255639097699</v>
          </cell>
          <cell r="T330">
            <v>3.0075187969924801</v>
          </cell>
        </row>
        <row r="331">
          <cell r="A331">
            <v>2000</v>
          </cell>
          <cell r="B331" t="str">
            <v>Ensemble</v>
          </cell>
          <cell r="C331" t="str">
            <v>3</v>
          </cell>
          <cell r="D331" t="str">
            <v>Polypensionné Lura/FP</v>
          </cell>
          <cell r="O331">
            <v>0</v>
          </cell>
          <cell r="P331">
            <v>6.0606060606060597</v>
          </cell>
          <cell r="Q331">
            <v>18.181818181818201</v>
          </cell>
          <cell r="R331">
            <v>60.606060606060602</v>
          </cell>
          <cell r="S331">
            <v>9.0909090909090899</v>
          </cell>
          <cell r="T331">
            <v>6.0606060606060597</v>
          </cell>
        </row>
        <row r="332">
          <cell r="A332">
            <v>2000</v>
          </cell>
          <cell r="B332" t="str">
            <v>Ensemble</v>
          </cell>
          <cell r="C332" t="str">
            <v>4</v>
          </cell>
          <cell r="D332" t="str">
            <v>Mono-pensionné FP</v>
          </cell>
          <cell r="O332">
            <v>0</v>
          </cell>
          <cell r="P332">
            <v>0</v>
          </cell>
          <cell r="Q332">
            <v>0</v>
          </cell>
          <cell r="R332">
            <v>100</v>
          </cell>
          <cell r="S332">
            <v>0</v>
          </cell>
          <cell r="T332">
            <v>0</v>
          </cell>
        </row>
        <row r="333">
          <cell r="A333">
            <v>2000</v>
          </cell>
          <cell r="B333" t="str">
            <v>Ensemble</v>
          </cell>
          <cell r="C333" t="str">
            <v>4</v>
          </cell>
          <cell r="D333" t="str">
            <v>Mono-pensionné Lura</v>
          </cell>
          <cell r="O333">
            <v>0</v>
          </cell>
          <cell r="P333">
            <v>14.179104477611901</v>
          </cell>
          <cell r="Q333">
            <v>13.4328358208955</v>
          </cell>
          <cell r="R333">
            <v>58.955223880597003</v>
          </cell>
          <cell r="S333">
            <v>9.3283582089552208</v>
          </cell>
          <cell r="T333">
            <v>4.1044776119403004</v>
          </cell>
        </row>
        <row r="334">
          <cell r="A334">
            <v>2000</v>
          </cell>
          <cell r="B334" t="str">
            <v>Ensemble</v>
          </cell>
          <cell r="C334" t="str">
            <v>4</v>
          </cell>
          <cell r="D334" t="str">
            <v>Polypensionné Lura/FP</v>
          </cell>
          <cell r="O334">
            <v>0</v>
          </cell>
          <cell r="P334">
            <v>5.1724137931034502</v>
          </cell>
          <cell r="Q334">
            <v>13.7931034482759</v>
          </cell>
          <cell r="R334">
            <v>60.344827586206897</v>
          </cell>
          <cell r="S334">
            <v>12.0689655172414</v>
          </cell>
          <cell r="T334">
            <v>8.6206896551724093</v>
          </cell>
        </row>
        <row r="335">
          <cell r="A335">
            <v>2000</v>
          </cell>
          <cell r="B335" t="str">
            <v>Ensemble</v>
          </cell>
          <cell r="C335" t="str">
            <v>5</v>
          </cell>
          <cell r="D335" t="str">
            <v>Mono-pensionné FP</v>
          </cell>
          <cell r="O335">
            <v>0</v>
          </cell>
          <cell r="P335">
            <v>26.6666666666667</v>
          </cell>
          <cell r="Q335">
            <v>6.6666666666666696</v>
          </cell>
          <cell r="R335">
            <v>66.6666666666667</v>
          </cell>
          <cell r="S335">
            <v>0</v>
          </cell>
          <cell r="T335">
            <v>0</v>
          </cell>
        </row>
        <row r="336">
          <cell r="A336">
            <v>2000</v>
          </cell>
          <cell r="B336" t="str">
            <v>Ensemble</v>
          </cell>
          <cell r="C336" t="str">
            <v>5</v>
          </cell>
          <cell r="D336" t="str">
            <v>Mono-pensionné Lura</v>
          </cell>
          <cell r="O336">
            <v>0</v>
          </cell>
          <cell r="P336">
            <v>7.2033898305084696</v>
          </cell>
          <cell r="Q336">
            <v>8.0508474576271194</v>
          </cell>
          <cell r="R336">
            <v>66.525423728813607</v>
          </cell>
          <cell r="S336">
            <v>8.0508474576271194</v>
          </cell>
          <cell r="T336">
            <v>10.1694915254237</v>
          </cell>
        </row>
        <row r="337">
          <cell r="A337">
            <v>2000</v>
          </cell>
          <cell r="B337" t="str">
            <v>Ensemble</v>
          </cell>
          <cell r="C337" t="str">
            <v>5</v>
          </cell>
          <cell r="D337" t="str">
            <v>Polypensionné Lura/FP</v>
          </cell>
          <cell r="O337">
            <v>0</v>
          </cell>
          <cell r="P337">
            <v>12.9032258064516</v>
          </cell>
          <cell r="Q337">
            <v>6.4516129032258096</v>
          </cell>
          <cell r="R337">
            <v>72.580645161290306</v>
          </cell>
          <cell r="S337">
            <v>4.8387096774193497</v>
          </cell>
          <cell r="T337">
            <v>3.2258064516128999</v>
          </cell>
        </row>
        <row r="338">
          <cell r="A338">
            <v>1960</v>
          </cell>
          <cell r="B338" t="str">
            <v>Femmes</v>
          </cell>
          <cell r="C338" t="str">
            <v>1</v>
          </cell>
          <cell r="D338" t="str">
            <v>Mono-pensionné FP</v>
          </cell>
          <cell r="O338">
            <v>0</v>
          </cell>
          <cell r="P338">
            <v>0</v>
          </cell>
          <cell r="Q338">
            <v>0</v>
          </cell>
          <cell r="R338">
            <v>100</v>
          </cell>
          <cell r="S338">
            <v>0</v>
          </cell>
          <cell r="T338">
            <v>0</v>
          </cell>
        </row>
        <row r="339">
          <cell r="A339">
            <v>1960</v>
          </cell>
          <cell r="B339" t="str">
            <v>Femmes</v>
          </cell>
          <cell r="C339" t="str">
            <v>1</v>
          </cell>
          <cell r="D339" t="str">
            <v>Mono-pensionné Lura</v>
          </cell>
          <cell r="O339">
            <v>0</v>
          </cell>
          <cell r="P339">
            <v>10.3448275862069</v>
          </cell>
          <cell r="Q339">
            <v>12.413793103448301</v>
          </cell>
          <cell r="R339">
            <v>74.482758620689694</v>
          </cell>
          <cell r="S339">
            <v>2.7586206896551699</v>
          </cell>
          <cell r="T339">
            <v>0</v>
          </cell>
        </row>
        <row r="340">
          <cell r="A340">
            <v>1960</v>
          </cell>
          <cell r="B340" t="str">
            <v>Femmes</v>
          </cell>
          <cell r="C340" t="str">
            <v>1</v>
          </cell>
          <cell r="D340" t="str">
            <v>Polypensionné Lura/FP</v>
          </cell>
          <cell r="O340">
            <v>0</v>
          </cell>
          <cell r="P340">
            <v>22.2222222222222</v>
          </cell>
          <cell r="Q340">
            <v>0</v>
          </cell>
          <cell r="R340">
            <v>77.7777777777778</v>
          </cell>
          <cell r="S340">
            <v>0</v>
          </cell>
          <cell r="T340">
            <v>0</v>
          </cell>
        </row>
        <row r="341">
          <cell r="A341">
            <v>1960</v>
          </cell>
          <cell r="B341" t="str">
            <v>Femmes</v>
          </cell>
          <cell r="C341" t="str">
            <v>2</v>
          </cell>
          <cell r="D341" t="str">
            <v>Mono-pensionné FP</v>
          </cell>
          <cell r="O341">
            <v>0</v>
          </cell>
          <cell r="P341">
            <v>0</v>
          </cell>
          <cell r="Q341">
            <v>0</v>
          </cell>
          <cell r="R341">
            <v>100</v>
          </cell>
          <cell r="S341">
            <v>0</v>
          </cell>
          <cell r="T341">
            <v>0</v>
          </cell>
        </row>
        <row r="342">
          <cell r="A342">
            <v>1960</v>
          </cell>
          <cell r="B342" t="str">
            <v>Femmes</v>
          </cell>
          <cell r="C342" t="str">
            <v>2</v>
          </cell>
          <cell r="D342" t="str">
            <v>Mono-pensionné Lura</v>
          </cell>
          <cell r="O342">
            <v>0</v>
          </cell>
          <cell r="P342">
            <v>9.0163934426229506</v>
          </cell>
          <cell r="Q342">
            <v>10.655737704918</v>
          </cell>
          <cell r="R342">
            <v>78.688524590163894</v>
          </cell>
          <cell r="S342">
            <v>0.81967213114754101</v>
          </cell>
          <cell r="T342">
            <v>0.81967213114754101</v>
          </cell>
        </row>
        <row r="343">
          <cell r="A343">
            <v>1960</v>
          </cell>
          <cell r="B343" t="str">
            <v>Femmes</v>
          </cell>
          <cell r="C343" t="str">
            <v>2</v>
          </cell>
          <cell r="D343" t="str">
            <v>Polypensionné Lura/FP</v>
          </cell>
          <cell r="O343">
            <v>0</v>
          </cell>
          <cell r="P343">
            <v>25</v>
          </cell>
          <cell r="Q343">
            <v>4.1666666666666696</v>
          </cell>
          <cell r="R343">
            <v>70.8333333333333</v>
          </cell>
          <cell r="S343">
            <v>0</v>
          </cell>
          <cell r="T343">
            <v>0</v>
          </cell>
        </row>
        <row r="344">
          <cell r="A344">
            <v>1960</v>
          </cell>
          <cell r="B344" t="str">
            <v>Femmes</v>
          </cell>
          <cell r="C344" t="str">
            <v>3</v>
          </cell>
          <cell r="D344" t="str">
            <v>Mono-pensionné FP</v>
          </cell>
          <cell r="O344">
            <v>0</v>
          </cell>
          <cell r="P344">
            <v>0</v>
          </cell>
          <cell r="Q344">
            <v>0</v>
          </cell>
          <cell r="R344">
            <v>100</v>
          </cell>
          <cell r="S344">
            <v>0</v>
          </cell>
          <cell r="T344">
            <v>0</v>
          </cell>
        </row>
        <row r="345">
          <cell r="A345">
            <v>1960</v>
          </cell>
          <cell r="B345" t="str">
            <v>Femmes</v>
          </cell>
          <cell r="C345" t="str">
            <v>3</v>
          </cell>
          <cell r="D345" t="str">
            <v>Mono-pensionné Lura</v>
          </cell>
          <cell r="O345">
            <v>0</v>
          </cell>
          <cell r="P345">
            <v>8.9430894308943092</v>
          </cell>
          <cell r="Q345">
            <v>12.1951219512195</v>
          </cell>
          <cell r="R345">
            <v>78.048780487804905</v>
          </cell>
          <cell r="S345">
            <v>0.81300813008130102</v>
          </cell>
          <cell r="T345">
            <v>0</v>
          </cell>
        </row>
        <row r="346">
          <cell r="A346">
            <v>1960</v>
          </cell>
          <cell r="B346" t="str">
            <v>Femmes</v>
          </cell>
          <cell r="C346" t="str">
            <v>3</v>
          </cell>
          <cell r="D346" t="str">
            <v>Polypensionné Lura/FP</v>
          </cell>
          <cell r="O346">
            <v>0</v>
          </cell>
          <cell r="P346">
            <v>11.1111111111111</v>
          </cell>
          <cell r="Q346">
            <v>22.2222222222222</v>
          </cell>
          <cell r="R346">
            <v>66.6666666666667</v>
          </cell>
          <cell r="S346">
            <v>0</v>
          </cell>
          <cell r="T346">
            <v>0</v>
          </cell>
        </row>
        <row r="347">
          <cell r="A347">
            <v>1960</v>
          </cell>
          <cell r="B347" t="str">
            <v>Femmes</v>
          </cell>
          <cell r="C347" t="str">
            <v>4</v>
          </cell>
          <cell r="D347" t="str">
            <v>Mono-pensionné FP</v>
          </cell>
          <cell r="O347">
            <v>0</v>
          </cell>
          <cell r="P347">
            <v>8.3333333333333304</v>
          </cell>
          <cell r="Q347">
            <v>0</v>
          </cell>
          <cell r="R347">
            <v>91.6666666666667</v>
          </cell>
          <cell r="S347">
            <v>0</v>
          </cell>
          <cell r="T347">
            <v>0</v>
          </cell>
        </row>
        <row r="348">
          <cell r="A348">
            <v>1960</v>
          </cell>
          <cell r="B348" t="str">
            <v>Femmes</v>
          </cell>
          <cell r="C348" t="str">
            <v>4</v>
          </cell>
          <cell r="D348" t="str">
            <v>Mono-pensionné Lura</v>
          </cell>
          <cell r="O348">
            <v>0</v>
          </cell>
          <cell r="P348">
            <v>11.6883116883117</v>
          </cell>
          <cell r="Q348">
            <v>18.181818181818201</v>
          </cell>
          <cell r="R348">
            <v>66.883116883116898</v>
          </cell>
          <cell r="S348">
            <v>1.2987012987013</v>
          </cell>
          <cell r="T348">
            <v>1.94805194805195</v>
          </cell>
        </row>
        <row r="349">
          <cell r="A349">
            <v>1960</v>
          </cell>
          <cell r="B349" t="str">
            <v>Femmes</v>
          </cell>
          <cell r="C349" t="str">
            <v>4</v>
          </cell>
          <cell r="D349" t="str">
            <v>Polypensionné Lura/FP</v>
          </cell>
          <cell r="O349">
            <v>0</v>
          </cell>
          <cell r="P349">
            <v>16.129032258064498</v>
          </cell>
          <cell r="Q349">
            <v>9.67741935483871</v>
          </cell>
          <cell r="R349">
            <v>74.193548387096797</v>
          </cell>
          <cell r="S349">
            <v>0</v>
          </cell>
          <cell r="T349">
            <v>0</v>
          </cell>
        </row>
        <row r="350">
          <cell r="A350">
            <v>1960</v>
          </cell>
          <cell r="B350" t="str">
            <v>Femmes</v>
          </cell>
          <cell r="C350" t="str">
            <v>5</v>
          </cell>
          <cell r="D350" t="str">
            <v>Mono-pensionné FP</v>
          </cell>
          <cell r="O350">
            <v>0</v>
          </cell>
          <cell r="P350">
            <v>0</v>
          </cell>
          <cell r="Q350">
            <v>15.789473684210501</v>
          </cell>
          <cell r="R350">
            <v>84.210526315789494</v>
          </cell>
          <cell r="S350">
            <v>0</v>
          </cell>
          <cell r="T350">
            <v>0</v>
          </cell>
        </row>
        <row r="351">
          <cell r="A351">
            <v>1960</v>
          </cell>
          <cell r="B351" t="str">
            <v>Femmes</v>
          </cell>
          <cell r="C351" t="str">
            <v>5</v>
          </cell>
          <cell r="D351" t="str">
            <v>Mono-pensionné Lura</v>
          </cell>
          <cell r="O351">
            <v>0</v>
          </cell>
          <cell r="P351">
            <v>18.367346938775501</v>
          </cell>
          <cell r="Q351">
            <v>21.7687074829932</v>
          </cell>
          <cell r="R351">
            <v>58.503401360544203</v>
          </cell>
          <cell r="S351">
            <v>0</v>
          </cell>
          <cell r="T351">
            <v>1.3605442176870699</v>
          </cell>
        </row>
        <row r="352">
          <cell r="A352">
            <v>1960</v>
          </cell>
          <cell r="B352" t="str">
            <v>Femmes</v>
          </cell>
          <cell r="C352" t="str">
            <v>5</v>
          </cell>
          <cell r="D352" t="str">
            <v>Polypensionné Lura/FP</v>
          </cell>
          <cell r="O352">
            <v>0</v>
          </cell>
          <cell r="P352">
            <v>18.181818181818201</v>
          </cell>
          <cell r="Q352">
            <v>22.727272727272702</v>
          </cell>
          <cell r="R352">
            <v>54.545454545454497</v>
          </cell>
          <cell r="S352">
            <v>0</v>
          </cell>
          <cell r="T352">
            <v>4.5454545454545503</v>
          </cell>
        </row>
        <row r="353">
          <cell r="A353">
            <v>1960</v>
          </cell>
          <cell r="B353" t="str">
            <v>Hommes</v>
          </cell>
          <cell r="C353" t="str">
            <v>1</v>
          </cell>
          <cell r="D353" t="str">
            <v>Mono-pensionné FP</v>
          </cell>
          <cell r="O353">
            <v>0</v>
          </cell>
          <cell r="P353">
            <v>20</v>
          </cell>
          <cell r="Q353">
            <v>0</v>
          </cell>
          <cell r="R353">
            <v>80</v>
          </cell>
          <cell r="S353">
            <v>0</v>
          </cell>
          <cell r="T353">
            <v>0</v>
          </cell>
        </row>
        <row r="354">
          <cell r="A354">
            <v>1960</v>
          </cell>
          <cell r="B354" t="str">
            <v>Hommes</v>
          </cell>
          <cell r="C354" t="str">
            <v>1</v>
          </cell>
          <cell r="D354" t="str">
            <v>Mono-pensionné Lura</v>
          </cell>
          <cell r="O354">
            <v>0</v>
          </cell>
          <cell r="P354">
            <v>4.6511627906976702</v>
          </cell>
          <cell r="Q354">
            <v>11.6279069767442</v>
          </cell>
          <cell r="R354">
            <v>81.395348837209298</v>
          </cell>
          <cell r="S354">
            <v>0</v>
          </cell>
          <cell r="T354">
            <v>2.32558139534884</v>
          </cell>
        </row>
        <row r="355">
          <cell r="A355">
            <v>1960</v>
          </cell>
          <cell r="B355" t="str">
            <v>Hommes</v>
          </cell>
          <cell r="C355" t="str">
            <v>1</v>
          </cell>
          <cell r="D355" t="str">
            <v>Polypensionné Lura/FP</v>
          </cell>
          <cell r="O355">
            <v>0</v>
          </cell>
          <cell r="P355">
            <v>16.6666666666667</v>
          </cell>
          <cell r="Q355">
            <v>16.6666666666667</v>
          </cell>
          <cell r="R355">
            <v>66.6666666666667</v>
          </cell>
          <cell r="S355">
            <v>0</v>
          </cell>
          <cell r="T355">
            <v>0</v>
          </cell>
        </row>
        <row r="356">
          <cell r="A356">
            <v>1960</v>
          </cell>
          <cell r="B356" t="str">
            <v>Hommes</v>
          </cell>
          <cell r="C356" t="str">
            <v>2</v>
          </cell>
          <cell r="D356" t="str">
            <v>Mono-pensionné FP</v>
          </cell>
          <cell r="O356">
            <v>0</v>
          </cell>
          <cell r="P356">
            <v>25</v>
          </cell>
          <cell r="Q356">
            <v>12.5</v>
          </cell>
          <cell r="R356">
            <v>62.5</v>
          </cell>
          <cell r="S356">
            <v>0</v>
          </cell>
          <cell r="T356">
            <v>0</v>
          </cell>
        </row>
        <row r="357">
          <cell r="A357">
            <v>1960</v>
          </cell>
          <cell r="B357" t="str">
            <v>Hommes</v>
          </cell>
          <cell r="C357" t="str">
            <v>2</v>
          </cell>
          <cell r="D357" t="str">
            <v>Mono-pensionné Lura</v>
          </cell>
          <cell r="O357">
            <v>0</v>
          </cell>
          <cell r="P357">
            <v>9.4339622641509404</v>
          </cell>
          <cell r="Q357">
            <v>15.094339622641501</v>
          </cell>
          <cell r="R357">
            <v>71.698113207547195</v>
          </cell>
          <cell r="S357">
            <v>1.88679245283019</v>
          </cell>
          <cell r="T357">
            <v>1.88679245283019</v>
          </cell>
        </row>
        <row r="358">
          <cell r="A358">
            <v>1960</v>
          </cell>
          <cell r="B358" t="str">
            <v>Hommes</v>
          </cell>
          <cell r="C358" t="str">
            <v>2</v>
          </cell>
          <cell r="D358" t="str">
            <v>Polypensionné Lura/FP</v>
          </cell>
          <cell r="O358">
            <v>0</v>
          </cell>
          <cell r="P358">
            <v>23.076923076923102</v>
          </cell>
          <cell r="Q358">
            <v>15.384615384615399</v>
          </cell>
          <cell r="R358">
            <v>53.846153846153797</v>
          </cell>
          <cell r="S358">
            <v>7.6923076923076898</v>
          </cell>
          <cell r="T358">
            <v>0</v>
          </cell>
        </row>
        <row r="359">
          <cell r="A359">
            <v>1960</v>
          </cell>
          <cell r="B359" t="str">
            <v>Hommes</v>
          </cell>
          <cell r="C359" t="str">
            <v>3</v>
          </cell>
          <cell r="D359" t="str">
            <v>Mono-pensionné FP</v>
          </cell>
          <cell r="O359">
            <v>0</v>
          </cell>
          <cell r="P359">
            <v>25</v>
          </cell>
          <cell r="Q359">
            <v>8.3333333333333304</v>
          </cell>
          <cell r="R359">
            <v>58.3333333333333</v>
          </cell>
          <cell r="S359">
            <v>8.3333333333333304</v>
          </cell>
          <cell r="T359">
            <v>0</v>
          </cell>
        </row>
        <row r="360">
          <cell r="A360">
            <v>1960</v>
          </cell>
          <cell r="B360" t="str">
            <v>Hommes</v>
          </cell>
          <cell r="C360" t="str">
            <v>3</v>
          </cell>
          <cell r="D360" t="str">
            <v>Mono-pensionné Lura</v>
          </cell>
          <cell r="O360">
            <v>0</v>
          </cell>
          <cell r="P360">
            <v>5.7971014492753596</v>
          </cell>
          <cell r="Q360">
            <v>14.492753623188401</v>
          </cell>
          <cell r="R360">
            <v>72.463768115942003</v>
          </cell>
          <cell r="S360">
            <v>4.3478260869565197</v>
          </cell>
          <cell r="T360">
            <v>2.8985507246376798</v>
          </cell>
        </row>
        <row r="361">
          <cell r="A361">
            <v>1960</v>
          </cell>
          <cell r="B361" t="str">
            <v>Hommes</v>
          </cell>
          <cell r="C361" t="str">
            <v>3</v>
          </cell>
          <cell r="D361" t="str">
            <v>Polypensionné Lura/FP</v>
          </cell>
          <cell r="O361">
            <v>0</v>
          </cell>
          <cell r="P361">
            <v>9.0909090909090899</v>
          </cell>
          <cell r="Q361">
            <v>0</v>
          </cell>
          <cell r="R361">
            <v>90.909090909090907</v>
          </cell>
          <cell r="S361">
            <v>0</v>
          </cell>
          <cell r="T361">
            <v>0</v>
          </cell>
        </row>
        <row r="362">
          <cell r="A362">
            <v>1960</v>
          </cell>
          <cell r="B362" t="str">
            <v>Hommes</v>
          </cell>
          <cell r="C362" t="str">
            <v>4</v>
          </cell>
          <cell r="D362" t="str">
            <v>Mono-pensionné FP</v>
          </cell>
          <cell r="O362">
            <v>0</v>
          </cell>
          <cell r="P362">
            <v>7.1428571428571397</v>
          </cell>
          <cell r="Q362">
            <v>7.1428571428571397</v>
          </cell>
          <cell r="R362">
            <v>78.571428571428598</v>
          </cell>
          <cell r="S362">
            <v>7.1428571428571397</v>
          </cell>
          <cell r="T362">
            <v>0</v>
          </cell>
        </row>
        <row r="363">
          <cell r="A363">
            <v>1960</v>
          </cell>
          <cell r="B363" t="str">
            <v>Hommes</v>
          </cell>
          <cell r="C363" t="str">
            <v>4</v>
          </cell>
          <cell r="D363" t="str">
            <v>Mono-pensionné Lura</v>
          </cell>
          <cell r="O363">
            <v>0</v>
          </cell>
          <cell r="P363">
            <v>9.67741935483871</v>
          </cell>
          <cell r="Q363">
            <v>12.9032258064516</v>
          </cell>
          <cell r="R363">
            <v>74.193548387096797</v>
          </cell>
          <cell r="S363">
            <v>1.61290322580645</v>
          </cell>
          <cell r="T363">
            <v>1.61290322580645</v>
          </cell>
        </row>
        <row r="364">
          <cell r="A364">
            <v>1960</v>
          </cell>
          <cell r="B364" t="str">
            <v>Hommes</v>
          </cell>
          <cell r="C364" t="str">
            <v>4</v>
          </cell>
          <cell r="D364" t="str">
            <v>Polypensionné Lura/FP</v>
          </cell>
          <cell r="O364">
            <v>0</v>
          </cell>
          <cell r="P364">
            <v>5.2631578947368398</v>
          </cell>
          <cell r="Q364">
            <v>15.789473684210501</v>
          </cell>
          <cell r="R364">
            <v>68.421052631578902</v>
          </cell>
          <cell r="S364">
            <v>0</v>
          </cell>
          <cell r="T364">
            <v>10.526315789473699</v>
          </cell>
        </row>
        <row r="365">
          <cell r="A365">
            <v>1960</v>
          </cell>
          <cell r="B365" t="str">
            <v>Hommes</v>
          </cell>
          <cell r="C365" t="str">
            <v>5</v>
          </cell>
          <cell r="D365" t="str">
            <v>Mono-pensionné FP</v>
          </cell>
          <cell r="O365">
            <v>0</v>
          </cell>
          <cell r="P365">
            <v>13.0434782608696</v>
          </cell>
          <cell r="Q365">
            <v>17.3913043478261</v>
          </cell>
          <cell r="R365">
            <v>65.2173913043478</v>
          </cell>
          <cell r="S365">
            <v>0</v>
          </cell>
          <cell r="T365">
            <v>4.3478260869565197</v>
          </cell>
        </row>
        <row r="366">
          <cell r="A366">
            <v>1960</v>
          </cell>
          <cell r="B366" t="str">
            <v>Hommes</v>
          </cell>
          <cell r="C366" t="str">
            <v>5</v>
          </cell>
          <cell r="D366" t="str">
            <v>Mono-pensionné Lura</v>
          </cell>
          <cell r="O366">
            <v>0</v>
          </cell>
          <cell r="P366">
            <v>7.1428571428571397</v>
          </cell>
          <cell r="Q366">
            <v>11.4285714285714</v>
          </cell>
          <cell r="R366">
            <v>74.285714285714306</v>
          </cell>
          <cell r="S366">
            <v>1.4285714285714299</v>
          </cell>
          <cell r="T366">
            <v>5.71428571428571</v>
          </cell>
        </row>
        <row r="367">
          <cell r="A367">
            <v>1960</v>
          </cell>
          <cell r="B367" t="str">
            <v>Hommes</v>
          </cell>
          <cell r="C367" t="str">
            <v>5</v>
          </cell>
          <cell r="D367" t="str">
            <v>Polypensionné Lura/FP</v>
          </cell>
          <cell r="O367">
            <v>0</v>
          </cell>
          <cell r="P367">
            <v>6.6666666666666696</v>
          </cell>
          <cell r="Q367">
            <v>26.6666666666667</v>
          </cell>
          <cell r="R367">
            <v>60</v>
          </cell>
          <cell r="S367">
            <v>0</v>
          </cell>
          <cell r="T367">
            <v>6.6666666666666696</v>
          </cell>
        </row>
        <row r="368">
          <cell r="A368">
            <v>1966</v>
          </cell>
          <cell r="B368" t="str">
            <v>Femmes</v>
          </cell>
          <cell r="C368" t="str">
            <v>1</v>
          </cell>
          <cell r="D368" t="str">
            <v>Mono-pensionné FP</v>
          </cell>
          <cell r="O368">
            <v>0</v>
          </cell>
          <cell r="P368">
            <v>0</v>
          </cell>
          <cell r="Q368">
            <v>0</v>
          </cell>
          <cell r="R368">
            <v>100</v>
          </cell>
          <cell r="S368">
            <v>0</v>
          </cell>
          <cell r="T368">
            <v>0</v>
          </cell>
        </row>
        <row r="369">
          <cell r="A369">
            <v>1966</v>
          </cell>
          <cell r="B369" t="str">
            <v>Femmes</v>
          </cell>
          <cell r="C369" t="str">
            <v>1</v>
          </cell>
          <cell r="D369" t="str">
            <v>Mono-pensionné Lura</v>
          </cell>
          <cell r="O369">
            <v>0</v>
          </cell>
          <cell r="P369">
            <v>5.4054054054054097</v>
          </cell>
          <cell r="Q369">
            <v>14.8648648648649</v>
          </cell>
          <cell r="R369">
            <v>71.6216216216216</v>
          </cell>
          <cell r="S369">
            <v>6.7567567567567597</v>
          </cell>
          <cell r="T369">
            <v>1.35135135135135</v>
          </cell>
        </row>
        <row r="370">
          <cell r="A370">
            <v>1966</v>
          </cell>
          <cell r="B370" t="str">
            <v>Femmes</v>
          </cell>
          <cell r="C370" t="str">
            <v>1</v>
          </cell>
          <cell r="D370" t="str">
            <v>Polypensionné Lura/FP</v>
          </cell>
          <cell r="O370">
            <v>0</v>
          </cell>
          <cell r="P370">
            <v>10</v>
          </cell>
          <cell r="Q370">
            <v>30</v>
          </cell>
          <cell r="R370">
            <v>60</v>
          </cell>
          <cell r="S370">
            <v>0</v>
          </cell>
          <cell r="T370">
            <v>0</v>
          </cell>
        </row>
        <row r="371">
          <cell r="A371">
            <v>1966</v>
          </cell>
          <cell r="B371" t="str">
            <v>Femmes</v>
          </cell>
          <cell r="C371" t="str">
            <v>2</v>
          </cell>
          <cell r="D371" t="str">
            <v>Mono-pensionné FP</v>
          </cell>
          <cell r="O371">
            <v>0</v>
          </cell>
          <cell r="P371">
            <v>20</v>
          </cell>
          <cell r="Q371">
            <v>20</v>
          </cell>
          <cell r="R371">
            <v>60</v>
          </cell>
          <cell r="S371">
            <v>0</v>
          </cell>
          <cell r="T371">
            <v>0</v>
          </cell>
        </row>
        <row r="372">
          <cell r="A372">
            <v>1966</v>
          </cell>
          <cell r="B372" t="str">
            <v>Femmes</v>
          </cell>
          <cell r="C372" t="str">
            <v>2</v>
          </cell>
          <cell r="D372" t="str">
            <v>Mono-pensionné Lura</v>
          </cell>
          <cell r="O372">
            <v>0</v>
          </cell>
          <cell r="P372">
            <v>7.5187969924812004</v>
          </cell>
          <cell r="Q372">
            <v>9.0225563909774404</v>
          </cell>
          <cell r="R372">
            <v>78.195488721804495</v>
          </cell>
          <cell r="S372">
            <v>2.2556390977443601</v>
          </cell>
          <cell r="T372">
            <v>3.0075187969924801</v>
          </cell>
        </row>
        <row r="373">
          <cell r="A373">
            <v>1966</v>
          </cell>
          <cell r="B373" t="str">
            <v>Femmes</v>
          </cell>
          <cell r="C373" t="str">
            <v>2</v>
          </cell>
          <cell r="D373" t="str">
            <v>Polypensionné Lura/FP</v>
          </cell>
          <cell r="O373">
            <v>0</v>
          </cell>
          <cell r="P373">
            <v>20.689655172413801</v>
          </cell>
          <cell r="Q373">
            <v>13.7931034482759</v>
          </cell>
          <cell r="R373">
            <v>62.068965517241402</v>
          </cell>
          <cell r="S373">
            <v>0</v>
          </cell>
          <cell r="T373">
            <v>3.4482758620689702</v>
          </cell>
        </row>
        <row r="374">
          <cell r="A374">
            <v>1966</v>
          </cell>
          <cell r="B374" t="str">
            <v>Femmes</v>
          </cell>
          <cell r="C374" t="str">
            <v>3</v>
          </cell>
          <cell r="D374" t="str">
            <v>Mono-pensionné FP</v>
          </cell>
          <cell r="O374">
            <v>0</v>
          </cell>
          <cell r="P374">
            <v>0</v>
          </cell>
          <cell r="Q374">
            <v>22.2222222222222</v>
          </cell>
          <cell r="R374">
            <v>77.7777777777778</v>
          </cell>
          <cell r="S374">
            <v>0</v>
          </cell>
          <cell r="T374">
            <v>0</v>
          </cell>
        </row>
        <row r="375">
          <cell r="A375">
            <v>1966</v>
          </cell>
          <cell r="B375" t="str">
            <v>Femmes</v>
          </cell>
          <cell r="C375" t="str">
            <v>3</v>
          </cell>
          <cell r="D375" t="str">
            <v>Mono-pensionné Lura</v>
          </cell>
          <cell r="O375">
            <v>0</v>
          </cell>
          <cell r="P375">
            <v>5.7553956834532398</v>
          </cell>
          <cell r="Q375">
            <v>20.863309352518002</v>
          </cell>
          <cell r="R375">
            <v>69.7841726618705</v>
          </cell>
          <cell r="S375">
            <v>0.71942446043165498</v>
          </cell>
          <cell r="T375">
            <v>2.8776978417266199</v>
          </cell>
        </row>
        <row r="376">
          <cell r="A376">
            <v>1966</v>
          </cell>
          <cell r="B376" t="str">
            <v>Femmes</v>
          </cell>
          <cell r="C376" t="str">
            <v>3</v>
          </cell>
          <cell r="D376" t="str">
            <v>Polypensionné Lura/FP</v>
          </cell>
          <cell r="O376">
            <v>0</v>
          </cell>
          <cell r="P376">
            <v>10</v>
          </cell>
          <cell r="Q376">
            <v>22.5</v>
          </cell>
          <cell r="R376">
            <v>67.5</v>
          </cell>
          <cell r="S376">
            <v>0</v>
          </cell>
          <cell r="T376">
            <v>0</v>
          </cell>
        </row>
        <row r="377">
          <cell r="A377">
            <v>1966</v>
          </cell>
          <cell r="B377" t="str">
            <v>Femmes</v>
          </cell>
          <cell r="C377" t="str">
            <v>4</v>
          </cell>
          <cell r="D377" t="str">
            <v>Mono-pensionné FP</v>
          </cell>
          <cell r="O377">
            <v>0</v>
          </cell>
          <cell r="P377">
            <v>11.1111111111111</v>
          </cell>
          <cell r="Q377">
            <v>16.6666666666667</v>
          </cell>
          <cell r="R377">
            <v>72.2222222222222</v>
          </cell>
          <cell r="S377">
            <v>0</v>
          </cell>
          <cell r="T377">
            <v>0</v>
          </cell>
        </row>
        <row r="378">
          <cell r="A378">
            <v>1966</v>
          </cell>
          <cell r="B378" t="str">
            <v>Femmes</v>
          </cell>
          <cell r="C378" t="str">
            <v>4</v>
          </cell>
          <cell r="D378" t="str">
            <v>Mono-pensionné Lura</v>
          </cell>
          <cell r="O378">
            <v>0</v>
          </cell>
          <cell r="P378">
            <v>19.337016574585601</v>
          </cell>
          <cell r="Q378">
            <v>17.6795580110497</v>
          </cell>
          <cell r="R378">
            <v>58.563535911602202</v>
          </cell>
          <cell r="S378">
            <v>3.8674033149171301</v>
          </cell>
          <cell r="T378">
            <v>0.55248618784530401</v>
          </cell>
        </row>
        <row r="379">
          <cell r="A379">
            <v>1966</v>
          </cell>
          <cell r="B379" t="str">
            <v>Femmes</v>
          </cell>
          <cell r="C379" t="str">
            <v>4</v>
          </cell>
          <cell r="D379" t="str">
            <v>Polypensionné Lura/FP</v>
          </cell>
          <cell r="O379">
            <v>0</v>
          </cell>
          <cell r="P379">
            <v>26.829268292682901</v>
          </cell>
          <cell r="Q379">
            <v>14.634146341463399</v>
          </cell>
          <cell r="R379">
            <v>56.097560975609802</v>
          </cell>
          <cell r="S379">
            <v>0</v>
          </cell>
          <cell r="T379">
            <v>2.4390243902439002</v>
          </cell>
        </row>
        <row r="380">
          <cell r="A380">
            <v>1966</v>
          </cell>
          <cell r="B380" t="str">
            <v>Femmes</v>
          </cell>
          <cell r="C380" t="str">
            <v>5</v>
          </cell>
          <cell r="D380" t="str">
            <v>Mono-pensionné FP</v>
          </cell>
          <cell r="O380">
            <v>0</v>
          </cell>
          <cell r="P380">
            <v>2.7777777777777799</v>
          </cell>
          <cell r="Q380">
            <v>13.8888888888889</v>
          </cell>
          <cell r="R380">
            <v>83.3333333333333</v>
          </cell>
          <cell r="S380">
            <v>0</v>
          </cell>
          <cell r="T380">
            <v>0</v>
          </cell>
        </row>
        <row r="381">
          <cell r="A381">
            <v>1966</v>
          </cell>
          <cell r="B381" t="str">
            <v>Femmes</v>
          </cell>
          <cell r="C381" t="str">
            <v>5</v>
          </cell>
          <cell r="D381" t="str">
            <v>Mono-pensionné Lura</v>
          </cell>
          <cell r="O381">
            <v>0</v>
          </cell>
          <cell r="P381">
            <v>22.147651006711399</v>
          </cell>
          <cell r="Q381">
            <v>20.134228187919501</v>
          </cell>
          <cell r="R381">
            <v>49.664429530201303</v>
          </cell>
          <cell r="S381">
            <v>2.0134228187919501</v>
          </cell>
          <cell r="T381">
            <v>6.0402684563758404</v>
          </cell>
        </row>
        <row r="382">
          <cell r="A382">
            <v>1966</v>
          </cell>
          <cell r="B382" t="str">
            <v>Femmes</v>
          </cell>
          <cell r="C382" t="str">
            <v>5</v>
          </cell>
          <cell r="D382" t="str">
            <v>Polypensionné Lura/FP</v>
          </cell>
          <cell r="O382">
            <v>0</v>
          </cell>
          <cell r="P382">
            <v>24.2424242424242</v>
          </cell>
          <cell r="Q382">
            <v>18.181818181818201</v>
          </cell>
          <cell r="R382">
            <v>54.545454545454497</v>
          </cell>
          <cell r="S382">
            <v>0</v>
          </cell>
          <cell r="T382">
            <v>3.0303030303030298</v>
          </cell>
        </row>
        <row r="383">
          <cell r="A383">
            <v>1966</v>
          </cell>
          <cell r="B383" t="str">
            <v>Hommes</v>
          </cell>
          <cell r="C383" t="str">
            <v>1</v>
          </cell>
          <cell r="D383" t="str">
            <v>Mono-pensionné FP</v>
          </cell>
          <cell r="O383">
            <v>0</v>
          </cell>
          <cell r="P383">
            <v>0</v>
          </cell>
          <cell r="Q383">
            <v>0</v>
          </cell>
          <cell r="R383">
            <v>100</v>
          </cell>
          <cell r="S383">
            <v>0</v>
          </cell>
          <cell r="T383">
            <v>0</v>
          </cell>
        </row>
        <row r="384">
          <cell r="A384">
            <v>1966</v>
          </cell>
          <cell r="B384" t="str">
            <v>Hommes</v>
          </cell>
          <cell r="C384" t="str">
            <v>1</v>
          </cell>
          <cell r="D384" t="str">
            <v>Mono-pensionné Lura</v>
          </cell>
          <cell r="O384">
            <v>0</v>
          </cell>
          <cell r="P384">
            <v>7.3170731707317103</v>
          </cell>
          <cell r="Q384">
            <v>12.1951219512195</v>
          </cell>
          <cell r="R384">
            <v>78.048780487804905</v>
          </cell>
          <cell r="S384">
            <v>2.4390243902439002</v>
          </cell>
          <cell r="T384">
            <v>0</v>
          </cell>
        </row>
        <row r="385">
          <cell r="A385">
            <v>1966</v>
          </cell>
          <cell r="B385" t="str">
            <v>Hommes</v>
          </cell>
          <cell r="C385" t="str">
            <v>1</v>
          </cell>
          <cell r="D385" t="str">
            <v>Polypensionné Lura/FP</v>
          </cell>
          <cell r="O385">
            <v>0</v>
          </cell>
          <cell r="P385">
            <v>4.3478260869565197</v>
          </cell>
          <cell r="Q385">
            <v>4.3478260869565197</v>
          </cell>
          <cell r="R385">
            <v>86.956521739130395</v>
          </cell>
          <cell r="S385">
            <v>4.3478260869565197</v>
          </cell>
          <cell r="T385">
            <v>0</v>
          </cell>
        </row>
        <row r="386">
          <cell r="A386">
            <v>1966</v>
          </cell>
          <cell r="B386" t="str">
            <v>Hommes</v>
          </cell>
          <cell r="C386" t="str">
            <v>2</v>
          </cell>
          <cell r="D386" t="str">
            <v>Mono-pensionné FP</v>
          </cell>
          <cell r="O386">
            <v>0</v>
          </cell>
          <cell r="P386">
            <v>28.571428571428601</v>
          </cell>
          <cell r="Q386">
            <v>28.571428571428601</v>
          </cell>
          <cell r="R386">
            <v>42.857142857142897</v>
          </cell>
          <cell r="S386">
            <v>0</v>
          </cell>
          <cell r="T386">
            <v>0</v>
          </cell>
        </row>
        <row r="387">
          <cell r="A387">
            <v>1966</v>
          </cell>
          <cell r="B387" t="str">
            <v>Hommes</v>
          </cell>
          <cell r="C387" t="str">
            <v>2</v>
          </cell>
          <cell r="D387" t="str">
            <v>Mono-pensionné Lura</v>
          </cell>
          <cell r="O387">
            <v>0</v>
          </cell>
          <cell r="P387">
            <v>14.5833333333333</v>
          </cell>
          <cell r="Q387">
            <v>10.4166666666667</v>
          </cell>
          <cell r="R387">
            <v>64.5833333333333</v>
          </cell>
          <cell r="S387">
            <v>10.4166666666667</v>
          </cell>
          <cell r="T387">
            <v>0</v>
          </cell>
        </row>
        <row r="388">
          <cell r="A388">
            <v>1966</v>
          </cell>
          <cell r="B388" t="str">
            <v>Hommes</v>
          </cell>
          <cell r="C388" t="str">
            <v>2</v>
          </cell>
          <cell r="D388" t="str">
            <v>Polypensionné Lura/FP</v>
          </cell>
          <cell r="O388">
            <v>0</v>
          </cell>
          <cell r="P388">
            <v>9.375</v>
          </cell>
          <cell r="Q388">
            <v>18.75</v>
          </cell>
          <cell r="R388">
            <v>65.625</v>
          </cell>
          <cell r="S388">
            <v>0</v>
          </cell>
          <cell r="T388">
            <v>6.25</v>
          </cell>
        </row>
        <row r="389">
          <cell r="A389">
            <v>1966</v>
          </cell>
          <cell r="B389" t="str">
            <v>Hommes</v>
          </cell>
          <cell r="C389" t="str">
            <v>3</v>
          </cell>
          <cell r="D389" t="str">
            <v>Mono-pensionné FP</v>
          </cell>
          <cell r="O389">
            <v>0</v>
          </cell>
          <cell r="P389">
            <v>0</v>
          </cell>
          <cell r="Q389">
            <v>33.3333333333333</v>
          </cell>
          <cell r="R389">
            <v>66.6666666666667</v>
          </cell>
          <cell r="S389">
            <v>0</v>
          </cell>
          <cell r="T389">
            <v>0</v>
          </cell>
        </row>
        <row r="390">
          <cell r="A390">
            <v>1966</v>
          </cell>
          <cell r="B390" t="str">
            <v>Hommes</v>
          </cell>
          <cell r="C390" t="str">
            <v>3</v>
          </cell>
          <cell r="D390" t="str">
            <v>Mono-pensionné Lura</v>
          </cell>
          <cell r="O390">
            <v>0</v>
          </cell>
          <cell r="P390">
            <v>9.7222222222222197</v>
          </cell>
          <cell r="Q390">
            <v>22.2222222222222</v>
          </cell>
          <cell r="R390">
            <v>63.8888888888889</v>
          </cell>
          <cell r="S390">
            <v>4.1666666666666696</v>
          </cell>
          <cell r="T390">
            <v>0</v>
          </cell>
        </row>
        <row r="391">
          <cell r="A391">
            <v>1966</v>
          </cell>
          <cell r="B391" t="str">
            <v>Hommes</v>
          </cell>
          <cell r="C391" t="str">
            <v>3</v>
          </cell>
          <cell r="D391" t="str">
            <v>Polypensionné Lura/FP</v>
          </cell>
          <cell r="O391">
            <v>0</v>
          </cell>
          <cell r="P391">
            <v>19.230769230769202</v>
          </cell>
          <cell r="Q391">
            <v>11.538461538461499</v>
          </cell>
          <cell r="R391">
            <v>61.538461538461497</v>
          </cell>
          <cell r="S391">
            <v>3.8461538461538498</v>
          </cell>
          <cell r="T391">
            <v>3.8461538461538498</v>
          </cell>
        </row>
        <row r="392">
          <cell r="A392">
            <v>1966</v>
          </cell>
          <cell r="B392" t="str">
            <v>Hommes</v>
          </cell>
          <cell r="C392" t="str">
            <v>4</v>
          </cell>
          <cell r="D392" t="str">
            <v>Mono-pensionné FP</v>
          </cell>
          <cell r="O392">
            <v>0</v>
          </cell>
          <cell r="P392">
            <v>16.6666666666667</v>
          </cell>
          <cell r="Q392">
            <v>16.6666666666667</v>
          </cell>
          <cell r="R392">
            <v>66.6666666666667</v>
          </cell>
          <cell r="S392">
            <v>0</v>
          </cell>
          <cell r="T392">
            <v>0</v>
          </cell>
        </row>
        <row r="393">
          <cell r="A393">
            <v>1966</v>
          </cell>
          <cell r="B393" t="str">
            <v>Hommes</v>
          </cell>
          <cell r="C393" t="str">
            <v>4</v>
          </cell>
          <cell r="D393" t="str">
            <v>Mono-pensionné Lura</v>
          </cell>
          <cell r="O393">
            <v>0</v>
          </cell>
          <cell r="P393">
            <v>20.481927710843401</v>
          </cell>
          <cell r="Q393">
            <v>15.662650602409601</v>
          </cell>
          <cell r="R393">
            <v>56.6265060240964</v>
          </cell>
          <cell r="S393">
            <v>6.0240963855421699</v>
          </cell>
          <cell r="T393">
            <v>1.2048192771084301</v>
          </cell>
        </row>
        <row r="394">
          <cell r="A394">
            <v>1966</v>
          </cell>
          <cell r="B394" t="str">
            <v>Hommes</v>
          </cell>
          <cell r="C394" t="str">
            <v>4</v>
          </cell>
          <cell r="D394" t="str">
            <v>Polypensionné Lura/FP</v>
          </cell>
          <cell r="O394">
            <v>0</v>
          </cell>
          <cell r="P394">
            <v>10.3448275862069</v>
          </cell>
          <cell r="Q394">
            <v>20.689655172413801</v>
          </cell>
          <cell r="R394">
            <v>55.172413793103402</v>
          </cell>
          <cell r="S394">
            <v>6.8965517241379297</v>
          </cell>
          <cell r="T394">
            <v>6.8965517241379297</v>
          </cell>
        </row>
        <row r="395">
          <cell r="A395">
            <v>1966</v>
          </cell>
          <cell r="B395" t="str">
            <v>Hommes</v>
          </cell>
          <cell r="C395" t="str">
            <v>5</v>
          </cell>
          <cell r="D395" t="str">
            <v>Mono-pensionné FP</v>
          </cell>
          <cell r="O395">
            <v>0</v>
          </cell>
          <cell r="P395">
            <v>11.1111111111111</v>
          </cell>
          <cell r="Q395">
            <v>13.8888888888889</v>
          </cell>
          <cell r="R395">
            <v>61.1111111111111</v>
          </cell>
          <cell r="S395">
            <v>2.7777777777777799</v>
          </cell>
          <cell r="T395">
            <v>11.1111111111111</v>
          </cell>
        </row>
        <row r="396">
          <cell r="A396">
            <v>1966</v>
          </cell>
          <cell r="B396" t="str">
            <v>Hommes</v>
          </cell>
          <cell r="C396" t="str">
            <v>5</v>
          </cell>
          <cell r="D396" t="str">
            <v>Mono-pensionné Lura</v>
          </cell>
          <cell r="O396">
            <v>0</v>
          </cell>
          <cell r="P396">
            <v>20.689655172413801</v>
          </cell>
          <cell r="Q396">
            <v>10.3448275862069</v>
          </cell>
          <cell r="R396">
            <v>56.8965517241379</v>
          </cell>
          <cell r="S396">
            <v>0</v>
          </cell>
          <cell r="T396">
            <v>12.0689655172414</v>
          </cell>
        </row>
        <row r="397">
          <cell r="A397">
            <v>1966</v>
          </cell>
          <cell r="B397" t="str">
            <v>Hommes</v>
          </cell>
          <cell r="C397" t="str">
            <v>5</v>
          </cell>
          <cell r="D397" t="str">
            <v>Polypensionné Lura/FP</v>
          </cell>
          <cell r="O397">
            <v>0</v>
          </cell>
          <cell r="P397">
            <v>3.7037037037037002</v>
          </cell>
          <cell r="Q397">
            <v>3.7037037037037002</v>
          </cell>
          <cell r="R397">
            <v>81.481481481481495</v>
          </cell>
          <cell r="S397">
            <v>3.7037037037037002</v>
          </cell>
          <cell r="T397">
            <v>7.4074074074074101</v>
          </cell>
        </row>
        <row r="398">
          <cell r="A398">
            <v>1972</v>
          </cell>
          <cell r="B398" t="str">
            <v>Femmes</v>
          </cell>
          <cell r="C398" t="str">
            <v>1</v>
          </cell>
          <cell r="D398" t="str">
            <v>Mono-pensionné FP</v>
          </cell>
          <cell r="O398">
            <v>0</v>
          </cell>
          <cell r="P398">
            <v>0</v>
          </cell>
          <cell r="Q398">
            <v>0</v>
          </cell>
          <cell r="R398">
            <v>100</v>
          </cell>
          <cell r="S398">
            <v>0</v>
          </cell>
          <cell r="T398">
            <v>0</v>
          </cell>
        </row>
        <row r="399">
          <cell r="A399">
            <v>1972</v>
          </cell>
          <cell r="B399" t="str">
            <v>Femmes</v>
          </cell>
          <cell r="C399" t="str">
            <v>1</v>
          </cell>
          <cell r="D399" t="str">
            <v>Mono-pensionné Lura</v>
          </cell>
          <cell r="O399">
            <v>0</v>
          </cell>
          <cell r="P399">
            <v>11.864406779661</v>
          </cell>
          <cell r="Q399">
            <v>11.864406779661</v>
          </cell>
          <cell r="R399">
            <v>72.033898305084705</v>
          </cell>
          <cell r="S399">
            <v>3.3898305084745801</v>
          </cell>
          <cell r="T399">
            <v>0.84745762711864403</v>
          </cell>
        </row>
        <row r="400">
          <cell r="A400">
            <v>1972</v>
          </cell>
          <cell r="B400" t="str">
            <v>Femmes</v>
          </cell>
          <cell r="C400" t="str">
            <v>1</v>
          </cell>
          <cell r="D400" t="str">
            <v>Polypensionné Lura/FP</v>
          </cell>
          <cell r="O400">
            <v>0</v>
          </cell>
          <cell r="P400">
            <v>0</v>
          </cell>
          <cell r="Q400">
            <v>4.5454545454545503</v>
          </cell>
          <cell r="R400">
            <v>90.909090909090907</v>
          </cell>
          <cell r="S400">
            <v>4.5454545454545503</v>
          </cell>
          <cell r="T400">
            <v>0</v>
          </cell>
        </row>
        <row r="401">
          <cell r="A401">
            <v>1972</v>
          </cell>
          <cell r="B401" t="str">
            <v>Femmes</v>
          </cell>
          <cell r="C401" t="str">
            <v>2</v>
          </cell>
          <cell r="D401" t="str">
            <v>Mono-pensionné FP</v>
          </cell>
          <cell r="O401">
            <v>0</v>
          </cell>
          <cell r="P401">
            <v>0</v>
          </cell>
          <cell r="Q401">
            <v>0</v>
          </cell>
          <cell r="R401">
            <v>100</v>
          </cell>
          <cell r="S401">
            <v>0</v>
          </cell>
          <cell r="T401">
            <v>0</v>
          </cell>
        </row>
        <row r="402">
          <cell r="A402">
            <v>1972</v>
          </cell>
          <cell r="B402" t="str">
            <v>Femmes</v>
          </cell>
          <cell r="C402" t="str">
            <v>2</v>
          </cell>
          <cell r="D402" t="str">
            <v>Mono-pensionné Lura</v>
          </cell>
          <cell r="O402">
            <v>0</v>
          </cell>
          <cell r="P402">
            <v>13.1868131868132</v>
          </cell>
          <cell r="Q402">
            <v>23.076923076923102</v>
          </cell>
          <cell r="R402">
            <v>58.241758241758198</v>
          </cell>
          <cell r="S402">
            <v>3.2967032967033001</v>
          </cell>
          <cell r="T402">
            <v>2.1978021978022002</v>
          </cell>
        </row>
        <row r="403">
          <cell r="A403">
            <v>1972</v>
          </cell>
          <cell r="B403" t="str">
            <v>Femmes</v>
          </cell>
          <cell r="C403" t="str">
            <v>2</v>
          </cell>
          <cell r="D403" t="str">
            <v>Polypensionné Lura/FP</v>
          </cell>
          <cell r="O403">
            <v>0</v>
          </cell>
          <cell r="P403">
            <v>7.4074074074074101</v>
          </cell>
          <cell r="Q403">
            <v>11.1111111111111</v>
          </cell>
          <cell r="R403">
            <v>70.370370370370395</v>
          </cell>
          <cell r="S403">
            <v>3.7037037037037002</v>
          </cell>
          <cell r="T403">
            <v>7.4074074074074101</v>
          </cell>
        </row>
        <row r="404">
          <cell r="A404">
            <v>1972</v>
          </cell>
          <cell r="B404" t="str">
            <v>Femmes</v>
          </cell>
          <cell r="C404" t="str">
            <v>3</v>
          </cell>
          <cell r="D404" t="str">
            <v>Mono-pensionné FP</v>
          </cell>
          <cell r="O404">
            <v>0</v>
          </cell>
          <cell r="P404">
            <v>7.6923076923076898</v>
          </cell>
          <cell r="Q404">
            <v>15.384615384615399</v>
          </cell>
          <cell r="R404">
            <v>76.923076923076906</v>
          </cell>
          <cell r="S404">
            <v>0</v>
          </cell>
          <cell r="T404">
            <v>0</v>
          </cell>
        </row>
        <row r="405">
          <cell r="A405">
            <v>1972</v>
          </cell>
          <cell r="B405" t="str">
            <v>Femmes</v>
          </cell>
          <cell r="C405" t="str">
            <v>3</v>
          </cell>
          <cell r="D405" t="str">
            <v>Mono-pensionné Lura</v>
          </cell>
          <cell r="O405">
            <v>0</v>
          </cell>
          <cell r="P405">
            <v>17.543859649122801</v>
          </cell>
          <cell r="Q405">
            <v>15.789473684210501</v>
          </cell>
          <cell r="R405">
            <v>63.157894736842103</v>
          </cell>
          <cell r="S405">
            <v>1.7543859649122799</v>
          </cell>
          <cell r="T405">
            <v>1.7543859649122799</v>
          </cell>
        </row>
        <row r="406">
          <cell r="A406">
            <v>1972</v>
          </cell>
          <cell r="B406" t="str">
            <v>Femmes</v>
          </cell>
          <cell r="C406" t="str">
            <v>3</v>
          </cell>
          <cell r="D406" t="str">
            <v>Polypensionné Lura/FP</v>
          </cell>
          <cell r="O406">
            <v>0</v>
          </cell>
          <cell r="P406">
            <v>8</v>
          </cell>
          <cell r="Q406">
            <v>12</v>
          </cell>
          <cell r="R406">
            <v>76</v>
          </cell>
          <cell r="S406">
            <v>4</v>
          </cell>
          <cell r="T406">
            <v>0</v>
          </cell>
        </row>
        <row r="407">
          <cell r="A407">
            <v>1972</v>
          </cell>
          <cell r="B407" t="str">
            <v>Femmes</v>
          </cell>
          <cell r="C407" t="str">
            <v>4</v>
          </cell>
          <cell r="D407" t="str">
            <v>Mono-pensionné FP</v>
          </cell>
          <cell r="O407">
            <v>0</v>
          </cell>
          <cell r="P407">
            <v>21.739130434782599</v>
          </cell>
          <cell r="Q407">
            <v>21.739130434782599</v>
          </cell>
          <cell r="R407">
            <v>56.521739130434803</v>
          </cell>
          <cell r="S407">
            <v>0</v>
          </cell>
          <cell r="T407">
            <v>0</v>
          </cell>
        </row>
        <row r="408">
          <cell r="A408">
            <v>1972</v>
          </cell>
          <cell r="B408" t="str">
            <v>Femmes</v>
          </cell>
          <cell r="C408" t="str">
            <v>4</v>
          </cell>
          <cell r="D408" t="str">
            <v>Mono-pensionné Lura</v>
          </cell>
          <cell r="O408">
            <v>0</v>
          </cell>
          <cell r="P408">
            <v>17.834394904458598</v>
          </cell>
          <cell r="Q408">
            <v>19.1082802547771</v>
          </cell>
          <cell r="R408">
            <v>57.324840764331199</v>
          </cell>
          <cell r="S408">
            <v>3.1847133757961799</v>
          </cell>
          <cell r="T408">
            <v>2.5477707006369399</v>
          </cell>
        </row>
        <row r="409">
          <cell r="A409">
            <v>1972</v>
          </cell>
          <cell r="B409" t="str">
            <v>Femmes</v>
          </cell>
          <cell r="C409" t="str">
            <v>4</v>
          </cell>
          <cell r="D409" t="str">
            <v>Polypensionné Lura/FP</v>
          </cell>
          <cell r="O409">
            <v>0</v>
          </cell>
          <cell r="P409">
            <v>13.3333333333333</v>
          </cell>
          <cell r="Q409">
            <v>13.3333333333333</v>
          </cell>
          <cell r="R409">
            <v>66.6666666666667</v>
          </cell>
          <cell r="S409">
            <v>3.3333333333333299</v>
          </cell>
          <cell r="T409">
            <v>3.3333333333333299</v>
          </cell>
        </row>
        <row r="410">
          <cell r="A410">
            <v>1972</v>
          </cell>
          <cell r="B410" t="str">
            <v>Femmes</v>
          </cell>
          <cell r="C410" t="str">
            <v>5</v>
          </cell>
          <cell r="D410" t="str">
            <v>Mono-pensionné FP</v>
          </cell>
          <cell r="O410">
            <v>0</v>
          </cell>
          <cell r="P410">
            <v>14.285714285714301</v>
          </cell>
          <cell r="Q410">
            <v>14.285714285714301</v>
          </cell>
          <cell r="R410">
            <v>71.428571428571402</v>
          </cell>
          <cell r="S410">
            <v>0</v>
          </cell>
          <cell r="T410">
            <v>0</v>
          </cell>
        </row>
        <row r="411">
          <cell r="A411">
            <v>1972</v>
          </cell>
          <cell r="B411" t="str">
            <v>Femmes</v>
          </cell>
          <cell r="C411" t="str">
            <v>5</v>
          </cell>
          <cell r="D411" t="str">
            <v>Mono-pensionné Lura</v>
          </cell>
          <cell r="O411">
            <v>0</v>
          </cell>
          <cell r="P411">
            <v>14.093959731543601</v>
          </cell>
          <cell r="Q411">
            <v>17.449664429530198</v>
          </cell>
          <cell r="R411">
            <v>59.731543624161098</v>
          </cell>
          <cell r="S411">
            <v>0.67114093959731502</v>
          </cell>
          <cell r="T411">
            <v>8.0536912751677896</v>
          </cell>
        </row>
        <row r="412">
          <cell r="A412">
            <v>1972</v>
          </cell>
          <cell r="B412" t="str">
            <v>Femmes</v>
          </cell>
          <cell r="C412" t="str">
            <v>5</v>
          </cell>
          <cell r="D412" t="str">
            <v>Polypensionné Lura/FP</v>
          </cell>
          <cell r="O412">
            <v>0</v>
          </cell>
          <cell r="P412">
            <v>16</v>
          </cell>
          <cell r="Q412">
            <v>12</v>
          </cell>
          <cell r="R412">
            <v>56</v>
          </cell>
          <cell r="S412">
            <v>4</v>
          </cell>
          <cell r="T412">
            <v>12</v>
          </cell>
        </row>
        <row r="413">
          <cell r="A413">
            <v>1972</v>
          </cell>
          <cell r="B413" t="str">
            <v>Hommes</v>
          </cell>
          <cell r="C413" t="str">
            <v>1</v>
          </cell>
          <cell r="D413" t="str">
            <v>Mono-pensionné FP</v>
          </cell>
          <cell r="O413">
            <v>0</v>
          </cell>
          <cell r="P413">
            <v>11.1111111111111</v>
          </cell>
          <cell r="Q413">
            <v>7.4074074074074101</v>
          </cell>
          <cell r="R413">
            <v>81.481481481481495</v>
          </cell>
          <cell r="S413">
            <v>0</v>
          </cell>
          <cell r="T413">
            <v>0</v>
          </cell>
        </row>
        <row r="414">
          <cell r="A414">
            <v>1972</v>
          </cell>
          <cell r="B414" t="str">
            <v>Hommes</v>
          </cell>
          <cell r="C414" t="str">
            <v>1</v>
          </cell>
          <cell r="D414" t="str">
            <v>Mono-pensionné Lura</v>
          </cell>
          <cell r="O414">
            <v>0</v>
          </cell>
          <cell r="P414">
            <v>8.6956521739130395</v>
          </cell>
          <cell r="Q414">
            <v>17.3913043478261</v>
          </cell>
          <cell r="R414">
            <v>72.463768115942003</v>
          </cell>
          <cell r="S414">
            <v>0</v>
          </cell>
          <cell r="T414">
            <v>1.4492753623188399</v>
          </cell>
        </row>
        <row r="415">
          <cell r="A415">
            <v>1972</v>
          </cell>
          <cell r="B415" t="str">
            <v>Hommes</v>
          </cell>
          <cell r="C415" t="str">
            <v>1</v>
          </cell>
          <cell r="D415" t="str">
            <v>Polypensionné Lura/FP</v>
          </cell>
          <cell r="O415">
            <v>0</v>
          </cell>
          <cell r="P415">
            <v>25</v>
          </cell>
          <cell r="Q415">
            <v>8.3333333333333304</v>
          </cell>
          <cell r="R415">
            <v>50</v>
          </cell>
          <cell r="S415">
            <v>8.3333333333333304</v>
          </cell>
          <cell r="T415">
            <v>8.3333333333333304</v>
          </cell>
        </row>
        <row r="416">
          <cell r="A416">
            <v>1972</v>
          </cell>
          <cell r="B416" t="str">
            <v>Hommes</v>
          </cell>
          <cell r="C416" t="str">
            <v>2</v>
          </cell>
          <cell r="D416" t="str">
            <v>Mono-pensionné FP</v>
          </cell>
          <cell r="O416">
            <v>0</v>
          </cell>
          <cell r="P416">
            <v>27.272727272727298</v>
          </cell>
          <cell r="Q416">
            <v>9.0909090909090899</v>
          </cell>
          <cell r="R416">
            <v>50</v>
          </cell>
          <cell r="S416">
            <v>0</v>
          </cell>
          <cell r="T416">
            <v>13.636363636363599</v>
          </cell>
        </row>
        <row r="417">
          <cell r="A417">
            <v>1972</v>
          </cell>
          <cell r="B417" t="str">
            <v>Hommes</v>
          </cell>
          <cell r="C417" t="str">
            <v>2</v>
          </cell>
          <cell r="D417" t="str">
            <v>Mono-pensionné Lura</v>
          </cell>
          <cell r="O417">
            <v>0</v>
          </cell>
          <cell r="P417">
            <v>7.0588235294117601</v>
          </cell>
          <cell r="Q417">
            <v>12.9411764705882</v>
          </cell>
          <cell r="R417">
            <v>76.470588235294102</v>
          </cell>
          <cell r="S417">
            <v>3.52941176470588</v>
          </cell>
          <cell r="T417">
            <v>0</v>
          </cell>
        </row>
        <row r="418">
          <cell r="A418">
            <v>1972</v>
          </cell>
          <cell r="B418" t="str">
            <v>Hommes</v>
          </cell>
          <cell r="C418" t="str">
            <v>2</v>
          </cell>
          <cell r="D418" t="str">
            <v>Polypensionné Lura/FP</v>
          </cell>
          <cell r="O418">
            <v>0</v>
          </cell>
          <cell r="P418">
            <v>13.3333333333333</v>
          </cell>
          <cell r="Q418">
            <v>0</v>
          </cell>
          <cell r="R418">
            <v>86.6666666666667</v>
          </cell>
          <cell r="S418">
            <v>0</v>
          </cell>
          <cell r="T418">
            <v>0</v>
          </cell>
        </row>
        <row r="419">
          <cell r="A419">
            <v>1972</v>
          </cell>
          <cell r="B419" t="str">
            <v>Hommes</v>
          </cell>
          <cell r="C419" t="str">
            <v>3</v>
          </cell>
          <cell r="D419" t="str">
            <v>Mono-pensionné FP</v>
          </cell>
          <cell r="O419">
            <v>0</v>
          </cell>
          <cell r="P419">
            <v>14.285714285714301</v>
          </cell>
          <cell r="Q419">
            <v>14.285714285714301</v>
          </cell>
          <cell r="R419">
            <v>71.428571428571402</v>
          </cell>
          <cell r="S419">
            <v>0</v>
          </cell>
          <cell r="T419">
            <v>0</v>
          </cell>
        </row>
        <row r="420">
          <cell r="A420">
            <v>1972</v>
          </cell>
          <cell r="B420" t="str">
            <v>Hommes</v>
          </cell>
          <cell r="C420" t="str">
            <v>3</v>
          </cell>
          <cell r="D420" t="str">
            <v>Mono-pensionné Lura</v>
          </cell>
          <cell r="O420">
            <v>0</v>
          </cell>
          <cell r="P420">
            <v>9.0909090909090899</v>
          </cell>
          <cell r="Q420">
            <v>12.987012987012999</v>
          </cell>
          <cell r="R420">
            <v>74.025974025973994</v>
          </cell>
          <cell r="S420">
            <v>1.2987012987013</v>
          </cell>
          <cell r="T420">
            <v>2.5974025974026</v>
          </cell>
        </row>
        <row r="421">
          <cell r="A421">
            <v>1972</v>
          </cell>
          <cell r="B421" t="str">
            <v>Hommes</v>
          </cell>
          <cell r="C421" t="str">
            <v>3</v>
          </cell>
          <cell r="D421" t="str">
            <v>Polypensionné Lura/FP</v>
          </cell>
          <cell r="O421">
            <v>0</v>
          </cell>
          <cell r="P421">
            <v>19.047619047619001</v>
          </cell>
          <cell r="Q421">
            <v>0</v>
          </cell>
          <cell r="R421">
            <v>61.904761904761898</v>
          </cell>
          <cell r="S421">
            <v>4.7619047619047601</v>
          </cell>
          <cell r="T421">
            <v>14.285714285714301</v>
          </cell>
        </row>
        <row r="422">
          <cell r="A422">
            <v>1972</v>
          </cell>
          <cell r="B422" t="str">
            <v>Hommes</v>
          </cell>
          <cell r="C422" t="str">
            <v>4</v>
          </cell>
          <cell r="D422" t="str">
            <v>Mono-pensionné FP</v>
          </cell>
          <cell r="O422">
            <v>0</v>
          </cell>
          <cell r="P422">
            <v>33.3333333333333</v>
          </cell>
          <cell r="Q422">
            <v>8.3333333333333304</v>
          </cell>
          <cell r="R422">
            <v>58.3333333333333</v>
          </cell>
          <cell r="S422">
            <v>0</v>
          </cell>
          <cell r="T422">
            <v>0</v>
          </cell>
        </row>
        <row r="423">
          <cell r="A423">
            <v>1972</v>
          </cell>
          <cell r="B423" t="str">
            <v>Hommes</v>
          </cell>
          <cell r="C423" t="str">
            <v>4</v>
          </cell>
          <cell r="D423" t="str">
            <v>Mono-pensionné Lura</v>
          </cell>
          <cell r="O423">
            <v>0</v>
          </cell>
          <cell r="P423">
            <v>20.408163265306101</v>
          </cell>
          <cell r="Q423">
            <v>25.5102040816327</v>
          </cell>
          <cell r="R423">
            <v>48.979591836734699</v>
          </cell>
          <cell r="S423">
            <v>2.0408163265306101</v>
          </cell>
          <cell r="T423">
            <v>3.06122448979592</v>
          </cell>
        </row>
        <row r="424">
          <cell r="A424">
            <v>1972</v>
          </cell>
          <cell r="B424" t="str">
            <v>Hommes</v>
          </cell>
          <cell r="C424" t="str">
            <v>4</v>
          </cell>
          <cell r="D424" t="str">
            <v>Polypensionné Lura/FP</v>
          </cell>
          <cell r="O424">
            <v>0</v>
          </cell>
          <cell r="P424">
            <v>13.0434782608696</v>
          </cell>
          <cell r="Q424">
            <v>8.6956521739130395</v>
          </cell>
          <cell r="R424">
            <v>69.565217391304301</v>
          </cell>
          <cell r="S424">
            <v>0</v>
          </cell>
          <cell r="T424">
            <v>8.6956521739130395</v>
          </cell>
        </row>
        <row r="425">
          <cell r="A425">
            <v>1972</v>
          </cell>
          <cell r="B425" t="str">
            <v>Hommes</v>
          </cell>
          <cell r="C425" t="str">
            <v>5</v>
          </cell>
          <cell r="D425" t="str">
            <v>Mono-pensionné FP</v>
          </cell>
          <cell r="O425">
            <v>0</v>
          </cell>
          <cell r="P425">
            <v>15</v>
          </cell>
          <cell r="Q425">
            <v>10</v>
          </cell>
          <cell r="R425">
            <v>75</v>
          </cell>
          <cell r="S425">
            <v>0</v>
          </cell>
          <cell r="T425">
            <v>0</v>
          </cell>
        </row>
        <row r="426">
          <cell r="A426">
            <v>1972</v>
          </cell>
          <cell r="B426" t="str">
            <v>Hommes</v>
          </cell>
          <cell r="C426" t="str">
            <v>5</v>
          </cell>
          <cell r="D426" t="str">
            <v>Mono-pensionné Lura</v>
          </cell>
          <cell r="O426">
            <v>0</v>
          </cell>
          <cell r="P426">
            <v>19.402985074626901</v>
          </cell>
          <cell r="Q426">
            <v>13.4328358208955</v>
          </cell>
          <cell r="R426">
            <v>59.701492537313399</v>
          </cell>
          <cell r="S426">
            <v>1.4925373134328399</v>
          </cell>
          <cell r="T426">
            <v>5.9701492537313401</v>
          </cell>
        </row>
        <row r="427">
          <cell r="A427">
            <v>1972</v>
          </cell>
          <cell r="B427" t="str">
            <v>Hommes</v>
          </cell>
          <cell r="C427" t="str">
            <v>5</v>
          </cell>
          <cell r="D427" t="str">
            <v>Polypensionné Lura/FP</v>
          </cell>
          <cell r="O427">
            <v>0</v>
          </cell>
          <cell r="P427">
            <v>24</v>
          </cell>
          <cell r="Q427">
            <v>24</v>
          </cell>
          <cell r="R427">
            <v>44</v>
          </cell>
          <cell r="S427">
            <v>0</v>
          </cell>
          <cell r="T427">
            <v>8</v>
          </cell>
        </row>
        <row r="428">
          <cell r="A428">
            <v>1978</v>
          </cell>
          <cell r="B428" t="str">
            <v>Femmes</v>
          </cell>
          <cell r="C428" t="str">
            <v>1</v>
          </cell>
          <cell r="D428" t="str">
            <v>Mono-pensionné FP</v>
          </cell>
          <cell r="O428">
            <v>0</v>
          </cell>
          <cell r="P428">
            <v>25</v>
          </cell>
          <cell r="Q428">
            <v>25</v>
          </cell>
          <cell r="R428">
            <v>50</v>
          </cell>
          <cell r="S428">
            <v>0</v>
          </cell>
          <cell r="T428">
            <v>0</v>
          </cell>
        </row>
        <row r="429">
          <cell r="A429">
            <v>1978</v>
          </cell>
          <cell r="B429" t="str">
            <v>Femmes</v>
          </cell>
          <cell r="C429" t="str">
            <v>1</v>
          </cell>
          <cell r="D429" t="str">
            <v>Mono-pensionné Lura</v>
          </cell>
          <cell r="O429">
            <v>0</v>
          </cell>
          <cell r="P429">
            <v>10.322580645161301</v>
          </cell>
          <cell r="Q429">
            <v>10.9677419354839</v>
          </cell>
          <cell r="R429">
            <v>74.193548387096797</v>
          </cell>
          <cell r="S429">
            <v>3.2258064516128999</v>
          </cell>
          <cell r="T429">
            <v>1.2903225806451599</v>
          </cell>
        </row>
        <row r="430">
          <cell r="A430">
            <v>1978</v>
          </cell>
          <cell r="B430" t="str">
            <v>Femmes</v>
          </cell>
          <cell r="C430" t="str">
            <v>1</v>
          </cell>
          <cell r="D430" t="str">
            <v>Polypensionné Lura/FP</v>
          </cell>
          <cell r="O430">
            <v>0</v>
          </cell>
          <cell r="P430">
            <v>21.428571428571399</v>
          </cell>
          <cell r="Q430">
            <v>10.714285714285699</v>
          </cell>
          <cell r="R430">
            <v>60.714285714285701</v>
          </cell>
          <cell r="S430">
            <v>0</v>
          </cell>
          <cell r="T430">
            <v>7.1428571428571397</v>
          </cell>
        </row>
        <row r="431">
          <cell r="A431">
            <v>1978</v>
          </cell>
          <cell r="B431" t="str">
            <v>Femmes</v>
          </cell>
          <cell r="C431" t="str">
            <v>2</v>
          </cell>
          <cell r="D431" t="str">
            <v>Mono-pensionné FP</v>
          </cell>
          <cell r="O431">
            <v>0</v>
          </cell>
          <cell r="P431">
            <v>18.181818181818201</v>
          </cell>
          <cell r="Q431">
            <v>9.0909090909090899</v>
          </cell>
          <cell r="R431">
            <v>72.727272727272705</v>
          </cell>
          <cell r="S431">
            <v>0</v>
          </cell>
          <cell r="T431">
            <v>0</v>
          </cell>
        </row>
        <row r="432">
          <cell r="A432">
            <v>1978</v>
          </cell>
          <cell r="B432" t="str">
            <v>Femmes</v>
          </cell>
          <cell r="C432" t="str">
            <v>2</v>
          </cell>
          <cell r="D432" t="str">
            <v>Mono-pensionné Lura</v>
          </cell>
          <cell r="O432">
            <v>0</v>
          </cell>
          <cell r="P432">
            <v>10.1351351351351</v>
          </cell>
          <cell r="Q432">
            <v>8.1081081081081106</v>
          </cell>
          <cell r="R432">
            <v>77.027027027027003</v>
          </cell>
          <cell r="S432">
            <v>2.7027027027027</v>
          </cell>
          <cell r="T432">
            <v>2.0270270270270299</v>
          </cell>
        </row>
        <row r="433">
          <cell r="A433">
            <v>1978</v>
          </cell>
          <cell r="B433" t="str">
            <v>Femmes</v>
          </cell>
          <cell r="C433" t="str">
            <v>2</v>
          </cell>
          <cell r="D433" t="str">
            <v>Polypensionné Lura/FP</v>
          </cell>
          <cell r="O433">
            <v>0</v>
          </cell>
          <cell r="P433">
            <v>21.428571428571399</v>
          </cell>
          <cell r="Q433">
            <v>17.8571428571429</v>
          </cell>
          <cell r="R433">
            <v>53.571428571428598</v>
          </cell>
          <cell r="S433">
            <v>0</v>
          </cell>
          <cell r="T433">
            <v>7.1428571428571397</v>
          </cell>
        </row>
        <row r="434">
          <cell r="A434">
            <v>1978</v>
          </cell>
          <cell r="B434" t="str">
            <v>Femmes</v>
          </cell>
          <cell r="C434" t="str">
            <v>3</v>
          </cell>
          <cell r="D434" t="str">
            <v>Mono-pensionné FP</v>
          </cell>
          <cell r="O434">
            <v>0</v>
          </cell>
          <cell r="P434">
            <v>0</v>
          </cell>
          <cell r="Q434">
            <v>0</v>
          </cell>
          <cell r="R434">
            <v>100</v>
          </cell>
          <cell r="S434">
            <v>0</v>
          </cell>
          <cell r="T434">
            <v>0</v>
          </cell>
        </row>
        <row r="435">
          <cell r="A435">
            <v>1978</v>
          </cell>
          <cell r="B435" t="str">
            <v>Femmes</v>
          </cell>
          <cell r="C435" t="str">
            <v>3</v>
          </cell>
          <cell r="D435" t="str">
            <v>Mono-pensionné Lura</v>
          </cell>
          <cell r="O435">
            <v>0</v>
          </cell>
          <cell r="P435">
            <v>14.1025641025641</v>
          </cell>
          <cell r="Q435">
            <v>14.7435897435897</v>
          </cell>
          <cell r="R435">
            <v>66.025641025640994</v>
          </cell>
          <cell r="S435">
            <v>1.92307692307692</v>
          </cell>
          <cell r="T435">
            <v>3.2051282051282102</v>
          </cell>
        </row>
        <row r="436">
          <cell r="A436">
            <v>1978</v>
          </cell>
          <cell r="B436" t="str">
            <v>Femmes</v>
          </cell>
          <cell r="C436" t="str">
            <v>3</v>
          </cell>
          <cell r="D436" t="str">
            <v>Polypensionné Lura/FP</v>
          </cell>
          <cell r="O436">
            <v>0</v>
          </cell>
          <cell r="P436">
            <v>21.2121212121212</v>
          </cell>
          <cell r="Q436">
            <v>15.1515151515152</v>
          </cell>
          <cell r="R436">
            <v>60.606060606060602</v>
          </cell>
          <cell r="S436">
            <v>3.0303030303030298</v>
          </cell>
          <cell r="T436">
            <v>0</v>
          </cell>
        </row>
        <row r="437">
          <cell r="A437">
            <v>1978</v>
          </cell>
          <cell r="B437" t="str">
            <v>Femmes</v>
          </cell>
          <cell r="C437" t="str">
            <v>4</v>
          </cell>
          <cell r="D437" t="str">
            <v>Mono-pensionné FP</v>
          </cell>
          <cell r="O437">
            <v>0</v>
          </cell>
          <cell r="P437">
            <v>0</v>
          </cell>
          <cell r="Q437">
            <v>8.3333333333333304</v>
          </cell>
          <cell r="R437">
            <v>91.6666666666667</v>
          </cell>
          <cell r="S437">
            <v>0</v>
          </cell>
          <cell r="T437">
            <v>0</v>
          </cell>
        </row>
        <row r="438">
          <cell r="A438">
            <v>1978</v>
          </cell>
          <cell r="B438" t="str">
            <v>Femmes</v>
          </cell>
          <cell r="C438" t="str">
            <v>4</v>
          </cell>
          <cell r="D438" t="str">
            <v>Mono-pensionné Lura</v>
          </cell>
          <cell r="O438">
            <v>0</v>
          </cell>
          <cell r="P438">
            <v>17.647058823529399</v>
          </cell>
          <cell r="Q438">
            <v>16.470588235294102</v>
          </cell>
          <cell r="R438">
            <v>61.764705882352899</v>
          </cell>
          <cell r="S438">
            <v>1.1764705882352899</v>
          </cell>
          <cell r="T438">
            <v>2.9411764705882399</v>
          </cell>
        </row>
        <row r="439">
          <cell r="A439">
            <v>1978</v>
          </cell>
          <cell r="B439" t="str">
            <v>Femmes</v>
          </cell>
          <cell r="C439" t="str">
            <v>4</v>
          </cell>
          <cell r="D439" t="str">
            <v>Polypensionné Lura/FP</v>
          </cell>
          <cell r="O439">
            <v>0</v>
          </cell>
          <cell r="P439">
            <v>32.352941176470601</v>
          </cell>
          <cell r="Q439">
            <v>14.705882352941201</v>
          </cell>
          <cell r="R439">
            <v>44.117647058823501</v>
          </cell>
          <cell r="S439">
            <v>5.8823529411764701</v>
          </cell>
          <cell r="T439">
            <v>2.9411764705882399</v>
          </cell>
        </row>
        <row r="440">
          <cell r="A440">
            <v>1978</v>
          </cell>
          <cell r="B440" t="str">
            <v>Femmes</v>
          </cell>
          <cell r="C440" t="str">
            <v>5</v>
          </cell>
          <cell r="D440" t="str">
            <v>Mono-pensionné FP</v>
          </cell>
          <cell r="O440">
            <v>0</v>
          </cell>
          <cell r="P440">
            <v>6.6666666666666696</v>
          </cell>
          <cell r="Q440">
            <v>23.3333333333333</v>
          </cell>
          <cell r="R440">
            <v>70</v>
          </cell>
          <cell r="S440">
            <v>0</v>
          </cell>
          <cell r="T440">
            <v>0</v>
          </cell>
        </row>
        <row r="441">
          <cell r="A441">
            <v>1978</v>
          </cell>
          <cell r="B441" t="str">
            <v>Femmes</v>
          </cell>
          <cell r="C441" t="str">
            <v>5</v>
          </cell>
          <cell r="D441" t="str">
            <v>Mono-pensionné Lura</v>
          </cell>
          <cell r="O441">
            <v>0</v>
          </cell>
          <cell r="P441">
            <v>10.4477611940299</v>
          </cell>
          <cell r="Q441">
            <v>20.1492537313433</v>
          </cell>
          <cell r="R441">
            <v>66.417910447761201</v>
          </cell>
          <cell r="S441">
            <v>0.74626865671641796</v>
          </cell>
          <cell r="T441">
            <v>2.23880597014925</v>
          </cell>
        </row>
        <row r="442">
          <cell r="A442">
            <v>1978</v>
          </cell>
          <cell r="B442" t="str">
            <v>Femmes</v>
          </cell>
          <cell r="C442" t="str">
            <v>5</v>
          </cell>
          <cell r="D442" t="str">
            <v>Polypensionné Lura/FP</v>
          </cell>
          <cell r="O442">
            <v>0</v>
          </cell>
          <cell r="P442">
            <v>31.25</v>
          </cell>
          <cell r="Q442">
            <v>12.5</v>
          </cell>
          <cell r="R442">
            <v>50</v>
          </cell>
          <cell r="S442">
            <v>0</v>
          </cell>
          <cell r="T442">
            <v>6.25</v>
          </cell>
        </row>
        <row r="443">
          <cell r="A443">
            <v>1978</v>
          </cell>
          <cell r="B443" t="str">
            <v>Hommes</v>
          </cell>
          <cell r="C443" t="str">
            <v>1</v>
          </cell>
          <cell r="D443" t="str">
            <v>Mono-pensionné FP</v>
          </cell>
          <cell r="O443">
            <v>0</v>
          </cell>
          <cell r="P443">
            <v>100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</row>
        <row r="444">
          <cell r="A444">
            <v>1978</v>
          </cell>
          <cell r="B444" t="str">
            <v>Hommes</v>
          </cell>
          <cell r="C444" t="str">
            <v>1</v>
          </cell>
          <cell r="D444" t="str">
            <v>Mono-pensionné Lura</v>
          </cell>
          <cell r="O444">
            <v>0</v>
          </cell>
          <cell r="P444">
            <v>11.320754716981099</v>
          </cell>
          <cell r="Q444">
            <v>7.5471698113207504</v>
          </cell>
          <cell r="R444">
            <v>77.358490566037702</v>
          </cell>
          <cell r="S444">
            <v>1.88679245283019</v>
          </cell>
          <cell r="T444">
            <v>1.88679245283019</v>
          </cell>
        </row>
        <row r="445">
          <cell r="A445">
            <v>1978</v>
          </cell>
          <cell r="B445" t="str">
            <v>Hommes</v>
          </cell>
          <cell r="C445" t="str">
            <v>1</v>
          </cell>
          <cell r="D445" t="str">
            <v>Polypensionné Lura/FP</v>
          </cell>
          <cell r="O445">
            <v>0</v>
          </cell>
          <cell r="P445">
            <v>6.25</v>
          </cell>
          <cell r="Q445">
            <v>18.75</v>
          </cell>
          <cell r="R445">
            <v>68.75</v>
          </cell>
          <cell r="S445">
            <v>0</v>
          </cell>
          <cell r="T445">
            <v>6.25</v>
          </cell>
        </row>
        <row r="446">
          <cell r="A446">
            <v>1978</v>
          </cell>
          <cell r="B446" t="str">
            <v>Hommes</v>
          </cell>
          <cell r="C446" t="str">
            <v>2</v>
          </cell>
          <cell r="D446" t="str">
            <v>Mono-pensionné FP</v>
          </cell>
          <cell r="O446">
            <v>0</v>
          </cell>
          <cell r="P446">
            <v>25</v>
          </cell>
          <cell r="Q446">
            <v>25</v>
          </cell>
          <cell r="R446">
            <v>25</v>
          </cell>
          <cell r="S446">
            <v>0</v>
          </cell>
          <cell r="T446">
            <v>25</v>
          </cell>
        </row>
        <row r="447">
          <cell r="A447">
            <v>1978</v>
          </cell>
          <cell r="B447" t="str">
            <v>Hommes</v>
          </cell>
          <cell r="C447" t="str">
            <v>2</v>
          </cell>
          <cell r="D447" t="str">
            <v>Mono-pensionné Lura</v>
          </cell>
          <cell r="O447">
            <v>0</v>
          </cell>
          <cell r="P447">
            <v>23.3333333333333</v>
          </cell>
          <cell r="Q447">
            <v>11.6666666666667</v>
          </cell>
          <cell r="R447">
            <v>63.3333333333333</v>
          </cell>
          <cell r="S447">
            <v>1.6666666666666701</v>
          </cell>
          <cell r="T447">
            <v>0</v>
          </cell>
        </row>
        <row r="448">
          <cell r="A448">
            <v>1978</v>
          </cell>
          <cell r="B448" t="str">
            <v>Hommes</v>
          </cell>
          <cell r="C448" t="str">
            <v>2</v>
          </cell>
          <cell r="D448" t="str">
            <v>Polypensionné Lura/FP</v>
          </cell>
          <cell r="O448">
            <v>0</v>
          </cell>
          <cell r="P448">
            <v>13.3333333333333</v>
          </cell>
          <cell r="Q448">
            <v>6.6666666666666696</v>
          </cell>
          <cell r="R448">
            <v>73.3333333333333</v>
          </cell>
          <cell r="S448">
            <v>0</v>
          </cell>
          <cell r="T448">
            <v>6.6666666666666696</v>
          </cell>
        </row>
        <row r="449">
          <cell r="A449">
            <v>1978</v>
          </cell>
          <cell r="B449" t="str">
            <v>Hommes</v>
          </cell>
          <cell r="C449" t="str">
            <v>3</v>
          </cell>
          <cell r="D449" t="str">
            <v>Mono-pensionné FP</v>
          </cell>
          <cell r="O449">
            <v>0</v>
          </cell>
          <cell r="P449">
            <v>0</v>
          </cell>
          <cell r="Q449">
            <v>25</v>
          </cell>
          <cell r="R449">
            <v>50</v>
          </cell>
          <cell r="S449">
            <v>0</v>
          </cell>
          <cell r="T449">
            <v>25</v>
          </cell>
        </row>
        <row r="450">
          <cell r="A450">
            <v>1978</v>
          </cell>
          <cell r="B450" t="str">
            <v>Hommes</v>
          </cell>
          <cell r="C450" t="str">
            <v>3</v>
          </cell>
          <cell r="D450" t="str">
            <v>Mono-pensionné Lura</v>
          </cell>
          <cell r="O450">
            <v>0</v>
          </cell>
          <cell r="P450">
            <v>18.75</v>
          </cell>
          <cell r="Q450">
            <v>9.375</v>
          </cell>
          <cell r="R450">
            <v>64.0625</v>
          </cell>
          <cell r="S450">
            <v>3.125</v>
          </cell>
          <cell r="T450">
            <v>4.6875</v>
          </cell>
        </row>
        <row r="451">
          <cell r="A451">
            <v>1978</v>
          </cell>
          <cell r="B451" t="str">
            <v>Hommes</v>
          </cell>
          <cell r="C451" t="str">
            <v>3</v>
          </cell>
          <cell r="D451" t="str">
            <v>Polypensionné Lura/FP</v>
          </cell>
          <cell r="O451">
            <v>0</v>
          </cell>
          <cell r="P451">
            <v>17.647058823529399</v>
          </cell>
          <cell r="Q451">
            <v>5.8823529411764701</v>
          </cell>
          <cell r="R451">
            <v>76.470588235294102</v>
          </cell>
          <cell r="S451">
            <v>0</v>
          </cell>
          <cell r="T451">
            <v>0</v>
          </cell>
        </row>
        <row r="452">
          <cell r="A452">
            <v>1978</v>
          </cell>
          <cell r="B452" t="str">
            <v>Hommes</v>
          </cell>
          <cell r="C452" t="str">
            <v>4</v>
          </cell>
          <cell r="D452" t="str">
            <v>Mono-pensionné FP</v>
          </cell>
          <cell r="O452">
            <v>0</v>
          </cell>
          <cell r="P452">
            <v>0</v>
          </cell>
          <cell r="Q452">
            <v>12.5</v>
          </cell>
          <cell r="R452">
            <v>75</v>
          </cell>
          <cell r="S452">
            <v>0</v>
          </cell>
          <cell r="T452">
            <v>12.5</v>
          </cell>
        </row>
        <row r="453">
          <cell r="A453">
            <v>1978</v>
          </cell>
          <cell r="B453" t="str">
            <v>Hommes</v>
          </cell>
          <cell r="C453" t="str">
            <v>4</v>
          </cell>
          <cell r="D453" t="str">
            <v>Mono-pensionné Lura</v>
          </cell>
          <cell r="O453">
            <v>0</v>
          </cell>
          <cell r="P453">
            <v>12.1212121212121</v>
          </cell>
          <cell r="Q453">
            <v>18.181818181818201</v>
          </cell>
          <cell r="R453">
            <v>65.151515151515198</v>
          </cell>
          <cell r="S453">
            <v>3.0303030303030298</v>
          </cell>
          <cell r="T453">
            <v>1.51515151515152</v>
          </cell>
        </row>
        <row r="454">
          <cell r="A454">
            <v>1978</v>
          </cell>
          <cell r="B454" t="str">
            <v>Hommes</v>
          </cell>
          <cell r="C454" t="str">
            <v>4</v>
          </cell>
          <cell r="D454" t="str">
            <v>Polypensionné Lura/FP</v>
          </cell>
          <cell r="O454">
            <v>0</v>
          </cell>
          <cell r="P454">
            <v>8.6956521739130395</v>
          </cell>
          <cell r="Q454">
            <v>8.6956521739130395</v>
          </cell>
          <cell r="R454">
            <v>78.260869565217405</v>
          </cell>
          <cell r="S454">
            <v>0</v>
          </cell>
          <cell r="T454">
            <v>4.3478260869565197</v>
          </cell>
        </row>
        <row r="455">
          <cell r="A455">
            <v>1978</v>
          </cell>
          <cell r="B455" t="str">
            <v>Hommes</v>
          </cell>
          <cell r="C455" t="str">
            <v>5</v>
          </cell>
          <cell r="D455" t="str">
            <v>Mono-pensionné FP</v>
          </cell>
          <cell r="O455">
            <v>0</v>
          </cell>
          <cell r="P455">
            <v>0</v>
          </cell>
          <cell r="Q455">
            <v>20</v>
          </cell>
          <cell r="R455">
            <v>70</v>
          </cell>
          <cell r="S455">
            <v>0</v>
          </cell>
          <cell r="T455">
            <v>10</v>
          </cell>
        </row>
        <row r="456">
          <cell r="A456">
            <v>1978</v>
          </cell>
          <cell r="B456" t="str">
            <v>Hommes</v>
          </cell>
          <cell r="C456" t="str">
            <v>5</v>
          </cell>
          <cell r="D456" t="str">
            <v>Mono-pensionné Lura</v>
          </cell>
          <cell r="O456">
            <v>0</v>
          </cell>
          <cell r="P456">
            <v>19.354838709677399</v>
          </cell>
          <cell r="Q456">
            <v>17.741935483871</v>
          </cell>
          <cell r="R456">
            <v>56.451612903225801</v>
          </cell>
          <cell r="S456">
            <v>0</v>
          </cell>
          <cell r="T456">
            <v>6.4516129032258096</v>
          </cell>
        </row>
        <row r="457">
          <cell r="A457">
            <v>1978</v>
          </cell>
          <cell r="B457" t="str">
            <v>Hommes</v>
          </cell>
          <cell r="C457" t="str">
            <v>5</v>
          </cell>
          <cell r="D457" t="str">
            <v>Polypensionné Lura/FP</v>
          </cell>
          <cell r="O457">
            <v>0</v>
          </cell>
          <cell r="P457">
            <v>9.67741935483871</v>
          </cell>
          <cell r="Q457">
            <v>6.4516129032258096</v>
          </cell>
          <cell r="R457">
            <v>74.193548387096797</v>
          </cell>
          <cell r="S457">
            <v>0</v>
          </cell>
          <cell r="T457">
            <v>9.67741935483871</v>
          </cell>
        </row>
        <row r="458">
          <cell r="A458">
            <v>1984</v>
          </cell>
          <cell r="B458" t="str">
            <v>Femmes</v>
          </cell>
          <cell r="C458" t="str">
            <v>1</v>
          </cell>
          <cell r="D458" t="str">
            <v>Mono-pensionné FP</v>
          </cell>
          <cell r="O458">
            <v>0</v>
          </cell>
          <cell r="P458">
            <v>25</v>
          </cell>
          <cell r="Q458">
            <v>0</v>
          </cell>
          <cell r="R458">
            <v>75</v>
          </cell>
          <cell r="S458">
            <v>0</v>
          </cell>
          <cell r="T458">
            <v>0</v>
          </cell>
        </row>
        <row r="459">
          <cell r="A459">
            <v>1984</v>
          </cell>
          <cell r="B459" t="str">
            <v>Femmes</v>
          </cell>
          <cell r="C459" t="str">
            <v>1</v>
          </cell>
          <cell r="D459" t="str">
            <v>Mono-pensionné Lura</v>
          </cell>
          <cell r="O459">
            <v>0</v>
          </cell>
          <cell r="P459">
            <v>8.5106382978723403</v>
          </cell>
          <cell r="Q459">
            <v>14.893617021276601</v>
          </cell>
          <cell r="R459">
            <v>68.794326241134797</v>
          </cell>
          <cell r="S459">
            <v>7.0921985815602797</v>
          </cell>
          <cell r="T459">
            <v>0.70921985815602795</v>
          </cell>
        </row>
        <row r="460">
          <cell r="A460">
            <v>1984</v>
          </cell>
          <cell r="B460" t="str">
            <v>Femmes</v>
          </cell>
          <cell r="C460" t="str">
            <v>1</v>
          </cell>
          <cell r="D460" t="str">
            <v>Polypensionné Lura/FP</v>
          </cell>
          <cell r="O460">
            <v>0</v>
          </cell>
          <cell r="P460">
            <v>4</v>
          </cell>
          <cell r="Q460">
            <v>20</v>
          </cell>
          <cell r="R460">
            <v>64</v>
          </cell>
          <cell r="S460">
            <v>4</v>
          </cell>
          <cell r="T460">
            <v>8</v>
          </cell>
        </row>
        <row r="461">
          <cell r="A461">
            <v>1984</v>
          </cell>
          <cell r="B461" t="str">
            <v>Femmes</v>
          </cell>
          <cell r="C461" t="str">
            <v>2</v>
          </cell>
          <cell r="D461" t="str">
            <v>Mono-pensionné FP</v>
          </cell>
          <cell r="O461">
            <v>0</v>
          </cell>
          <cell r="P461">
            <v>0</v>
          </cell>
          <cell r="Q461">
            <v>16.6666666666667</v>
          </cell>
          <cell r="R461">
            <v>83.3333333333333</v>
          </cell>
          <cell r="S461">
            <v>0</v>
          </cell>
          <cell r="T461">
            <v>0</v>
          </cell>
        </row>
        <row r="462">
          <cell r="A462">
            <v>1984</v>
          </cell>
          <cell r="B462" t="str">
            <v>Femmes</v>
          </cell>
          <cell r="C462" t="str">
            <v>2</v>
          </cell>
          <cell r="D462" t="str">
            <v>Mono-pensionné Lura</v>
          </cell>
          <cell r="O462">
            <v>0</v>
          </cell>
          <cell r="P462">
            <v>11.038961038961</v>
          </cell>
          <cell r="Q462">
            <v>5.8441558441558401</v>
          </cell>
          <cell r="R462">
            <v>74.025974025973994</v>
          </cell>
          <cell r="S462">
            <v>5.8441558441558401</v>
          </cell>
          <cell r="T462">
            <v>3.2467532467532498</v>
          </cell>
        </row>
        <row r="463">
          <cell r="A463">
            <v>1984</v>
          </cell>
          <cell r="B463" t="str">
            <v>Femmes</v>
          </cell>
          <cell r="C463" t="str">
            <v>2</v>
          </cell>
          <cell r="D463" t="str">
            <v>Polypensionné Lura/FP</v>
          </cell>
          <cell r="O463">
            <v>0</v>
          </cell>
          <cell r="P463">
            <v>15</v>
          </cell>
          <cell r="Q463">
            <v>10</v>
          </cell>
          <cell r="R463">
            <v>65</v>
          </cell>
          <cell r="S463">
            <v>5</v>
          </cell>
          <cell r="T463">
            <v>5</v>
          </cell>
        </row>
        <row r="464">
          <cell r="A464">
            <v>1984</v>
          </cell>
          <cell r="B464" t="str">
            <v>Femmes</v>
          </cell>
          <cell r="C464" t="str">
            <v>3</v>
          </cell>
          <cell r="D464" t="str">
            <v>Mono-pensionné FP</v>
          </cell>
          <cell r="O464">
            <v>0</v>
          </cell>
          <cell r="P464">
            <v>7.6923076923076898</v>
          </cell>
          <cell r="Q464">
            <v>15.384615384615399</v>
          </cell>
          <cell r="R464">
            <v>76.923076923076906</v>
          </cell>
          <cell r="S464">
            <v>0</v>
          </cell>
          <cell r="T464">
            <v>0</v>
          </cell>
        </row>
        <row r="465">
          <cell r="A465">
            <v>1984</v>
          </cell>
          <cell r="B465" t="str">
            <v>Femmes</v>
          </cell>
          <cell r="C465" t="str">
            <v>3</v>
          </cell>
          <cell r="D465" t="str">
            <v>Mono-pensionné Lura</v>
          </cell>
          <cell r="O465">
            <v>0</v>
          </cell>
          <cell r="P465">
            <v>17.419354838709701</v>
          </cell>
          <cell r="Q465">
            <v>8.3870967741935498</v>
          </cell>
          <cell r="R465">
            <v>65.806451612903203</v>
          </cell>
          <cell r="S465">
            <v>5.8064516129032304</v>
          </cell>
          <cell r="T465">
            <v>2.5806451612903198</v>
          </cell>
        </row>
        <row r="466">
          <cell r="A466">
            <v>1984</v>
          </cell>
          <cell r="B466" t="str">
            <v>Femmes</v>
          </cell>
          <cell r="C466" t="str">
            <v>3</v>
          </cell>
          <cell r="D466" t="str">
            <v>Polypensionné Lura/FP</v>
          </cell>
          <cell r="O466">
            <v>0</v>
          </cell>
          <cell r="P466">
            <v>15</v>
          </cell>
          <cell r="Q466">
            <v>5</v>
          </cell>
          <cell r="R466">
            <v>75</v>
          </cell>
          <cell r="S466">
            <v>5</v>
          </cell>
          <cell r="T466">
            <v>0</v>
          </cell>
        </row>
        <row r="467">
          <cell r="A467">
            <v>1984</v>
          </cell>
          <cell r="B467" t="str">
            <v>Femmes</v>
          </cell>
          <cell r="C467" t="str">
            <v>4</v>
          </cell>
          <cell r="D467" t="str">
            <v>Mono-pensionné FP</v>
          </cell>
          <cell r="O467">
            <v>0</v>
          </cell>
          <cell r="P467">
            <v>11.1111111111111</v>
          </cell>
          <cell r="Q467">
            <v>11.1111111111111</v>
          </cell>
          <cell r="R467">
            <v>66.6666666666667</v>
          </cell>
          <cell r="S467">
            <v>0</v>
          </cell>
          <cell r="T467">
            <v>11.1111111111111</v>
          </cell>
        </row>
        <row r="468">
          <cell r="A468">
            <v>1984</v>
          </cell>
          <cell r="B468" t="str">
            <v>Femmes</v>
          </cell>
          <cell r="C468" t="str">
            <v>4</v>
          </cell>
          <cell r="D468" t="str">
            <v>Mono-pensionné Lura</v>
          </cell>
          <cell r="O468">
            <v>0</v>
          </cell>
          <cell r="P468">
            <v>20.338983050847499</v>
          </cell>
          <cell r="Q468">
            <v>16.3841807909605</v>
          </cell>
          <cell r="R468">
            <v>57.627118644067799</v>
          </cell>
          <cell r="S468">
            <v>2.8248587570621502</v>
          </cell>
          <cell r="T468">
            <v>2.8248587570621502</v>
          </cell>
        </row>
        <row r="469">
          <cell r="A469">
            <v>1984</v>
          </cell>
          <cell r="B469" t="str">
            <v>Femmes</v>
          </cell>
          <cell r="C469" t="str">
            <v>4</v>
          </cell>
          <cell r="D469" t="str">
            <v>Polypensionné Lura/FP</v>
          </cell>
          <cell r="O469">
            <v>0</v>
          </cell>
          <cell r="P469">
            <v>15.789473684210501</v>
          </cell>
          <cell r="Q469">
            <v>10.526315789473699</v>
          </cell>
          <cell r="R469">
            <v>68.421052631578902</v>
          </cell>
          <cell r="S469">
            <v>5.2631578947368398</v>
          </cell>
          <cell r="T469">
            <v>0</v>
          </cell>
        </row>
        <row r="470">
          <cell r="A470">
            <v>1984</v>
          </cell>
          <cell r="B470" t="str">
            <v>Femmes</v>
          </cell>
          <cell r="C470" t="str">
            <v>5</v>
          </cell>
          <cell r="D470" t="str">
            <v>Mono-pensionné FP</v>
          </cell>
          <cell r="O470">
            <v>0</v>
          </cell>
          <cell r="P470">
            <v>30.434782608695699</v>
          </cell>
          <cell r="Q470">
            <v>17.3913043478261</v>
          </cell>
          <cell r="R470">
            <v>52.173913043478301</v>
          </cell>
          <cell r="S470">
            <v>0</v>
          </cell>
          <cell r="T470">
            <v>0</v>
          </cell>
        </row>
        <row r="471">
          <cell r="A471">
            <v>1984</v>
          </cell>
          <cell r="B471" t="str">
            <v>Femmes</v>
          </cell>
          <cell r="C471" t="str">
            <v>5</v>
          </cell>
          <cell r="D471" t="str">
            <v>Mono-pensionné Lura</v>
          </cell>
          <cell r="O471">
            <v>0</v>
          </cell>
          <cell r="P471">
            <v>18.713450292397699</v>
          </cell>
          <cell r="Q471">
            <v>10.526315789473699</v>
          </cell>
          <cell r="R471">
            <v>60.233918128654999</v>
          </cell>
          <cell r="S471">
            <v>2.9239766081871301</v>
          </cell>
          <cell r="T471">
            <v>7.60233918128655</v>
          </cell>
        </row>
        <row r="472">
          <cell r="A472">
            <v>1984</v>
          </cell>
          <cell r="B472" t="str">
            <v>Femmes</v>
          </cell>
          <cell r="C472" t="str">
            <v>5</v>
          </cell>
          <cell r="D472" t="str">
            <v>Polypensionné Lura/FP</v>
          </cell>
          <cell r="O472">
            <v>0</v>
          </cell>
          <cell r="P472">
            <v>16.129032258064498</v>
          </cell>
          <cell r="Q472">
            <v>16.129032258064498</v>
          </cell>
          <cell r="R472">
            <v>51.612903225806399</v>
          </cell>
          <cell r="S472">
            <v>9.67741935483871</v>
          </cell>
          <cell r="T472">
            <v>6.4516129032258096</v>
          </cell>
        </row>
        <row r="473">
          <cell r="A473">
            <v>1984</v>
          </cell>
          <cell r="B473" t="str">
            <v>Hommes</v>
          </cell>
          <cell r="C473" t="str">
            <v>1</v>
          </cell>
          <cell r="D473" t="str">
            <v>Mono-pensionné FP</v>
          </cell>
          <cell r="O473">
            <v>0</v>
          </cell>
          <cell r="P473">
            <v>0</v>
          </cell>
          <cell r="Q473">
            <v>0</v>
          </cell>
          <cell r="R473">
            <v>100</v>
          </cell>
          <cell r="S473">
            <v>0</v>
          </cell>
          <cell r="T473">
            <v>0</v>
          </cell>
        </row>
        <row r="474">
          <cell r="A474">
            <v>1984</v>
          </cell>
          <cell r="B474" t="str">
            <v>Hommes</v>
          </cell>
          <cell r="C474" t="str">
            <v>1</v>
          </cell>
          <cell r="D474" t="str">
            <v>Mono-pensionné Lura</v>
          </cell>
          <cell r="O474">
            <v>0</v>
          </cell>
          <cell r="P474">
            <v>18.518518518518501</v>
          </cell>
          <cell r="Q474">
            <v>5.5555555555555598</v>
          </cell>
          <cell r="R474">
            <v>70.370370370370395</v>
          </cell>
          <cell r="S474">
            <v>3.7037037037037002</v>
          </cell>
          <cell r="T474">
            <v>1.8518518518518501</v>
          </cell>
        </row>
        <row r="475">
          <cell r="A475">
            <v>1984</v>
          </cell>
          <cell r="B475" t="str">
            <v>Hommes</v>
          </cell>
          <cell r="C475" t="str">
            <v>1</v>
          </cell>
          <cell r="D475" t="str">
            <v>Polypensionné Lura/FP</v>
          </cell>
          <cell r="O475">
            <v>0</v>
          </cell>
          <cell r="P475">
            <v>25</v>
          </cell>
          <cell r="Q475">
            <v>15</v>
          </cell>
          <cell r="R475">
            <v>55</v>
          </cell>
          <cell r="S475">
            <v>0</v>
          </cell>
          <cell r="T475">
            <v>5</v>
          </cell>
        </row>
        <row r="476">
          <cell r="A476">
            <v>1984</v>
          </cell>
          <cell r="B476" t="str">
            <v>Hommes</v>
          </cell>
          <cell r="C476" t="str">
            <v>2</v>
          </cell>
          <cell r="D476" t="str">
            <v>Mono-pensionné FP</v>
          </cell>
          <cell r="O476">
            <v>0</v>
          </cell>
          <cell r="P476">
            <v>9.0909090909090899</v>
          </cell>
          <cell r="Q476">
            <v>9.0909090909090899</v>
          </cell>
          <cell r="R476">
            <v>72.727272727272705</v>
          </cell>
          <cell r="S476">
            <v>0</v>
          </cell>
          <cell r="T476">
            <v>9.0909090909090899</v>
          </cell>
        </row>
        <row r="477">
          <cell r="A477">
            <v>1984</v>
          </cell>
          <cell r="B477" t="str">
            <v>Hommes</v>
          </cell>
          <cell r="C477" t="str">
            <v>2</v>
          </cell>
          <cell r="D477" t="str">
            <v>Mono-pensionné Lura</v>
          </cell>
          <cell r="O477">
            <v>0</v>
          </cell>
          <cell r="P477">
            <v>11.1111111111111</v>
          </cell>
          <cell r="Q477">
            <v>9.5238095238095202</v>
          </cell>
          <cell r="R477">
            <v>71.428571428571402</v>
          </cell>
          <cell r="S477">
            <v>6.3492063492063497</v>
          </cell>
          <cell r="T477">
            <v>1.5873015873015901</v>
          </cell>
        </row>
        <row r="478">
          <cell r="A478">
            <v>1984</v>
          </cell>
          <cell r="B478" t="str">
            <v>Hommes</v>
          </cell>
          <cell r="C478" t="str">
            <v>2</v>
          </cell>
          <cell r="D478" t="str">
            <v>Polypensionné Lura/FP</v>
          </cell>
          <cell r="O478">
            <v>0</v>
          </cell>
          <cell r="P478">
            <v>16.6666666666667</v>
          </cell>
          <cell r="Q478">
            <v>0</v>
          </cell>
          <cell r="R478">
            <v>66.6666666666667</v>
          </cell>
          <cell r="S478">
            <v>5.5555555555555598</v>
          </cell>
          <cell r="T478">
            <v>11.1111111111111</v>
          </cell>
        </row>
        <row r="479">
          <cell r="A479">
            <v>1984</v>
          </cell>
          <cell r="B479" t="str">
            <v>Hommes</v>
          </cell>
          <cell r="C479" t="str">
            <v>3</v>
          </cell>
          <cell r="D479" t="str">
            <v>Mono-pensionné FP</v>
          </cell>
          <cell r="O479">
            <v>0</v>
          </cell>
          <cell r="P479">
            <v>0</v>
          </cell>
          <cell r="Q479">
            <v>0</v>
          </cell>
          <cell r="R479">
            <v>100</v>
          </cell>
          <cell r="S479">
            <v>0</v>
          </cell>
          <cell r="T479">
            <v>0</v>
          </cell>
        </row>
        <row r="480">
          <cell r="A480">
            <v>1984</v>
          </cell>
          <cell r="B480" t="str">
            <v>Hommes</v>
          </cell>
          <cell r="C480" t="str">
            <v>3</v>
          </cell>
          <cell r="D480" t="str">
            <v>Mono-pensionné Lura</v>
          </cell>
          <cell r="O480">
            <v>1.4925373134328399</v>
          </cell>
          <cell r="P480">
            <v>8.9552238805970106</v>
          </cell>
          <cell r="Q480">
            <v>17.910447761194</v>
          </cell>
          <cell r="R480">
            <v>68.656716417910403</v>
          </cell>
          <cell r="S480">
            <v>0</v>
          </cell>
          <cell r="T480">
            <v>2.98507462686567</v>
          </cell>
        </row>
        <row r="481">
          <cell r="A481">
            <v>1984</v>
          </cell>
          <cell r="B481" t="str">
            <v>Hommes</v>
          </cell>
          <cell r="C481" t="str">
            <v>3</v>
          </cell>
          <cell r="D481" t="str">
            <v>Polypensionné Lura/FP</v>
          </cell>
          <cell r="O481">
            <v>0</v>
          </cell>
          <cell r="P481">
            <v>16.6666666666667</v>
          </cell>
          <cell r="Q481">
            <v>0</v>
          </cell>
          <cell r="R481">
            <v>70.8333333333333</v>
          </cell>
          <cell r="S481">
            <v>4.1666666666666696</v>
          </cell>
          <cell r="T481">
            <v>8.3333333333333304</v>
          </cell>
        </row>
        <row r="482">
          <cell r="A482">
            <v>1984</v>
          </cell>
          <cell r="B482" t="str">
            <v>Hommes</v>
          </cell>
          <cell r="C482" t="str">
            <v>4</v>
          </cell>
          <cell r="D482" t="str">
            <v>Mono-pensionné FP</v>
          </cell>
          <cell r="O482">
            <v>0</v>
          </cell>
          <cell r="P482">
            <v>12.5</v>
          </cell>
          <cell r="Q482">
            <v>6.25</v>
          </cell>
          <cell r="R482">
            <v>75</v>
          </cell>
          <cell r="S482">
            <v>0</v>
          </cell>
          <cell r="T482">
            <v>6.25</v>
          </cell>
        </row>
        <row r="483">
          <cell r="A483">
            <v>1984</v>
          </cell>
          <cell r="B483" t="str">
            <v>Hommes</v>
          </cell>
          <cell r="C483" t="str">
            <v>4</v>
          </cell>
          <cell r="D483" t="str">
            <v>Mono-pensionné Lura</v>
          </cell>
          <cell r="O483">
            <v>0</v>
          </cell>
          <cell r="P483">
            <v>13.8888888888889</v>
          </cell>
          <cell r="Q483">
            <v>15.2777777777778</v>
          </cell>
          <cell r="R483">
            <v>58.3333333333333</v>
          </cell>
          <cell r="S483">
            <v>4.1666666666666696</v>
          </cell>
          <cell r="T483">
            <v>8.3333333333333304</v>
          </cell>
        </row>
        <row r="484">
          <cell r="A484">
            <v>1984</v>
          </cell>
          <cell r="B484" t="str">
            <v>Hommes</v>
          </cell>
          <cell r="C484" t="str">
            <v>4</v>
          </cell>
          <cell r="D484" t="str">
            <v>Polypensionné Lura/FP</v>
          </cell>
          <cell r="O484">
            <v>0</v>
          </cell>
          <cell r="P484">
            <v>12</v>
          </cell>
          <cell r="Q484">
            <v>16</v>
          </cell>
          <cell r="R484">
            <v>56</v>
          </cell>
          <cell r="S484">
            <v>0</v>
          </cell>
          <cell r="T484">
            <v>16</v>
          </cell>
        </row>
        <row r="485">
          <cell r="A485">
            <v>1984</v>
          </cell>
          <cell r="B485" t="str">
            <v>Hommes</v>
          </cell>
          <cell r="C485" t="str">
            <v>5</v>
          </cell>
          <cell r="D485" t="str">
            <v>Mono-pensionné FP</v>
          </cell>
          <cell r="O485">
            <v>0</v>
          </cell>
          <cell r="P485">
            <v>0</v>
          </cell>
          <cell r="Q485">
            <v>16.6666666666667</v>
          </cell>
          <cell r="R485">
            <v>83.3333333333333</v>
          </cell>
          <cell r="S485">
            <v>0</v>
          </cell>
          <cell r="T485">
            <v>0</v>
          </cell>
        </row>
        <row r="486">
          <cell r="A486">
            <v>1984</v>
          </cell>
          <cell r="B486" t="str">
            <v>Hommes</v>
          </cell>
          <cell r="C486" t="str">
            <v>5</v>
          </cell>
          <cell r="D486" t="str">
            <v>Mono-pensionné Lura</v>
          </cell>
          <cell r="O486">
            <v>0</v>
          </cell>
          <cell r="P486">
            <v>12.307692307692299</v>
          </cell>
          <cell r="Q486">
            <v>9.2307692307692299</v>
          </cell>
          <cell r="R486">
            <v>73.846153846153797</v>
          </cell>
          <cell r="S486">
            <v>1.5384615384615401</v>
          </cell>
          <cell r="T486">
            <v>3.0769230769230802</v>
          </cell>
        </row>
        <row r="487">
          <cell r="A487">
            <v>1984</v>
          </cell>
          <cell r="B487" t="str">
            <v>Hommes</v>
          </cell>
          <cell r="C487" t="str">
            <v>5</v>
          </cell>
          <cell r="D487" t="str">
            <v>Polypensionné Lura/FP</v>
          </cell>
          <cell r="O487">
            <v>0</v>
          </cell>
          <cell r="P487">
            <v>16.2162162162162</v>
          </cell>
          <cell r="Q487">
            <v>5.4054054054054097</v>
          </cell>
          <cell r="R487">
            <v>64.864864864864899</v>
          </cell>
          <cell r="S487">
            <v>10.8108108108108</v>
          </cell>
          <cell r="T487">
            <v>2.7027027027027</v>
          </cell>
        </row>
        <row r="488">
          <cell r="A488">
            <v>1990</v>
          </cell>
          <cell r="B488" t="str">
            <v>Femmes</v>
          </cell>
          <cell r="C488" t="str">
            <v>1</v>
          </cell>
          <cell r="D488" t="str">
            <v>Mono-pensionné FP</v>
          </cell>
          <cell r="O488">
            <v>0</v>
          </cell>
          <cell r="P488">
            <v>0</v>
          </cell>
          <cell r="Q488">
            <v>33.3333333333333</v>
          </cell>
          <cell r="R488">
            <v>66.6666666666667</v>
          </cell>
          <cell r="S488">
            <v>0</v>
          </cell>
          <cell r="T488">
            <v>0</v>
          </cell>
        </row>
        <row r="489">
          <cell r="A489">
            <v>1990</v>
          </cell>
          <cell r="B489" t="str">
            <v>Femmes</v>
          </cell>
          <cell r="C489" t="str">
            <v>1</v>
          </cell>
          <cell r="D489" t="str">
            <v>Mono-pensionné Lura</v>
          </cell>
          <cell r="O489">
            <v>0</v>
          </cell>
          <cell r="P489">
            <v>12.1621621621622</v>
          </cell>
          <cell r="Q489">
            <v>9.4594594594594597</v>
          </cell>
          <cell r="R489">
            <v>65.540540540540505</v>
          </cell>
          <cell r="S489">
            <v>10.1351351351351</v>
          </cell>
          <cell r="T489">
            <v>2.7027027027027</v>
          </cell>
        </row>
        <row r="490">
          <cell r="A490">
            <v>1990</v>
          </cell>
          <cell r="B490" t="str">
            <v>Femmes</v>
          </cell>
          <cell r="C490" t="str">
            <v>1</v>
          </cell>
          <cell r="D490" t="str">
            <v>Polypensionné Lura/FP</v>
          </cell>
          <cell r="O490">
            <v>0</v>
          </cell>
          <cell r="P490">
            <v>10.714285714285699</v>
          </cell>
          <cell r="Q490">
            <v>3.5714285714285698</v>
          </cell>
          <cell r="R490">
            <v>78.571428571428598</v>
          </cell>
          <cell r="S490">
            <v>3.5714285714285698</v>
          </cell>
          <cell r="T490">
            <v>3.5714285714285698</v>
          </cell>
        </row>
        <row r="491">
          <cell r="A491">
            <v>1990</v>
          </cell>
          <cell r="B491" t="str">
            <v>Femmes</v>
          </cell>
          <cell r="C491" t="str">
            <v>2</v>
          </cell>
          <cell r="D491" t="str">
            <v>Mono-pensionné FP</v>
          </cell>
          <cell r="O491">
            <v>0</v>
          </cell>
          <cell r="P491">
            <v>25</v>
          </cell>
          <cell r="Q491">
            <v>0</v>
          </cell>
          <cell r="R491">
            <v>75</v>
          </cell>
          <cell r="S491">
            <v>0</v>
          </cell>
          <cell r="T491">
            <v>0</v>
          </cell>
        </row>
        <row r="492">
          <cell r="A492">
            <v>1990</v>
          </cell>
          <cell r="B492" t="str">
            <v>Femmes</v>
          </cell>
          <cell r="C492" t="str">
            <v>2</v>
          </cell>
          <cell r="D492" t="str">
            <v>Mono-pensionné Lura</v>
          </cell>
          <cell r="O492">
            <v>0</v>
          </cell>
          <cell r="P492">
            <v>8.9552238805970106</v>
          </cell>
          <cell r="Q492">
            <v>7.4626865671641802</v>
          </cell>
          <cell r="R492">
            <v>70.895522388059703</v>
          </cell>
          <cell r="S492">
            <v>11.194029850746301</v>
          </cell>
          <cell r="T492">
            <v>1.4925373134328399</v>
          </cell>
        </row>
        <row r="493">
          <cell r="A493">
            <v>1990</v>
          </cell>
          <cell r="B493" t="str">
            <v>Femmes</v>
          </cell>
          <cell r="C493" t="str">
            <v>2</v>
          </cell>
          <cell r="D493" t="str">
            <v>Polypensionné Lura/FP</v>
          </cell>
          <cell r="O493">
            <v>0</v>
          </cell>
          <cell r="P493">
            <v>10.526315789473699</v>
          </cell>
          <cell r="Q493">
            <v>13.157894736842101</v>
          </cell>
          <cell r="R493">
            <v>65.789473684210506</v>
          </cell>
          <cell r="S493">
            <v>10.526315789473699</v>
          </cell>
          <cell r="T493">
            <v>0</v>
          </cell>
        </row>
        <row r="494">
          <cell r="A494">
            <v>1990</v>
          </cell>
          <cell r="B494" t="str">
            <v>Femmes</v>
          </cell>
          <cell r="C494" t="str">
            <v>3</v>
          </cell>
          <cell r="D494" t="str">
            <v>Mono-pensionné FP</v>
          </cell>
          <cell r="O494">
            <v>0</v>
          </cell>
          <cell r="P494">
            <v>18.181818181818201</v>
          </cell>
          <cell r="Q494">
            <v>9.0909090909090899</v>
          </cell>
          <cell r="R494">
            <v>72.727272727272705</v>
          </cell>
          <cell r="S494">
            <v>0</v>
          </cell>
          <cell r="T494">
            <v>0</v>
          </cell>
        </row>
        <row r="495">
          <cell r="A495">
            <v>1990</v>
          </cell>
          <cell r="B495" t="str">
            <v>Femmes</v>
          </cell>
          <cell r="C495" t="str">
            <v>3</v>
          </cell>
          <cell r="D495" t="str">
            <v>Mono-pensionné Lura</v>
          </cell>
          <cell r="O495">
            <v>0</v>
          </cell>
          <cell r="P495">
            <v>8.4967320261437909</v>
          </cell>
          <cell r="Q495">
            <v>7.8431372549019596</v>
          </cell>
          <cell r="R495">
            <v>69.281045751633997</v>
          </cell>
          <cell r="S495">
            <v>8.4967320261437909</v>
          </cell>
          <cell r="T495">
            <v>5.8823529411764701</v>
          </cell>
        </row>
        <row r="496">
          <cell r="A496">
            <v>1990</v>
          </cell>
          <cell r="B496" t="str">
            <v>Femmes</v>
          </cell>
          <cell r="C496" t="str">
            <v>3</v>
          </cell>
          <cell r="D496" t="str">
            <v>Polypensionné Lura/FP</v>
          </cell>
          <cell r="O496">
            <v>0</v>
          </cell>
          <cell r="P496">
            <v>11.363636363636401</v>
          </cell>
          <cell r="Q496">
            <v>15.909090909090899</v>
          </cell>
          <cell r="R496">
            <v>54.545454545454497</v>
          </cell>
          <cell r="S496">
            <v>6.8181818181818201</v>
          </cell>
          <cell r="T496">
            <v>11.363636363636401</v>
          </cell>
        </row>
        <row r="497">
          <cell r="A497">
            <v>1990</v>
          </cell>
          <cell r="B497" t="str">
            <v>Femmes</v>
          </cell>
          <cell r="C497" t="str">
            <v>4</v>
          </cell>
          <cell r="D497" t="str">
            <v>Mono-pensionné FP</v>
          </cell>
          <cell r="O497">
            <v>0</v>
          </cell>
          <cell r="P497">
            <v>0</v>
          </cell>
          <cell r="Q497">
            <v>11.1111111111111</v>
          </cell>
          <cell r="R497">
            <v>88.8888888888889</v>
          </cell>
          <cell r="S497">
            <v>0</v>
          </cell>
          <cell r="T497">
            <v>0</v>
          </cell>
        </row>
        <row r="498">
          <cell r="A498">
            <v>1990</v>
          </cell>
          <cell r="B498" t="str">
            <v>Femmes</v>
          </cell>
          <cell r="C498" t="str">
            <v>4</v>
          </cell>
          <cell r="D498" t="str">
            <v>Mono-pensionné Lura</v>
          </cell>
          <cell r="O498">
            <v>0</v>
          </cell>
          <cell r="P498">
            <v>10.489510489510501</v>
          </cell>
          <cell r="Q498">
            <v>8.3916083916083899</v>
          </cell>
          <cell r="R498">
            <v>60.839160839160797</v>
          </cell>
          <cell r="S498">
            <v>10.489510489510501</v>
          </cell>
          <cell r="T498">
            <v>9.79020979020979</v>
          </cell>
        </row>
        <row r="499">
          <cell r="A499">
            <v>1990</v>
          </cell>
          <cell r="B499" t="str">
            <v>Femmes</v>
          </cell>
          <cell r="C499" t="str">
            <v>4</v>
          </cell>
          <cell r="D499" t="str">
            <v>Polypensionné Lura/FP</v>
          </cell>
          <cell r="O499">
            <v>0</v>
          </cell>
          <cell r="P499">
            <v>10.2040816326531</v>
          </cell>
          <cell r="Q499">
            <v>18.367346938775501</v>
          </cell>
          <cell r="R499">
            <v>55.1020408163265</v>
          </cell>
          <cell r="S499">
            <v>4.0816326530612201</v>
          </cell>
          <cell r="T499">
            <v>12.244897959183699</v>
          </cell>
        </row>
        <row r="500">
          <cell r="A500">
            <v>1990</v>
          </cell>
          <cell r="B500" t="str">
            <v>Femmes</v>
          </cell>
          <cell r="C500" t="str">
            <v>5</v>
          </cell>
          <cell r="D500" t="str">
            <v>Mono-pensionné FP</v>
          </cell>
          <cell r="O500">
            <v>0</v>
          </cell>
          <cell r="P500">
            <v>19.047619047619001</v>
          </cell>
          <cell r="Q500">
            <v>14.285714285714301</v>
          </cell>
          <cell r="R500">
            <v>66.6666666666667</v>
          </cell>
          <cell r="S500">
            <v>0</v>
          </cell>
          <cell r="T500">
            <v>0</v>
          </cell>
        </row>
        <row r="501">
          <cell r="A501">
            <v>1990</v>
          </cell>
          <cell r="B501" t="str">
            <v>Femmes</v>
          </cell>
          <cell r="C501" t="str">
            <v>5</v>
          </cell>
          <cell r="D501" t="str">
            <v>Mono-pensionné Lura</v>
          </cell>
          <cell r="O501">
            <v>0</v>
          </cell>
          <cell r="P501">
            <v>14.5695364238411</v>
          </cell>
          <cell r="Q501">
            <v>13.9072847682119</v>
          </cell>
          <cell r="R501">
            <v>64.238410596026498</v>
          </cell>
          <cell r="S501">
            <v>1.32450331125828</v>
          </cell>
          <cell r="T501">
            <v>5.9602649006622501</v>
          </cell>
        </row>
        <row r="502">
          <cell r="A502">
            <v>1990</v>
          </cell>
          <cell r="B502" t="str">
            <v>Femmes</v>
          </cell>
          <cell r="C502" t="str">
            <v>5</v>
          </cell>
          <cell r="D502" t="str">
            <v>Polypensionné Lura/FP</v>
          </cell>
          <cell r="O502">
            <v>0</v>
          </cell>
          <cell r="P502">
            <v>6.8965517241379297</v>
          </cell>
          <cell r="Q502">
            <v>24.137931034482801</v>
          </cell>
          <cell r="R502">
            <v>62.068965517241402</v>
          </cell>
          <cell r="S502">
            <v>6.8965517241379297</v>
          </cell>
          <cell r="T502">
            <v>0</v>
          </cell>
        </row>
        <row r="503">
          <cell r="A503">
            <v>1990</v>
          </cell>
          <cell r="B503" t="str">
            <v>Hommes</v>
          </cell>
          <cell r="C503" t="str">
            <v>1</v>
          </cell>
          <cell r="D503" t="str">
            <v>Mono-pensionné FP</v>
          </cell>
          <cell r="O503">
            <v>0</v>
          </cell>
          <cell r="P503">
            <v>0</v>
          </cell>
          <cell r="Q503">
            <v>0</v>
          </cell>
          <cell r="R503">
            <v>100</v>
          </cell>
          <cell r="S503">
            <v>0</v>
          </cell>
          <cell r="T503">
            <v>0</v>
          </cell>
        </row>
        <row r="504">
          <cell r="A504">
            <v>1990</v>
          </cell>
          <cell r="B504" t="str">
            <v>Hommes</v>
          </cell>
          <cell r="C504" t="str">
            <v>1</v>
          </cell>
          <cell r="D504" t="str">
            <v>Mono-pensionné Lura</v>
          </cell>
          <cell r="O504">
            <v>0</v>
          </cell>
          <cell r="P504">
            <v>19.4444444444444</v>
          </cell>
          <cell r="Q504">
            <v>13.8888888888889</v>
          </cell>
          <cell r="R504">
            <v>56.9444444444444</v>
          </cell>
          <cell r="S504">
            <v>6.9444444444444402</v>
          </cell>
          <cell r="T504">
            <v>2.7777777777777799</v>
          </cell>
        </row>
        <row r="505">
          <cell r="A505">
            <v>1990</v>
          </cell>
          <cell r="B505" t="str">
            <v>Hommes</v>
          </cell>
          <cell r="C505" t="str">
            <v>1</v>
          </cell>
          <cell r="D505" t="str">
            <v>Polypensionné Lura/FP</v>
          </cell>
          <cell r="O505">
            <v>0</v>
          </cell>
          <cell r="P505">
            <v>20</v>
          </cell>
          <cell r="Q505">
            <v>13.3333333333333</v>
          </cell>
          <cell r="R505">
            <v>66.6666666666667</v>
          </cell>
          <cell r="S505">
            <v>0</v>
          </cell>
          <cell r="T505">
            <v>0</v>
          </cell>
        </row>
        <row r="506">
          <cell r="A506">
            <v>1990</v>
          </cell>
          <cell r="B506" t="str">
            <v>Hommes</v>
          </cell>
          <cell r="C506" t="str">
            <v>2</v>
          </cell>
          <cell r="D506" t="str">
            <v>Mono-pensionné FP</v>
          </cell>
          <cell r="O506">
            <v>0</v>
          </cell>
          <cell r="P506">
            <v>0</v>
          </cell>
          <cell r="Q506">
            <v>20</v>
          </cell>
          <cell r="R506">
            <v>80</v>
          </cell>
          <cell r="S506">
            <v>0</v>
          </cell>
          <cell r="T506">
            <v>0</v>
          </cell>
        </row>
        <row r="507">
          <cell r="A507">
            <v>1990</v>
          </cell>
          <cell r="B507" t="str">
            <v>Hommes</v>
          </cell>
          <cell r="C507" t="str">
            <v>2</v>
          </cell>
          <cell r="D507" t="str">
            <v>Mono-pensionné Lura</v>
          </cell>
          <cell r="O507">
            <v>0</v>
          </cell>
          <cell r="P507">
            <v>17.241379310344801</v>
          </cell>
          <cell r="Q507">
            <v>8.0459770114942497</v>
          </cell>
          <cell r="R507">
            <v>65.517241379310306</v>
          </cell>
          <cell r="S507">
            <v>4.5977011494252897</v>
          </cell>
          <cell r="T507">
            <v>4.5977011494252897</v>
          </cell>
        </row>
        <row r="508">
          <cell r="A508">
            <v>1990</v>
          </cell>
          <cell r="B508" t="str">
            <v>Hommes</v>
          </cell>
          <cell r="C508" t="str">
            <v>2</v>
          </cell>
          <cell r="D508" t="str">
            <v>Polypensionné Lura/FP</v>
          </cell>
          <cell r="O508">
            <v>0</v>
          </cell>
          <cell r="P508">
            <v>10.3448275862069</v>
          </cell>
          <cell r="Q508">
            <v>3.4482758620689702</v>
          </cell>
          <cell r="R508">
            <v>79.310344827586206</v>
          </cell>
          <cell r="S508">
            <v>6.8965517241379297</v>
          </cell>
          <cell r="T508">
            <v>0</v>
          </cell>
        </row>
        <row r="509">
          <cell r="A509">
            <v>1990</v>
          </cell>
          <cell r="B509" t="str">
            <v>Hommes</v>
          </cell>
          <cell r="C509" t="str">
            <v>3</v>
          </cell>
          <cell r="D509" t="str">
            <v>Mono-pensionné FP</v>
          </cell>
          <cell r="O509">
            <v>0</v>
          </cell>
          <cell r="P509">
            <v>16.6666666666667</v>
          </cell>
          <cell r="Q509">
            <v>0</v>
          </cell>
          <cell r="R509">
            <v>66.6666666666667</v>
          </cell>
          <cell r="S509">
            <v>0</v>
          </cell>
          <cell r="T509">
            <v>16.6666666666667</v>
          </cell>
        </row>
        <row r="510">
          <cell r="A510">
            <v>1990</v>
          </cell>
          <cell r="B510" t="str">
            <v>Hommes</v>
          </cell>
          <cell r="C510" t="str">
            <v>3</v>
          </cell>
          <cell r="D510" t="str">
            <v>Mono-pensionné Lura</v>
          </cell>
          <cell r="O510">
            <v>0</v>
          </cell>
          <cell r="P510">
            <v>9.1954022988505706</v>
          </cell>
          <cell r="Q510">
            <v>11.4942528735632</v>
          </cell>
          <cell r="R510">
            <v>67.816091954022994</v>
          </cell>
          <cell r="S510">
            <v>5.7471264367816097</v>
          </cell>
          <cell r="T510">
            <v>5.7471264367816097</v>
          </cell>
        </row>
        <row r="511">
          <cell r="A511">
            <v>1990</v>
          </cell>
          <cell r="B511" t="str">
            <v>Hommes</v>
          </cell>
          <cell r="C511" t="str">
            <v>3</v>
          </cell>
          <cell r="D511" t="str">
            <v>Polypensionné Lura/FP</v>
          </cell>
          <cell r="O511">
            <v>0</v>
          </cell>
          <cell r="P511">
            <v>6.8965517241379297</v>
          </cell>
          <cell r="Q511">
            <v>10.3448275862069</v>
          </cell>
          <cell r="R511">
            <v>62.068965517241402</v>
          </cell>
          <cell r="S511">
            <v>13.7931034482759</v>
          </cell>
          <cell r="T511">
            <v>6.8965517241379297</v>
          </cell>
        </row>
        <row r="512">
          <cell r="A512">
            <v>1990</v>
          </cell>
          <cell r="B512" t="str">
            <v>Hommes</v>
          </cell>
          <cell r="C512" t="str">
            <v>4</v>
          </cell>
          <cell r="D512" t="str">
            <v>Mono-pensionné FP</v>
          </cell>
          <cell r="O512">
            <v>0</v>
          </cell>
          <cell r="P512">
            <v>33.3333333333333</v>
          </cell>
          <cell r="Q512">
            <v>0</v>
          </cell>
          <cell r="R512">
            <v>66.6666666666667</v>
          </cell>
          <cell r="S512">
            <v>0</v>
          </cell>
          <cell r="T512">
            <v>0</v>
          </cell>
        </row>
        <row r="513">
          <cell r="A513">
            <v>1990</v>
          </cell>
          <cell r="B513" t="str">
            <v>Hommes</v>
          </cell>
          <cell r="C513" t="str">
            <v>4</v>
          </cell>
          <cell r="D513" t="str">
            <v>Mono-pensionné Lura</v>
          </cell>
          <cell r="O513">
            <v>0</v>
          </cell>
          <cell r="P513">
            <v>11.4942528735632</v>
          </cell>
          <cell r="Q513">
            <v>11.4942528735632</v>
          </cell>
          <cell r="R513">
            <v>57.471264367816097</v>
          </cell>
          <cell r="S513">
            <v>8.0459770114942497</v>
          </cell>
          <cell r="T513">
            <v>11.4942528735632</v>
          </cell>
        </row>
        <row r="514">
          <cell r="A514">
            <v>1990</v>
          </cell>
          <cell r="B514" t="str">
            <v>Hommes</v>
          </cell>
          <cell r="C514" t="str">
            <v>4</v>
          </cell>
          <cell r="D514" t="str">
            <v>Polypensionné Lura/FP</v>
          </cell>
          <cell r="O514">
            <v>0</v>
          </cell>
          <cell r="P514">
            <v>10.714285714285699</v>
          </cell>
          <cell r="Q514">
            <v>10.714285714285699</v>
          </cell>
          <cell r="R514">
            <v>53.571428571428598</v>
          </cell>
          <cell r="S514">
            <v>21.428571428571399</v>
          </cell>
          <cell r="T514">
            <v>3.5714285714285698</v>
          </cell>
        </row>
        <row r="515">
          <cell r="A515">
            <v>1990</v>
          </cell>
          <cell r="B515" t="str">
            <v>Hommes</v>
          </cell>
          <cell r="C515" t="str">
            <v>5</v>
          </cell>
          <cell r="D515" t="str">
            <v>Mono-pensionné FP</v>
          </cell>
          <cell r="O515">
            <v>0</v>
          </cell>
          <cell r="P515">
            <v>22.2222222222222</v>
          </cell>
          <cell r="Q515">
            <v>11.1111111111111</v>
          </cell>
          <cell r="R515">
            <v>66.6666666666667</v>
          </cell>
          <cell r="S515">
            <v>0</v>
          </cell>
          <cell r="T515">
            <v>0</v>
          </cell>
        </row>
        <row r="516">
          <cell r="A516">
            <v>1990</v>
          </cell>
          <cell r="B516" t="str">
            <v>Hommes</v>
          </cell>
          <cell r="C516" t="str">
            <v>5</v>
          </cell>
          <cell r="D516" t="str">
            <v>Mono-pensionné Lura</v>
          </cell>
          <cell r="O516">
            <v>0</v>
          </cell>
          <cell r="P516">
            <v>6.9767441860465098</v>
          </cell>
          <cell r="Q516">
            <v>11.6279069767442</v>
          </cell>
          <cell r="R516">
            <v>68.604651162790702</v>
          </cell>
          <cell r="S516">
            <v>3.4883720930232598</v>
          </cell>
          <cell r="T516">
            <v>9.3023255813953494</v>
          </cell>
        </row>
        <row r="517">
          <cell r="A517">
            <v>1990</v>
          </cell>
          <cell r="B517" t="str">
            <v>Hommes</v>
          </cell>
          <cell r="C517" t="str">
            <v>5</v>
          </cell>
          <cell r="D517" t="str">
            <v>Polypensionné Lura/FP</v>
          </cell>
          <cell r="O517">
            <v>0</v>
          </cell>
          <cell r="P517">
            <v>12.5</v>
          </cell>
          <cell r="Q517">
            <v>9.375</v>
          </cell>
          <cell r="R517">
            <v>65.625</v>
          </cell>
          <cell r="S517">
            <v>12.5</v>
          </cell>
          <cell r="T517">
            <v>0</v>
          </cell>
        </row>
        <row r="518">
          <cell r="A518">
            <v>1996</v>
          </cell>
          <cell r="B518" t="str">
            <v>Femmes</v>
          </cell>
          <cell r="C518" t="str">
            <v>1</v>
          </cell>
          <cell r="D518" t="str">
            <v>Mono-pensionné FP</v>
          </cell>
          <cell r="O518">
            <v>0</v>
          </cell>
          <cell r="P518">
            <v>16.6666666666667</v>
          </cell>
          <cell r="Q518">
            <v>16.6666666666667</v>
          </cell>
          <cell r="R518">
            <v>66.6666666666667</v>
          </cell>
          <cell r="S518">
            <v>0</v>
          </cell>
          <cell r="T518">
            <v>0</v>
          </cell>
        </row>
        <row r="519">
          <cell r="A519">
            <v>1996</v>
          </cell>
          <cell r="B519" t="str">
            <v>Femmes</v>
          </cell>
          <cell r="C519" t="str">
            <v>1</v>
          </cell>
          <cell r="D519" t="str">
            <v>Mono-pensionné Lura</v>
          </cell>
          <cell r="O519">
            <v>0</v>
          </cell>
          <cell r="P519">
            <v>18.0555555555556</v>
          </cell>
          <cell r="Q519">
            <v>6.25</v>
          </cell>
          <cell r="R519">
            <v>62.5</v>
          </cell>
          <cell r="S519">
            <v>11.8055555555556</v>
          </cell>
          <cell r="T519">
            <v>1.3888888888888899</v>
          </cell>
        </row>
        <row r="520">
          <cell r="A520">
            <v>1996</v>
          </cell>
          <cell r="B520" t="str">
            <v>Femmes</v>
          </cell>
          <cell r="C520" t="str">
            <v>1</v>
          </cell>
          <cell r="D520" t="str">
            <v>Polypensionné Lura/FP</v>
          </cell>
          <cell r="O520">
            <v>0</v>
          </cell>
          <cell r="P520">
            <v>24</v>
          </cell>
          <cell r="Q520">
            <v>8</v>
          </cell>
          <cell r="R520">
            <v>60</v>
          </cell>
          <cell r="S520">
            <v>8</v>
          </cell>
          <cell r="T520">
            <v>0</v>
          </cell>
        </row>
        <row r="521">
          <cell r="A521">
            <v>1996</v>
          </cell>
          <cell r="B521" t="str">
            <v>Femmes</v>
          </cell>
          <cell r="C521" t="str">
            <v>2</v>
          </cell>
          <cell r="D521" t="str">
            <v>Mono-pensionné FP</v>
          </cell>
          <cell r="O521">
            <v>0</v>
          </cell>
          <cell r="P521">
            <v>0</v>
          </cell>
          <cell r="Q521">
            <v>33.3333333333333</v>
          </cell>
          <cell r="R521">
            <v>66.6666666666667</v>
          </cell>
          <cell r="S521">
            <v>0</v>
          </cell>
          <cell r="T521">
            <v>0</v>
          </cell>
        </row>
        <row r="522">
          <cell r="A522">
            <v>1996</v>
          </cell>
          <cell r="B522" t="str">
            <v>Femmes</v>
          </cell>
          <cell r="C522" t="str">
            <v>2</v>
          </cell>
          <cell r="D522" t="str">
            <v>Mono-pensionné Lura</v>
          </cell>
          <cell r="O522">
            <v>0</v>
          </cell>
          <cell r="P522">
            <v>8.5526315789473699</v>
          </cell>
          <cell r="Q522">
            <v>8.5526315789473699</v>
          </cell>
          <cell r="R522">
            <v>69.078947368421098</v>
          </cell>
          <cell r="S522">
            <v>11.842105263157899</v>
          </cell>
          <cell r="T522">
            <v>1.9736842105263199</v>
          </cell>
        </row>
        <row r="523">
          <cell r="A523">
            <v>1996</v>
          </cell>
          <cell r="B523" t="str">
            <v>Femmes</v>
          </cell>
          <cell r="C523" t="str">
            <v>2</v>
          </cell>
          <cell r="D523" t="str">
            <v>Polypensionné Lura/FP</v>
          </cell>
          <cell r="O523">
            <v>0</v>
          </cell>
          <cell r="P523">
            <v>7.6923076923076898</v>
          </cell>
          <cell r="Q523">
            <v>19.230769230769202</v>
          </cell>
          <cell r="R523">
            <v>73.076923076923094</v>
          </cell>
          <cell r="S523">
            <v>0</v>
          </cell>
          <cell r="T523">
            <v>0</v>
          </cell>
        </row>
        <row r="524">
          <cell r="A524">
            <v>1996</v>
          </cell>
          <cell r="B524" t="str">
            <v>Femmes</v>
          </cell>
          <cell r="C524" t="str">
            <v>3</v>
          </cell>
          <cell r="D524" t="str">
            <v>Mono-pensionné FP</v>
          </cell>
          <cell r="O524">
            <v>0</v>
          </cell>
          <cell r="P524">
            <v>0</v>
          </cell>
          <cell r="Q524">
            <v>10</v>
          </cell>
          <cell r="R524">
            <v>90</v>
          </cell>
          <cell r="S524">
            <v>0</v>
          </cell>
          <cell r="T524">
            <v>0</v>
          </cell>
        </row>
        <row r="525">
          <cell r="A525">
            <v>1996</v>
          </cell>
          <cell r="B525" t="str">
            <v>Femmes</v>
          </cell>
          <cell r="C525" t="str">
            <v>3</v>
          </cell>
          <cell r="D525" t="str">
            <v>Mono-pensionné Lura</v>
          </cell>
          <cell r="O525">
            <v>0</v>
          </cell>
          <cell r="P525">
            <v>14.285714285714301</v>
          </cell>
          <cell r="Q525">
            <v>11.4285714285714</v>
          </cell>
          <cell r="R525">
            <v>61.142857142857103</v>
          </cell>
          <cell r="S525">
            <v>9.1428571428571406</v>
          </cell>
          <cell r="T525">
            <v>4</v>
          </cell>
        </row>
        <row r="526">
          <cell r="A526">
            <v>1996</v>
          </cell>
          <cell r="B526" t="str">
            <v>Femmes</v>
          </cell>
          <cell r="C526" t="str">
            <v>3</v>
          </cell>
          <cell r="D526" t="str">
            <v>Polypensionné Lura/FP</v>
          </cell>
          <cell r="O526">
            <v>0</v>
          </cell>
          <cell r="P526">
            <v>24.2424242424242</v>
          </cell>
          <cell r="Q526">
            <v>6.0606060606060597</v>
          </cell>
          <cell r="R526">
            <v>60.606060606060602</v>
          </cell>
          <cell r="S526">
            <v>3.0303030303030298</v>
          </cell>
          <cell r="T526">
            <v>6.0606060606060597</v>
          </cell>
        </row>
        <row r="527">
          <cell r="A527">
            <v>1996</v>
          </cell>
          <cell r="B527" t="str">
            <v>Femmes</v>
          </cell>
          <cell r="C527" t="str">
            <v>4</v>
          </cell>
          <cell r="D527" t="str">
            <v>Mono-pensionné FP</v>
          </cell>
          <cell r="O527">
            <v>0</v>
          </cell>
          <cell r="P527">
            <v>20</v>
          </cell>
          <cell r="Q527">
            <v>0</v>
          </cell>
          <cell r="R527">
            <v>80</v>
          </cell>
          <cell r="S527">
            <v>0</v>
          </cell>
          <cell r="T527">
            <v>0</v>
          </cell>
        </row>
        <row r="528">
          <cell r="A528">
            <v>1996</v>
          </cell>
          <cell r="B528" t="str">
            <v>Femmes</v>
          </cell>
          <cell r="C528" t="str">
            <v>4</v>
          </cell>
          <cell r="D528" t="str">
            <v>Mono-pensionné Lura</v>
          </cell>
          <cell r="O528">
            <v>0</v>
          </cell>
          <cell r="P528">
            <v>8.9385474860335208</v>
          </cell>
          <cell r="Q528">
            <v>15.083798882681601</v>
          </cell>
          <cell r="R528">
            <v>66.480446927374302</v>
          </cell>
          <cell r="S528">
            <v>7.2625698324022299</v>
          </cell>
          <cell r="T528">
            <v>2.2346368715083802</v>
          </cell>
        </row>
        <row r="529">
          <cell r="A529">
            <v>1996</v>
          </cell>
          <cell r="B529" t="str">
            <v>Femmes</v>
          </cell>
          <cell r="C529" t="str">
            <v>4</v>
          </cell>
          <cell r="D529" t="str">
            <v>Polypensionné Lura/FP</v>
          </cell>
          <cell r="O529">
            <v>0</v>
          </cell>
          <cell r="P529">
            <v>7.8947368421052602</v>
          </cell>
          <cell r="Q529">
            <v>10.526315789473699</v>
          </cell>
          <cell r="R529">
            <v>68.421052631578902</v>
          </cell>
          <cell r="S529">
            <v>10.526315789473699</v>
          </cell>
          <cell r="T529">
            <v>2.6315789473684199</v>
          </cell>
        </row>
        <row r="530">
          <cell r="A530">
            <v>1996</v>
          </cell>
          <cell r="B530" t="str">
            <v>Femmes</v>
          </cell>
          <cell r="C530" t="str">
            <v>5</v>
          </cell>
          <cell r="D530" t="str">
            <v>Mono-pensionné FP</v>
          </cell>
          <cell r="O530">
            <v>0</v>
          </cell>
          <cell r="P530">
            <v>18.181818181818201</v>
          </cell>
          <cell r="Q530">
            <v>9.0909090909090899</v>
          </cell>
          <cell r="R530">
            <v>72.727272727272705</v>
          </cell>
          <cell r="S530">
            <v>0</v>
          </cell>
          <cell r="T530">
            <v>0</v>
          </cell>
        </row>
        <row r="531">
          <cell r="A531">
            <v>1996</v>
          </cell>
          <cell r="B531" t="str">
            <v>Femmes</v>
          </cell>
          <cell r="C531" t="str">
            <v>5</v>
          </cell>
          <cell r="D531" t="str">
            <v>Mono-pensionné Lura</v>
          </cell>
          <cell r="O531">
            <v>0</v>
          </cell>
          <cell r="P531">
            <v>10.0529100529101</v>
          </cell>
          <cell r="Q531">
            <v>12.1693121693122</v>
          </cell>
          <cell r="R531">
            <v>63.492063492063501</v>
          </cell>
          <cell r="S531">
            <v>7.9365079365079403</v>
          </cell>
          <cell r="T531">
            <v>6.3492063492063497</v>
          </cell>
        </row>
        <row r="532">
          <cell r="A532">
            <v>1996</v>
          </cell>
          <cell r="B532" t="str">
            <v>Femmes</v>
          </cell>
          <cell r="C532" t="str">
            <v>5</v>
          </cell>
          <cell r="D532" t="str">
            <v>Polypensionné Lura/FP</v>
          </cell>
          <cell r="O532">
            <v>0</v>
          </cell>
          <cell r="P532">
            <v>6.0606060606060597</v>
          </cell>
          <cell r="Q532">
            <v>18.181818181818201</v>
          </cell>
          <cell r="R532">
            <v>63.636363636363598</v>
          </cell>
          <cell r="S532">
            <v>3.0303030303030298</v>
          </cell>
          <cell r="T532">
            <v>9.0909090909090899</v>
          </cell>
        </row>
        <row r="533">
          <cell r="A533">
            <v>1996</v>
          </cell>
          <cell r="B533" t="str">
            <v>Hommes</v>
          </cell>
          <cell r="C533" t="str">
            <v>1</v>
          </cell>
          <cell r="D533" t="str">
            <v>Mono-pensionné FP</v>
          </cell>
          <cell r="O533">
            <v>0</v>
          </cell>
          <cell r="P533">
            <v>0</v>
          </cell>
          <cell r="Q533">
            <v>0</v>
          </cell>
          <cell r="R533">
            <v>100</v>
          </cell>
          <cell r="S533">
            <v>0</v>
          </cell>
          <cell r="T533">
            <v>0</v>
          </cell>
        </row>
        <row r="534">
          <cell r="A534">
            <v>1996</v>
          </cell>
          <cell r="B534" t="str">
            <v>Hommes</v>
          </cell>
          <cell r="C534" t="str">
            <v>1</v>
          </cell>
          <cell r="D534" t="str">
            <v>Mono-pensionné Lura</v>
          </cell>
          <cell r="O534">
            <v>0</v>
          </cell>
          <cell r="P534">
            <v>12.5</v>
          </cell>
          <cell r="Q534">
            <v>12.5</v>
          </cell>
          <cell r="R534">
            <v>68.0555555555556</v>
          </cell>
          <cell r="S534">
            <v>2.7777777777777799</v>
          </cell>
          <cell r="T534">
            <v>4.1666666666666696</v>
          </cell>
        </row>
        <row r="535">
          <cell r="A535">
            <v>1996</v>
          </cell>
          <cell r="B535" t="str">
            <v>Hommes</v>
          </cell>
          <cell r="C535" t="str">
            <v>1</v>
          </cell>
          <cell r="D535" t="str">
            <v>Polypensionné Lura/FP</v>
          </cell>
          <cell r="O535">
            <v>0</v>
          </cell>
          <cell r="P535">
            <v>4.5454545454545503</v>
          </cell>
          <cell r="Q535">
            <v>13.636363636363599</v>
          </cell>
          <cell r="R535">
            <v>68.181818181818201</v>
          </cell>
          <cell r="S535">
            <v>9.0909090909090899</v>
          </cell>
          <cell r="T535">
            <v>4.5454545454545503</v>
          </cell>
        </row>
        <row r="536">
          <cell r="A536">
            <v>1996</v>
          </cell>
          <cell r="B536" t="str">
            <v>Hommes</v>
          </cell>
          <cell r="C536" t="str">
            <v>2</v>
          </cell>
          <cell r="D536" t="str">
            <v>Mono-pensionné FP</v>
          </cell>
          <cell r="O536">
            <v>0</v>
          </cell>
          <cell r="P536">
            <v>0</v>
          </cell>
          <cell r="Q536">
            <v>0</v>
          </cell>
          <cell r="R536">
            <v>100</v>
          </cell>
          <cell r="S536">
            <v>0</v>
          </cell>
          <cell r="T536">
            <v>0</v>
          </cell>
        </row>
        <row r="537">
          <cell r="A537">
            <v>1996</v>
          </cell>
          <cell r="B537" t="str">
            <v>Hommes</v>
          </cell>
          <cell r="C537" t="str">
            <v>2</v>
          </cell>
          <cell r="D537" t="str">
            <v>Mono-pensionné Lura</v>
          </cell>
          <cell r="O537">
            <v>0</v>
          </cell>
          <cell r="P537">
            <v>17.647058823529399</v>
          </cell>
          <cell r="Q537">
            <v>5.8823529411764701</v>
          </cell>
          <cell r="R537">
            <v>65.882352941176507</v>
          </cell>
          <cell r="S537">
            <v>3.52941176470588</v>
          </cell>
          <cell r="T537">
            <v>7.0588235294117601</v>
          </cell>
        </row>
        <row r="538">
          <cell r="A538">
            <v>1996</v>
          </cell>
          <cell r="B538" t="str">
            <v>Hommes</v>
          </cell>
          <cell r="C538" t="str">
            <v>2</v>
          </cell>
          <cell r="D538" t="str">
            <v>Polypensionné Lura/FP</v>
          </cell>
          <cell r="O538">
            <v>0</v>
          </cell>
          <cell r="P538">
            <v>7.6923076923076898</v>
          </cell>
          <cell r="Q538">
            <v>7.6923076923076898</v>
          </cell>
          <cell r="R538">
            <v>73.076923076923094</v>
          </cell>
          <cell r="S538">
            <v>11.538461538461499</v>
          </cell>
          <cell r="T538">
            <v>0</v>
          </cell>
        </row>
        <row r="539">
          <cell r="A539">
            <v>1996</v>
          </cell>
          <cell r="B539" t="str">
            <v>Hommes</v>
          </cell>
          <cell r="C539" t="str">
            <v>3</v>
          </cell>
          <cell r="D539" t="str">
            <v>Mono-pensionné FP</v>
          </cell>
          <cell r="O539">
            <v>0</v>
          </cell>
          <cell r="P539">
            <v>14.285714285714301</v>
          </cell>
          <cell r="Q539">
            <v>0</v>
          </cell>
          <cell r="R539">
            <v>85.714285714285694</v>
          </cell>
          <cell r="S539">
            <v>0</v>
          </cell>
          <cell r="T539">
            <v>0</v>
          </cell>
        </row>
        <row r="540">
          <cell r="A540">
            <v>1996</v>
          </cell>
          <cell r="B540" t="str">
            <v>Hommes</v>
          </cell>
          <cell r="C540" t="str">
            <v>3</v>
          </cell>
          <cell r="D540" t="str">
            <v>Mono-pensionné Lura</v>
          </cell>
          <cell r="O540">
            <v>0</v>
          </cell>
          <cell r="P540">
            <v>15.2173913043478</v>
          </cell>
          <cell r="Q540">
            <v>7.6086956521739104</v>
          </cell>
          <cell r="R540">
            <v>68.478260869565204</v>
          </cell>
          <cell r="S540">
            <v>4.3478260869565197</v>
          </cell>
          <cell r="T540">
            <v>4.3478260869565197</v>
          </cell>
        </row>
        <row r="541">
          <cell r="A541">
            <v>1996</v>
          </cell>
          <cell r="B541" t="str">
            <v>Hommes</v>
          </cell>
          <cell r="C541" t="str">
            <v>3</v>
          </cell>
          <cell r="D541" t="str">
            <v>Polypensionné Lura/FP</v>
          </cell>
          <cell r="O541">
            <v>0</v>
          </cell>
          <cell r="P541">
            <v>0</v>
          </cell>
          <cell r="Q541">
            <v>10.526315789473699</v>
          </cell>
          <cell r="R541">
            <v>84.210526315789494</v>
          </cell>
          <cell r="S541">
            <v>5.2631578947368398</v>
          </cell>
          <cell r="T541">
            <v>0</v>
          </cell>
        </row>
        <row r="542">
          <cell r="A542">
            <v>1996</v>
          </cell>
          <cell r="B542" t="str">
            <v>Hommes</v>
          </cell>
          <cell r="C542" t="str">
            <v>4</v>
          </cell>
          <cell r="D542" t="str">
            <v>Mono-pensionné FP</v>
          </cell>
          <cell r="O542">
            <v>0</v>
          </cell>
          <cell r="P542">
            <v>12.5</v>
          </cell>
          <cell r="Q542">
            <v>0</v>
          </cell>
          <cell r="R542">
            <v>87.5</v>
          </cell>
          <cell r="S542">
            <v>0</v>
          </cell>
          <cell r="T542">
            <v>0</v>
          </cell>
        </row>
        <row r="543">
          <cell r="A543">
            <v>1996</v>
          </cell>
          <cell r="B543" t="str">
            <v>Hommes</v>
          </cell>
          <cell r="C543" t="str">
            <v>4</v>
          </cell>
          <cell r="D543" t="str">
            <v>Mono-pensionné Lura</v>
          </cell>
          <cell r="O543">
            <v>0</v>
          </cell>
          <cell r="P543">
            <v>8.3333333333333304</v>
          </cell>
          <cell r="Q543">
            <v>13.0952380952381</v>
          </cell>
          <cell r="R543">
            <v>66.6666666666667</v>
          </cell>
          <cell r="S543">
            <v>1.19047619047619</v>
          </cell>
          <cell r="T543">
            <v>10.714285714285699</v>
          </cell>
        </row>
        <row r="544">
          <cell r="A544">
            <v>1996</v>
          </cell>
          <cell r="B544" t="str">
            <v>Hommes</v>
          </cell>
          <cell r="C544" t="str">
            <v>4</v>
          </cell>
          <cell r="D544" t="str">
            <v>Polypensionné Lura/FP</v>
          </cell>
          <cell r="O544">
            <v>0</v>
          </cell>
          <cell r="P544">
            <v>18.181818181818201</v>
          </cell>
          <cell r="Q544">
            <v>15.1515151515152</v>
          </cell>
          <cell r="R544">
            <v>63.636363636363598</v>
          </cell>
          <cell r="S544">
            <v>0</v>
          </cell>
          <cell r="T544">
            <v>3.0303030303030298</v>
          </cell>
        </row>
        <row r="545">
          <cell r="A545">
            <v>1996</v>
          </cell>
          <cell r="B545" t="str">
            <v>Hommes</v>
          </cell>
          <cell r="C545" t="str">
            <v>5</v>
          </cell>
          <cell r="D545" t="str">
            <v>Mono-pensionné FP</v>
          </cell>
          <cell r="O545">
            <v>0</v>
          </cell>
          <cell r="P545">
            <v>33.3333333333333</v>
          </cell>
          <cell r="Q545">
            <v>0</v>
          </cell>
          <cell r="R545">
            <v>66.6666666666667</v>
          </cell>
          <cell r="S545">
            <v>0</v>
          </cell>
          <cell r="T545">
            <v>0</v>
          </cell>
        </row>
        <row r="546">
          <cell r="A546">
            <v>1996</v>
          </cell>
          <cell r="B546" t="str">
            <v>Hommes</v>
          </cell>
          <cell r="C546" t="str">
            <v>5</v>
          </cell>
          <cell r="D546" t="str">
            <v>Mono-pensionné Lura</v>
          </cell>
          <cell r="O546">
            <v>0</v>
          </cell>
          <cell r="P546">
            <v>10.526315789473699</v>
          </cell>
          <cell r="Q546">
            <v>10.526315789473699</v>
          </cell>
          <cell r="R546">
            <v>61.842105263157897</v>
          </cell>
          <cell r="S546">
            <v>5.2631578947368398</v>
          </cell>
          <cell r="T546">
            <v>11.842105263157899</v>
          </cell>
        </row>
        <row r="547">
          <cell r="A547">
            <v>1996</v>
          </cell>
          <cell r="B547" t="str">
            <v>Hommes</v>
          </cell>
          <cell r="C547" t="str">
            <v>5</v>
          </cell>
          <cell r="D547" t="str">
            <v>Polypensionné Lura/FP</v>
          </cell>
          <cell r="O547">
            <v>0</v>
          </cell>
          <cell r="P547">
            <v>20</v>
          </cell>
          <cell r="Q547">
            <v>8.5714285714285694</v>
          </cell>
          <cell r="R547">
            <v>60</v>
          </cell>
          <cell r="S547">
            <v>2.8571428571428599</v>
          </cell>
          <cell r="T547">
            <v>8.5714285714285694</v>
          </cell>
        </row>
        <row r="548">
          <cell r="A548">
            <v>2000</v>
          </cell>
          <cell r="B548" t="str">
            <v>Femmes</v>
          </cell>
          <cell r="C548" t="str">
            <v>1</v>
          </cell>
          <cell r="D548" t="str">
            <v>Mono-pensionné FP</v>
          </cell>
          <cell r="O548">
            <v>0</v>
          </cell>
          <cell r="P548">
            <v>33.3333333333333</v>
          </cell>
          <cell r="Q548">
            <v>33.3333333333333</v>
          </cell>
          <cell r="R548">
            <v>33.3333333333333</v>
          </cell>
          <cell r="S548">
            <v>0</v>
          </cell>
          <cell r="T548">
            <v>0</v>
          </cell>
        </row>
        <row r="549">
          <cell r="A549">
            <v>2000</v>
          </cell>
          <cell r="B549" t="str">
            <v>Femmes</v>
          </cell>
          <cell r="C549" t="str">
            <v>1</v>
          </cell>
          <cell r="D549" t="str">
            <v>Mono-pensionné Lura</v>
          </cell>
          <cell r="O549">
            <v>0</v>
          </cell>
          <cell r="P549">
            <v>11.188811188811201</v>
          </cell>
          <cell r="Q549">
            <v>6.9930069930069898</v>
          </cell>
          <cell r="R549">
            <v>71.328671328671305</v>
          </cell>
          <cell r="S549">
            <v>7.6923076923076898</v>
          </cell>
          <cell r="T549">
            <v>2.7972027972028002</v>
          </cell>
        </row>
        <row r="550">
          <cell r="A550">
            <v>2000</v>
          </cell>
          <cell r="B550" t="str">
            <v>Femmes</v>
          </cell>
          <cell r="C550" t="str">
            <v>1</v>
          </cell>
          <cell r="D550" t="str">
            <v>Polypensionné Lura/FP</v>
          </cell>
          <cell r="O550">
            <v>0</v>
          </cell>
          <cell r="P550">
            <v>4.1666666666666696</v>
          </cell>
          <cell r="Q550">
            <v>4.1666666666666696</v>
          </cell>
          <cell r="R550">
            <v>79.1666666666667</v>
          </cell>
          <cell r="S550">
            <v>8.3333333333333304</v>
          </cell>
          <cell r="T550">
            <v>4.1666666666666696</v>
          </cell>
        </row>
        <row r="551">
          <cell r="A551">
            <v>2000</v>
          </cell>
          <cell r="B551" t="str">
            <v>Femmes</v>
          </cell>
          <cell r="C551" t="str">
            <v>2</v>
          </cell>
          <cell r="D551" t="str">
            <v>Mono-pensionné FP</v>
          </cell>
          <cell r="O551">
            <v>0</v>
          </cell>
          <cell r="P551">
            <v>0</v>
          </cell>
          <cell r="Q551">
            <v>0</v>
          </cell>
          <cell r="R551">
            <v>66.6666666666667</v>
          </cell>
          <cell r="S551">
            <v>0</v>
          </cell>
          <cell r="T551">
            <v>33.3333333333333</v>
          </cell>
        </row>
        <row r="552">
          <cell r="A552">
            <v>2000</v>
          </cell>
          <cell r="B552" t="str">
            <v>Femmes</v>
          </cell>
          <cell r="C552" t="str">
            <v>2</v>
          </cell>
          <cell r="D552" t="str">
            <v>Mono-pensionné Lura</v>
          </cell>
          <cell r="O552">
            <v>0</v>
          </cell>
          <cell r="P552">
            <v>12.1387283236994</v>
          </cell>
          <cell r="Q552">
            <v>10.4046242774566</v>
          </cell>
          <cell r="R552">
            <v>63.005780346820799</v>
          </cell>
          <cell r="S552">
            <v>10.9826589595376</v>
          </cell>
          <cell r="T552">
            <v>3.4682080924855501</v>
          </cell>
        </row>
        <row r="553">
          <cell r="A553">
            <v>2000</v>
          </cell>
          <cell r="B553" t="str">
            <v>Femmes</v>
          </cell>
          <cell r="C553" t="str">
            <v>2</v>
          </cell>
          <cell r="D553" t="str">
            <v>Polypensionné Lura/FP</v>
          </cell>
          <cell r="O553">
            <v>0</v>
          </cell>
          <cell r="P553">
            <v>6.8965517241379297</v>
          </cell>
          <cell r="Q553">
            <v>10.3448275862069</v>
          </cell>
          <cell r="R553">
            <v>72.413793103448299</v>
          </cell>
          <cell r="S553">
            <v>10.3448275862069</v>
          </cell>
          <cell r="T553">
            <v>0</v>
          </cell>
        </row>
        <row r="554">
          <cell r="A554">
            <v>2000</v>
          </cell>
          <cell r="B554" t="str">
            <v>Femmes</v>
          </cell>
          <cell r="C554" t="str">
            <v>3</v>
          </cell>
          <cell r="D554" t="str">
            <v>Mono-pensionné FP</v>
          </cell>
          <cell r="O554">
            <v>0</v>
          </cell>
          <cell r="P554">
            <v>20</v>
          </cell>
          <cell r="Q554">
            <v>20</v>
          </cell>
          <cell r="R554">
            <v>40</v>
          </cell>
          <cell r="S554">
            <v>0</v>
          </cell>
          <cell r="T554">
            <v>20</v>
          </cell>
        </row>
        <row r="555">
          <cell r="A555">
            <v>2000</v>
          </cell>
          <cell r="B555" t="str">
            <v>Femmes</v>
          </cell>
          <cell r="C555" t="str">
            <v>3</v>
          </cell>
          <cell r="D555" t="str">
            <v>Mono-pensionné Lura</v>
          </cell>
          <cell r="O555">
            <v>0</v>
          </cell>
          <cell r="P555">
            <v>13.3720930232558</v>
          </cell>
          <cell r="Q555">
            <v>10.4651162790698</v>
          </cell>
          <cell r="R555">
            <v>62.790697674418603</v>
          </cell>
          <cell r="S555">
            <v>11.046511627907</v>
          </cell>
          <cell r="T555">
            <v>2.32558139534884</v>
          </cell>
        </row>
        <row r="556">
          <cell r="A556">
            <v>2000</v>
          </cell>
          <cell r="B556" t="str">
            <v>Femmes</v>
          </cell>
          <cell r="C556" t="str">
            <v>3</v>
          </cell>
          <cell r="D556" t="str">
            <v>Polypensionné Lura/FP</v>
          </cell>
          <cell r="O556">
            <v>0</v>
          </cell>
          <cell r="P556">
            <v>8.1081081081081106</v>
          </cell>
          <cell r="Q556">
            <v>18.918918918918902</v>
          </cell>
          <cell r="R556">
            <v>54.054054054054099</v>
          </cell>
          <cell r="S556">
            <v>13.5135135135135</v>
          </cell>
          <cell r="T556">
            <v>5.4054054054054097</v>
          </cell>
        </row>
        <row r="557">
          <cell r="A557">
            <v>2000</v>
          </cell>
          <cell r="B557" t="str">
            <v>Femmes</v>
          </cell>
          <cell r="C557" t="str">
            <v>4</v>
          </cell>
          <cell r="D557" t="str">
            <v>Mono-pensionné FP</v>
          </cell>
          <cell r="O557">
            <v>0</v>
          </cell>
          <cell r="P557">
            <v>0</v>
          </cell>
          <cell r="Q557">
            <v>0</v>
          </cell>
          <cell r="R557">
            <v>100</v>
          </cell>
          <cell r="S557">
            <v>0</v>
          </cell>
          <cell r="T557">
            <v>0</v>
          </cell>
        </row>
        <row r="558">
          <cell r="A558">
            <v>2000</v>
          </cell>
          <cell r="B558" t="str">
            <v>Femmes</v>
          </cell>
          <cell r="C558" t="str">
            <v>4</v>
          </cell>
          <cell r="D558" t="str">
            <v>Mono-pensionné Lura</v>
          </cell>
          <cell r="O558">
            <v>0</v>
          </cell>
          <cell r="P558">
            <v>14.285714285714301</v>
          </cell>
          <cell r="Q558">
            <v>9.3406593406593394</v>
          </cell>
          <cell r="R558">
            <v>63.186813186813197</v>
          </cell>
          <cell r="S558">
            <v>9.3406593406593394</v>
          </cell>
          <cell r="T558">
            <v>3.8461538461538498</v>
          </cell>
        </row>
        <row r="559">
          <cell r="A559">
            <v>2000</v>
          </cell>
          <cell r="B559" t="str">
            <v>Femmes</v>
          </cell>
          <cell r="C559" t="str">
            <v>4</v>
          </cell>
          <cell r="D559" t="str">
            <v>Polypensionné Lura/FP</v>
          </cell>
          <cell r="O559">
            <v>0</v>
          </cell>
          <cell r="P559">
            <v>4.3478260869565197</v>
          </cell>
          <cell r="Q559">
            <v>13.0434782608696</v>
          </cell>
          <cell r="R559">
            <v>60.869565217391298</v>
          </cell>
          <cell r="S559">
            <v>17.3913043478261</v>
          </cell>
          <cell r="T559">
            <v>4.3478260869565197</v>
          </cell>
        </row>
        <row r="560">
          <cell r="A560">
            <v>2000</v>
          </cell>
          <cell r="B560" t="str">
            <v>Femmes</v>
          </cell>
          <cell r="C560" t="str">
            <v>5</v>
          </cell>
          <cell r="D560" t="str">
            <v>Mono-pensionné FP</v>
          </cell>
          <cell r="O560">
            <v>0</v>
          </cell>
          <cell r="P560">
            <v>16.6666666666667</v>
          </cell>
          <cell r="Q560">
            <v>16.6666666666667</v>
          </cell>
          <cell r="R560">
            <v>66.6666666666667</v>
          </cell>
          <cell r="S560">
            <v>0</v>
          </cell>
          <cell r="T560">
            <v>0</v>
          </cell>
        </row>
        <row r="561">
          <cell r="A561">
            <v>2000</v>
          </cell>
          <cell r="B561" t="str">
            <v>Femmes</v>
          </cell>
          <cell r="C561" t="str">
            <v>5</v>
          </cell>
          <cell r="D561" t="str">
            <v>Mono-pensionné Lura</v>
          </cell>
          <cell r="O561">
            <v>0</v>
          </cell>
          <cell r="P561">
            <v>7.1794871794871797</v>
          </cell>
          <cell r="Q561">
            <v>9.7435897435897392</v>
          </cell>
          <cell r="R561">
            <v>65.641025641025607</v>
          </cell>
          <cell r="S561">
            <v>7.1794871794871797</v>
          </cell>
          <cell r="T561">
            <v>10.2564102564103</v>
          </cell>
        </row>
        <row r="562">
          <cell r="A562">
            <v>2000</v>
          </cell>
          <cell r="B562" t="str">
            <v>Femmes</v>
          </cell>
          <cell r="C562" t="str">
            <v>5</v>
          </cell>
          <cell r="D562" t="str">
            <v>Polypensionné Lura/FP</v>
          </cell>
          <cell r="O562">
            <v>0</v>
          </cell>
          <cell r="P562">
            <v>16.129032258064498</v>
          </cell>
          <cell r="Q562">
            <v>9.67741935483871</v>
          </cell>
          <cell r="R562">
            <v>61.290322580645203</v>
          </cell>
          <cell r="S562">
            <v>3.2258064516128999</v>
          </cell>
          <cell r="T562">
            <v>9.67741935483871</v>
          </cell>
        </row>
        <row r="563">
          <cell r="A563">
            <v>2000</v>
          </cell>
          <cell r="B563" t="str">
            <v>Hommes</v>
          </cell>
          <cell r="C563" t="str">
            <v>1</v>
          </cell>
          <cell r="D563" t="str">
            <v>Mono-pensionné FP</v>
          </cell>
          <cell r="O563">
            <v>0</v>
          </cell>
          <cell r="P563">
            <v>0</v>
          </cell>
          <cell r="Q563">
            <v>0</v>
          </cell>
          <cell r="R563">
            <v>100</v>
          </cell>
          <cell r="S563">
            <v>0</v>
          </cell>
          <cell r="T563">
            <v>0</v>
          </cell>
        </row>
        <row r="564">
          <cell r="A564">
            <v>2000</v>
          </cell>
          <cell r="B564" t="str">
            <v>Hommes</v>
          </cell>
          <cell r="C564" t="str">
            <v>1</v>
          </cell>
          <cell r="D564" t="str">
            <v>Mono-pensionné Lura</v>
          </cell>
          <cell r="O564">
            <v>0</v>
          </cell>
          <cell r="P564">
            <v>12.2222222222222</v>
          </cell>
          <cell r="Q564">
            <v>10</v>
          </cell>
          <cell r="R564">
            <v>65.5555555555556</v>
          </cell>
          <cell r="S564">
            <v>6.6666666666666696</v>
          </cell>
          <cell r="T564">
            <v>5.5555555555555598</v>
          </cell>
        </row>
        <row r="565">
          <cell r="A565">
            <v>2000</v>
          </cell>
          <cell r="B565" t="str">
            <v>Hommes</v>
          </cell>
          <cell r="C565" t="str">
            <v>1</v>
          </cell>
          <cell r="D565" t="str">
            <v>Polypensionné Lura/FP</v>
          </cell>
          <cell r="O565">
            <v>0</v>
          </cell>
          <cell r="P565">
            <v>18.75</v>
          </cell>
          <cell r="Q565">
            <v>6.25</v>
          </cell>
          <cell r="R565">
            <v>62.5</v>
          </cell>
          <cell r="S565">
            <v>12.5</v>
          </cell>
          <cell r="T565">
            <v>0</v>
          </cell>
        </row>
        <row r="566">
          <cell r="A566">
            <v>2000</v>
          </cell>
          <cell r="B566" t="str">
            <v>Hommes</v>
          </cell>
          <cell r="C566" t="str">
            <v>2</v>
          </cell>
          <cell r="D566" t="str">
            <v>Mono-pensionné FP</v>
          </cell>
          <cell r="O566">
            <v>0</v>
          </cell>
          <cell r="P566">
            <v>25</v>
          </cell>
          <cell r="Q566">
            <v>0</v>
          </cell>
          <cell r="R566">
            <v>75</v>
          </cell>
          <cell r="S566">
            <v>0</v>
          </cell>
          <cell r="T566">
            <v>0</v>
          </cell>
        </row>
        <row r="567">
          <cell r="A567">
            <v>2000</v>
          </cell>
          <cell r="B567" t="str">
            <v>Hommes</v>
          </cell>
          <cell r="C567" t="str">
            <v>2</v>
          </cell>
          <cell r="D567" t="str">
            <v>Mono-pensionné Lura</v>
          </cell>
          <cell r="O567">
            <v>0</v>
          </cell>
          <cell r="P567">
            <v>14.6067415730337</v>
          </cell>
          <cell r="Q567">
            <v>6.7415730337078603</v>
          </cell>
          <cell r="R567">
            <v>66.2921348314607</v>
          </cell>
          <cell r="S567">
            <v>7.8651685393258397</v>
          </cell>
          <cell r="T567">
            <v>4.4943820224719104</v>
          </cell>
        </row>
        <row r="568">
          <cell r="A568">
            <v>2000</v>
          </cell>
          <cell r="B568" t="str">
            <v>Hommes</v>
          </cell>
          <cell r="C568" t="str">
            <v>2</v>
          </cell>
          <cell r="D568" t="str">
            <v>Polypensionné Lura/FP</v>
          </cell>
          <cell r="O568">
            <v>0</v>
          </cell>
          <cell r="P568">
            <v>5.8823529411764701</v>
          </cell>
          <cell r="Q568">
            <v>11.764705882352899</v>
          </cell>
          <cell r="R568">
            <v>67.647058823529406</v>
          </cell>
          <cell r="S568">
            <v>5.8823529411764701</v>
          </cell>
          <cell r="T568">
            <v>8.8235294117647101</v>
          </cell>
        </row>
        <row r="569">
          <cell r="A569">
            <v>2000</v>
          </cell>
          <cell r="B569" t="str">
            <v>Hommes</v>
          </cell>
          <cell r="C569" t="str">
            <v>3</v>
          </cell>
          <cell r="D569" t="str">
            <v>Mono-pensionné FP</v>
          </cell>
          <cell r="O569">
            <v>0</v>
          </cell>
          <cell r="P569">
            <v>16.6666666666667</v>
          </cell>
          <cell r="Q569">
            <v>0</v>
          </cell>
          <cell r="R569">
            <v>83.3333333333333</v>
          </cell>
          <cell r="S569">
            <v>0</v>
          </cell>
          <cell r="T569">
            <v>0</v>
          </cell>
        </row>
        <row r="570">
          <cell r="A570">
            <v>2000</v>
          </cell>
          <cell r="B570" t="str">
            <v>Hommes</v>
          </cell>
          <cell r="C570" t="str">
            <v>3</v>
          </cell>
          <cell r="D570" t="str">
            <v>Mono-pensionné Lura</v>
          </cell>
          <cell r="O570">
            <v>0</v>
          </cell>
          <cell r="P570">
            <v>14.130434782608701</v>
          </cell>
          <cell r="Q570">
            <v>13.0434782608696</v>
          </cell>
          <cell r="R570">
            <v>59.7826086956522</v>
          </cell>
          <cell r="S570">
            <v>9.7826086956521703</v>
          </cell>
          <cell r="T570">
            <v>3.2608695652173898</v>
          </cell>
        </row>
        <row r="571">
          <cell r="A571">
            <v>2000</v>
          </cell>
          <cell r="B571" t="str">
            <v>Hommes</v>
          </cell>
          <cell r="C571" t="str">
            <v>3</v>
          </cell>
          <cell r="D571" t="str">
            <v>Polypensionné Lura/FP</v>
          </cell>
          <cell r="O571">
            <v>0</v>
          </cell>
          <cell r="P571">
            <v>7.1428571428571397</v>
          </cell>
          <cell r="Q571">
            <v>14.285714285714301</v>
          </cell>
          <cell r="R571">
            <v>60.714285714285701</v>
          </cell>
          <cell r="S571">
            <v>7.1428571428571397</v>
          </cell>
          <cell r="T571">
            <v>10.714285714285699</v>
          </cell>
        </row>
        <row r="572">
          <cell r="A572">
            <v>2000</v>
          </cell>
          <cell r="B572" t="str">
            <v>Hommes</v>
          </cell>
          <cell r="C572" t="str">
            <v>4</v>
          </cell>
          <cell r="D572" t="str">
            <v>Mono-pensionné FP</v>
          </cell>
          <cell r="O572">
            <v>0</v>
          </cell>
          <cell r="P572">
            <v>25</v>
          </cell>
          <cell r="Q572">
            <v>0</v>
          </cell>
          <cell r="R572">
            <v>75</v>
          </cell>
          <cell r="S572">
            <v>0</v>
          </cell>
          <cell r="T572">
            <v>0</v>
          </cell>
        </row>
        <row r="573">
          <cell r="A573">
            <v>2000</v>
          </cell>
          <cell r="B573" t="str">
            <v>Hommes</v>
          </cell>
          <cell r="C573" t="str">
            <v>4</v>
          </cell>
          <cell r="D573" t="str">
            <v>Mono-pensionné Lura</v>
          </cell>
          <cell r="O573">
            <v>0</v>
          </cell>
          <cell r="P573">
            <v>11.1111111111111</v>
          </cell>
          <cell r="Q573">
            <v>18.518518518518501</v>
          </cell>
          <cell r="R573">
            <v>53.086419753086403</v>
          </cell>
          <cell r="S573">
            <v>14.814814814814801</v>
          </cell>
          <cell r="T573">
            <v>2.4691358024691401</v>
          </cell>
        </row>
        <row r="574">
          <cell r="A574">
            <v>2000</v>
          </cell>
          <cell r="B574" t="str">
            <v>Hommes</v>
          </cell>
          <cell r="C574" t="str">
            <v>4</v>
          </cell>
          <cell r="D574" t="str">
            <v>Polypensionné Lura/FP</v>
          </cell>
          <cell r="O574">
            <v>0</v>
          </cell>
          <cell r="P574">
            <v>3.5714285714285698</v>
          </cell>
          <cell r="Q574">
            <v>14.285714285714301</v>
          </cell>
          <cell r="R574">
            <v>67.857142857142904</v>
          </cell>
          <cell r="S574">
            <v>10.714285714285699</v>
          </cell>
          <cell r="T574">
            <v>3.5714285714285698</v>
          </cell>
        </row>
        <row r="575">
          <cell r="A575">
            <v>2000</v>
          </cell>
          <cell r="B575" t="str">
            <v>Hommes</v>
          </cell>
          <cell r="C575" t="str">
            <v>5</v>
          </cell>
          <cell r="D575" t="str">
            <v>Mono-pensionné FP</v>
          </cell>
          <cell r="O575">
            <v>0</v>
          </cell>
          <cell r="P575">
            <v>25</v>
          </cell>
          <cell r="Q575">
            <v>0</v>
          </cell>
          <cell r="R575">
            <v>75</v>
          </cell>
          <cell r="S575">
            <v>0</v>
          </cell>
          <cell r="T575">
            <v>0</v>
          </cell>
        </row>
        <row r="576">
          <cell r="A576">
            <v>2000</v>
          </cell>
          <cell r="B576" t="str">
            <v>Hommes</v>
          </cell>
          <cell r="C576" t="str">
            <v>5</v>
          </cell>
          <cell r="D576" t="str">
            <v>Mono-pensionné Lura</v>
          </cell>
          <cell r="O576">
            <v>0</v>
          </cell>
          <cell r="P576">
            <v>8.6956521739130395</v>
          </cell>
          <cell r="Q576">
            <v>4.3478260869565197</v>
          </cell>
          <cell r="R576">
            <v>72.463768115942003</v>
          </cell>
          <cell r="S576">
            <v>5.7971014492753596</v>
          </cell>
          <cell r="T576">
            <v>8.6956521739130395</v>
          </cell>
        </row>
        <row r="577">
          <cell r="A577">
            <v>2000</v>
          </cell>
          <cell r="B577" t="str">
            <v>Hommes</v>
          </cell>
          <cell r="C577" t="str">
            <v>5</v>
          </cell>
          <cell r="D577" t="str">
            <v>Polypensionné Lura/FP</v>
          </cell>
          <cell r="O577">
            <v>0</v>
          </cell>
          <cell r="P577">
            <v>11.4285714285714</v>
          </cell>
          <cell r="Q577">
            <v>2.8571428571428599</v>
          </cell>
          <cell r="R577">
            <v>77.142857142857096</v>
          </cell>
          <cell r="S577">
            <v>5.71428571428571</v>
          </cell>
          <cell r="T577">
            <v>2.8571428571428599</v>
          </cell>
        </row>
        <row r="578">
          <cell r="A578">
            <v>1960</v>
          </cell>
          <cell r="B578" t="str">
            <v>Ensemble</v>
          </cell>
          <cell r="C578" t="str">
            <v>Ensemble</v>
          </cell>
          <cell r="D578" t="str">
            <v>Non-bénéficiaire pré-réforme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100</v>
          </cell>
        </row>
        <row r="579">
          <cell r="A579">
            <v>1978</v>
          </cell>
          <cell r="B579" t="str">
            <v>Ensemble</v>
          </cell>
          <cell r="C579" t="str">
            <v>Ensemble</v>
          </cell>
          <cell r="D579" t="str">
            <v>Non-bénéficiaire pré-réforme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100</v>
          </cell>
        </row>
        <row r="580">
          <cell r="A580">
            <v>1984</v>
          </cell>
          <cell r="B580" t="str">
            <v>Ensemble</v>
          </cell>
          <cell r="C580" t="str">
            <v>Ensemble</v>
          </cell>
          <cell r="D580" t="str">
            <v>Non-bénéficiaire pré-réforme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100</v>
          </cell>
        </row>
        <row r="581">
          <cell r="A581">
            <v>1990</v>
          </cell>
          <cell r="B581" t="str">
            <v>Ensemble</v>
          </cell>
          <cell r="C581" t="str">
            <v>Ensemble</v>
          </cell>
          <cell r="D581" t="str">
            <v>Non-bénéficiaire pré-réforme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100</v>
          </cell>
        </row>
        <row r="582">
          <cell r="A582">
            <v>1996</v>
          </cell>
          <cell r="B582" t="str">
            <v>Ensemble</v>
          </cell>
          <cell r="C582" t="str">
            <v>Ensemble</v>
          </cell>
          <cell r="D582" t="str">
            <v>Non-bénéficiaire pré-réforme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100</v>
          </cell>
        </row>
        <row r="583">
          <cell r="A583">
            <v>2000</v>
          </cell>
          <cell r="B583" t="str">
            <v>Ensemble</v>
          </cell>
          <cell r="C583" t="str">
            <v>Ensemble</v>
          </cell>
          <cell r="D583" t="str">
            <v>Non-bénéficiaire pré-réforme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100</v>
          </cell>
        </row>
        <row r="584">
          <cell r="A584">
            <v>1960</v>
          </cell>
          <cell r="B584" t="str">
            <v>Hommes</v>
          </cell>
          <cell r="C584" t="str">
            <v>Ensemble</v>
          </cell>
          <cell r="D584" t="str">
            <v>Non-bénéficiaire pré-réforme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100</v>
          </cell>
        </row>
        <row r="585">
          <cell r="A585">
            <v>1978</v>
          </cell>
          <cell r="B585" t="str">
            <v>Femmes</v>
          </cell>
          <cell r="C585" t="str">
            <v>Ensemble</v>
          </cell>
          <cell r="D585" t="str">
            <v>Non-bénéficiaire pré-réforme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100</v>
          </cell>
        </row>
        <row r="586">
          <cell r="A586">
            <v>1978</v>
          </cell>
          <cell r="B586" t="str">
            <v>Hommes</v>
          </cell>
          <cell r="C586" t="str">
            <v>Ensemble</v>
          </cell>
          <cell r="D586" t="str">
            <v>Non-bénéficiaire pré-réforme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100</v>
          </cell>
        </row>
        <row r="587">
          <cell r="A587">
            <v>1984</v>
          </cell>
          <cell r="B587" t="str">
            <v>Femmes</v>
          </cell>
          <cell r="C587" t="str">
            <v>Ensemble</v>
          </cell>
          <cell r="D587" t="str">
            <v>Non-bénéficiaire pré-réforme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100</v>
          </cell>
        </row>
        <row r="588">
          <cell r="A588">
            <v>1984</v>
          </cell>
          <cell r="B588" t="str">
            <v>Hommes</v>
          </cell>
          <cell r="C588" t="str">
            <v>Ensemble</v>
          </cell>
          <cell r="D588" t="str">
            <v>Non-bénéficiaire pré-réforme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100</v>
          </cell>
        </row>
        <row r="589">
          <cell r="A589">
            <v>1990</v>
          </cell>
          <cell r="B589" t="str">
            <v>Femmes</v>
          </cell>
          <cell r="C589" t="str">
            <v>Ensemble</v>
          </cell>
          <cell r="D589" t="str">
            <v>Non-bénéficiaire pré-réforme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100</v>
          </cell>
        </row>
        <row r="590">
          <cell r="A590">
            <v>1990</v>
          </cell>
          <cell r="B590" t="str">
            <v>Hommes</v>
          </cell>
          <cell r="C590" t="str">
            <v>Ensemble</v>
          </cell>
          <cell r="D590" t="str">
            <v>Non-bénéficiaire pré-réforme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100</v>
          </cell>
        </row>
        <row r="591">
          <cell r="A591">
            <v>1996</v>
          </cell>
          <cell r="B591" t="str">
            <v>Femmes</v>
          </cell>
          <cell r="C591" t="str">
            <v>Ensemble</v>
          </cell>
          <cell r="D591" t="str">
            <v>Non-bénéficiaire pré-réforme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100</v>
          </cell>
        </row>
        <row r="592">
          <cell r="A592">
            <v>1996</v>
          </cell>
          <cell r="B592" t="str">
            <v>Hommes</v>
          </cell>
          <cell r="C592" t="str">
            <v>Ensemble</v>
          </cell>
          <cell r="D592" t="str">
            <v>Non-bénéficiaire pré-réforme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100</v>
          </cell>
        </row>
        <row r="593">
          <cell r="A593">
            <v>2000</v>
          </cell>
          <cell r="B593" t="str">
            <v>Femmes</v>
          </cell>
          <cell r="C593" t="str">
            <v>Ensemble</v>
          </cell>
          <cell r="D593" t="str">
            <v>Non-bénéficiaire pré-réforme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100</v>
          </cell>
        </row>
        <row r="594">
          <cell r="A594">
            <v>2000</v>
          </cell>
          <cell r="B594" t="str">
            <v>Hommes</v>
          </cell>
          <cell r="C594" t="str">
            <v>Ensemble</v>
          </cell>
          <cell r="D594" t="str">
            <v>Non-bénéficiaire pré-réforme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100</v>
          </cell>
        </row>
        <row r="595">
          <cell r="A595">
            <v>1960</v>
          </cell>
          <cell r="B595" t="str">
            <v>Ensemble</v>
          </cell>
          <cell r="C595" t="str">
            <v>2</v>
          </cell>
          <cell r="D595" t="str">
            <v>Non-bénéficiaire pré-réforme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100</v>
          </cell>
        </row>
        <row r="596">
          <cell r="A596">
            <v>1978</v>
          </cell>
          <cell r="B596" t="str">
            <v>Ensemble</v>
          </cell>
          <cell r="C596" t="str">
            <v>2</v>
          </cell>
          <cell r="D596" t="str">
            <v>Non-bénéficiaire pré-réforme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100</v>
          </cell>
        </row>
        <row r="597">
          <cell r="A597">
            <v>1978</v>
          </cell>
          <cell r="B597" t="str">
            <v>Ensemble</v>
          </cell>
          <cell r="C597" t="str">
            <v>5</v>
          </cell>
          <cell r="D597" t="str">
            <v>Non-bénéficiaire pré-réforme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100</v>
          </cell>
        </row>
        <row r="598">
          <cell r="A598">
            <v>1984</v>
          </cell>
          <cell r="B598" t="str">
            <v>Ensemble</v>
          </cell>
          <cell r="C598" t="str">
            <v>2</v>
          </cell>
          <cell r="D598" t="str">
            <v>Non-bénéficiaire pré-réforme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100</v>
          </cell>
        </row>
        <row r="599">
          <cell r="A599">
            <v>1984</v>
          </cell>
          <cell r="B599" t="str">
            <v>Ensemble</v>
          </cell>
          <cell r="C599" t="str">
            <v>3</v>
          </cell>
          <cell r="D599" t="str">
            <v>Non-bénéficiaire pré-réforme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100</v>
          </cell>
        </row>
        <row r="600">
          <cell r="A600">
            <v>1984</v>
          </cell>
          <cell r="B600" t="str">
            <v>Ensemble</v>
          </cell>
          <cell r="C600" t="str">
            <v>5</v>
          </cell>
          <cell r="D600" t="str">
            <v>Non-bénéficiaire pré-réforme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100</v>
          </cell>
        </row>
        <row r="601">
          <cell r="A601">
            <v>1990</v>
          </cell>
          <cell r="B601" t="str">
            <v>Ensemble</v>
          </cell>
          <cell r="C601" t="str">
            <v>1</v>
          </cell>
          <cell r="D601" t="str">
            <v>Non-bénéficiaire pré-réforme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100</v>
          </cell>
        </row>
        <row r="602">
          <cell r="A602">
            <v>1990</v>
          </cell>
          <cell r="B602" t="str">
            <v>Ensemble</v>
          </cell>
          <cell r="C602" t="str">
            <v>3</v>
          </cell>
          <cell r="D602" t="str">
            <v>Non-bénéficiaire pré-réforme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100</v>
          </cell>
        </row>
        <row r="603">
          <cell r="A603">
            <v>1990</v>
          </cell>
          <cell r="B603" t="str">
            <v>Ensemble</v>
          </cell>
          <cell r="C603" t="str">
            <v>4</v>
          </cell>
          <cell r="D603" t="str">
            <v>Non-bénéficiaire pré-réforme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100</v>
          </cell>
        </row>
        <row r="604">
          <cell r="A604">
            <v>1990</v>
          </cell>
          <cell r="B604" t="str">
            <v>Ensemble</v>
          </cell>
          <cell r="C604" t="str">
            <v>5</v>
          </cell>
          <cell r="D604" t="str">
            <v>Non-bénéficiaire pré-réforme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100</v>
          </cell>
        </row>
        <row r="605">
          <cell r="A605">
            <v>1996</v>
          </cell>
          <cell r="B605" t="str">
            <v>Ensemble</v>
          </cell>
          <cell r="C605" t="str">
            <v>1</v>
          </cell>
          <cell r="D605" t="str">
            <v>Non-bénéficiaire pré-réforme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100</v>
          </cell>
        </row>
        <row r="606">
          <cell r="A606">
            <v>1996</v>
          </cell>
          <cell r="B606" t="str">
            <v>Ensemble</v>
          </cell>
          <cell r="C606" t="str">
            <v>3</v>
          </cell>
          <cell r="D606" t="str">
            <v>Non-bénéficiaire pré-réforme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100</v>
          </cell>
        </row>
        <row r="607">
          <cell r="A607">
            <v>1996</v>
          </cell>
          <cell r="B607" t="str">
            <v>Ensemble</v>
          </cell>
          <cell r="C607" t="str">
            <v>5</v>
          </cell>
          <cell r="D607" t="str">
            <v>Non-bénéficiaire pré-réforme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100</v>
          </cell>
        </row>
        <row r="608">
          <cell r="A608">
            <v>2000</v>
          </cell>
          <cell r="B608" t="str">
            <v>Ensemble</v>
          </cell>
          <cell r="C608" t="str">
            <v>1</v>
          </cell>
          <cell r="D608" t="str">
            <v>Non-bénéficiaire pré-réforme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100</v>
          </cell>
        </row>
        <row r="609">
          <cell r="A609">
            <v>2000</v>
          </cell>
          <cell r="B609" t="str">
            <v>Ensemble</v>
          </cell>
          <cell r="C609" t="str">
            <v>2</v>
          </cell>
          <cell r="D609" t="str">
            <v>Non-bénéficiaire pré-réforme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100</v>
          </cell>
        </row>
        <row r="610">
          <cell r="A610">
            <v>2000</v>
          </cell>
          <cell r="B610" t="str">
            <v>Ensemble</v>
          </cell>
          <cell r="C610" t="str">
            <v>3</v>
          </cell>
          <cell r="D610" t="str">
            <v>Non-bénéficiaire pré-réforme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100</v>
          </cell>
        </row>
        <row r="611">
          <cell r="A611">
            <v>2000</v>
          </cell>
          <cell r="B611" t="str">
            <v>Ensemble</v>
          </cell>
          <cell r="C611" t="str">
            <v>4</v>
          </cell>
          <cell r="D611" t="str">
            <v>Non-bénéficiaire pré-réforme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100</v>
          </cell>
        </row>
        <row r="612">
          <cell r="A612">
            <v>2000</v>
          </cell>
          <cell r="B612" t="str">
            <v>Ensemble</v>
          </cell>
          <cell r="C612" t="str">
            <v>5</v>
          </cell>
          <cell r="D612" t="str">
            <v>Non-bénéficiaire pré-réforme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100</v>
          </cell>
        </row>
        <row r="613">
          <cell r="A613">
            <v>1960</v>
          </cell>
          <cell r="B613" t="str">
            <v>Hommes</v>
          </cell>
          <cell r="C613" t="str">
            <v>2</v>
          </cell>
          <cell r="D613" t="str">
            <v>Non-bénéficiaire pré-réforme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100</v>
          </cell>
        </row>
        <row r="614">
          <cell r="A614">
            <v>1978</v>
          </cell>
          <cell r="B614" t="str">
            <v>Femmes</v>
          </cell>
          <cell r="C614" t="str">
            <v>2</v>
          </cell>
          <cell r="D614" t="str">
            <v>Non-bénéficiaire pré-réforme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100</v>
          </cell>
        </row>
        <row r="615">
          <cell r="A615">
            <v>1978</v>
          </cell>
          <cell r="B615" t="str">
            <v>Hommes</v>
          </cell>
          <cell r="C615" t="str">
            <v>4</v>
          </cell>
          <cell r="D615" t="str">
            <v>Non-bénéficiaire pré-réforme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100</v>
          </cell>
        </row>
        <row r="616">
          <cell r="A616">
            <v>1978</v>
          </cell>
          <cell r="B616" t="str">
            <v>Hommes</v>
          </cell>
          <cell r="C616" t="str">
            <v>5</v>
          </cell>
          <cell r="D616" t="str">
            <v>Non-bénéficiaire pré-réforme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100</v>
          </cell>
        </row>
        <row r="617">
          <cell r="A617">
            <v>1984</v>
          </cell>
          <cell r="B617" t="str">
            <v>Femmes</v>
          </cell>
          <cell r="C617" t="str">
            <v>3</v>
          </cell>
          <cell r="D617" t="str">
            <v>Non-bénéficiaire pré-réforme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100</v>
          </cell>
        </row>
        <row r="618">
          <cell r="A618">
            <v>1984</v>
          </cell>
          <cell r="B618" t="str">
            <v>Femmes</v>
          </cell>
          <cell r="C618" t="str">
            <v>5</v>
          </cell>
          <cell r="D618" t="str">
            <v>Non-bénéficiaire pré-réforme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100</v>
          </cell>
        </row>
        <row r="619">
          <cell r="A619">
            <v>1984</v>
          </cell>
          <cell r="B619" t="str">
            <v>Hommes</v>
          </cell>
          <cell r="C619" t="str">
            <v>1</v>
          </cell>
          <cell r="D619" t="str">
            <v>Non-bénéficiaire pré-réforme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100</v>
          </cell>
        </row>
        <row r="620">
          <cell r="A620">
            <v>1984</v>
          </cell>
          <cell r="B620" t="str">
            <v>Hommes</v>
          </cell>
          <cell r="C620" t="str">
            <v>2</v>
          </cell>
          <cell r="D620" t="str">
            <v>Non-bénéficiaire pré-réforme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100</v>
          </cell>
        </row>
        <row r="621">
          <cell r="A621">
            <v>1984</v>
          </cell>
          <cell r="B621" t="str">
            <v>Hommes</v>
          </cell>
          <cell r="C621" t="str">
            <v>4</v>
          </cell>
          <cell r="D621" t="str">
            <v>Non-bénéficiaire pré-réforme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100</v>
          </cell>
        </row>
        <row r="622">
          <cell r="A622">
            <v>1984</v>
          </cell>
          <cell r="B622" t="str">
            <v>Hommes</v>
          </cell>
          <cell r="C622" t="str">
            <v>5</v>
          </cell>
          <cell r="D622" t="str">
            <v>Non-bénéficiaire pré-réforme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100</v>
          </cell>
        </row>
        <row r="623">
          <cell r="A623">
            <v>1990</v>
          </cell>
          <cell r="B623" t="str">
            <v>Femmes</v>
          </cell>
          <cell r="C623" t="str">
            <v>5</v>
          </cell>
          <cell r="D623" t="str">
            <v>Non-bénéficiaire pré-réforme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100</v>
          </cell>
        </row>
        <row r="624">
          <cell r="A624">
            <v>1990</v>
          </cell>
          <cell r="B624" t="str">
            <v>Hommes</v>
          </cell>
          <cell r="C624" t="str">
            <v>1</v>
          </cell>
          <cell r="D624" t="str">
            <v>Non-bénéficiaire pré-réforme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100</v>
          </cell>
        </row>
        <row r="625">
          <cell r="A625">
            <v>1990</v>
          </cell>
          <cell r="B625" t="str">
            <v>Hommes</v>
          </cell>
          <cell r="C625" t="str">
            <v>3</v>
          </cell>
          <cell r="D625" t="str">
            <v>Non-bénéficiaire pré-réforme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100</v>
          </cell>
        </row>
        <row r="626">
          <cell r="A626">
            <v>1990</v>
          </cell>
          <cell r="B626" t="str">
            <v>Hommes</v>
          </cell>
          <cell r="C626" t="str">
            <v>4</v>
          </cell>
          <cell r="D626" t="str">
            <v>Non-bénéficiaire pré-réforme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100</v>
          </cell>
        </row>
        <row r="627">
          <cell r="A627">
            <v>1990</v>
          </cell>
          <cell r="B627" t="str">
            <v>Hommes</v>
          </cell>
          <cell r="C627" t="str">
            <v>5</v>
          </cell>
          <cell r="D627" t="str">
            <v>Non-bénéficiaire pré-réforme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100</v>
          </cell>
        </row>
        <row r="628">
          <cell r="A628">
            <v>1996</v>
          </cell>
          <cell r="B628" t="str">
            <v>Femmes</v>
          </cell>
          <cell r="C628" t="str">
            <v>5</v>
          </cell>
          <cell r="D628" t="str">
            <v>Non-bénéficiaire pré-réforme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100</v>
          </cell>
        </row>
        <row r="629">
          <cell r="A629">
            <v>1996</v>
          </cell>
          <cell r="B629" t="str">
            <v>Hommes</v>
          </cell>
          <cell r="C629" t="str">
            <v>1</v>
          </cell>
          <cell r="D629" t="str">
            <v>Non-bénéficiaire pré-réforme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100</v>
          </cell>
        </row>
        <row r="630">
          <cell r="A630">
            <v>1996</v>
          </cell>
          <cell r="B630" t="str">
            <v>Hommes</v>
          </cell>
          <cell r="C630" t="str">
            <v>3</v>
          </cell>
          <cell r="D630" t="str">
            <v>Non-bénéficiaire pré-réforme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100</v>
          </cell>
        </row>
        <row r="631">
          <cell r="A631">
            <v>1996</v>
          </cell>
          <cell r="B631" t="str">
            <v>Hommes</v>
          </cell>
          <cell r="C631" t="str">
            <v>5</v>
          </cell>
          <cell r="D631" t="str">
            <v>Non-bénéficiaire pré-réforme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100</v>
          </cell>
        </row>
        <row r="632">
          <cell r="A632">
            <v>2000</v>
          </cell>
          <cell r="B632" t="str">
            <v>Femmes</v>
          </cell>
          <cell r="C632" t="str">
            <v>2</v>
          </cell>
          <cell r="D632" t="str">
            <v>Non-bénéficiaire pré-réforme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100</v>
          </cell>
        </row>
        <row r="633">
          <cell r="A633">
            <v>2000</v>
          </cell>
          <cell r="B633" t="str">
            <v>Hommes</v>
          </cell>
          <cell r="C633" t="str">
            <v>1</v>
          </cell>
          <cell r="D633" t="str">
            <v>Non-bénéficiaire pré-réforme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100</v>
          </cell>
        </row>
        <row r="634">
          <cell r="A634">
            <v>2000</v>
          </cell>
          <cell r="B634" t="str">
            <v>Hommes</v>
          </cell>
          <cell r="C634" t="str">
            <v>2</v>
          </cell>
          <cell r="D634" t="str">
            <v>Non-bénéficiaire pré-réforme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100</v>
          </cell>
        </row>
        <row r="635">
          <cell r="A635">
            <v>2000</v>
          </cell>
          <cell r="B635" t="str">
            <v>Hommes</v>
          </cell>
          <cell r="C635" t="str">
            <v>4</v>
          </cell>
          <cell r="D635" t="str">
            <v>Non-bénéficiaire pré-réforme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100</v>
          </cell>
        </row>
        <row r="636">
          <cell r="A636">
            <v>2000</v>
          </cell>
          <cell r="B636" t="str">
            <v>Hommes</v>
          </cell>
          <cell r="C636" t="str">
            <v>5</v>
          </cell>
          <cell r="D636" t="str">
            <v>Non-bénéficiaire pré-réforme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100</v>
          </cell>
        </row>
      </sheetData>
      <sheetData sheetId="9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B1_DP_génération"/>
      <sheetName val="B1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-3.7450307569988013</v>
          </cell>
          <cell r="F4">
            <v>6.2350922709939027E-2</v>
          </cell>
          <cell r="G4">
            <v>5.4678093097754399E-2</v>
          </cell>
          <cell r="H4">
            <v>5.1882851658526796E-2</v>
          </cell>
        </row>
        <row r="5">
          <cell r="B5" t="str">
            <v>Hommes</v>
          </cell>
          <cell r="D5" t="str">
            <v>Ensemble</v>
          </cell>
          <cell r="E5">
            <v>0</v>
          </cell>
          <cell r="F5">
            <v>0</v>
          </cell>
          <cell r="G5">
            <v>-2.2203435052819298E-2</v>
          </cell>
          <cell r="H5">
            <v>-2.2260540674592599E-2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-1.4361200226457811</v>
          </cell>
          <cell r="F7">
            <v>3.4424734226575993E-2</v>
          </cell>
          <cell r="G7">
            <v>4.7561162900636944E-2</v>
          </cell>
          <cell r="H7">
            <v>4.5851845967489258E-2</v>
          </cell>
        </row>
        <row r="8">
          <cell r="D8">
            <v>2</v>
          </cell>
          <cell r="E8">
            <v>-3.2427969479558101</v>
          </cell>
          <cell r="F8">
            <v>7.1100482101485341E-2</v>
          </cell>
          <cell r="G8">
            <v>9.5992347761892471E-2</v>
          </cell>
          <cell r="H8">
            <v>9.3130073375132794E-2</v>
          </cell>
        </row>
        <row r="9">
          <cell r="D9" t="str">
            <v>3 et plus</v>
          </cell>
          <cell r="E9">
            <v>-8.4349336702463518</v>
          </cell>
          <cell r="F9">
            <v>0.10790429564116266</v>
          </cell>
          <cell r="G9">
            <v>3.1130204720815291E-2</v>
          </cell>
          <cell r="H9">
            <v>2.6302009103837953E-2</v>
          </cell>
        </row>
        <row r="10">
          <cell r="B10" t="str">
            <v>Hommes</v>
          </cell>
          <cell r="D10" t="str">
            <v>3 et plus</v>
          </cell>
          <cell r="E10">
            <v>0</v>
          </cell>
          <cell r="F10">
            <v>0</v>
          </cell>
          <cell r="G10">
            <v>-8.6884827588970648E-2</v>
          </cell>
          <cell r="H10">
            <v>-8.7212488224522433E-2</v>
          </cell>
        </row>
        <row r="11">
          <cell r="B11" t="str">
            <v>Selon le régime d'affiliation</v>
          </cell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-2.1025454545454636</v>
          </cell>
          <cell r="F12">
            <v>4.8101010101007091E-2</v>
          </cell>
          <cell r="G12">
            <v>4.245470382541372E-2</v>
          </cell>
          <cell r="H12">
            <v>3.9749468470165139E-2</v>
          </cell>
        </row>
        <row r="13">
          <cell r="D13">
            <v>2</v>
          </cell>
          <cell r="E13">
            <v>-4.5596885813148731</v>
          </cell>
          <cell r="F13">
            <v>9.3101211072664114E-2</v>
          </cell>
          <cell r="G13">
            <v>8.4613971396075849E-2</v>
          </cell>
          <cell r="H13">
            <v>8.0159626738964374E-2</v>
          </cell>
        </row>
        <row r="14">
          <cell r="D14" t="str">
            <v>3 et plus</v>
          </cell>
          <cell r="E14">
            <v>-10.38647069907671</v>
          </cell>
          <cell r="F14">
            <v>0.12626405376545335</v>
          </cell>
          <cell r="G14">
            <v>2.1472576059792914E-2</v>
          </cell>
          <cell r="H14">
            <v>1.5184465949481529E-2</v>
          </cell>
        </row>
        <row r="15">
          <cell r="C15" t="str">
            <v>Mono FP-RS</v>
          </cell>
          <cell r="D15">
            <v>1</v>
          </cell>
          <cell r="E15">
            <v>1.8055555555555429</v>
          </cell>
          <cell r="F15">
            <v>-0.10648148148148096</v>
          </cell>
          <cell r="G15">
            <v>7.0745447441636466E-2</v>
          </cell>
          <cell r="H15">
            <v>7.550568413273484E-2</v>
          </cell>
        </row>
        <row r="16">
          <cell r="D16">
            <v>2</v>
          </cell>
          <cell r="E16">
            <v>4.1142857142857281</v>
          </cell>
          <cell r="F16">
            <v>-0.16825396825397831</v>
          </cell>
          <cell r="G16">
            <v>0.15565094136502933</v>
          </cell>
          <cell r="H16">
            <v>0.1630490627218022</v>
          </cell>
        </row>
        <row r="17">
          <cell r="D17" t="str">
            <v>3 et plus</v>
          </cell>
          <cell r="E17">
            <v>6.7708333333333144</v>
          </cell>
          <cell r="F17">
            <v>-4.1666666666671404E-2</v>
          </cell>
          <cell r="G17">
            <v>0.12055259846632604</v>
          </cell>
          <cell r="H17">
            <v>0.12901607135810123</v>
          </cell>
        </row>
        <row r="18">
          <cell r="C18" t="str">
            <v>Mono MSAE-PLIB</v>
          </cell>
          <cell r="D18">
            <v>1</v>
          </cell>
          <cell r="E18">
            <v>-2.4000000000000057</v>
          </cell>
          <cell r="F18">
            <v>0</v>
          </cell>
          <cell r="G18">
            <v>4.7170596942346377E-2</v>
          </cell>
          <cell r="H18">
            <v>4.7939467183189644E-2</v>
          </cell>
        </row>
        <row r="19">
          <cell r="D19">
            <v>2</v>
          </cell>
          <cell r="E19">
            <v>-4.4444444444444571</v>
          </cell>
          <cell r="F19">
            <v>6.4814814814809552E-2</v>
          </cell>
          <cell r="G19">
            <v>9.4952932938775048E-2</v>
          </cell>
          <cell r="H19">
            <v>9.1195275298844747E-2</v>
          </cell>
        </row>
        <row r="20">
          <cell r="D20" t="str">
            <v>3 et plus</v>
          </cell>
          <cell r="E20">
            <v>-10.5</v>
          </cell>
          <cell r="F20">
            <v>0</v>
          </cell>
          <cell r="G20">
            <v>0.13121330327216851</v>
          </cell>
          <cell r="H20">
            <v>0.13132165754473069</v>
          </cell>
        </row>
        <row r="21">
          <cell r="C21" t="str">
            <v>Poly Lura-FP-RS</v>
          </cell>
          <cell r="D21">
            <v>1</v>
          </cell>
          <cell r="E21">
            <v>1.9365721997300795</v>
          </cell>
          <cell r="F21">
            <v>-3.0251911830859513E-2</v>
          </cell>
          <cell r="G21">
            <v>6.9835620874594051E-2</v>
          </cell>
          <cell r="H21">
            <v>7.1493182367263763E-2</v>
          </cell>
        </row>
        <row r="22">
          <cell r="D22">
            <v>2</v>
          </cell>
          <cell r="E22">
            <v>3.8727114210985292</v>
          </cell>
          <cell r="F22">
            <v>-3.9087474571346092E-2</v>
          </cell>
          <cell r="G22">
            <v>0.14798234177168434</v>
          </cell>
          <cell r="H22">
            <v>0.15110458476911615</v>
          </cell>
        </row>
        <row r="23">
          <cell r="D23" t="str">
            <v>3 et plus</v>
          </cell>
          <cell r="E23">
            <v>5.8869143780290756</v>
          </cell>
          <cell r="F23">
            <v>-1.7366720516960754E-2</v>
          </cell>
          <cell r="G23">
            <v>8.0000516140598776E-2</v>
          </cell>
          <cell r="H23">
            <v>8.217633537850233E-2</v>
          </cell>
        </row>
        <row r="24">
          <cell r="C24" t="str">
            <v>Poly Lura-MSAE-PLIB</v>
          </cell>
          <cell r="D24">
            <v>1</v>
          </cell>
          <cell r="E24">
            <v>-2.4200743494423875</v>
          </cell>
          <cell r="F24">
            <v>5.9789343246592352E-2</v>
          </cell>
          <cell r="G24">
            <v>3.7039074891353607E-2</v>
          </cell>
          <cell r="H24">
            <v>3.3800079572615438E-2</v>
          </cell>
        </row>
        <row r="25">
          <cell r="D25">
            <v>2</v>
          </cell>
          <cell r="E25">
            <v>-5.022573363431178</v>
          </cell>
          <cell r="F25">
            <v>0.11587659894657065</v>
          </cell>
          <cell r="G25">
            <v>7.6011051684762299E-2</v>
          </cell>
          <cell r="H25">
            <v>7.0426275940835836E-2</v>
          </cell>
        </row>
        <row r="26">
          <cell r="D26" t="str">
            <v>3 et plus</v>
          </cell>
          <cell r="E26">
            <v>-9.5531914893616943</v>
          </cell>
          <cell r="F26">
            <v>0.12204491725769628</v>
          </cell>
          <cell r="G26">
            <v>9.6377104637042077E-3</v>
          </cell>
          <cell r="H26">
            <v>1.1514900842766185E-3</v>
          </cell>
        </row>
        <row r="27">
          <cell r="B27" t="str">
            <v>Selon le quintile de pension</v>
          </cell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-1.6284544524053359</v>
          </cell>
          <cell r="F28">
            <v>5.7147731149882475E-3</v>
          </cell>
          <cell r="G28">
            <v>4.6913745630037029E-2</v>
          </cell>
          <cell r="H28">
            <v>4.7620287884729606E-2</v>
          </cell>
        </row>
        <row r="29">
          <cell r="D29">
            <v>2</v>
          </cell>
          <cell r="E29">
            <v>-3.4833759590792823</v>
          </cell>
          <cell r="F29">
            <v>1.3800085251489236E-2</v>
          </cell>
          <cell r="G29">
            <v>9.4793373568858641E-2</v>
          </cell>
          <cell r="H29">
            <v>9.4145903368775485E-2</v>
          </cell>
        </row>
        <row r="30">
          <cell r="D30" t="str">
            <v>3 et plus</v>
          </cell>
          <cell r="E30">
            <v>-13.909502262443439</v>
          </cell>
          <cell r="F30">
            <v>1.3843999138117624E-2</v>
          </cell>
          <cell r="G30">
            <v>-4.5400172143847284E-2</v>
          </cell>
          <cell r="H30">
            <v>-4.7375448812637666E-2</v>
          </cell>
        </row>
        <row r="31">
          <cell r="C31" t="str">
            <v>Q2</v>
          </cell>
          <cell r="D31">
            <v>1</v>
          </cell>
          <cell r="E31">
            <v>-1.5421545667447276</v>
          </cell>
          <cell r="F31">
            <v>6.1475409836077688E-2</v>
          </cell>
          <cell r="G31">
            <v>5.1217036157592322E-2</v>
          </cell>
          <cell r="H31">
            <v>4.7730813932281402E-2</v>
          </cell>
        </row>
        <row r="32">
          <cell r="D32">
            <v>2</v>
          </cell>
          <cell r="E32">
            <v>-3.7168610816542866</v>
          </cell>
          <cell r="F32">
            <v>0.12283492400142393</v>
          </cell>
          <cell r="G32">
            <v>0.10139650560015001</v>
          </cell>
          <cell r="H32">
            <v>9.6001894099686735E-2</v>
          </cell>
        </row>
        <row r="33">
          <cell r="D33" t="str">
            <v>3 et plus</v>
          </cell>
          <cell r="E33">
            <v>-8.8325722983257151</v>
          </cell>
          <cell r="F33">
            <v>0.21175799086759639</v>
          </cell>
          <cell r="G33">
            <v>7.9075181274533612E-2</v>
          </cell>
          <cell r="H33">
            <v>6.8439662762391995E-2</v>
          </cell>
        </row>
        <row r="34">
          <cell r="C34" t="str">
            <v>Q3</v>
          </cell>
          <cell r="D34">
            <v>1</v>
          </cell>
          <cell r="E34">
            <v>-1.1524390243902474</v>
          </cell>
          <cell r="F34">
            <v>3.5823170731710263E-2</v>
          </cell>
          <cell r="G34">
            <v>4.9584168770475889E-2</v>
          </cell>
          <cell r="H34">
            <v>4.8427860282528545E-2</v>
          </cell>
        </row>
        <row r="35">
          <cell r="D35">
            <v>2</v>
          </cell>
          <cell r="E35">
            <v>-2.6200000000000045</v>
          </cell>
          <cell r="F35">
            <v>7.4027777777800452E-2</v>
          </cell>
          <cell r="G35">
            <v>0.10113600940126122</v>
          </cell>
          <cell r="H35">
            <v>9.8061752568318061E-2</v>
          </cell>
        </row>
        <row r="36">
          <cell r="D36" t="str">
            <v>3 et plus</v>
          </cell>
          <cell r="E36">
            <v>-6.9434523809523796</v>
          </cell>
          <cell r="F36">
            <v>0.10757688492061845</v>
          </cell>
          <cell r="G36">
            <v>6.3727089946076898E-2</v>
          </cell>
          <cell r="H36">
            <v>5.8670728259277771E-2</v>
          </cell>
        </row>
        <row r="37">
          <cell r="C37" t="str">
            <v>Q4</v>
          </cell>
          <cell r="D37">
            <v>1</v>
          </cell>
          <cell r="E37">
            <v>-1.173044925124799</v>
          </cell>
          <cell r="F37">
            <v>3.1960621186925664E-2</v>
          </cell>
          <cell r="G37">
            <v>4.8724962222290502E-2</v>
          </cell>
          <cell r="H37">
            <v>4.7341701169801187E-2</v>
          </cell>
        </row>
        <row r="38">
          <cell r="D38">
            <v>2</v>
          </cell>
          <cell r="E38">
            <v>-2.7343215507411571</v>
          </cell>
          <cell r="F38">
            <v>5.9007981755982541E-2</v>
          </cell>
          <cell r="G38">
            <v>0.10523509092347405</v>
          </cell>
          <cell r="H38">
            <v>0.10343450619957539</v>
          </cell>
        </row>
        <row r="39">
          <cell r="D39" t="str">
            <v>3 et plus</v>
          </cell>
          <cell r="E39">
            <v>-4.9694519317160655</v>
          </cell>
          <cell r="F39">
            <v>0.10467205750224196</v>
          </cell>
          <cell r="G39">
            <v>3.8368314129029413E-2</v>
          </cell>
          <cell r="H39">
            <v>3.4706869089540682E-2</v>
          </cell>
        </row>
        <row r="40">
          <cell r="C40" t="str">
            <v>Q5</v>
          </cell>
          <cell r="D40">
            <v>1</v>
          </cell>
          <cell r="E40">
            <v>-1.6833073322933103</v>
          </cell>
          <cell r="F40">
            <v>3.9521580863237205E-2</v>
          </cell>
          <cell r="G40">
            <v>4.5158045557594617E-2</v>
          </cell>
          <cell r="H40">
            <v>4.3225453536582359E-2</v>
          </cell>
        </row>
        <row r="41">
          <cell r="D41">
            <v>2</v>
          </cell>
          <cell r="E41">
            <v>-3.6606640405177018</v>
          </cell>
          <cell r="F41">
            <v>7.5595573063210963E-2</v>
          </cell>
          <cell r="G41">
            <v>8.5329662124000061E-2</v>
          </cell>
          <cell r="H41">
            <v>8.2566093499743642E-2</v>
          </cell>
        </row>
        <row r="42">
          <cell r="D42" t="str">
            <v>3 et plus</v>
          </cell>
          <cell r="E42">
            <v>-5.3481262327416061</v>
          </cell>
          <cell r="F42">
            <v>0.12080867850097832</v>
          </cell>
          <cell r="G42">
            <v>-1.3921299547829946E-3</v>
          </cell>
          <cell r="H42">
            <v>-5.8905630206197435E-3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4">
          <cell r="D54">
            <v>2.9453086623720814E-4</v>
          </cell>
          <cell r="E54">
            <v>7.1641215525919399E-4</v>
          </cell>
          <cell r="F54">
            <v>1.0522665203236414E-3</v>
          </cell>
          <cell r="G54">
            <v>1.3579356695725409E-3</v>
          </cell>
          <cell r="H54">
            <v>1.6408878344535971E-3</v>
          </cell>
          <cell r="I54">
            <v>1.9314526712090885E-3</v>
          </cell>
          <cell r="J54">
            <v>2.2537147044232597E-3</v>
          </cell>
          <cell r="K54">
            <v>2.6363202146952869E-3</v>
          </cell>
          <cell r="L54">
            <v>3.0282794542915159E-3</v>
          </cell>
          <cell r="M54">
            <v>3.44481408728603E-3</v>
          </cell>
          <cell r="N54">
            <v>3.8545302360044609E-3</v>
          </cell>
          <cell r="O54">
            <v>4.2762371623903395E-3</v>
          </cell>
          <cell r="P54">
            <v>4.6826413909839548E-3</v>
          </cell>
          <cell r="Q54">
            <v>5.0810859025618438E-3</v>
          </cell>
          <cell r="R54">
            <v>5.4794256428152277E-3</v>
          </cell>
          <cell r="S54">
            <v>5.9028449499543001E-3</v>
          </cell>
          <cell r="T54">
            <v>6.3161358607064511E-3</v>
          </cell>
          <cell r="U54">
            <v>6.726243752226635E-3</v>
          </cell>
          <cell r="V54">
            <v>7.1494151162510011E-3</v>
          </cell>
          <cell r="W54">
            <v>7.5958697128453156E-3</v>
          </cell>
          <cell r="X54">
            <v>8.024307481099946E-3</v>
          </cell>
          <cell r="Y54">
            <v>8.4400454478947839E-3</v>
          </cell>
          <cell r="Z54">
            <v>8.8503615802868474E-3</v>
          </cell>
          <cell r="AA54">
            <v>9.2333371463622083E-3</v>
          </cell>
          <cell r="AB54">
            <v>9.658739449763809E-3</v>
          </cell>
          <cell r="AC54">
            <v>9.9819482823417793E-3</v>
          </cell>
          <cell r="AD54">
            <v>1.0356594772545691E-2</v>
          </cell>
          <cell r="AE54">
            <v>1.0673878196107323E-2</v>
          </cell>
          <cell r="AF54">
            <v>1.0950789629963431E-2</v>
          </cell>
          <cell r="AG54">
            <v>1.1186868529502236E-2</v>
          </cell>
          <cell r="AH54">
            <v>1.1390537348213492E-2</v>
          </cell>
          <cell r="AI54">
            <v>1.1609475104742639E-2</v>
          </cell>
          <cell r="AJ54">
            <v>1.1803152336550715E-2</v>
          </cell>
          <cell r="AK54">
            <v>1.1964239072812077E-2</v>
          </cell>
          <cell r="AL54">
            <v>1.2021217249099436E-2</v>
          </cell>
          <cell r="AM54">
            <v>1.2052471331564396E-2</v>
          </cell>
          <cell r="AN54">
            <v>1.2145252736107004E-2</v>
          </cell>
          <cell r="AO54">
            <v>1.2206818077189485E-2</v>
          </cell>
          <cell r="AP54">
            <v>1.2274070571315354E-2</v>
          </cell>
          <cell r="AQ54">
            <v>1.2225449860686632E-2</v>
          </cell>
          <cell r="AR54">
            <v>1.2288809939376089E-2</v>
          </cell>
          <cell r="AS54">
            <v>1.2345152268449899E-2</v>
          </cell>
          <cell r="AT54">
            <v>1.2391825570219561E-2</v>
          </cell>
          <cell r="AU54">
            <v>1.2522506078524787E-2</v>
          </cell>
          <cell r="AV54">
            <v>1.2628090832498495E-2</v>
          </cell>
        </row>
        <row r="55">
          <cell r="D55">
            <v>4.5100197918501728E-4</v>
          </cell>
          <cell r="E55">
            <v>1.0444785481553698E-3</v>
          </cell>
          <cell r="F55">
            <v>1.4779407856209126E-3</v>
          </cell>
          <cell r="G55">
            <v>1.8644973916532859E-3</v>
          </cell>
          <cell r="H55">
            <v>2.2063905729299282E-3</v>
          </cell>
          <cell r="I55">
            <v>2.5396746214843002E-3</v>
          </cell>
          <cell r="J55">
            <v>2.9031327563282527E-3</v>
          </cell>
          <cell r="K55">
            <v>3.3182312831554484E-3</v>
          </cell>
          <cell r="L55">
            <v>3.7338602424479284E-3</v>
          </cell>
          <cell r="M55">
            <v>4.1837070866468373E-3</v>
          </cell>
          <cell r="N55">
            <v>4.6147074672959754E-3</v>
          </cell>
          <cell r="O55">
            <v>5.0481993369910771E-3</v>
          </cell>
          <cell r="P55">
            <v>5.4699654101983963E-3</v>
          </cell>
          <cell r="Q55">
            <v>5.8787925253565021E-3</v>
          </cell>
          <cell r="R55">
            <v>6.2827366555315844E-3</v>
          </cell>
          <cell r="S55">
            <v>6.7097560071918139E-3</v>
          </cell>
          <cell r="T55">
            <v>7.1200267500362013E-3</v>
          </cell>
          <cell r="U55">
            <v>7.5437713405368534E-3</v>
          </cell>
          <cell r="V55">
            <v>7.9598165398915288E-3</v>
          </cell>
          <cell r="W55">
            <v>8.4013053373914737E-3</v>
          </cell>
          <cell r="X55">
            <v>8.8051318892432562E-3</v>
          </cell>
          <cell r="Y55">
            <v>9.1979740057646087E-3</v>
          </cell>
          <cell r="Z55">
            <v>9.5797513977355919E-3</v>
          </cell>
          <cell r="AA55">
            <v>9.9125152200465472E-3</v>
          </cell>
          <cell r="AB55">
            <v>1.0278812886084676E-2</v>
          </cell>
          <cell r="AC55">
            <v>1.0516145518955744E-2</v>
          </cell>
          <cell r="AD55">
            <v>1.0792986655425052E-2</v>
          </cell>
          <cell r="AE55">
            <v>1.0969236808048954E-2</v>
          </cell>
          <cell r="AF55">
            <v>1.109625355828614E-2</v>
          </cell>
          <cell r="AG55">
            <v>1.1178277632401645E-2</v>
          </cell>
          <cell r="AH55">
            <v>1.1182482244308289E-2</v>
          </cell>
          <cell r="AI55">
            <v>1.1132359622171739E-2</v>
          </cell>
          <cell r="AJ55">
            <v>1.1040228175761557E-2</v>
          </cell>
          <cell r="AK55">
            <v>1.089477529340388E-2</v>
          </cell>
          <cell r="AL55">
            <v>1.0599180696496235E-2</v>
          </cell>
          <cell r="AM55">
            <v>1.0252018113900307E-2</v>
          </cell>
          <cell r="AN55">
            <v>9.9262226147747157E-3</v>
          </cell>
          <cell r="AO55">
            <v>9.5580914841228992E-3</v>
          </cell>
          <cell r="AP55">
            <v>9.1758668338415283E-3</v>
          </cell>
          <cell r="AQ55">
            <v>8.5819911177731356E-3</v>
          </cell>
          <cell r="AR55">
            <v>8.1652166827084205E-3</v>
          </cell>
          <cell r="AS55">
            <v>7.7290288224272086E-3</v>
          </cell>
          <cell r="AT55">
            <v>7.3040459757958143E-3</v>
          </cell>
          <cell r="AU55">
            <v>6.9507069254177711E-3</v>
          </cell>
          <cell r="AV55">
            <v>6.5773442163965523E-3</v>
          </cell>
        </row>
        <row r="56">
          <cell r="D56">
            <v>2.0351557095388273E-4</v>
          </cell>
          <cell r="E56">
            <v>5.3408619809514057E-4</v>
          </cell>
          <cell r="F56">
            <v>8.3776499954302253E-4</v>
          </cell>
          <cell r="G56">
            <v>1.1345156786821686E-3</v>
          </cell>
          <cell r="H56">
            <v>1.4083814726770782E-3</v>
          </cell>
          <cell r="I56">
            <v>1.6720894939896702E-3</v>
          </cell>
          <cell r="J56">
            <v>1.9744563379793245E-3</v>
          </cell>
          <cell r="K56">
            <v>2.3669899239784353E-3</v>
          </cell>
          <cell r="L56">
            <v>2.7720602977838738E-3</v>
          </cell>
          <cell r="M56">
            <v>3.217874905354412E-3</v>
          </cell>
          <cell r="N56">
            <v>3.6672980146281731E-3</v>
          </cell>
          <cell r="O56">
            <v>4.1231201971296816E-3</v>
          </cell>
          <cell r="P56">
            <v>4.5535284478579463E-3</v>
          </cell>
          <cell r="Q56">
            <v>4.9718227666377679E-3</v>
          </cell>
          <cell r="R56">
            <v>5.3841194605002141E-3</v>
          </cell>
          <cell r="S56">
            <v>5.834532009832305E-3</v>
          </cell>
          <cell r="T56">
            <v>6.2652028038687746E-3</v>
          </cell>
          <cell r="U56">
            <v>6.6918550490038253E-3</v>
          </cell>
          <cell r="V56">
            <v>7.1320188356149838E-3</v>
          </cell>
          <cell r="W56">
            <v>7.5951845125572515E-3</v>
          </cell>
          <cell r="X56">
            <v>8.0519526571325439E-3</v>
          </cell>
          <cell r="Y56">
            <v>8.4406319439973565E-3</v>
          </cell>
          <cell r="Z56">
            <v>8.8468018748733002E-3</v>
          </cell>
          <cell r="AA56">
            <v>9.2129878886137995E-3</v>
          </cell>
          <cell r="AB56">
            <v>9.6118164922589511E-3</v>
          </cell>
          <cell r="AC56">
            <v>9.8838186306680065E-3</v>
          </cell>
          <cell r="AD56">
            <v>1.0221846516566213E-2</v>
          </cell>
          <cell r="AE56">
            <v>1.052905472086807E-2</v>
          </cell>
          <cell r="AF56">
            <v>1.0771712668131483E-2</v>
          </cell>
          <cell r="AG56">
            <v>1.1060601163771056E-2</v>
          </cell>
          <cell r="AH56">
            <v>1.1248527991805757E-2</v>
          </cell>
          <cell r="AI56">
            <v>1.1505341623325505E-2</v>
          </cell>
          <cell r="AJ56">
            <v>1.1791026462509402E-2</v>
          </cell>
          <cell r="AK56">
            <v>1.205579746816654E-2</v>
          </cell>
          <cell r="AL56">
            <v>1.221822707384157E-2</v>
          </cell>
          <cell r="AM56">
            <v>1.2455623121236048E-2</v>
          </cell>
          <cell r="AN56">
            <v>1.2774077740029366E-2</v>
          </cell>
          <cell r="AO56">
            <v>1.3056981857738847E-2</v>
          </cell>
          <cell r="AP56">
            <v>1.3368579448053808E-2</v>
          </cell>
          <cell r="AQ56">
            <v>1.3615340397955311E-2</v>
          </cell>
          <cell r="AR56">
            <v>1.4016756363236293E-2</v>
          </cell>
          <cell r="AS56">
            <v>1.4306694050651547E-2</v>
          </cell>
          <cell r="AT56">
            <v>1.4630787568182368E-2</v>
          </cell>
          <cell r="AU56">
            <v>1.5063097159251804E-2</v>
          </cell>
          <cell r="AV56">
            <v>1.5577385080028483E-2</v>
          </cell>
        </row>
        <row r="57">
          <cell r="D57">
            <v>2.9302361657457254E-4</v>
          </cell>
          <cell r="E57">
            <v>7.0199128712333803E-4</v>
          </cell>
          <cell r="F57">
            <v>9.9300854409634098E-4</v>
          </cell>
          <cell r="G57">
            <v>1.2050902058544644E-3</v>
          </cell>
          <cell r="H57">
            <v>1.5382840227875505E-3</v>
          </cell>
          <cell r="I57">
            <v>1.9328486616108087E-3</v>
          </cell>
          <cell r="J57">
            <v>2.3062599645369275E-3</v>
          </cell>
          <cell r="K57">
            <v>2.7589995334809103E-3</v>
          </cell>
          <cell r="L57">
            <v>3.2189033016150059E-3</v>
          </cell>
          <cell r="M57">
            <v>3.7164056325726946E-3</v>
          </cell>
          <cell r="N57">
            <v>4.3291922055048726E-3</v>
          </cell>
          <cell r="O57">
            <v>4.9375514639105056E-3</v>
          </cell>
          <cell r="P57">
            <v>5.5597808419063366E-3</v>
          </cell>
          <cell r="Q57">
            <v>6.1033556868670402E-3</v>
          </cell>
          <cell r="R57">
            <v>6.6278815428593152E-3</v>
          </cell>
          <cell r="S57">
            <v>7.1380690970745952E-3</v>
          </cell>
          <cell r="T57">
            <v>7.8665550512793114E-3</v>
          </cell>
          <cell r="U57">
            <v>8.5051142558560944E-3</v>
          </cell>
          <cell r="V57">
            <v>9.0484114159821161E-3</v>
          </cell>
          <cell r="W57">
            <v>9.5118107038645316E-3</v>
          </cell>
          <cell r="X57">
            <v>1.016477406778038E-2</v>
          </cell>
          <cell r="Y57">
            <v>1.0766779962525064E-2</v>
          </cell>
          <cell r="Z57">
            <v>1.1548145063609683E-2</v>
          </cell>
          <cell r="AA57">
            <v>1.2066290426509418E-2</v>
          </cell>
          <cell r="AB57">
            <v>1.2627342909538486E-2</v>
          </cell>
          <cell r="AC57">
            <v>1.2977770921426934E-2</v>
          </cell>
          <cell r="AD57">
            <v>1.3427956296115928E-2</v>
          </cell>
          <cell r="AE57">
            <v>1.3889262355163634E-2</v>
          </cell>
          <cell r="AF57">
            <v>1.4240342147904927E-2</v>
          </cell>
          <cell r="AG57">
            <v>1.4570151204662318E-2</v>
          </cell>
          <cell r="AH57">
            <v>1.4668213772430327E-2</v>
          </cell>
          <cell r="AI57">
            <v>1.5017053349120957E-2</v>
          </cell>
          <cell r="AJ57">
            <v>1.5165747101682836E-2</v>
          </cell>
          <cell r="AK57">
            <v>1.5556442390003422E-2</v>
          </cell>
          <cell r="AL57">
            <v>1.5161791244488354E-2</v>
          </cell>
          <cell r="AM57">
            <v>1.4966692098579593E-2</v>
          </cell>
          <cell r="AN57">
            <v>1.5179231348952715E-2</v>
          </cell>
          <cell r="AO57">
            <v>1.507759399644315E-2</v>
          </cell>
          <cell r="AP57">
            <v>1.5396733916766436E-2</v>
          </cell>
          <cell r="AQ57">
            <v>1.5173623034227868E-2</v>
          </cell>
          <cell r="AR57">
            <v>1.5161939391516777E-2</v>
          </cell>
          <cell r="AS57">
            <v>1.5142365456710438E-2</v>
          </cell>
          <cell r="AT57">
            <v>1.5192477711553076E-2</v>
          </cell>
          <cell r="AU57">
            <v>1.5040297141494241E-2</v>
          </cell>
          <cell r="AV57">
            <v>1.5301448105483839E-2</v>
          </cell>
        </row>
        <row r="58">
          <cell r="D58">
            <v>5.2283901032113E-4</v>
          </cell>
          <cell r="E58">
            <v>1.5317797677882883E-3</v>
          </cell>
          <cell r="F58">
            <v>2.6357345379608432E-3</v>
          </cell>
          <cell r="G58">
            <v>3.6754556708151753E-3</v>
          </cell>
          <cell r="H58">
            <v>4.7116330760841318E-3</v>
          </cell>
          <cell r="I58">
            <v>5.7464183330564467E-3</v>
          </cell>
          <cell r="J58">
            <v>6.7420159911597555E-3</v>
          </cell>
          <cell r="K58">
            <v>7.8547973589069287E-3</v>
          </cell>
          <cell r="L58">
            <v>8.8948253677059164E-3</v>
          </cell>
          <cell r="M58">
            <v>9.9417114366857628E-3</v>
          </cell>
          <cell r="N58">
            <v>1.0920038271048149E-2</v>
          </cell>
          <cell r="O58">
            <v>1.188692344256026E-2</v>
          </cell>
          <cell r="P58">
            <v>1.2820000023422207E-2</v>
          </cell>
          <cell r="Q58">
            <v>1.3693426079608439E-2</v>
          </cell>
          <cell r="R58">
            <v>1.4391602718899499E-2</v>
          </cell>
          <cell r="S58">
            <v>1.5035637197988061E-2</v>
          </cell>
          <cell r="T58">
            <v>1.5669608725711992E-2</v>
          </cell>
          <cell r="U58">
            <v>1.6371165606305693E-2</v>
          </cell>
          <cell r="V58">
            <v>1.6999426185773325E-2</v>
          </cell>
          <cell r="W58">
            <v>1.763552522896128E-2</v>
          </cell>
          <cell r="X58">
            <v>1.8177137509273855E-2</v>
          </cell>
          <cell r="Y58">
            <v>1.8718408947040022E-2</v>
          </cell>
          <cell r="Z58">
            <v>1.9270463786828618E-2</v>
          </cell>
          <cell r="AA58">
            <v>1.96630236476798E-2</v>
          </cell>
          <cell r="AB58">
            <v>2.0036018880029483E-2</v>
          </cell>
          <cell r="AC58">
            <v>2.0442029916654558E-2</v>
          </cell>
          <cell r="AD58">
            <v>2.0956280160056018E-2</v>
          </cell>
          <cell r="AE58">
            <v>2.1339953032408987E-2</v>
          </cell>
          <cell r="AF58">
            <v>2.1594103898332939E-2</v>
          </cell>
          <cell r="AG58">
            <v>2.182188125490292E-2</v>
          </cell>
          <cell r="AH58">
            <v>2.2371647062699562E-2</v>
          </cell>
          <cell r="AI58">
            <v>2.2601979570392672E-2</v>
          </cell>
          <cell r="AJ58">
            <v>2.2868889640387247E-2</v>
          </cell>
          <cell r="AK58">
            <v>2.2813455701511831E-2</v>
          </cell>
          <cell r="AL58">
            <v>2.308484228483465E-2</v>
          </cell>
          <cell r="AM58">
            <v>2.34242403301399E-2</v>
          </cell>
          <cell r="AN58">
            <v>2.363168066153376E-2</v>
          </cell>
          <cell r="AO58">
            <v>2.3844512702660303E-2</v>
          </cell>
          <cell r="AP58">
            <v>2.3978088132535547E-2</v>
          </cell>
          <cell r="AQ58">
            <v>2.4028223037259044E-2</v>
          </cell>
          <cell r="AR58">
            <v>2.3977018424675034E-2</v>
          </cell>
          <cell r="AS58">
            <v>2.4055223889503985E-2</v>
          </cell>
          <cell r="AT58">
            <v>2.4457957867495494E-2</v>
          </cell>
          <cell r="AU58">
            <v>2.4787951710165235E-2</v>
          </cell>
          <cell r="AV58">
            <v>2.4903112911949243E-2</v>
          </cell>
        </row>
        <row r="59">
          <cell r="D59">
            <v>2.3284983534832548E-4</v>
          </cell>
          <cell r="E59">
            <v>5.5967959814506862E-4</v>
          </cell>
          <cell r="F59">
            <v>8.3413140446242373E-4</v>
          </cell>
          <cell r="G59">
            <v>1.1006618681845826E-3</v>
          </cell>
          <cell r="H59">
            <v>1.369183513329375E-3</v>
          </cell>
          <cell r="I59">
            <v>1.6573321920105855E-3</v>
          </cell>
          <cell r="J59">
            <v>1.9696235788626559E-3</v>
          </cell>
          <cell r="K59">
            <v>2.3220032947146585E-3</v>
          </cell>
          <cell r="L59">
            <v>2.6974173234273202E-3</v>
          </cell>
          <cell r="M59">
            <v>3.0987507460287222E-3</v>
          </cell>
          <cell r="N59">
            <v>3.4816738840495187E-3</v>
          </cell>
          <cell r="O59">
            <v>3.8708970205942883E-3</v>
          </cell>
          <cell r="P59">
            <v>4.2322442155084961E-3</v>
          </cell>
          <cell r="Q59">
            <v>4.6180607782251304E-3</v>
          </cell>
          <cell r="R59">
            <v>5.0149495550622092E-3</v>
          </cell>
          <cell r="S59">
            <v>5.413736213663034E-3</v>
          </cell>
          <cell r="T59">
            <v>5.8179008304479751E-3</v>
          </cell>
          <cell r="U59">
            <v>6.1591837215115852E-3</v>
          </cell>
          <cell r="V59">
            <v>6.5913142352114207E-3</v>
          </cell>
          <cell r="W59">
            <v>7.0188889077826833E-3</v>
          </cell>
          <cell r="X59">
            <v>7.4326035086360598E-3</v>
          </cell>
          <cell r="Y59">
            <v>7.900842924666085E-3</v>
          </cell>
          <cell r="Z59">
            <v>8.3575623555933731E-3</v>
          </cell>
          <cell r="AA59">
            <v>8.8680602556259203E-3</v>
          </cell>
          <cell r="AB59">
            <v>9.4586892911896481E-3</v>
          </cell>
          <cell r="AC59">
            <v>1.0034438585131866E-2</v>
          </cell>
          <cell r="AD59">
            <v>1.0707332257926527E-2</v>
          </cell>
          <cell r="AE59">
            <v>1.135487098088217E-2</v>
          </cell>
          <cell r="AF59">
            <v>1.2048439634175345E-2</v>
          </cell>
          <cell r="AG59">
            <v>1.2607570791182132E-2</v>
          </cell>
          <cell r="AH59">
            <v>1.3301504426635136E-2</v>
          </cell>
          <cell r="AI59">
            <v>1.4242480476616803E-2</v>
          </cell>
          <cell r="AJ59">
            <v>1.5139545086126471E-2</v>
          </cell>
          <cell r="AK59">
            <v>1.6052291020526521E-2</v>
          </cell>
          <cell r="AL59">
            <v>1.7018704439375032E-2</v>
          </cell>
          <cell r="AM59">
            <v>1.7906551346093424E-2</v>
          </cell>
          <cell r="AN59">
            <v>1.8990440058968439E-2</v>
          </cell>
          <cell r="AO59">
            <v>2.0178167749351328E-2</v>
          </cell>
          <cell r="AP59">
            <v>2.1437010896032671E-2</v>
          </cell>
          <cell r="AQ59">
            <v>2.2848493838723449E-2</v>
          </cell>
          <cell r="AR59">
            <v>2.4115086258789553E-2</v>
          </cell>
          <cell r="AS59">
            <v>2.5617385932175996E-2</v>
          </cell>
          <cell r="AT59">
            <v>2.6969153838599658E-2</v>
          </cell>
          <cell r="AU59">
            <v>2.8510841213257532E-2</v>
          </cell>
          <cell r="AV59">
            <v>2.9833477539158659E-2</v>
          </cell>
        </row>
        <row r="60">
          <cell r="D60">
            <v>-3.8398188241017817E-4</v>
          </cell>
          <cell r="E60">
            <v>-6.6284702832308806E-4</v>
          </cell>
          <cell r="F60">
            <v>-9.3181508369089006E-4</v>
          </cell>
          <cell r="G60">
            <v>-1.3088756365127185E-3</v>
          </cell>
          <cell r="H60">
            <v>-1.7505242034313584E-3</v>
          </cell>
          <cell r="I60">
            <v>-2.0471574898969225E-3</v>
          </cell>
          <cell r="J60">
            <v>-2.2257914243116739E-3</v>
          </cell>
          <cell r="K60">
            <v>-2.412559298127781E-3</v>
          </cell>
          <cell r="L60">
            <v>-2.6352044698587651E-3</v>
          </cell>
          <cell r="M60">
            <v>-2.9765118319787787E-3</v>
          </cell>
          <cell r="N60">
            <v>-3.2784320505476749E-3</v>
          </cell>
          <cell r="O60">
            <v>-3.5400012652310187E-3</v>
          </cell>
          <cell r="P60">
            <v>-3.7449673707843356E-3</v>
          </cell>
          <cell r="Q60">
            <v>-4.0101486282383414E-3</v>
          </cell>
          <cell r="R60">
            <v>-4.2468065773958452E-3</v>
          </cell>
          <cell r="S60">
            <v>-4.3764568876252241E-3</v>
          </cell>
          <cell r="T60">
            <v>-4.5764403191387304E-3</v>
          </cell>
          <cell r="U60">
            <v>-4.7535885233891406E-3</v>
          </cell>
          <cell r="V60">
            <v>-4.9949692862796269E-3</v>
          </cell>
          <cell r="W60">
            <v>-5.1080439502069197E-3</v>
          </cell>
          <cell r="X60">
            <v>-5.0789706790724809E-3</v>
          </cell>
          <cell r="Y60">
            <v>-5.1767842309105028E-3</v>
          </cell>
          <cell r="Z60">
            <v>-5.1673434278036723E-3</v>
          </cell>
          <cell r="AA60">
            <v>-5.1066664042862531E-3</v>
          </cell>
          <cell r="AB60">
            <v>-5.1094622599390238E-3</v>
          </cell>
          <cell r="AC60">
            <v>-5.1192184053644452E-3</v>
          </cell>
          <cell r="AD60">
            <v>-5.0011352044407875E-3</v>
          </cell>
          <cell r="AE60">
            <v>-4.795078968638844E-3</v>
          </cell>
          <cell r="AF60">
            <v>-4.6456760913708983E-3</v>
          </cell>
          <cell r="AG60">
            <v>-4.4413989935113696E-3</v>
          </cell>
          <cell r="AH60">
            <v>-4.1783373757192654E-3</v>
          </cell>
          <cell r="AI60">
            <v>-4.0409061769645094E-3</v>
          </cell>
          <cell r="AJ60">
            <v>-3.8034166080141985E-3</v>
          </cell>
          <cell r="AK60">
            <v>-3.7240295714323635E-3</v>
          </cell>
          <cell r="AL60">
            <v>-3.5243080808384786E-3</v>
          </cell>
          <cell r="AM60">
            <v>-3.4289571216125081E-3</v>
          </cell>
          <cell r="AN60">
            <v>-2.9984982151006756E-3</v>
          </cell>
          <cell r="AO60">
            <v>-2.893841695176258E-3</v>
          </cell>
          <cell r="AP60">
            <v>-2.7428175688856138E-3</v>
          </cell>
          <cell r="AQ60">
            <v>-2.671752429388996E-3</v>
          </cell>
          <cell r="AR60">
            <v>-2.5490322951039479E-3</v>
          </cell>
          <cell r="AS60">
            <v>-2.4260774585384004E-3</v>
          </cell>
          <cell r="AT60">
            <v>-2.25035005738905E-3</v>
          </cell>
          <cell r="AU60">
            <v>-1.9603985417019354E-3</v>
          </cell>
          <cell r="AV60">
            <v>-1.554400620024543E-3</v>
          </cell>
        </row>
        <row r="61">
          <cell r="D61">
            <v>4.1858515261772311E-4</v>
          </cell>
          <cell r="E61">
            <v>9.6168371095450844E-4</v>
          </cell>
          <cell r="F61">
            <v>1.4288557568895577E-3</v>
          </cell>
          <cell r="G61">
            <v>1.8163124810373077E-3</v>
          </cell>
          <cell r="H61">
            <v>2.2413595558397059E-3</v>
          </cell>
          <cell r="I61">
            <v>2.6763729207095466E-3</v>
          </cell>
          <cell r="J61">
            <v>3.0430273925945439E-3</v>
          </cell>
          <cell r="K61">
            <v>3.5474760787888027E-3</v>
          </cell>
          <cell r="L61">
            <v>4.1319764531253522E-3</v>
          </cell>
          <cell r="M61">
            <v>4.5516552339173177E-3</v>
          </cell>
          <cell r="N61">
            <v>5.0417762841761249E-3</v>
          </cell>
          <cell r="O61">
            <v>5.7335247275729362E-3</v>
          </cell>
          <cell r="P61">
            <v>6.3459103412939477E-3</v>
          </cell>
          <cell r="Q61">
            <v>6.9913566131230009E-3</v>
          </cell>
          <cell r="R61">
            <v>7.6587925080073838E-3</v>
          </cell>
          <cell r="S61">
            <v>8.2329367268858533E-3</v>
          </cell>
          <cell r="T61">
            <v>8.7420069218759888E-3</v>
          </cell>
          <cell r="U61">
            <v>9.3439968055222256E-3</v>
          </cell>
          <cell r="V61">
            <v>9.8625753140615391E-3</v>
          </cell>
          <cell r="W61">
            <v>1.0497668111887348E-2</v>
          </cell>
          <cell r="X61">
            <v>1.1061111922832767E-2</v>
          </cell>
          <cell r="Y61">
            <v>1.1752926368347127E-2</v>
          </cell>
          <cell r="Z61">
            <v>1.2142272985513625E-2</v>
          </cell>
          <cell r="AA61">
            <v>1.2491535801283149E-2</v>
          </cell>
          <cell r="AB61">
            <v>1.3117634889967311E-2</v>
          </cell>
          <cell r="AC61">
            <v>1.3632887319274811E-2</v>
          </cell>
          <cell r="AD61">
            <v>1.3917674682042636E-2</v>
          </cell>
          <cell r="AE61">
            <v>1.4372604995415816E-2</v>
          </cell>
          <cell r="AF61">
            <v>1.47232143336673E-2</v>
          </cell>
          <cell r="AG61">
            <v>1.494354171785206E-2</v>
          </cell>
          <cell r="AH61">
            <v>1.5569192803348786E-2</v>
          </cell>
          <cell r="AI61">
            <v>1.5734087371747085E-2</v>
          </cell>
          <cell r="AJ61">
            <v>1.5899940973391313E-2</v>
          </cell>
          <cell r="AK61">
            <v>1.6109256653023651E-2</v>
          </cell>
          <cell r="AL61">
            <v>1.6520224529144478E-2</v>
          </cell>
          <cell r="AM61">
            <v>1.6811087899958999E-2</v>
          </cell>
          <cell r="AN61">
            <v>1.68633519241006E-2</v>
          </cell>
          <cell r="AO61">
            <v>1.7005549454199187E-2</v>
          </cell>
          <cell r="AP61">
            <v>1.6789756604229877E-2</v>
          </cell>
          <cell r="AQ61">
            <v>1.6826122921103082E-2</v>
          </cell>
          <cell r="AR61">
            <v>1.7276250041828645E-2</v>
          </cell>
          <cell r="AS61">
            <v>1.7474374434356843E-2</v>
          </cell>
          <cell r="AT61">
            <v>1.7691186496071598E-2</v>
          </cell>
          <cell r="AU61">
            <v>1.7807504998169632E-2</v>
          </cell>
          <cell r="AV61">
            <v>1.7915459672884104E-2</v>
          </cell>
        </row>
        <row r="62">
          <cell r="D62">
            <v>-1.0153863379547268E-5</v>
          </cell>
          <cell r="E62">
            <v>-3.0562176280835018E-5</v>
          </cell>
          <cell r="F62">
            <v>-2.3599715340050231E-5</v>
          </cell>
          <cell r="G62">
            <v>-6.6350030528128379E-5</v>
          </cell>
          <cell r="H62">
            <v>-9.4158601211535853E-5</v>
          </cell>
          <cell r="I62">
            <v>-1.0116458328579547E-4</v>
          </cell>
          <cell r="J62">
            <v>-1.3775886581779417E-4</v>
          </cell>
          <cell r="K62">
            <v>-1.5037530051786874E-4</v>
          </cell>
          <cell r="L62">
            <v>-1.468138701594679E-4</v>
          </cell>
          <cell r="M62">
            <v>-1.9105655899553931E-4</v>
          </cell>
          <cell r="N62">
            <v>-2.740117970490008E-4</v>
          </cell>
          <cell r="O62">
            <v>-3.2187893920532229E-4</v>
          </cell>
          <cell r="P62">
            <v>-3.0882182449532003E-4</v>
          </cell>
          <cell r="Q62">
            <v>-4.183117745940601E-4</v>
          </cell>
          <cell r="R62">
            <v>-5.2129193855032785E-4</v>
          </cell>
          <cell r="S62">
            <v>-4.7472529124381602E-4</v>
          </cell>
          <cell r="T62">
            <v>-4.6559835960047202E-4</v>
          </cell>
          <cell r="U62">
            <v>-4.1223215116759082E-4</v>
          </cell>
          <cell r="V62">
            <v>-4.272135044537384E-4</v>
          </cell>
          <cell r="W62">
            <v>-3.9627239917405799E-4</v>
          </cell>
          <cell r="X62">
            <v>-3.4991923883687104E-4</v>
          </cell>
          <cell r="Y62">
            <v>-2.5408950034555566E-4</v>
          </cell>
          <cell r="Z62">
            <v>-2.7596349674718912E-4</v>
          </cell>
          <cell r="AA62">
            <v>-2.0492978803587913E-4</v>
          </cell>
          <cell r="AB62">
            <v>-1.9734858077102846E-4</v>
          </cell>
          <cell r="AC62">
            <v>-1.4087966607068125E-4</v>
          </cell>
          <cell r="AD62">
            <v>-3.3206654743878072E-4</v>
          </cell>
          <cell r="AE62">
            <v>-2.778382811355895E-4</v>
          </cell>
          <cell r="AF62">
            <v>-2.7444958224209781E-4</v>
          </cell>
          <cell r="AG62">
            <v>-3.0114442724704649E-4</v>
          </cell>
          <cell r="AH62">
            <v>-3.2578995844156911E-4</v>
          </cell>
          <cell r="AI62">
            <v>-2.734686470863279E-4</v>
          </cell>
          <cell r="AJ62">
            <v>-1.395115771996025E-4</v>
          </cell>
          <cell r="AK62">
            <v>2.8515515981641926E-4</v>
          </cell>
          <cell r="AL62">
            <v>4.8782337435770984E-5</v>
          </cell>
          <cell r="AM62">
            <v>1.4731617055274704E-4</v>
          </cell>
          <cell r="AN62">
            <v>4.0420473499169773E-5</v>
          </cell>
          <cell r="AO62">
            <v>1.6034745263127093E-5</v>
          </cell>
          <cell r="AP62">
            <v>2.5554904898195119E-4</v>
          </cell>
          <cell r="AQ62">
            <v>2.0429626833884384E-4</v>
          </cell>
          <cell r="AR62">
            <v>-2.3932860014141966E-4</v>
          </cell>
          <cell r="AS62">
            <v>-2.8720433955109481E-4</v>
          </cell>
          <cell r="AT62">
            <v>-3.0677301417270098E-4</v>
          </cell>
          <cell r="AU62">
            <v>-8.8788453701749148E-5</v>
          </cell>
          <cell r="AV62">
            <v>-4.0344598058328351E-4</v>
          </cell>
        </row>
      </sheetData>
      <sheetData sheetId="42"/>
      <sheetData sheetId="4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B1_DP_génération"/>
      <sheetName val="B1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0</v>
          </cell>
          <cell r="F4">
            <v>0</v>
          </cell>
          <cell r="G4">
            <v>4.7065259915541224E-2</v>
          </cell>
          <cell r="H4">
            <v>4.6008387355067848E-2</v>
          </cell>
        </row>
        <row r="5">
          <cell r="B5" t="str">
            <v>Hommes</v>
          </cell>
          <cell r="D5" t="str">
            <v>Ensemble</v>
          </cell>
          <cell r="E5">
            <v>0</v>
          </cell>
          <cell r="F5">
            <v>0</v>
          </cell>
          <cell r="G5">
            <v>-2.5391884010056098E-2</v>
          </cell>
          <cell r="H5">
            <v>-2.5170595940059326E-2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0</v>
          </cell>
          <cell r="F7">
            <v>0</v>
          </cell>
          <cell r="G7">
            <v>4.0333819173561603E-2</v>
          </cell>
          <cell r="H7">
            <v>3.9791478823351767E-2</v>
          </cell>
        </row>
        <row r="8">
          <cell r="D8">
            <v>2</v>
          </cell>
          <cell r="E8">
            <v>0</v>
          </cell>
          <cell r="F8">
            <v>0</v>
          </cell>
          <cell r="G8">
            <v>7.9512883242375931E-2</v>
          </cell>
          <cell r="H8">
            <v>7.8457841365910053E-2</v>
          </cell>
        </row>
        <row r="9">
          <cell r="D9" t="str">
            <v>3 et plus</v>
          </cell>
          <cell r="E9">
            <v>0</v>
          </cell>
          <cell r="F9">
            <v>0</v>
          </cell>
          <cell r="G9">
            <v>2.7089905878385556E-2</v>
          </cell>
          <cell r="H9">
            <v>2.5335437746481171E-2</v>
          </cell>
        </row>
        <row r="10">
          <cell r="B10" t="str">
            <v>Hommes</v>
          </cell>
          <cell r="D10" t="str">
            <v>3 et plus</v>
          </cell>
          <cell r="E10">
            <v>0</v>
          </cell>
          <cell r="F10">
            <v>0</v>
          </cell>
          <cell r="G10">
            <v>-8.2679124623869837E-2</v>
          </cell>
          <cell r="H10">
            <v>-8.217970264847696E-2</v>
          </cell>
        </row>
        <row r="11">
          <cell r="B11" t="str">
            <v>Selon le régime d'affiliation</v>
          </cell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0</v>
          </cell>
          <cell r="F12">
            <v>0</v>
          </cell>
          <cell r="G12">
            <v>4.2228044024350764E-2</v>
          </cell>
          <cell r="H12">
            <v>4.2060827978804172E-2</v>
          </cell>
        </row>
        <row r="13">
          <cell r="D13">
            <v>2</v>
          </cell>
          <cell r="E13">
            <v>0</v>
          </cell>
          <cell r="F13">
            <v>0</v>
          </cell>
          <cell r="G13">
            <v>8.2336371701237976E-2</v>
          </cell>
          <cell r="H13">
            <v>8.2032293195911876E-2</v>
          </cell>
        </row>
        <row r="14">
          <cell r="D14" t="str">
            <v>3 et plus</v>
          </cell>
          <cell r="E14">
            <v>0</v>
          </cell>
          <cell r="F14">
            <v>0</v>
          </cell>
          <cell r="G14">
            <v>3.6475928456337625E-2</v>
          </cell>
          <cell r="H14">
            <v>3.5321061828923694E-2</v>
          </cell>
        </row>
        <row r="15">
          <cell r="C15" t="str">
            <v>Mono FP-RS</v>
          </cell>
          <cell r="D15">
            <v>1</v>
          </cell>
          <cell r="E15">
            <v>0</v>
          </cell>
          <cell r="F15">
            <v>0</v>
          </cell>
          <cell r="G15">
            <v>3.6258887610362223E-2</v>
          </cell>
          <cell r="H15">
            <v>3.5748973965364694E-2</v>
          </cell>
        </row>
        <row r="16">
          <cell r="D16">
            <v>2</v>
          </cell>
          <cell r="E16">
            <v>0</v>
          </cell>
          <cell r="F16">
            <v>0</v>
          </cell>
          <cell r="G16">
            <v>6.9632253715529613E-2</v>
          </cell>
          <cell r="H16">
            <v>6.8032111238136794E-2</v>
          </cell>
        </row>
        <row r="17">
          <cell r="D17" t="str">
            <v>3 et plus</v>
          </cell>
          <cell r="E17">
            <v>0</v>
          </cell>
          <cell r="F17">
            <v>0</v>
          </cell>
          <cell r="G17">
            <v>-7.2433902285984342E-4</v>
          </cell>
          <cell r="H17">
            <v>-1.3838432161933367E-3</v>
          </cell>
        </row>
        <row r="18">
          <cell r="C18" t="str">
            <v>Mono MSAE-PLIB</v>
          </cell>
          <cell r="D18">
            <v>1</v>
          </cell>
          <cell r="E18">
            <v>0</v>
          </cell>
          <cell r="F18">
            <v>0</v>
          </cell>
          <cell r="G18">
            <v>4.6791747923221605E-2</v>
          </cell>
          <cell r="H18">
            <v>4.7227704583631569E-2</v>
          </cell>
        </row>
        <row r="19">
          <cell r="D19">
            <v>2</v>
          </cell>
          <cell r="E19">
            <v>0</v>
          </cell>
          <cell r="F19">
            <v>0</v>
          </cell>
          <cell r="G19">
            <v>8.9762711569606024E-2</v>
          </cell>
          <cell r="H19">
            <v>8.7523315781740774E-2</v>
          </cell>
        </row>
        <row r="20">
          <cell r="D20" t="str">
            <v>3 et plus</v>
          </cell>
          <cell r="E20">
            <v>0</v>
          </cell>
          <cell r="F20">
            <v>0</v>
          </cell>
          <cell r="G20">
            <v>6.302074358129639E-2</v>
          </cell>
          <cell r="H20">
            <v>6.1030262913357669E-2</v>
          </cell>
        </row>
        <row r="21">
          <cell r="C21" t="str">
            <v>Poly Lura-FP-RS</v>
          </cell>
          <cell r="D21">
            <v>1</v>
          </cell>
          <cell r="E21">
            <v>0</v>
          </cell>
          <cell r="F21">
            <v>0</v>
          </cell>
          <cell r="G21">
            <v>3.5041037101054551E-2</v>
          </cell>
          <cell r="H21">
            <v>3.4256861880979983E-2</v>
          </cell>
        </row>
        <row r="22">
          <cell r="D22">
            <v>2</v>
          </cell>
          <cell r="E22">
            <v>0</v>
          </cell>
          <cell r="F22">
            <v>0</v>
          </cell>
          <cell r="G22">
            <v>7.4160206064651568E-2</v>
          </cell>
          <cell r="H22">
            <v>7.1528497739509644E-2</v>
          </cell>
        </row>
        <row r="23">
          <cell r="D23" t="str">
            <v>3 et plus</v>
          </cell>
          <cell r="E23">
            <v>0</v>
          </cell>
          <cell r="F23">
            <v>0</v>
          </cell>
          <cell r="G23">
            <v>4.8550503313100624E-3</v>
          </cell>
          <cell r="H23">
            <v>3.340762330869218E-3</v>
          </cell>
        </row>
        <row r="24">
          <cell r="C24" t="str">
            <v>Poly Lura-MSAE-PLIB</v>
          </cell>
          <cell r="D24">
            <v>1</v>
          </cell>
          <cell r="E24">
            <v>0</v>
          </cell>
          <cell r="F24">
            <v>0</v>
          </cell>
          <cell r="G24">
            <v>4.1524173278465248E-2</v>
          </cell>
          <cell r="H24">
            <v>4.0574974192879143E-2</v>
          </cell>
        </row>
        <row r="25">
          <cell r="D25">
            <v>2</v>
          </cell>
          <cell r="E25">
            <v>0</v>
          </cell>
          <cell r="F25">
            <v>0</v>
          </cell>
          <cell r="G25">
            <v>7.5858662982103864E-2</v>
          </cell>
          <cell r="H25">
            <v>7.4536072564185485E-2</v>
          </cell>
        </row>
        <row r="26">
          <cell r="D26" t="str">
            <v>3 et plus</v>
          </cell>
          <cell r="E26">
            <v>0</v>
          </cell>
          <cell r="F26">
            <v>0</v>
          </cell>
          <cell r="G26">
            <v>1.6831323653412555E-2</v>
          </cell>
          <cell r="H26">
            <v>1.5265473054797196E-2</v>
          </cell>
        </row>
        <row r="27">
          <cell r="B27" t="str">
            <v>Selon le quintile de pension</v>
          </cell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0</v>
          </cell>
          <cell r="F28">
            <v>0</v>
          </cell>
          <cell r="G28">
            <v>4.85443306826292E-2</v>
          </cell>
          <cell r="H28">
            <v>4.8086339534185507E-2</v>
          </cell>
        </row>
        <row r="29">
          <cell r="D29">
            <v>2</v>
          </cell>
          <cell r="E29">
            <v>0</v>
          </cell>
          <cell r="F29">
            <v>0</v>
          </cell>
          <cell r="G29">
            <v>9.6515966769589845E-2</v>
          </cell>
          <cell r="H29">
            <v>9.5969184630531057E-2</v>
          </cell>
        </row>
        <row r="30">
          <cell r="D30" t="str">
            <v>3 et plus</v>
          </cell>
          <cell r="E30">
            <v>0</v>
          </cell>
          <cell r="F30">
            <v>0</v>
          </cell>
          <cell r="G30">
            <v>8.9437331061358538E-2</v>
          </cell>
          <cell r="H30">
            <v>8.8589583213327217E-2</v>
          </cell>
        </row>
        <row r="31">
          <cell r="C31" t="str">
            <v>Q2</v>
          </cell>
          <cell r="D31">
            <v>1</v>
          </cell>
          <cell r="E31">
            <v>0</v>
          </cell>
          <cell r="F31">
            <v>0</v>
          </cell>
          <cell r="G31">
            <v>4.1531120455557069E-2</v>
          </cell>
          <cell r="H31">
            <v>4.0271255810745199E-2</v>
          </cell>
        </row>
        <row r="32">
          <cell r="D32">
            <v>2</v>
          </cell>
          <cell r="E32">
            <v>0</v>
          </cell>
          <cell r="F32">
            <v>0</v>
          </cell>
          <cell r="G32">
            <v>8.7391525011480953E-2</v>
          </cell>
          <cell r="H32">
            <v>8.4761194354365132E-2</v>
          </cell>
        </row>
        <row r="33">
          <cell r="D33" t="str">
            <v>3 et plus</v>
          </cell>
          <cell r="E33">
            <v>0</v>
          </cell>
          <cell r="F33">
            <v>0</v>
          </cell>
          <cell r="G33">
            <v>8.2210375297348204E-2</v>
          </cell>
          <cell r="H33">
            <v>7.9506111307786842E-2</v>
          </cell>
        </row>
        <row r="34">
          <cell r="C34" t="str">
            <v>Q3</v>
          </cell>
          <cell r="D34">
            <v>1</v>
          </cell>
          <cell r="E34">
            <v>0</v>
          </cell>
          <cell r="F34">
            <v>0</v>
          </cell>
          <cell r="G34">
            <v>3.9342998274510377E-2</v>
          </cell>
          <cell r="H34">
            <v>3.8914036037245969E-2</v>
          </cell>
        </row>
        <row r="35">
          <cell r="D35">
            <v>2</v>
          </cell>
          <cell r="E35">
            <v>0</v>
          </cell>
          <cell r="F35">
            <v>0</v>
          </cell>
          <cell r="G35">
            <v>8.3203209321791816E-2</v>
          </cell>
          <cell r="H35">
            <v>8.1859602824547961E-2</v>
          </cell>
        </row>
        <row r="36">
          <cell r="D36" t="str">
            <v>3 et plus</v>
          </cell>
          <cell r="E36">
            <v>0</v>
          </cell>
          <cell r="F36">
            <v>0</v>
          </cell>
          <cell r="G36">
            <v>6.1871092375405778E-2</v>
          </cell>
          <cell r="H36">
            <v>5.9910818787513476E-2</v>
          </cell>
        </row>
        <row r="37">
          <cell r="C37" t="str">
            <v>Q4</v>
          </cell>
          <cell r="D37">
            <v>1</v>
          </cell>
          <cell r="E37">
            <v>0</v>
          </cell>
          <cell r="F37">
            <v>0</v>
          </cell>
          <cell r="G37">
            <v>4.0100330273200369E-2</v>
          </cell>
          <cell r="H37">
            <v>3.9599390233514997E-2</v>
          </cell>
        </row>
        <row r="38">
          <cell r="D38">
            <v>2</v>
          </cell>
          <cell r="E38">
            <v>0</v>
          </cell>
          <cell r="F38">
            <v>0</v>
          </cell>
          <cell r="G38">
            <v>8.3338302638943151E-2</v>
          </cell>
          <cell r="H38">
            <v>8.2389478018645823E-2</v>
          </cell>
        </row>
        <row r="39">
          <cell r="D39" t="str">
            <v>3 et plus</v>
          </cell>
          <cell r="E39">
            <v>0</v>
          </cell>
          <cell r="F39">
            <v>0</v>
          </cell>
          <cell r="G39">
            <v>2.5562934093538381E-2</v>
          </cell>
          <cell r="H39">
            <v>2.379995841355198E-2</v>
          </cell>
        </row>
        <row r="40">
          <cell r="C40" t="str">
            <v>Q5</v>
          </cell>
          <cell r="D40">
            <v>1</v>
          </cell>
          <cell r="E40">
            <v>0</v>
          </cell>
          <cell r="F40">
            <v>0</v>
          </cell>
          <cell r="G40">
            <v>3.9318604392008405E-2</v>
          </cell>
          <cell r="H40">
            <v>3.9011335116623469E-2</v>
          </cell>
        </row>
        <row r="41">
          <cell r="D41">
            <v>2</v>
          </cell>
          <cell r="E41">
            <v>0</v>
          </cell>
          <cell r="F41">
            <v>0</v>
          </cell>
          <cell r="G41">
            <v>6.9301480407336413E-2</v>
          </cell>
          <cell r="H41">
            <v>6.8911068509414974E-2</v>
          </cell>
        </row>
        <row r="42">
          <cell r="D42" t="str">
            <v>3 et plus</v>
          </cell>
          <cell r="E42">
            <v>0</v>
          </cell>
          <cell r="F42">
            <v>0</v>
          </cell>
          <cell r="G42">
            <v>-2.1728736356697698E-2</v>
          </cell>
          <cell r="H42">
            <v>-2.1888002626980763E-2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2 enf"/>
      <sheetName val="Tab durée âge pm_3 enf"/>
      <sheetName val="Gagnants_perdants_pm68_2000"/>
      <sheetName val="pm68_nb enf"/>
      <sheetName val="pm68_régime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"/>
      <sheetName val="pmcv_régime_1 enf"/>
      <sheetName val="pmcv_régime_2 enf"/>
      <sheetName val="pmcv_régime_3 enf"/>
      <sheetName val="pmcv_quintile"/>
      <sheetName val="pmcv_1 enf_quintile"/>
      <sheetName val="pmcv_2 enf_quintile"/>
      <sheetName val="pmcv_3 enf_quintile"/>
      <sheetName val="Pm68ans"/>
      <sheetName val="Durée_validée"/>
      <sheetName val="Durée_validée nbr_enfants"/>
      <sheetName val="Âge "/>
      <sheetName val="Durée_retraite"/>
      <sheetName val="Décalage_âge_enfants"/>
      <sheetName val="Ecarts_pm68_pmcv"/>
      <sheetName val="Pm68_quintiles_Femmes"/>
      <sheetName val="Pm68_quintiles_Hommes"/>
      <sheetName val="Pm68_quintiles_Ensemble"/>
      <sheetName val="Pmcv_quintiles"/>
      <sheetName val="Âge_quintile"/>
      <sheetName val="Pm68_enfants"/>
      <sheetName val="Ecarts_âges_enfants"/>
      <sheetName val="Ecarts_pm68_régimes"/>
      <sheetName val="Ecarts_pmcv_régimes"/>
      <sheetName val="Ecarts_âge_régimes"/>
      <sheetName val="Ecarts_masses_LURA"/>
      <sheetName val="Ecarts_masses_autres_régimes"/>
      <sheetName val="Ecarts_masses_tousrégimes"/>
      <sheetName val="B1_DP_génération"/>
      <sheetName val="B1_année"/>
    </sheetNames>
    <sheetDataSet>
      <sheetData sheetId="0">
        <row r="3">
          <cell r="D3" t="str">
            <v>Nombre d'enfants</v>
          </cell>
          <cell r="E3" t="str">
            <v>Durée validée totale moyenne (écart en trimestres)</v>
          </cell>
          <cell r="F3" t="str">
            <v>Âge de départ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-3.7450307569988013</v>
          </cell>
          <cell r="F4">
            <v>6.2350922709939027E-2</v>
          </cell>
          <cell r="G4">
            <v>6.4769639063119167E-2</v>
          </cell>
          <cell r="H4">
            <v>6.1934520582705543E-2</v>
          </cell>
        </row>
        <row r="5">
          <cell r="B5" t="str">
            <v>Hommes</v>
          </cell>
          <cell r="D5" t="str">
            <v>Ensemble</v>
          </cell>
          <cell r="E5">
            <v>0</v>
          </cell>
          <cell r="F5">
            <v>0</v>
          </cell>
          <cell r="G5">
            <v>-2.2203435052819298E-2</v>
          </cell>
          <cell r="H5">
            <v>-2.2260540674592599E-2</v>
          </cell>
        </row>
        <row r="6">
          <cell r="B6" t="str">
            <v>Selon le nombre d'enfants</v>
          </cell>
        </row>
        <row r="7">
          <cell r="B7" t="str">
            <v>Femmes</v>
          </cell>
          <cell r="D7">
            <v>1</v>
          </cell>
          <cell r="E7">
            <v>-1.4361200226457811</v>
          </cell>
          <cell r="F7">
            <v>3.4424734226575993E-2</v>
          </cell>
          <cell r="G7">
            <v>4.790814715719427E-2</v>
          </cell>
          <cell r="H7">
            <v>4.62153272839676E-2</v>
          </cell>
        </row>
        <row r="8">
          <cell r="D8">
            <v>2</v>
          </cell>
          <cell r="E8">
            <v>-3.2427969479558101</v>
          </cell>
          <cell r="F8">
            <v>7.1100482101485341E-2</v>
          </cell>
          <cell r="G8">
            <v>0.10038700654560118</v>
          </cell>
          <cell r="H8">
            <v>9.7464756502398719E-2</v>
          </cell>
        </row>
        <row r="9">
          <cell r="D9" t="str">
            <v>3 et plus</v>
          </cell>
          <cell r="E9">
            <v>-8.4349336702463518</v>
          </cell>
          <cell r="F9">
            <v>0.10790429564116266</v>
          </cell>
          <cell r="G9">
            <v>6.5220814375027247E-2</v>
          </cell>
          <cell r="H9">
            <v>6.0434703592645356E-2</v>
          </cell>
        </row>
        <row r="10">
          <cell r="B10" t="str">
            <v>Hommes</v>
          </cell>
          <cell r="D10" t="str">
            <v>3 et plus</v>
          </cell>
          <cell r="E10">
            <v>0</v>
          </cell>
          <cell r="F10">
            <v>0</v>
          </cell>
          <cell r="G10">
            <v>-8.6884827588970648E-2</v>
          </cell>
          <cell r="H10">
            <v>-8.7212488224522433E-2</v>
          </cell>
        </row>
        <row r="11">
          <cell r="B11" t="str">
            <v>Selon le régime d'affiliation</v>
          </cell>
        </row>
        <row r="12">
          <cell r="B12" t="str">
            <v>Femmes</v>
          </cell>
          <cell r="C12" t="str">
            <v>Mono Lura</v>
          </cell>
          <cell r="D12">
            <v>1</v>
          </cell>
          <cell r="E12">
            <v>-2.1025454545454636</v>
          </cell>
          <cell r="F12">
            <v>4.8101010101007091E-2</v>
          </cell>
          <cell r="G12">
            <v>4.2914564312901415E-2</v>
          </cell>
          <cell r="H12">
            <v>4.0233210710284961E-2</v>
          </cell>
        </row>
        <row r="13">
          <cell r="D13">
            <v>2</v>
          </cell>
          <cell r="E13">
            <v>-4.5596885813148731</v>
          </cell>
          <cell r="F13">
            <v>9.3101211072664114E-2</v>
          </cell>
          <cell r="G13">
            <v>8.9692535098954362E-2</v>
          </cell>
          <cell r="H13">
            <v>8.519157155104562E-2</v>
          </cell>
        </row>
        <row r="14">
          <cell r="D14" t="str">
            <v>3 et plus</v>
          </cell>
          <cell r="E14">
            <v>-10.38647069907671</v>
          </cell>
          <cell r="F14">
            <v>0.12626405376545335</v>
          </cell>
          <cell r="G14">
            <v>5.1401621739705083E-2</v>
          </cell>
          <cell r="H14">
            <v>4.5037845765252715E-2</v>
          </cell>
        </row>
        <row r="15">
          <cell r="C15" t="str">
            <v>Mono FP-RS</v>
          </cell>
          <cell r="D15">
            <v>1</v>
          </cell>
          <cell r="E15">
            <v>1.8055555555555429</v>
          </cell>
          <cell r="F15">
            <v>-0.10648148148148096</v>
          </cell>
          <cell r="G15">
            <v>7.0745447441636466E-2</v>
          </cell>
          <cell r="H15">
            <v>7.550568413273484E-2</v>
          </cell>
        </row>
        <row r="16">
          <cell r="D16">
            <v>2</v>
          </cell>
          <cell r="E16">
            <v>4.1142857142857281</v>
          </cell>
          <cell r="F16">
            <v>-0.16825396825397831</v>
          </cell>
          <cell r="G16">
            <v>0.15907808447126559</v>
          </cell>
          <cell r="H16">
            <v>0.16663596254988655</v>
          </cell>
        </row>
        <row r="17">
          <cell r="D17" t="str">
            <v>3 et plus</v>
          </cell>
          <cell r="E17">
            <v>6.7708333333333144</v>
          </cell>
          <cell r="F17">
            <v>-4.1666666666671404E-2</v>
          </cell>
          <cell r="G17">
            <v>0.16255737892362254</v>
          </cell>
          <cell r="H17">
            <v>0.17251664407872624</v>
          </cell>
        </row>
        <row r="18">
          <cell r="C18" t="str">
            <v>Mono MSAE-PLIB</v>
          </cell>
          <cell r="D18">
            <v>1</v>
          </cell>
          <cell r="E18">
            <v>-2.4000000000000057</v>
          </cell>
          <cell r="F18">
            <v>0</v>
          </cell>
          <cell r="G18">
            <v>4.7170596942346377E-2</v>
          </cell>
          <cell r="H18">
            <v>4.7939467183189644E-2</v>
          </cell>
        </row>
        <row r="19">
          <cell r="D19">
            <v>2</v>
          </cell>
          <cell r="E19">
            <v>-4.4444444444444571</v>
          </cell>
          <cell r="F19">
            <v>6.4814814814809552E-2</v>
          </cell>
          <cell r="G19">
            <v>9.5898120912949025E-2</v>
          </cell>
          <cell r="H19">
            <v>9.2104456914618993E-2</v>
          </cell>
        </row>
        <row r="20">
          <cell r="D20" t="str">
            <v>3 et plus</v>
          </cell>
          <cell r="E20">
            <v>-10.5</v>
          </cell>
          <cell r="F20">
            <v>0</v>
          </cell>
          <cell r="G20">
            <v>0.13121330327216851</v>
          </cell>
          <cell r="H20">
            <v>0.13132165754473069</v>
          </cell>
        </row>
        <row r="21">
          <cell r="C21" t="str">
            <v>Poly Lura-FP-RS</v>
          </cell>
          <cell r="D21">
            <v>1</v>
          </cell>
          <cell r="E21">
            <v>1.9365721997300795</v>
          </cell>
          <cell r="F21">
            <v>-3.0251911830859513E-2</v>
          </cell>
          <cell r="G21">
            <v>6.9835620874594051E-2</v>
          </cell>
          <cell r="H21">
            <v>7.1493182367263763E-2</v>
          </cell>
        </row>
        <row r="22">
          <cell r="D22">
            <v>2</v>
          </cell>
          <cell r="E22">
            <v>3.8727114210985292</v>
          </cell>
          <cell r="F22">
            <v>-3.9087474571346092E-2</v>
          </cell>
          <cell r="G22">
            <v>0.14953595503429229</v>
          </cell>
          <cell r="H22">
            <v>0.15261781055122547</v>
          </cell>
        </row>
        <row r="23">
          <cell r="D23" t="str">
            <v>3 et plus</v>
          </cell>
          <cell r="E23">
            <v>5.8869143780290756</v>
          </cell>
          <cell r="F23">
            <v>-1.7366720516960754E-2</v>
          </cell>
          <cell r="G23">
            <v>0.13512607760157769</v>
          </cell>
          <cell r="H23">
            <v>0.13717721700059471</v>
          </cell>
        </row>
        <row r="24">
          <cell r="C24" t="str">
            <v>Poly Lura-MSAE-PLIB</v>
          </cell>
          <cell r="D24">
            <v>1</v>
          </cell>
          <cell r="E24">
            <v>-2.4200743494423875</v>
          </cell>
          <cell r="F24">
            <v>5.9789343246592352E-2</v>
          </cell>
          <cell r="G24">
            <v>3.7039074891353607E-2</v>
          </cell>
          <cell r="H24">
            <v>3.3800079572615438E-2</v>
          </cell>
        </row>
        <row r="25">
          <cell r="D25">
            <v>2</v>
          </cell>
          <cell r="E25">
            <v>-5.022573363431178</v>
          </cell>
          <cell r="F25">
            <v>0.11587659894657065</v>
          </cell>
          <cell r="G25">
            <v>8.0290246686304467E-2</v>
          </cell>
          <cell r="H25">
            <v>7.4561402701865953E-2</v>
          </cell>
        </row>
        <row r="26">
          <cell r="D26" t="str">
            <v>3 et plus</v>
          </cell>
          <cell r="E26">
            <v>-9.5531914893616943</v>
          </cell>
          <cell r="F26">
            <v>0.12204491725769628</v>
          </cell>
          <cell r="G26">
            <v>4.5574329018545523E-2</v>
          </cell>
          <cell r="H26">
            <v>3.7371453536330757E-2</v>
          </cell>
        </row>
        <row r="27">
          <cell r="B27" t="str">
            <v>Selon le quintile de pension</v>
          </cell>
        </row>
        <row r="28">
          <cell r="B28" t="str">
            <v>Femmes</v>
          </cell>
          <cell r="C28" t="str">
            <v>Q1</v>
          </cell>
          <cell r="D28">
            <v>1</v>
          </cell>
          <cell r="E28">
            <v>-1.6284544524053359</v>
          </cell>
          <cell r="F28">
            <v>5.7147731149882475E-3</v>
          </cell>
          <cell r="G28">
            <v>4.6913745630037029E-2</v>
          </cell>
          <cell r="H28">
            <v>4.7620287884729606E-2</v>
          </cell>
        </row>
        <row r="29">
          <cell r="D29">
            <v>2</v>
          </cell>
          <cell r="E29">
            <v>-3.4833759590792823</v>
          </cell>
          <cell r="F29">
            <v>1.3800085251489236E-2</v>
          </cell>
          <cell r="G29">
            <v>9.4793373568858641E-2</v>
          </cell>
          <cell r="H29">
            <v>9.4145903368775485E-2</v>
          </cell>
        </row>
        <row r="30">
          <cell r="D30" t="str">
            <v>3 et plus</v>
          </cell>
          <cell r="E30">
            <v>-13.909502262443439</v>
          </cell>
          <cell r="F30">
            <v>1.3843999138117624E-2</v>
          </cell>
          <cell r="G30">
            <v>-4.5400172143847284E-2</v>
          </cell>
          <cell r="H30">
            <v>-4.7375448812637666E-2</v>
          </cell>
        </row>
        <row r="31">
          <cell r="C31" t="str">
            <v>Q2</v>
          </cell>
          <cell r="D31">
            <v>1</v>
          </cell>
          <cell r="E31">
            <v>-1.5421545667447276</v>
          </cell>
          <cell r="F31">
            <v>6.1475409836077688E-2</v>
          </cell>
          <cell r="G31">
            <v>5.1217036157592322E-2</v>
          </cell>
          <cell r="H31">
            <v>4.7730813932281402E-2</v>
          </cell>
        </row>
        <row r="32">
          <cell r="D32">
            <v>2</v>
          </cell>
          <cell r="E32">
            <v>-3.7168610816542866</v>
          </cell>
          <cell r="F32">
            <v>0.12283492400142393</v>
          </cell>
          <cell r="G32">
            <v>0.10139650560015001</v>
          </cell>
          <cell r="H32">
            <v>9.6001894099686735E-2</v>
          </cell>
        </row>
        <row r="33">
          <cell r="D33" t="str">
            <v>3 et plus</v>
          </cell>
          <cell r="E33">
            <v>-8.8325722983257151</v>
          </cell>
          <cell r="F33">
            <v>0.21175799086759639</v>
          </cell>
          <cell r="G33">
            <v>7.9098055089338093E-2</v>
          </cell>
          <cell r="H33">
            <v>6.8450452294968267E-2</v>
          </cell>
        </row>
        <row r="34">
          <cell r="C34" t="str">
            <v>Q3</v>
          </cell>
          <cell r="D34">
            <v>1</v>
          </cell>
          <cell r="E34">
            <v>-1.1524390243902474</v>
          </cell>
          <cell r="F34">
            <v>3.5823170731710263E-2</v>
          </cell>
          <cell r="G34">
            <v>4.9584168770475889E-2</v>
          </cell>
          <cell r="H34">
            <v>4.8427860282528545E-2</v>
          </cell>
        </row>
        <row r="35">
          <cell r="D35">
            <v>2</v>
          </cell>
          <cell r="E35">
            <v>-2.6200000000000045</v>
          </cell>
          <cell r="F35">
            <v>7.4027777777800452E-2</v>
          </cell>
          <cell r="G35">
            <v>0.10113600940126122</v>
          </cell>
          <cell r="H35">
            <v>9.8061752568318061E-2</v>
          </cell>
        </row>
        <row r="36">
          <cell r="D36" t="str">
            <v>3 et plus</v>
          </cell>
          <cell r="E36">
            <v>-6.9434523809523796</v>
          </cell>
          <cell r="F36">
            <v>0.10757688492061845</v>
          </cell>
          <cell r="G36">
            <v>6.7570689867233025E-2</v>
          </cell>
          <cell r="H36">
            <v>6.2535970321516032E-2</v>
          </cell>
        </row>
        <row r="37">
          <cell r="C37" t="str">
            <v>Q4</v>
          </cell>
          <cell r="D37">
            <v>1</v>
          </cell>
          <cell r="E37">
            <v>-1.173044925124799</v>
          </cell>
          <cell r="F37">
            <v>3.1960621186925664E-2</v>
          </cell>
          <cell r="G37">
            <v>4.8724962222290502E-2</v>
          </cell>
          <cell r="H37">
            <v>4.7341701169801187E-2</v>
          </cell>
        </row>
        <row r="38">
          <cell r="D38">
            <v>2</v>
          </cell>
          <cell r="E38">
            <v>-2.7343215507411571</v>
          </cell>
          <cell r="F38">
            <v>5.9007981755982541E-2</v>
          </cell>
          <cell r="G38">
            <v>0.10523509092347405</v>
          </cell>
          <cell r="H38">
            <v>0.10343450619957539</v>
          </cell>
        </row>
        <row r="39">
          <cell r="D39" t="str">
            <v>3 et plus</v>
          </cell>
          <cell r="E39">
            <v>-4.9694519317160655</v>
          </cell>
          <cell r="F39">
            <v>0.10467205750224196</v>
          </cell>
          <cell r="G39">
            <v>7.1675130865994863E-2</v>
          </cell>
          <cell r="H39">
            <v>6.8215586852073518E-2</v>
          </cell>
        </row>
        <row r="40">
          <cell r="C40" t="str">
            <v>Q5</v>
          </cell>
          <cell r="D40">
            <v>1</v>
          </cell>
          <cell r="E40">
            <v>-1.6833073322933103</v>
          </cell>
          <cell r="F40">
            <v>3.9521580863237205E-2</v>
          </cell>
          <cell r="G40">
            <v>4.5997078831198968E-2</v>
          </cell>
          <cell r="H40">
            <v>4.4093002377800783E-2</v>
          </cell>
        </row>
        <row r="41">
          <cell r="D41">
            <v>2</v>
          </cell>
          <cell r="E41">
            <v>-3.6606640405177018</v>
          </cell>
          <cell r="F41">
            <v>7.5595573063210963E-2</v>
          </cell>
          <cell r="G41">
            <v>9.7331821658621198E-2</v>
          </cell>
          <cell r="H41">
            <v>9.4381408716794235E-2</v>
          </cell>
        </row>
        <row r="42">
          <cell r="D42" t="str">
            <v>3 et plus</v>
          </cell>
          <cell r="E42">
            <v>-5.3481262327416061</v>
          </cell>
          <cell r="F42">
            <v>0.12080867850097832</v>
          </cell>
          <cell r="G42">
            <v>8.1075690478293438E-2</v>
          </cell>
          <cell r="H42">
            <v>7.6111800676460284E-2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4">
          <cell r="D54">
            <v>5.4198164185947917E-4</v>
          </cell>
          <cell r="E54">
            <v>1.3206320281624606E-3</v>
          </cell>
          <cell r="F54">
            <v>2.0086905816665279E-3</v>
          </cell>
          <cell r="G54">
            <v>2.6371022934459365E-3</v>
          </cell>
          <cell r="H54">
            <v>3.2213968221086464E-3</v>
          </cell>
          <cell r="I54">
            <v>3.8009738957085482E-3</v>
          </cell>
          <cell r="J54">
            <v>4.3832260214520247E-3</v>
          </cell>
          <cell r="K54">
            <v>5.0627029213501373E-3</v>
          </cell>
          <cell r="L54">
            <v>5.7478242013619951E-3</v>
          </cell>
          <cell r="M54">
            <v>6.4556376570055196E-3</v>
          </cell>
          <cell r="N54">
            <v>7.1552688031293332E-3</v>
          </cell>
          <cell r="O54">
            <v>7.8581981377987553E-3</v>
          </cell>
          <cell r="P54">
            <v>8.5353729074326701E-3</v>
          </cell>
          <cell r="Q54">
            <v>9.1855671016869422E-3</v>
          </cell>
          <cell r="R54">
            <v>9.8212738419714007E-3</v>
          </cell>
          <cell r="S54">
            <v>1.048624661042874E-2</v>
          </cell>
          <cell r="T54">
            <v>1.1117926256920319E-2</v>
          </cell>
          <cell r="U54">
            <v>1.1729747785481193E-2</v>
          </cell>
          <cell r="V54">
            <v>1.2346422163562076E-2</v>
          </cell>
          <cell r="W54">
            <v>1.2988268912490275E-2</v>
          </cell>
          <cell r="X54">
            <v>1.3598250092439423E-2</v>
          </cell>
          <cell r="Y54">
            <v>1.4171826274407273E-2</v>
          </cell>
          <cell r="Z54">
            <v>1.4717674815745374E-2</v>
          </cell>
          <cell r="AA54">
            <v>1.5219310473289616E-2</v>
          </cell>
          <cell r="AB54">
            <v>1.5741888162476458E-2</v>
          </cell>
          <cell r="AC54">
            <v>1.6140150595119751E-2</v>
          </cell>
          <cell r="AD54">
            <v>1.6575111660189545E-2</v>
          </cell>
          <cell r="AE54">
            <v>1.6939044732162678E-2</v>
          </cell>
          <cell r="AF54">
            <v>1.7240528978366143E-2</v>
          </cell>
          <cell r="AG54">
            <v>1.7478068050789775E-2</v>
          </cell>
          <cell r="AH54">
            <v>1.7671558286222355E-2</v>
          </cell>
          <cell r="AI54">
            <v>1.7868916017086844E-2</v>
          </cell>
          <cell r="AJ54">
            <v>1.8026640163386176E-2</v>
          </cell>
          <cell r="AK54">
            <v>1.8152089386276105E-2</v>
          </cell>
          <cell r="AL54">
            <v>1.8148330121208422E-2</v>
          </cell>
          <cell r="AM54">
            <v>1.8115477785522582E-2</v>
          </cell>
          <cell r="AN54">
            <v>1.8137015521035194E-2</v>
          </cell>
          <cell r="AO54">
            <v>1.8119773336550127E-2</v>
          </cell>
          <cell r="AP54">
            <v>1.8098051125567949E-2</v>
          </cell>
          <cell r="AQ54">
            <v>1.7959892605315941E-2</v>
          </cell>
          <cell r="AR54">
            <v>1.7932399942691246E-2</v>
          </cell>
          <cell r="AS54">
            <v>1.7896741889452228E-2</v>
          </cell>
          <cell r="AT54">
            <v>1.7860325995207482E-2</v>
          </cell>
          <cell r="AU54">
            <v>1.7911542013169912E-2</v>
          </cell>
          <cell r="AV54">
            <v>1.7946166779566175E-2</v>
          </cell>
        </row>
        <row r="55">
          <cell r="D55">
            <v>6.4901928017091493E-4</v>
          </cell>
          <cell r="E55">
            <v>1.5660843180134165E-3</v>
          </cell>
          <cell r="F55">
            <v>2.3343039640080221E-3</v>
          </cell>
          <cell r="G55">
            <v>3.0278357514890164E-3</v>
          </cell>
          <cell r="H55">
            <v>3.659293721386403E-3</v>
          </cell>
          <cell r="I55">
            <v>4.266221978755258E-3</v>
          </cell>
          <cell r="J55">
            <v>4.870605734105915E-3</v>
          </cell>
          <cell r="K55">
            <v>5.5640564177548146E-3</v>
          </cell>
          <cell r="L55">
            <v>6.2535893635367046E-3</v>
          </cell>
          <cell r="M55">
            <v>6.9656737499561583E-3</v>
          </cell>
          <cell r="N55">
            <v>7.6541126460292208E-3</v>
          </cell>
          <cell r="O55">
            <v>8.3351493788181852E-3</v>
          </cell>
          <cell r="P55">
            <v>8.9843063285679481E-3</v>
          </cell>
          <cell r="Q55">
            <v>9.5933462909028044E-3</v>
          </cell>
          <cell r="R55">
            <v>1.0180040004130531E-2</v>
          </cell>
          <cell r="S55">
            <v>1.0782275919009709E-2</v>
          </cell>
          <cell r="T55">
            <v>1.1341306399052398E-2</v>
          </cell>
          <cell r="U55">
            <v>1.1900184722167584E-2</v>
          </cell>
          <cell r="V55">
            <v>1.2444827723633312E-2</v>
          </cell>
          <cell r="W55">
            <v>1.3015980562067542E-2</v>
          </cell>
          <cell r="X55">
            <v>1.3540271892191313E-2</v>
          </cell>
          <cell r="Y55">
            <v>1.4036790226750195E-2</v>
          </cell>
          <cell r="Z55">
            <v>1.4503723755242559E-2</v>
          </cell>
          <cell r="AA55">
            <v>1.4909562359072925E-2</v>
          </cell>
          <cell r="AB55">
            <v>1.5339870825570978E-2</v>
          </cell>
          <cell r="AC55">
            <v>1.5628313161769158E-2</v>
          </cell>
          <cell r="AD55">
            <v>1.5948716990545675E-2</v>
          </cell>
          <cell r="AE55">
            <v>1.61576716531453E-2</v>
          </cell>
          <cell r="AF55">
            <v>1.6300779404144983E-2</v>
          </cell>
          <cell r="AG55">
            <v>1.6379896618744061E-2</v>
          </cell>
          <cell r="AH55">
            <v>1.6372924332352934E-2</v>
          </cell>
          <cell r="AI55">
            <v>1.6304980074894004E-2</v>
          </cell>
          <cell r="AJ55">
            <v>1.6177831665833864E-2</v>
          </cell>
          <cell r="AK55">
            <v>1.5993504423398752E-2</v>
          </cell>
          <cell r="AL55">
            <v>1.564002681746901E-2</v>
          </cell>
          <cell r="AM55">
            <v>1.5236141257692237E-2</v>
          </cell>
          <cell r="AN55">
            <v>1.4845694747068316E-2</v>
          </cell>
          <cell r="AO55">
            <v>1.4404661008325936E-2</v>
          </cell>
          <cell r="AP55">
            <v>1.3950644579758809E-2</v>
          </cell>
          <cell r="AQ55">
            <v>1.3277585265571545E-2</v>
          </cell>
          <cell r="AR55">
            <v>1.2781202803166192E-2</v>
          </cell>
          <cell r="AS55">
            <v>1.2265380189990793E-2</v>
          </cell>
          <cell r="AT55">
            <v>1.1768423559321395E-2</v>
          </cell>
          <cell r="AU55">
            <v>1.1350762313975915E-2</v>
          </cell>
          <cell r="AV55">
            <v>1.091854730158448E-2</v>
          </cell>
        </row>
        <row r="56">
          <cell r="D56">
            <v>4.4863476643630662E-4</v>
          </cell>
          <cell r="E56">
            <v>1.1719408983710267E-3</v>
          </cell>
          <cell r="F56">
            <v>1.874405729458406E-3</v>
          </cell>
          <cell r="G56">
            <v>2.5391201929403362E-3</v>
          </cell>
          <cell r="H56">
            <v>3.164865709674114E-3</v>
          </cell>
          <cell r="I56">
            <v>3.7550651407043389E-3</v>
          </cell>
          <cell r="J56">
            <v>4.3431231007049487E-3</v>
          </cell>
          <cell r="K56">
            <v>5.0812939557196568E-3</v>
          </cell>
          <cell r="L56">
            <v>5.8266534758892874E-3</v>
          </cell>
          <cell r="M56">
            <v>6.6040133225044872E-3</v>
          </cell>
          <cell r="N56">
            <v>7.3789152857368645E-3</v>
          </cell>
          <cell r="O56">
            <v>8.1367680199364578E-3</v>
          </cell>
          <cell r="P56">
            <v>8.8637518545680027E-3</v>
          </cell>
          <cell r="Q56">
            <v>9.5351566848684843E-3</v>
          </cell>
          <cell r="R56">
            <v>1.0185327047005366E-2</v>
          </cell>
          <cell r="S56">
            <v>1.0871692769518493E-2</v>
          </cell>
          <cell r="T56">
            <v>1.1499609332088045E-2</v>
          </cell>
          <cell r="U56">
            <v>1.2111200904814767E-2</v>
          </cell>
          <cell r="V56">
            <v>1.2724980506483075E-2</v>
          </cell>
          <cell r="W56">
            <v>1.3380844354455412E-2</v>
          </cell>
          <cell r="X56">
            <v>1.4020557371319464E-2</v>
          </cell>
          <cell r="Y56">
            <v>1.4562516626930089E-2</v>
          </cell>
          <cell r="Z56">
            <v>1.5107320229405419E-2</v>
          </cell>
          <cell r="AA56">
            <v>1.559170244921293E-2</v>
          </cell>
          <cell r="AB56">
            <v>1.60859438519243E-2</v>
          </cell>
          <cell r="AC56">
            <v>1.6436691817448335E-2</v>
          </cell>
          <cell r="AD56">
            <v>1.6851712133616914E-2</v>
          </cell>
          <cell r="AE56">
            <v>1.7215901999732441E-2</v>
          </cell>
          <cell r="AF56">
            <v>1.7496722372325912E-2</v>
          </cell>
          <cell r="AG56">
            <v>1.7797459035729934E-2</v>
          </cell>
          <cell r="AH56">
            <v>1.7978760458310594E-2</v>
          </cell>
          <cell r="AI56">
            <v>1.8228761609507149E-2</v>
          </cell>
          <cell r="AJ56">
            <v>1.8486943089778274E-2</v>
          </cell>
          <cell r="AK56">
            <v>1.8714012635598465E-2</v>
          </cell>
          <cell r="AL56">
            <v>1.8822126179809384E-2</v>
          </cell>
          <cell r="AM56">
            <v>1.8999168054125493E-2</v>
          </cell>
          <cell r="AN56">
            <v>1.9241363223973407E-2</v>
          </cell>
          <cell r="AO56">
            <v>1.943914963123472E-2</v>
          </cell>
          <cell r="AP56">
            <v>1.9647916120161701E-2</v>
          </cell>
          <cell r="AQ56">
            <v>1.9805707756531232E-2</v>
          </cell>
          <cell r="AR56">
            <v>2.0108965006896851E-2</v>
          </cell>
          <cell r="AS56">
            <v>2.0297815063081259E-2</v>
          </cell>
          <cell r="AT56">
            <v>2.0531183817587007E-2</v>
          </cell>
          <cell r="AU56">
            <v>2.0886698772655921E-2</v>
          </cell>
          <cell r="AV56">
            <v>2.1338905706157485E-2</v>
          </cell>
        </row>
        <row r="57">
          <cell r="D57">
            <v>6.9985107849390715E-4</v>
          </cell>
          <cell r="E57">
            <v>1.688901496344819E-3</v>
          </cell>
          <cell r="F57">
            <v>2.6854241939171519E-3</v>
          </cell>
          <cell r="G57">
            <v>3.5551220698848418E-3</v>
          </cell>
          <cell r="H57">
            <v>4.5108754501614889E-3</v>
          </cell>
          <cell r="I57">
            <v>5.4555016396353739E-3</v>
          </cell>
          <cell r="J57">
            <v>6.3420049108522392E-3</v>
          </cell>
          <cell r="K57">
            <v>7.2893576718153774E-3</v>
          </cell>
          <cell r="L57">
            <v>8.2973046011238782E-3</v>
          </cell>
          <cell r="M57">
            <v>9.2994268116761702E-3</v>
          </cell>
          <cell r="N57">
            <v>1.0349314898629114E-2</v>
          </cell>
          <cell r="O57">
            <v>1.1389603176150453E-2</v>
          </cell>
          <cell r="P57">
            <v>1.2423874332581963E-2</v>
          </cell>
          <cell r="Q57">
            <v>1.3334150645557541E-2</v>
          </cell>
          <cell r="R57">
            <v>1.4252327688857536E-2</v>
          </cell>
          <cell r="S57">
            <v>1.5138867172748371E-2</v>
          </cell>
          <cell r="T57">
            <v>1.6132234972498383E-2</v>
          </cell>
          <cell r="U57">
            <v>1.7049812891674065E-2</v>
          </cell>
          <cell r="V57">
            <v>1.7867767048084682E-2</v>
          </cell>
          <cell r="W57">
            <v>1.8654432510190722E-2</v>
          </cell>
          <cell r="X57">
            <v>1.9518600260396868E-2</v>
          </cell>
          <cell r="Y57">
            <v>2.0333338646495891E-2</v>
          </cell>
          <cell r="Z57">
            <v>2.1308126964191043E-2</v>
          </cell>
          <cell r="AA57">
            <v>2.2004294403134228E-2</v>
          </cell>
          <cell r="AB57">
            <v>2.2697839123916763E-2</v>
          </cell>
          <cell r="AC57">
            <v>2.3164808373893342E-2</v>
          </cell>
          <cell r="AD57">
            <v>2.3637270165779878E-2</v>
          </cell>
          <cell r="AE57">
            <v>2.4169890592883103E-2</v>
          </cell>
          <cell r="AF57">
            <v>2.4564171417182257E-2</v>
          </cell>
          <cell r="AG57">
            <v>2.4833647244133061E-2</v>
          </cell>
          <cell r="AH57">
            <v>2.4888933560584636E-2</v>
          </cell>
          <cell r="AI57">
            <v>2.5215053210466465E-2</v>
          </cell>
          <cell r="AJ57">
            <v>2.5293498895554212E-2</v>
          </cell>
          <cell r="AK57">
            <v>2.5626748948111233E-2</v>
          </cell>
          <cell r="AL57">
            <v>2.517761688424347E-2</v>
          </cell>
          <cell r="AM57">
            <v>2.4900199909462684E-2</v>
          </cell>
          <cell r="AN57">
            <v>2.5031374287116659E-2</v>
          </cell>
          <cell r="AO57">
            <v>2.4838500917242268E-2</v>
          </cell>
          <cell r="AP57">
            <v>2.5089856167570757E-2</v>
          </cell>
          <cell r="AQ57">
            <v>2.4729428455190439E-2</v>
          </cell>
          <cell r="AR57">
            <v>2.4588210024653501E-2</v>
          </cell>
          <cell r="AS57">
            <v>2.4447376972178025E-2</v>
          </cell>
          <cell r="AT57">
            <v>2.4438977946416474E-2</v>
          </cell>
          <cell r="AU57">
            <v>2.4158461355981542E-2</v>
          </cell>
          <cell r="AV57">
            <v>2.4333749119748393E-2</v>
          </cell>
        </row>
        <row r="58">
          <cell r="D58">
            <v>5.7810906313204846E-4</v>
          </cell>
          <cell r="E58">
            <v>1.7160541200196278E-3</v>
          </cell>
          <cell r="F58">
            <v>3.0021107945856773E-3</v>
          </cell>
          <cell r="G58">
            <v>4.204910739261436E-3</v>
          </cell>
          <cell r="H58">
            <v>5.4301964039797923E-3</v>
          </cell>
          <cell r="I58">
            <v>6.6353963259853099E-3</v>
          </cell>
          <cell r="J58">
            <v>7.7654360416723467E-3</v>
          </cell>
          <cell r="K58">
            <v>9.0419831129420203E-3</v>
          </cell>
          <cell r="L58">
            <v>1.0276359144291813E-2</v>
          </cell>
          <cell r="M58">
            <v>1.1460577752316237E-2</v>
          </cell>
          <cell r="N58">
            <v>1.253991889149364E-2</v>
          </cell>
          <cell r="O58">
            <v>1.3652008144260597E-2</v>
          </cell>
          <cell r="P58">
            <v>1.4713685815918698E-2</v>
          </cell>
          <cell r="Q58">
            <v>1.5721375747979716E-2</v>
          </cell>
          <cell r="R58">
            <v>1.650582927708788E-2</v>
          </cell>
          <cell r="S58">
            <v>1.7284610405480239E-2</v>
          </cell>
          <cell r="T58">
            <v>1.8014897944576669E-2</v>
          </cell>
          <cell r="U58">
            <v>1.8828505425751541E-2</v>
          </cell>
          <cell r="V58">
            <v>1.9532779732181371E-2</v>
          </cell>
          <cell r="W58">
            <v>2.0222025766405194E-2</v>
          </cell>
          <cell r="X58">
            <v>2.0835220222260586E-2</v>
          </cell>
          <cell r="Y58">
            <v>2.1429793950157094E-2</v>
          </cell>
          <cell r="Z58">
            <v>2.2027518678422231E-2</v>
          </cell>
          <cell r="AA58">
            <v>2.2496261738448986E-2</v>
          </cell>
          <cell r="AB58">
            <v>2.2885060962016146E-2</v>
          </cell>
          <cell r="AC58">
            <v>2.3334547317884757E-2</v>
          </cell>
          <cell r="AD58">
            <v>2.3913756772155459E-2</v>
          </cell>
          <cell r="AE58">
            <v>2.4367850461941787E-2</v>
          </cell>
          <cell r="AF58">
            <v>2.4660596357302556E-2</v>
          </cell>
          <cell r="AG58">
            <v>2.4862008598065088E-2</v>
          </cell>
          <cell r="AH58">
            <v>2.5431313848768955E-2</v>
          </cell>
          <cell r="AI58">
            <v>2.5642163396992546E-2</v>
          </cell>
          <cell r="AJ58">
            <v>2.589684150983218E-2</v>
          </cell>
          <cell r="AK58">
            <v>2.5875215968661269E-2</v>
          </cell>
          <cell r="AL58">
            <v>2.6151118173249444E-2</v>
          </cell>
          <cell r="AM58">
            <v>2.6478401624439929E-2</v>
          </cell>
          <cell r="AN58">
            <v>2.6665739657506959E-2</v>
          </cell>
          <cell r="AO58">
            <v>2.6866941100029074E-2</v>
          </cell>
          <cell r="AP58">
            <v>2.6954223924553489E-2</v>
          </cell>
          <cell r="AQ58">
            <v>2.6996443629413891E-2</v>
          </cell>
          <cell r="AR58">
            <v>2.6920567565051012E-2</v>
          </cell>
          <cell r="AS58">
            <v>2.6963869205800517E-2</v>
          </cell>
          <cell r="AT58">
            <v>2.7401694964815704E-2</v>
          </cell>
          <cell r="AU58">
            <v>2.7680169942211119E-2</v>
          </cell>
          <cell r="AV58">
            <v>2.7776131141917348E-2</v>
          </cell>
        </row>
        <row r="59">
          <cell r="D59">
            <v>5.3945512404585116E-4</v>
          </cell>
          <cell r="E59">
            <v>1.2479144575243684E-3</v>
          </cell>
          <cell r="F59">
            <v>1.8664565696948632E-3</v>
          </cell>
          <cell r="G59">
            <v>2.4387289393121847E-3</v>
          </cell>
          <cell r="H59">
            <v>2.9675359533820611E-3</v>
          </cell>
          <cell r="I59">
            <v>3.536975156716915E-3</v>
          </cell>
          <cell r="J59">
            <v>4.117291553457525E-3</v>
          </cell>
          <cell r="K59">
            <v>4.7518755975834992E-3</v>
          </cell>
          <cell r="L59">
            <v>5.408063060522883E-3</v>
          </cell>
          <cell r="M59">
            <v>6.1097105743714852E-3</v>
          </cell>
          <cell r="N59">
            <v>6.8099282788633975E-3</v>
          </cell>
          <cell r="O59">
            <v>7.5338882111466443E-3</v>
          </cell>
          <cell r="P59">
            <v>8.2378067048107795E-3</v>
          </cell>
          <cell r="Q59">
            <v>8.9880830681365875E-3</v>
          </cell>
          <cell r="R59">
            <v>9.7414196639395989E-3</v>
          </cell>
          <cell r="S59">
            <v>1.0543523738581362E-2</v>
          </cell>
          <cell r="T59">
            <v>1.1361077861064661E-2</v>
          </cell>
          <cell r="U59">
            <v>1.2093430679224859E-2</v>
          </cell>
          <cell r="V59">
            <v>1.2914259082021484E-2</v>
          </cell>
          <cell r="W59">
            <v>1.3712536297864064E-2</v>
          </cell>
          <cell r="X59">
            <v>1.4481061968437015E-2</v>
          </cell>
          <cell r="Y59">
            <v>1.5280625812778892E-2</v>
          </cell>
          <cell r="Z59">
            <v>1.6028718164521782E-2</v>
          </cell>
          <cell r="AA59">
            <v>1.6800372372106631E-2</v>
          </cell>
          <cell r="AB59">
            <v>1.7612040789114713E-2</v>
          </cell>
          <cell r="AC59">
            <v>1.8358421390039625E-2</v>
          </cell>
          <cell r="AD59">
            <v>1.9152989019124655E-2</v>
          </cell>
          <cell r="AE59">
            <v>1.9894818548443105E-2</v>
          </cell>
          <cell r="AF59">
            <v>2.0649603841828013E-2</v>
          </cell>
          <cell r="AG59">
            <v>2.1245156747992544E-2</v>
          </cell>
          <cell r="AH59">
            <v>2.1947939925335946E-2</v>
          </cell>
          <cell r="AI59">
            <v>2.2857659170021138E-2</v>
          </cell>
          <cell r="AJ59">
            <v>2.3729219783643618E-2</v>
          </cell>
          <cell r="AK59">
            <v>2.4639877774149443E-2</v>
          </cell>
          <cell r="AL59">
            <v>2.5555119432861373E-2</v>
          </cell>
          <cell r="AM59">
            <v>2.6378030212445669E-2</v>
          </cell>
          <cell r="AN59">
            <v>2.7406113925349196E-2</v>
          </cell>
          <cell r="AO59">
            <v>2.8542837460524106E-2</v>
          </cell>
          <cell r="AP59">
            <v>2.9719144449611878E-2</v>
          </cell>
          <cell r="AQ59">
            <v>3.1044725639877369E-2</v>
          </cell>
          <cell r="AR59">
            <v>3.2233139983434134E-2</v>
          </cell>
          <cell r="AS59">
            <v>3.3649407208088178E-2</v>
          </cell>
          <cell r="AT59">
            <v>3.4917046027399534E-2</v>
          </cell>
          <cell r="AU59">
            <v>3.6372888922797442E-2</v>
          </cell>
          <cell r="AV59">
            <v>3.7611956205208186E-2</v>
          </cell>
        </row>
        <row r="60">
          <cell r="D60">
            <v>-6.0632875735433522E-5</v>
          </cell>
          <cell r="E60">
            <v>-1.7301292415672354E-4</v>
          </cell>
          <cell r="F60">
            <v>-2.851084510802071E-4</v>
          </cell>
          <cell r="G60">
            <v>-4.7838746953721145E-4</v>
          </cell>
          <cell r="H60">
            <v>-7.1158181295993828E-4</v>
          </cell>
          <cell r="I60">
            <v>-8.3919265647047769E-4</v>
          </cell>
          <cell r="J60">
            <v>-8.5918195615208859E-4</v>
          </cell>
          <cell r="K60">
            <v>-8.5259801403447799E-4</v>
          </cell>
          <cell r="L60">
            <v>-8.957462244281178E-4</v>
          </cell>
          <cell r="M60">
            <v>-1.0226417639391805E-3</v>
          </cell>
          <cell r="N60">
            <v>-1.10595811473857E-3</v>
          </cell>
          <cell r="O60">
            <v>-1.1976022606611236E-3</v>
          </cell>
          <cell r="P60">
            <v>-1.2144697056106768E-3</v>
          </cell>
          <cell r="Q60">
            <v>-1.3236108269591984E-3</v>
          </cell>
          <cell r="R60">
            <v>-1.4160040809216845E-3</v>
          </cell>
          <cell r="S60">
            <v>-1.3938408239768663E-3</v>
          </cell>
          <cell r="T60">
            <v>-1.4236312393931527E-3</v>
          </cell>
          <cell r="U60">
            <v>-1.4682412353884677E-3</v>
          </cell>
          <cell r="V60">
            <v>-1.5940040275088663E-3</v>
          </cell>
          <cell r="W60">
            <v>-1.5687257697993839E-3</v>
          </cell>
          <cell r="X60">
            <v>-1.3853409118278481E-3</v>
          </cell>
          <cell r="Y60">
            <v>-1.3888517344458062E-3</v>
          </cell>
          <cell r="Z60">
            <v>-1.2827038556767478E-3</v>
          </cell>
          <cell r="AA60">
            <v>-1.1503222989789341E-3</v>
          </cell>
          <cell r="AB60">
            <v>-1.0658623769708164E-3</v>
          </cell>
          <cell r="AC60">
            <v>-1.0290090155529175E-3</v>
          </cell>
          <cell r="AD60">
            <v>-8.2576389195643252E-4</v>
          </cell>
          <cell r="AE60">
            <v>-5.5002916410640257E-4</v>
          </cell>
          <cell r="AF60">
            <v>-3.7189994290343087E-4</v>
          </cell>
          <cell r="AG60">
            <v>-1.1892323997397813E-4</v>
          </cell>
          <cell r="AH60">
            <v>1.4965662582855366E-4</v>
          </cell>
          <cell r="AI60">
            <v>2.9547598340506909E-4</v>
          </cell>
          <cell r="AJ60">
            <v>5.3778081921396215E-4</v>
          </cell>
          <cell r="AK60">
            <v>6.1207880760427713E-4</v>
          </cell>
          <cell r="AL60">
            <v>8.0077551118629131E-4</v>
          </cell>
          <cell r="AM60">
            <v>8.8852243490755711E-4</v>
          </cell>
          <cell r="AN60">
            <v>1.3371812514391124E-3</v>
          </cell>
          <cell r="AO60">
            <v>1.4594394787319498E-3</v>
          </cell>
          <cell r="AP60">
            <v>1.5767797901704572E-3</v>
          </cell>
          <cell r="AQ60">
            <v>1.5909038132078113E-3</v>
          </cell>
          <cell r="AR60">
            <v>1.6216903532837446E-3</v>
          </cell>
          <cell r="AS60">
            <v>1.7035114870931345E-3</v>
          </cell>
          <cell r="AT60">
            <v>1.8428123264611074E-3</v>
          </cell>
          <cell r="AU60">
            <v>2.0701531544464746E-3</v>
          </cell>
          <cell r="AV60">
            <v>2.4096411115821503E-3</v>
          </cell>
        </row>
        <row r="61">
          <cell r="D61">
            <v>1.0842784368598757E-3</v>
          </cell>
          <cell r="E61">
            <v>2.6255631267322332E-3</v>
          </cell>
          <cell r="F61">
            <v>3.8651106449145711E-3</v>
          </cell>
          <cell r="G61">
            <v>4.9111795014031845E-3</v>
          </cell>
          <cell r="H61">
            <v>5.9926966607666277E-3</v>
          </cell>
          <cell r="I61">
            <v>6.981836050173662E-3</v>
          </cell>
          <cell r="J61">
            <v>7.8512370774452833E-3</v>
          </cell>
          <cell r="K61">
            <v>8.9151976624910478E-3</v>
          </cell>
          <cell r="L61">
            <v>1.0027615454482941E-2</v>
          </cell>
          <cell r="M61">
            <v>1.0995813930509524E-2</v>
          </cell>
          <cell r="N61">
            <v>1.2020154062477806E-2</v>
          </cell>
          <cell r="O61">
            <v>1.3179366486211652E-2</v>
          </cell>
          <cell r="P61">
            <v>1.4188097044034453E-2</v>
          </cell>
          <cell r="Q61">
            <v>1.5291314241794085E-2</v>
          </cell>
          <cell r="R61">
            <v>1.642543511253991E-2</v>
          </cell>
          <cell r="S61">
            <v>1.738750163029068E-2</v>
          </cell>
          <cell r="T61">
            <v>1.8220596696825853E-2</v>
          </cell>
          <cell r="U61">
            <v>1.9098021067762705E-2</v>
          </cell>
          <cell r="V61">
            <v>1.9910643498727731E-2</v>
          </cell>
          <cell r="W61">
            <v>2.0839436896240571E-2</v>
          </cell>
          <cell r="X61">
            <v>2.1636264408096739E-2</v>
          </cell>
          <cell r="Y61">
            <v>2.2500156691598994E-2</v>
          </cell>
          <cell r="Z61">
            <v>2.302379295666479E-2</v>
          </cell>
          <cell r="AA61">
            <v>2.3551616687025545E-2</v>
          </cell>
          <cell r="AB61">
            <v>2.423818504453501E-2</v>
          </cell>
          <cell r="AC61">
            <v>2.4788027848868577E-2</v>
          </cell>
          <cell r="AD61">
            <v>2.5021393461465813E-2</v>
          </cell>
          <cell r="AE61">
            <v>2.54801717489197E-2</v>
          </cell>
          <cell r="AF61">
            <v>2.5745911134708255E-2</v>
          </cell>
          <cell r="AG61">
            <v>2.5835674581823787E-2</v>
          </cell>
          <cell r="AH61">
            <v>2.6411687718235211E-2</v>
          </cell>
          <cell r="AI61">
            <v>2.646113732296973E-2</v>
          </cell>
          <cell r="AJ61">
            <v>2.6489474915844857E-2</v>
          </cell>
          <cell r="AK61">
            <v>2.6583530586077098E-2</v>
          </cell>
          <cell r="AL61">
            <v>2.6784575610831807E-2</v>
          </cell>
          <cell r="AM61">
            <v>2.6909080280103748E-2</v>
          </cell>
          <cell r="AN61">
            <v>2.6773504905643675E-2</v>
          </cell>
          <cell r="AO61">
            <v>2.6709242899404684E-2</v>
          </cell>
          <cell r="AP61">
            <v>2.6252776021739255E-2</v>
          </cell>
          <cell r="AQ61">
            <v>2.6090108101410214E-2</v>
          </cell>
          <cell r="AR61">
            <v>2.6357756985108116E-2</v>
          </cell>
          <cell r="AS61">
            <v>2.6368932381957588E-2</v>
          </cell>
          <cell r="AT61">
            <v>2.6399958225117981E-2</v>
          </cell>
          <cell r="AU61">
            <v>2.6290783753189606E-2</v>
          </cell>
          <cell r="AV61">
            <v>2.6165701057043522E-2</v>
          </cell>
        </row>
        <row r="62">
          <cell r="D62">
            <v>9.1973792804012078E-6</v>
          </cell>
          <cell r="E62">
            <v>3.5078373497920978E-5</v>
          </cell>
          <cell r="F62">
            <v>1.0406632131942928E-4</v>
          </cell>
          <cell r="G62">
            <v>1.2128290937862829E-4</v>
          </cell>
          <cell r="H62">
            <v>1.3423278970980945E-4</v>
          </cell>
          <cell r="I62">
            <v>1.5625348548575779E-4</v>
          </cell>
          <cell r="J62">
            <v>1.5202128804414627E-4</v>
          </cell>
          <cell r="K62">
            <v>1.7959853422078176E-4</v>
          </cell>
          <cell r="L62">
            <v>2.0910556227171639E-4</v>
          </cell>
          <cell r="M62">
            <v>2.0261197229776151E-4</v>
          </cell>
          <cell r="N62">
            <v>1.5213272149705581E-4</v>
          </cell>
          <cell r="O62">
            <v>1.4623699261351319E-4</v>
          </cell>
          <cell r="P62">
            <v>1.8917431850784538E-4</v>
          </cell>
          <cell r="Q62">
            <v>1.2469259102143582E-4</v>
          </cell>
          <cell r="R62">
            <v>5.2139748364155025E-5</v>
          </cell>
          <cell r="S62">
            <v>1.3982168892545666E-4</v>
          </cell>
          <cell r="T62">
            <v>2.0767925880260663E-4</v>
          </cell>
          <cell r="U62">
            <v>3.0983563255215785E-4</v>
          </cell>
          <cell r="V62">
            <v>3.3191167166557456E-4</v>
          </cell>
          <cell r="W62">
            <v>4.1645703538106815E-4</v>
          </cell>
          <cell r="X62">
            <v>5.0255527666154265E-4</v>
          </cell>
          <cell r="Y62">
            <v>6.308724106274255E-4</v>
          </cell>
          <cell r="Z62">
            <v>6.331708121374291E-4</v>
          </cell>
          <cell r="AA62">
            <v>7.3422136926604153E-4</v>
          </cell>
          <cell r="AB62">
            <v>7.6850163094932533E-4</v>
          </cell>
          <cell r="AC62">
            <v>8.5214766218233429E-4</v>
          </cell>
          <cell r="AD62">
            <v>6.7752630045769813E-4</v>
          </cell>
          <cell r="AE62">
            <v>6.7642206561258078E-4</v>
          </cell>
          <cell r="AF62">
            <v>6.7402747690059606E-4</v>
          </cell>
          <cell r="AG62">
            <v>6.5930426175886403E-4</v>
          </cell>
          <cell r="AH62">
            <v>6.4081832510787251E-4</v>
          </cell>
          <cell r="AI62">
            <v>6.814499422456155E-4</v>
          </cell>
          <cell r="AJ62">
            <v>8.0522797169479965E-4</v>
          </cell>
          <cell r="AK62">
            <v>1.230088022694531E-3</v>
          </cell>
          <cell r="AL62">
            <v>9.9439211464980026E-4</v>
          </cell>
          <cell r="AM62">
            <v>1.0804426184074511E-3</v>
          </cell>
          <cell r="AN62">
            <v>9.5480410775117264E-4</v>
          </cell>
          <cell r="AO62">
            <v>9.2398185566611168E-4</v>
          </cell>
          <cell r="AP62">
            <v>1.1262729878369626E-3</v>
          </cell>
          <cell r="AQ62">
            <v>1.0497244450515808E-3</v>
          </cell>
          <cell r="AR62">
            <v>5.8716996715379999E-4</v>
          </cell>
          <cell r="AS62">
            <v>5.0800007888285315E-4</v>
          </cell>
          <cell r="AT62">
            <v>4.6404992349868834E-4</v>
          </cell>
          <cell r="AU62">
            <v>6.567398015264736E-4</v>
          </cell>
          <cell r="AV62">
            <v>3.4138576564424206E-4</v>
          </cell>
        </row>
      </sheetData>
      <sheetData sheetId="42"/>
      <sheetData sheetId="4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_Femmes"/>
      <sheetName val="Tab durée âge pm_Hommes"/>
      <sheetName val="Gagnants_perdants_pm68_2000"/>
      <sheetName val="pm68_quintile"/>
      <sheetName val="Gagnants_perdants_pmcv_2000"/>
      <sheetName val="pmcv_quintile"/>
      <sheetName val="Pm68ans"/>
      <sheetName val="Durée_perception"/>
      <sheetName val="Âge "/>
      <sheetName val="Pm68_quintiles_Femmes"/>
      <sheetName val="Pm68_quintiles_Hommes"/>
      <sheetName val="Pm68_quintiles_Ensemble"/>
      <sheetName val="Pmcv_quintiles_Femmes"/>
      <sheetName val="Âge_quintile"/>
      <sheetName val="Ecarts_masses_LURA"/>
      <sheetName val="Ecarts_masses_autres_régimes"/>
      <sheetName val="Ecarts_masses_tousrégimes"/>
      <sheetName val="B1_DD_génération"/>
      <sheetName val="B1_année"/>
    </sheetNames>
    <sheetDataSet>
      <sheetData sheetId="0">
        <row r="3">
          <cell r="D3" t="str">
            <v>Quintile</v>
          </cell>
          <cell r="E3" t="str">
            <v>Durée de perception moyenne (écart en années</v>
          </cell>
          <cell r="F3" t="str">
            <v>Âge de perception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C4"/>
          <cell r="D4" t="str">
            <v>Ensemble</v>
          </cell>
          <cell r="E4">
            <v>-2.9188314493197112</v>
          </cell>
          <cell r="F4">
            <v>2.3978217231667003</v>
          </cell>
          <cell r="G4">
            <v>-0.24472021476726036</v>
          </cell>
          <cell r="H4">
            <v>-0.30569127862719614</v>
          </cell>
        </row>
        <row r="5">
          <cell r="B5" t="str">
            <v>Hommes</v>
          </cell>
          <cell r="C5"/>
          <cell r="D5" t="str">
            <v>Ensemble</v>
          </cell>
          <cell r="E5">
            <v>-3.3769748734309601</v>
          </cell>
          <cell r="F5">
            <v>2.3346536364749397</v>
          </cell>
          <cell r="G5">
            <v>-1.0129339881347343E-2</v>
          </cell>
          <cell r="H5">
            <v>-0.14965273681088298</v>
          </cell>
        </row>
        <row r="6">
          <cell r="B6" t="str">
            <v>Selon le quintile de pension</v>
          </cell>
          <cell r="C6"/>
          <cell r="D6"/>
          <cell r="E6"/>
          <cell r="F6"/>
          <cell r="G6"/>
          <cell r="H6"/>
        </row>
        <row r="7">
          <cell r="B7" t="str">
            <v>Femmes</v>
          </cell>
          <cell r="C7"/>
          <cell r="D7" t="str">
            <v>Q1</v>
          </cell>
          <cell r="E7">
            <v>-2.2190151504789029</v>
          </cell>
          <cell r="F7">
            <v>-2.0229650804940462</v>
          </cell>
          <cell r="G7">
            <v>0.25626925950862689</v>
          </cell>
          <cell r="H7">
            <v>-5.7610186311857103E-2</v>
          </cell>
        </row>
        <row r="8">
          <cell r="B8"/>
          <cell r="C8"/>
          <cell r="D8" t="str">
            <v>Q2</v>
          </cell>
          <cell r="E8">
            <v>-2.4719790161829369</v>
          </cell>
          <cell r="F8">
            <v>0.73640843049415139</v>
          </cell>
          <cell r="G8">
            <v>-0.28128794916491473</v>
          </cell>
          <cell r="H8">
            <v>-0.36071131797514844</v>
          </cell>
        </row>
        <row r="9">
          <cell r="B9"/>
          <cell r="C9"/>
          <cell r="D9" t="str">
            <v>Q3</v>
          </cell>
          <cell r="E9">
            <v>-2.0487253440788873</v>
          </cell>
          <cell r="F9">
            <v>1.0030768347361629</v>
          </cell>
          <cell r="G9">
            <v>-0.26317271524214891</v>
          </cell>
          <cell r="H9">
            <v>-0.297698615964471</v>
          </cell>
        </row>
        <row r="10">
          <cell r="B10"/>
          <cell r="C10"/>
          <cell r="D10" t="str">
            <v>Q4</v>
          </cell>
          <cell r="E10">
            <v>-1.5255957829182076</v>
          </cell>
          <cell r="F10">
            <v>0.80443034831165505</v>
          </cell>
          <cell r="G10">
            <v>-0.29481695937582597</v>
          </cell>
          <cell r="H10">
            <v>-0.32293816275578235</v>
          </cell>
        </row>
        <row r="11">
          <cell r="B11"/>
          <cell r="C11"/>
          <cell r="D11" t="str">
            <v>Q5</v>
          </cell>
          <cell r="E11">
            <v>-0.76558171451102019</v>
          </cell>
          <cell r="F11">
            <v>0.22588781220144938</v>
          </cell>
          <cell r="G11">
            <v>-0.52782219595967406</v>
          </cell>
          <cell r="H11">
            <v>-0.55602579115080475</v>
          </cell>
        </row>
        <row r="12">
          <cell r="B12" t="str">
            <v>Hommes</v>
          </cell>
          <cell r="C12"/>
          <cell r="D12" t="str">
            <v>Q1</v>
          </cell>
          <cell r="E12">
            <v>-5.9932345360825394</v>
          </cell>
          <cell r="F12">
            <v>-8.3771477663230201</v>
          </cell>
          <cell r="G12">
            <v>1.5766118465446759</v>
          </cell>
          <cell r="H12">
            <v>-0.4475986438859525</v>
          </cell>
        </row>
        <row r="13">
          <cell r="B13"/>
          <cell r="C13"/>
          <cell r="D13" t="str">
            <v>Q2</v>
          </cell>
          <cell r="E13">
            <v>-4.649235723808987</v>
          </cell>
          <cell r="F13">
            <v>2.0304771562165627</v>
          </cell>
          <cell r="G13">
            <v>2.2232629062501674E-2</v>
          </cell>
          <cell r="H13">
            <v>-0.31762655537241746</v>
          </cell>
        </row>
        <row r="14">
          <cell r="B14"/>
          <cell r="C14"/>
          <cell r="D14" t="str">
            <v>Q3</v>
          </cell>
          <cell r="E14">
            <v>-5.5778780068728384</v>
          </cell>
          <cell r="F14">
            <v>1.0797701537941577</v>
          </cell>
          <cell r="G14">
            <v>-0.16493471765657186</v>
          </cell>
          <cell r="H14">
            <v>-0.30904092473203382</v>
          </cell>
        </row>
        <row r="15">
          <cell r="B15"/>
          <cell r="C15"/>
          <cell r="D15" t="str">
            <v>Q4</v>
          </cell>
          <cell r="E15">
            <v>-1.4113334680951404</v>
          </cell>
          <cell r="F15">
            <v>-0.30628663836668579</v>
          </cell>
          <cell r="G15">
            <v>-0.28342798849666939</v>
          </cell>
          <cell r="H15">
            <v>-0.37607486560277459</v>
          </cell>
        </row>
        <row r="16">
          <cell r="B16"/>
          <cell r="C16"/>
          <cell r="D16" t="str">
            <v>Q5</v>
          </cell>
          <cell r="E16">
            <v>-0.24227085175360763</v>
          </cell>
          <cell r="F16">
            <v>9.5137046861182739E-2</v>
          </cell>
          <cell r="G16">
            <v>-0.4098389380944214</v>
          </cell>
          <cell r="H16">
            <v>-0.43938463211563306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4">
          <cell r="D54">
            <v>-7.1291642389242904E-3</v>
          </cell>
          <cell r="E54">
            <v>-2.2131971141007845E-2</v>
          </cell>
          <cell r="F54">
            <v>-3.7540150785724702E-2</v>
          </cell>
          <cell r="G54">
            <v>-5.3213326255009186E-2</v>
          </cell>
          <cell r="H54">
            <v>-6.9516644092122881E-2</v>
          </cell>
          <cell r="I54">
            <v>-8.6439243235782337E-2</v>
          </cell>
          <cell r="J54">
            <v>-0.10278440647764031</v>
          </cell>
          <cell r="K54">
            <v>-0.11950303979396448</v>
          </cell>
          <cell r="L54">
            <v>-0.13624416500141268</v>
          </cell>
          <cell r="M54">
            <v>-0.15253473928256656</v>
          </cell>
          <cell r="N54">
            <v>-0.17007280862148366</v>
          </cell>
          <cell r="O54">
            <v>-0.18627224360911954</v>
          </cell>
          <cell r="P54">
            <v>-0.20304839048796841</v>
          </cell>
          <cell r="Q54">
            <v>-0.22012458166840287</v>
          </cell>
          <cell r="R54">
            <v>-0.23715554209067913</v>
          </cell>
          <cell r="S54">
            <v>-0.25397954445868054</v>
          </cell>
          <cell r="T54">
            <v>-0.27081946012835045</v>
          </cell>
          <cell r="U54">
            <v>-0.28776079326077519</v>
          </cell>
          <cell r="V54">
            <v>-0.30527737195677218</v>
          </cell>
          <cell r="W54">
            <v>-0.32296604142648411</v>
          </cell>
          <cell r="X54">
            <v>-0.34045107847331724</v>
          </cell>
          <cell r="Y54">
            <v>-0.3579518192336103</v>
          </cell>
          <cell r="Z54">
            <v>-0.37510896713165309</v>
          </cell>
          <cell r="AA54">
            <v>-0.39310305953966673</v>
          </cell>
          <cell r="AB54">
            <v>-0.41133900684502644</v>
          </cell>
          <cell r="AC54">
            <v>-0.42931015008963036</v>
          </cell>
          <cell r="AD54">
            <v>-0.44513308998091139</v>
          </cell>
          <cell r="AE54">
            <v>-0.45921495431342074</v>
          </cell>
          <cell r="AF54">
            <v>-0.47223192892978627</v>
          </cell>
          <cell r="AG54">
            <v>-0.48301602019145551</v>
          </cell>
          <cell r="AH54">
            <v>-0.493852952080296</v>
          </cell>
          <cell r="AI54">
            <v>-0.50286614464032575</v>
          </cell>
          <cell r="AJ54">
            <v>-0.51109668110490847</v>
          </cell>
          <cell r="AK54">
            <v>-0.51701513080726602</v>
          </cell>
          <cell r="AL54">
            <v>-0.52259793263548004</v>
          </cell>
          <cell r="AM54">
            <v>-0.52685426263067581</v>
          </cell>
          <cell r="AN54">
            <v>-0.52935888305731837</v>
          </cell>
          <cell r="AO54">
            <v>-0.53018220218468115</v>
          </cell>
          <cell r="AP54">
            <v>-0.53166610927697511</v>
          </cell>
          <cell r="AQ54">
            <v>-0.53183669169604397</v>
          </cell>
          <cell r="AR54">
            <v>-0.53141747990151589</v>
          </cell>
          <cell r="AS54">
            <v>-0.53073316403169324</v>
          </cell>
          <cell r="AT54">
            <v>-0.52862751743802527</v>
          </cell>
          <cell r="AU54">
            <v>-0.52566642091129467</v>
          </cell>
          <cell r="AV54">
            <v>-0.52206701212069717</v>
          </cell>
        </row>
        <row r="55">
          <cell r="D55">
            <v>-7.3923305962436681E-3</v>
          </cell>
          <cell r="E55">
            <v>-1.8724136474893682E-2</v>
          </cell>
          <cell r="F55">
            <v>-2.9798407604633703E-2</v>
          </cell>
          <cell r="G55">
            <v>-4.0703564361707745E-2</v>
          </cell>
          <cell r="H55">
            <v>-5.1460710576481716E-2</v>
          </cell>
          <cell r="I55">
            <v>-6.2565626920568662E-2</v>
          </cell>
          <cell r="J55">
            <v>-7.3917553492776289E-2</v>
          </cell>
          <cell r="K55">
            <v>-8.6099195987280996E-2</v>
          </cell>
          <cell r="L55">
            <v>-9.7998448207097688E-2</v>
          </cell>
          <cell r="M55">
            <v>-0.10946556426121967</v>
          </cell>
          <cell r="N55">
            <v>-0.12165303063728194</v>
          </cell>
          <cell r="O55">
            <v>-0.13382908753569667</v>
          </cell>
          <cell r="P55">
            <v>-0.14677839034914109</v>
          </cell>
          <cell r="Q55">
            <v>-0.16024890144654025</v>
          </cell>
          <cell r="R55">
            <v>-0.17424120293504819</v>
          </cell>
          <cell r="S55">
            <v>-0.18889224461624787</v>
          </cell>
          <cell r="T55">
            <v>-0.20342400550419537</v>
          </cell>
          <cell r="U55">
            <v>-0.21876713508926138</v>
          </cell>
          <cell r="V55">
            <v>-0.23512005982636996</v>
          </cell>
          <cell r="W55">
            <v>-0.25217592735876637</v>
          </cell>
          <cell r="X55">
            <v>-0.26862849198069183</v>
          </cell>
          <cell r="Y55">
            <v>-0.28510700426482594</v>
          </cell>
          <cell r="Z55">
            <v>-0.30171246827778464</v>
          </cell>
          <cell r="AA55">
            <v>-0.31854578267149358</v>
          </cell>
          <cell r="AB55">
            <v>-0.33640649301586378</v>
          </cell>
          <cell r="AC55">
            <v>-0.35397251368421334</v>
          </cell>
          <cell r="AD55">
            <v>-0.36911926458559885</v>
          </cell>
          <cell r="AE55">
            <v>-0.3829783790793051</v>
          </cell>
          <cell r="AF55">
            <v>-0.39496385861159822</v>
          </cell>
          <cell r="AG55">
            <v>-0.40483382586362737</v>
          </cell>
          <cell r="AH55">
            <v>-0.41507441526869204</v>
          </cell>
          <cell r="AI55">
            <v>-0.4226828656877285</v>
          </cell>
          <cell r="AJ55">
            <v>-0.42948215374445131</v>
          </cell>
          <cell r="AK55">
            <v>-0.43409995144464009</v>
          </cell>
          <cell r="AL55">
            <v>-0.43867944178612128</v>
          </cell>
          <cell r="AM55">
            <v>-0.44206088117583919</v>
          </cell>
          <cell r="AN55">
            <v>-0.44377055382727792</v>
          </cell>
          <cell r="AO55">
            <v>-0.44385590243161321</v>
          </cell>
          <cell r="AP55">
            <v>-0.44444763061911996</v>
          </cell>
          <cell r="AQ55">
            <v>-0.44428242476838498</v>
          </cell>
          <cell r="AR55">
            <v>-0.44380510606204493</v>
          </cell>
          <cell r="AS55">
            <v>-0.44245537941366253</v>
          </cell>
          <cell r="AT55">
            <v>-0.43937339464145997</v>
          </cell>
          <cell r="AU55">
            <v>-0.43564591616706294</v>
          </cell>
          <cell r="AV55">
            <v>-0.43179727375999177</v>
          </cell>
        </row>
        <row r="56">
          <cell r="D56">
            <v>-1.0137370056667039E-2</v>
          </cell>
          <cell r="E56">
            <v>-3.0980594643452708E-2</v>
          </cell>
          <cell r="F56">
            <v>-5.1865845431543711E-2</v>
          </cell>
          <cell r="G56">
            <v>-7.2812815714072276E-2</v>
          </cell>
          <cell r="H56">
            <v>-9.5326972066340443E-2</v>
          </cell>
          <cell r="I56">
            <v>-0.11807441354685277</v>
          </cell>
          <cell r="J56">
            <v>-0.13981271482724944</v>
          </cell>
          <cell r="K56">
            <v>-0.16119343904813466</v>
          </cell>
          <cell r="L56">
            <v>-0.18248275428402816</v>
          </cell>
          <cell r="M56">
            <v>-0.20362325711386475</v>
          </cell>
          <cell r="N56">
            <v>-0.22581292722670165</v>
          </cell>
          <cell r="O56">
            <v>-0.24637553421332936</v>
          </cell>
          <cell r="P56">
            <v>-0.26674221927838027</v>
          </cell>
          <cell r="Q56">
            <v>-0.2871981006223836</v>
          </cell>
          <cell r="R56">
            <v>-0.30819638764448465</v>
          </cell>
          <cell r="S56">
            <v>-0.32795753607323475</v>
          </cell>
          <cell r="T56">
            <v>-0.34723802363070044</v>
          </cell>
          <cell r="U56">
            <v>-0.36699254950106142</v>
          </cell>
          <cell r="V56">
            <v>-0.38673315154113641</v>
          </cell>
          <cell r="W56">
            <v>-0.40596336871345851</v>
          </cell>
          <cell r="X56">
            <v>-0.42538274968015011</v>
          </cell>
          <cell r="Y56">
            <v>-0.44526337864170029</v>
          </cell>
          <cell r="Z56">
            <v>-0.46375914965839893</v>
          </cell>
          <cell r="AA56">
            <v>-0.48240125062044703</v>
          </cell>
          <cell r="AB56">
            <v>-0.50260836884638938</v>
          </cell>
          <cell r="AC56">
            <v>-0.52123343491195162</v>
          </cell>
          <cell r="AD56">
            <v>-0.5377943851665512</v>
          </cell>
          <cell r="AE56">
            <v>-0.55281007372717073</v>
          </cell>
          <cell r="AF56">
            <v>-0.56710343074341529</v>
          </cell>
          <cell r="AG56">
            <v>-0.57941638665290607</v>
          </cell>
          <cell r="AH56">
            <v>-0.59127763951926804</v>
          </cell>
          <cell r="AI56">
            <v>-0.60131245313485937</v>
          </cell>
          <cell r="AJ56">
            <v>-0.6108941394705929</v>
          </cell>
          <cell r="AK56">
            <v>-0.61770012573592714</v>
          </cell>
          <cell r="AL56">
            <v>-0.62350575610886272</v>
          </cell>
          <cell r="AM56">
            <v>-0.62828871394373598</v>
          </cell>
          <cell r="AN56">
            <v>-0.63225705034540869</v>
          </cell>
          <cell r="AO56">
            <v>-0.63459006852672684</v>
          </cell>
          <cell r="AP56">
            <v>-0.63766254185663451</v>
          </cell>
          <cell r="AQ56">
            <v>-0.63933736114772155</v>
          </cell>
          <cell r="AR56">
            <v>-0.64022523694775391</v>
          </cell>
          <cell r="AS56">
            <v>-0.64105434482578727</v>
          </cell>
          <cell r="AT56">
            <v>-0.63984244234056487</v>
          </cell>
          <cell r="AU56">
            <v>-0.63765648896245974</v>
          </cell>
          <cell r="AV56">
            <v>-0.63574723509923747</v>
          </cell>
        </row>
        <row r="57">
          <cell r="D57">
            <v>-1.1958408399454834E-2</v>
          </cell>
          <cell r="E57">
            <v>-3.9921881156762984E-2</v>
          </cell>
          <cell r="F57">
            <v>-6.6812645286143835E-2</v>
          </cell>
          <cell r="G57">
            <v>-9.3568875208024815E-2</v>
          </cell>
          <cell r="H57">
            <v>-0.12318196603967779</v>
          </cell>
          <cell r="I57">
            <v>-0.14878141815931123</v>
          </cell>
          <cell r="J57">
            <v>-0.17399959632135265</v>
          </cell>
          <cell r="K57">
            <v>-0.19580266389023915</v>
          </cell>
          <cell r="L57">
            <v>-0.21901839280877999</v>
          </cell>
          <cell r="M57">
            <v>-0.23942899594501155</v>
          </cell>
          <cell r="N57">
            <v>-0.26203406244259919</v>
          </cell>
          <cell r="O57">
            <v>-0.28773132491816211</v>
          </cell>
          <cell r="P57">
            <v>-0.31049264399050169</v>
          </cell>
          <cell r="Q57">
            <v>-0.32961457101744807</v>
          </cell>
          <cell r="R57">
            <v>-0.3505732525643015</v>
          </cell>
          <cell r="S57">
            <v>-0.36732891432249237</v>
          </cell>
          <cell r="T57">
            <v>-0.38654446112104124</v>
          </cell>
          <cell r="U57">
            <v>-0.39998841029102961</v>
          </cell>
          <cell r="V57">
            <v>-0.42177803916924228</v>
          </cell>
          <cell r="W57">
            <v>-0.44256150255006133</v>
          </cell>
          <cell r="X57">
            <v>-0.45914552501999839</v>
          </cell>
          <cell r="Y57">
            <v>-0.48341176759350668</v>
          </cell>
          <cell r="Z57">
            <v>-0.50014027206062095</v>
          </cell>
          <cell r="AA57">
            <v>-0.51631639324798484</v>
          </cell>
          <cell r="AB57">
            <v>-0.53154091386557312</v>
          </cell>
          <cell r="AC57">
            <v>-0.54404099898519742</v>
          </cell>
          <cell r="AD57">
            <v>-0.5604058870384695</v>
          </cell>
          <cell r="AE57">
            <v>-0.57475260655081617</v>
          </cell>
          <cell r="AF57">
            <v>-0.58804738756767305</v>
          </cell>
          <cell r="AG57">
            <v>-0.59684376685955276</v>
          </cell>
          <cell r="AH57">
            <v>-0.60490840201051876</v>
          </cell>
          <cell r="AI57">
            <v>-0.61090347429301506</v>
          </cell>
          <cell r="AJ57">
            <v>-0.61527952145896836</v>
          </cell>
          <cell r="AK57">
            <v>-0.6190784806492895</v>
          </cell>
          <cell r="AL57">
            <v>-0.62349822145752665</v>
          </cell>
          <cell r="AM57">
            <v>-0.62302064678295233</v>
          </cell>
          <cell r="AN57">
            <v>-0.62853424448926976</v>
          </cell>
          <cell r="AO57">
            <v>-0.62860756279415986</v>
          </cell>
          <cell r="AP57">
            <v>-0.62994923344391229</v>
          </cell>
          <cell r="AQ57">
            <v>-0.62891306193637986</v>
          </cell>
          <cell r="AR57">
            <v>-0.62806115369930704</v>
          </cell>
          <cell r="AS57">
            <v>-0.62864138403101422</v>
          </cell>
          <cell r="AT57">
            <v>-0.63021331624082522</v>
          </cell>
          <cell r="AU57">
            <v>-0.62704386612564478</v>
          </cell>
          <cell r="AV57">
            <v>-0.62373846626379525</v>
          </cell>
        </row>
        <row r="58">
          <cell r="D58">
            <v>-1.0941806935569565E-2</v>
          </cell>
          <cell r="E58">
            <v>-3.5985759021328723E-2</v>
          </cell>
          <cell r="F58">
            <v>-6.3181182306749961E-2</v>
          </cell>
          <cell r="G58">
            <v>-8.8990257585066512E-2</v>
          </cell>
          <cell r="H58">
            <v>-0.11357839276529558</v>
          </cell>
          <cell r="I58">
            <v>-0.13733567259509172</v>
          </cell>
          <cell r="J58">
            <v>-0.16332580577185496</v>
          </cell>
          <cell r="K58">
            <v>-0.19025052017985222</v>
          </cell>
          <cell r="L58">
            <v>-0.21442882125384777</v>
          </cell>
          <cell r="M58">
            <v>-0.23864980449264772</v>
          </cell>
          <cell r="N58">
            <v>-0.26545806582661502</v>
          </cell>
          <cell r="O58">
            <v>-0.28861250160766083</v>
          </cell>
          <cell r="P58">
            <v>-0.31263328102908328</v>
          </cell>
          <cell r="Q58">
            <v>-0.33506665125709612</v>
          </cell>
          <cell r="R58">
            <v>-0.35903651053279562</v>
          </cell>
          <cell r="S58">
            <v>-0.38065690065542168</v>
          </cell>
          <cell r="T58">
            <v>-0.40329611445853042</v>
          </cell>
          <cell r="U58">
            <v>-0.42604396584938986</v>
          </cell>
          <cell r="V58">
            <v>-0.44583135060604451</v>
          </cell>
          <cell r="W58">
            <v>-0.4662610370375867</v>
          </cell>
          <cell r="X58">
            <v>-0.48714572408630386</v>
          </cell>
          <cell r="Y58">
            <v>-0.50688136920360471</v>
          </cell>
          <cell r="Z58">
            <v>-0.5250718293145491</v>
          </cell>
          <cell r="AA58">
            <v>-0.54446627885235399</v>
          </cell>
          <cell r="AB58">
            <v>-0.5637179661848889</v>
          </cell>
          <cell r="AC58">
            <v>-0.58124844841117351</v>
          </cell>
          <cell r="AD58">
            <v>-0.59858270727161755</v>
          </cell>
          <cell r="AE58">
            <v>-0.61140053714890064</v>
          </cell>
          <cell r="AF58">
            <v>-0.62199124613011336</v>
          </cell>
          <cell r="AG58">
            <v>-0.63190924687300298</v>
          </cell>
          <cell r="AH58">
            <v>-0.64343340168015706</v>
          </cell>
          <cell r="AI58">
            <v>-0.64890286109318085</v>
          </cell>
          <cell r="AJ58">
            <v>-0.65597073477123069</v>
          </cell>
          <cell r="AK58">
            <v>-0.66112519448926688</v>
          </cell>
          <cell r="AL58">
            <v>-0.66735889978839869</v>
          </cell>
          <cell r="AM58">
            <v>-0.66916724678159323</v>
          </cell>
          <cell r="AN58">
            <v>-0.67027404137796243</v>
          </cell>
          <cell r="AO58">
            <v>-0.67127782248635537</v>
          </cell>
          <cell r="AP58">
            <v>-0.67165810371896928</v>
          </cell>
          <cell r="AQ58">
            <v>-0.67250868656983154</v>
          </cell>
          <cell r="AR58">
            <v>-0.67333452372971658</v>
          </cell>
          <cell r="AS58">
            <v>-0.67196658654960606</v>
          </cell>
          <cell r="AT58">
            <v>-0.66854395407112588</v>
          </cell>
          <cell r="AU58">
            <v>-0.66602784456992969</v>
          </cell>
          <cell r="AV58">
            <v>-0.6618690102347633</v>
          </cell>
        </row>
        <row r="59">
          <cell r="D59">
            <v>-2.9025666521038662E-3</v>
          </cell>
          <cell r="E59">
            <v>-1.6855904678974354E-2</v>
          </cell>
          <cell r="F59">
            <v>-3.2344554669345826E-2</v>
          </cell>
          <cell r="G59">
            <v>-4.8952613376476384E-2</v>
          </cell>
          <cell r="H59">
            <v>-6.6125060493985255E-2</v>
          </cell>
          <cell r="I59">
            <v>-8.4119672971217141E-2</v>
          </cell>
          <cell r="J59">
            <v>-0.1003517710771421</v>
          </cell>
          <cell r="K59">
            <v>-0.11803932912127502</v>
          </cell>
          <cell r="L59">
            <v>-0.13544521777824359</v>
          </cell>
          <cell r="M59">
            <v>-0.15213521402013053</v>
          </cell>
          <cell r="N59">
            <v>-0.17096984088960887</v>
          </cell>
          <cell r="O59">
            <v>-0.1868145124587276</v>
          </cell>
          <cell r="P59">
            <v>-0.20380164327274852</v>
          </cell>
          <cell r="Q59">
            <v>-0.22199262901093675</v>
          </cell>
          <cell r="R59">
            <v>-0.2394702189372846</v>
          </cell>
          <cell r="S59">
            <v>-0.25603252255233644</v>
          </cell>
          <cell r="T59">
            <v>-0.27248455556494267</v>
          </cell>
          <cell r="U59">
            <v>-0.28869182913248659</v>
          </cell>
          <cell r="V59">
            <v>-0.30541562941777367</v>
          </cell>
          <cell r="W59">
            <v>-0.3222842837455494</v>
          </cell>
          <cell r="X59">
            <v>-0.33961444392856321</v>
          </cell>
          <cell r="Y59">
            <v>-0.35528011201242871</v>
          </cell>
          <cell r="Z59">
            <v>-0.37206903437381456</v>
          </cell>
          <cell r="AA59">
            <v>-0.39235916683953787</v>
          </cell>
          <cell r="AB59">
            <v>-0.40985919253034453</v>
          </cell>
          <cell r="AC59">
            <v>-0.42858100593539517</v>
          </cell>
          <cell r="AD59">
            <v>-0.44486013213349096</v>
          </cell>
          <cell r="AE59">
            <v>-0.45970162230358647</v>
          </cell>
          <cell r="AF59">
            <v>-0.47480387499452192</v>
          </cell>
          <cell r="AG59">
            <v>-0.48585459842649203</v>
          </cell>
          <cell r="AH59">
            <v>-0.4969037983897272</v>
          </cell>
          <cell r="AI59">
            <v>-0.50770933093720727</v>
          </cell>
          <cell r="AJ59">
            <v>-0.51783588643976297</v>
          </cell>
          <cell r="AK59">
            <v>-0.52618603151540166</v>
          </cell>
          <cell r="AL59">
            <v>-0.53436809070002678</v>
          </cell>
          <cell r="AM59">
            <v>-0.54182276970083942</v>
          </cell>
          <cell r="AN59">
            <v>-0.54616882753115858</v>
          </cell>
          <cell r="AO59">
            <v>-0.54738275525655222</v>
          </cell>
          <cell r="AP59">
            <v>-0.54996589176744393</v>
          </cell>
          <cell r="AQ59">
            <v>-0.54972255418633797</v>
          </cell>
          <cell r="AR59">
            <v>-0.54881309668957423</v>
          </cell>
          <cell r="AS59">
            <v>-0.54869397128022734</v>
          </cell>
          <cell r="AT59">
            <v>-0.54870206733814997</v>
          </cell>
          <cell r="AU59">
            <v>-0.54626870142444939</v>
          </cell>
          <cell r="AV59">
            <v>-0.54233279884234076</v>
          </cell>
        </row>
        <row r="60">
          <cell r="D60">
            <v>-2.0051198062143172E-3</v>
          </cell>
          <cell r="E60">
            <v>-9.8319773700463742E-3</v>
          </cell>
          <cell r="F60">
            <v>-1.9569788234801933E-2</v>
          </cell>
          <cell r="G60">
            <v>-3.0630955124005932E-2</v>
          </cell>
          <cell r="H60">
            <v>-4.1582551774421939E-2</v>
          </cell>
          <cell r="I60">
            <v>-5.5931464484995419E-2</v>
          </cell>
          <cell r="J60">
            <v>-6.8402826356273816E-2</v>
          </cell>
          <cell r="K60">
            <v>-8.3807785234093379E-2</v>
          </cell>
          <cell r="L60">
            <v>-0.10158634547403189</v>
          </cell>
          <cell r="M60">
            <v>-0.11913908859233835</v>
          </cell>
          <cell r="N60">
            <v>-0.14046436269911777</v>
          </cell>
          <cell r="O60">
            <v>-0.15765941366135383</v>
          </cell>
          <cell r="P60">
            <v>-0.17811216074153935</v>
          </cell>
          <cell r="Q60">
            <v>-0.19843634656479248</v>
          </cell>
          <cell r="R60">
            <v>-0.21447959535214078</v>
          </cell>
          <cell r="S60">
            <v>-0.23328077039690143</v>
          </cell>
          <cell r="T60">
            <v>-0.25589622977467474</v>
          </cell>
          <cell r="U60">
            <v>-0.27330097160881606</v>
          </cell>
          <cell r="V60">
            <v>-0.29297186753377125</v>
          </cell>
          <cell r="W60">
            <v>-0.31367680915645668</v>
          </cell>
          <cell r="X60">
            <v>-0.33241041853261555</v>
          </cell>
          <cell r="Y60">
            <v>-0.35423973114892948</v>
          </cell>
          <cell r="Z60">
            <v>-0.37585807052145859</v>
          </cell>
          <cell r="AA60">
            <v>-0.39823056653569511</v>
          </cell>
          <cell r="AB60">
            <v>-0.41557333363969362</v>
          </cell>
          <cell r="AC60">
            <v>-0.43486533252411674</v>
          </cell>
          <cell r="AD60">
            <v>-0.45322856076418283</v>
          </cell>
          <cell r="AE60">
            <v>-0.4661390115482531</v>
          </cell>
          <cell r="AF60">
            <v>-0.47886864636362458</v>
          </cell>
          <cell r="AG60">
            <v>-0.48977885214615102</v>
          </cell>
          <cell r="AH60">
            <v>-0.50393246166320649</v>
          </cell>
          <cell r="AI60">
            <v>-0.5192591035468519</v>
          </cell>
          <cell r="AJ60">
            <v>-0.53419205605445796</v>
          </cell>
          <cell r="AK60">
            <v>-0.54424389822389707</v>
          </cell>
          <cell r="AL60">
            <v>-0.55418745459373286</v>
          </cell>
          <cell r="AM60">
            <v>-0.56100006616472964</v>
          </cell>
          <cell r="AN60">
            <v>-0.55904052071338739</v>
          </cell>
          <cell r="AO60">
            <v>-0.55934554436271378</v>
          </cell>
          <cell r="AP60">
            <v>-0.55633430397828054</v>
          </cell>
          <cell r="AQ60">
            <v>-0.55772539437473556</v>
          </cell>
          <cell r="AR60">
            <v>-0.55770178572722773</v>
          </cell>
          <cell r="AS60">
            <v>-0.56415535146773521</v>
          </cell>
          <cell r="AT60">
            <v>-0.56696300768602892</v>
          </cell>
          <cell r="AU60">
            <v>-0.57416905765447501</v>
          </cell>
          <cell r="AV60">
            <v>-0.57222092273289271</v>
          </cell>
        </row>
        <row r="61">
          <cell r="D61">
            <v>-9.3410828661155687E-3</v>
          </cell>
          <cell r="E61">
            <v>-2.7169467891029808E-2</v>
          </cell>
          <cell r="F61">
            <v>-4.5231442259736632E-2</v>
          </cell>
          <cell r="G61">
            <v>-6.4403044809200671E-2</v>
          </cell>
          <cell r="H61">
            <v>-8.6198984196384054E-2</v>
          </cell>
          <cell r="I61">
            <v>-0.11053636663655886</v>
          </cell>
          <cell r="J61">
            <v>-0.14073776094288259</v>
          </cell>
          <cell r="K61">
            <v>-0.162526619443491</v>
          </cell>
          <cell r="L61">
            <v>-0.18455433410114863</v>
          </cell>
          <cell r="M61">
            <v>-0.20532375096074085</v>
          </cell>
          <cell r="N61">
            <v>-0.22705258508189086</v>
          </cell>
          <cell r="O61">
            <v>-0.24879070267625369</v>
          </cell>
          <cell r="P61">
            <v>-0.26950489839282177</v>
          </cell>
          <cell r="Q61">
            <v>-0.2890972120571017</v>
          </cell>
          <cell r="R61">
            <v>-0.30404526104702134</v>
          </cell>
          <cell r="S61">
            <v>-0.32257302824731993</v>
          </cell>
          <cell r="T61">
            <v>-0.34181973264640408</v>
          </cell>
          <cell r="U61">
            <v>-0.3635415203369442</v>
          </cell>
          <cell r="V61">
            <v>-0.38072747128440743</v>
          </cell>
          <cell r="W61">
            <v>-0.39972049494238804</v>
          </cell>
          <cell r="X61">
            <v>-0.4199448828408382</v>
          </cell>
          <cell r="Y61">
            <v>-0.436168787539289</v>
          </cell>
          <cell r="Z61">
            <v>-0.45405595111850383</v>
          </cell>
          <cell r="AA61">
            <v>-0.47180903085450299</v>
          </cell>
          <cell r="AB61">
            <v>-0.49123727131039374</v>
          </cell>
          <cell r="AC61">
            <v>-0.51353647676228475</v>
          </cell>
          <cell r="AD61">
            <v>-0.52851412082205951</v>
          </cell>
          <cell r="AE61">
            <v>-0.54291045752931866</v>
          </cell>
          <cell r="AF61">
            <v>-0.55222749659681702</v>
          </cell>
          <cell r="AG61">
            <v>-0.56284901243622165</v>
          </cell>
          <cell r="AH61">
            <v>-0.57321208594663742</v>
          </cell>
          <cell r="AI61">
            <v>-0.58451308832843307</v>
          </cell>
          <cell r="AJ61">
            <v>-0.59168207684592056</v>
          </cell>
          <cell r="AK61">
            <v>-0.59887467701043273</v>
          </cell>
          <cell r="AL61">
            <v>-0.60261241287926892</v>
          </cell>
          <cell r="AM61">
            <v>-0.60565440036851614</v>
          </cell>
          <cell r="AN61">
            <v>-0.60901805508829021</v>
          </cell>
          <cell r="AO61">
            <v>-0.61088382084341675</v>
          </cell>
          <cell r="AP61">
            <v>-0.61578585408873443</v>
          </cell>
          <cell r="AQ61">
            <v>-0.61569426443993946</v>
          </cell>
          <cell r="AR61">
            <v>-0.61379134222117382</v>
          </cell>
          <cell r="AS61">
            <v>-0.60827458375894738</v>
          </cell>
          <cell r="AT61">
            <v>-0.6098097267585636</v>
          </cell>
          <cell r="AU61">
            <v>-0.60840048027466764</v>
          </cell>
          <cell r="AV61">
            <v>-0.60261959032683121</v>
          </cell>
        </row>
        <row r="62">
          <cell r="D62">
            <v>-6.0093806392107485E-3</v>
          </cell>
          <cell r="E62">
            <v>-1.7351536081883112E-2</v>
          </cell>
          <cell r="F62">
            <v>-3.1748212964624045E-2</v>
          </cell>
          <cell r="G62">
            <v>-4.4646023102160481E-2</v>
          </cell>
          <cell r="H62">
            <v>-5.799483307328912E-2</v>
          </cell>
          <cell r="I62">
            <v>-7.3116529205481395E-2</v>
          </cell>
          <cell r="J62">
            <v>-8.7656318005095768E-2</v>
          </cell>
          <cell r="K62">
            <v>-0.10123058256436668</v>
          </cell>
          <cell r="L62">
            <v>-0.11727685598067594</v>
          </cell>
          <cell r="M62">
            <v>-0.13469880672056911</v>
          </cell>
          <cell r="N62">
            <v>-0.14965481401824599</v>
          </cell>
          <cell r="O62">
            <v>-0.16542047825340989</v>
          </cell>
          <cell r="P62">
            <v>-0.1807167826525784</v>
          </cell>
          <cell r="Q62">
            <v>-0.19453770706318774</v>
          </cell>
          <cell r="R62">
            <v>-0.20823590181048257</v>
          </cell>
          <cell r="S62">
            <v>-0.2222717206481809</v>
          </cell>
          <cell r="T62">
            <v>-0.23591238133902959</v>
          </cell>
          <cell r="U62">
            <v>-0.2504652907318714</v>
          </cell>
          <cell r="V62">
            <v>-0.26432947851994648</v>
          </cell>
          <cell r="W62">
            <v>-0.27587098758026374</v>
          </cell>
          <cell r="X62">
            <v>-0.28871115942725445</v>
          </cell>
          <cell r="Y62">
            <v>-0.30366516004070787</v>
          </cell>
          <cell r="Z62">
            <v>-0.31225026955883894</v>
          </cell>
          <cell r="AA62">
            <v>-0.3228868982701476</v>
          </cell>
          <cell r="AB62">
            <v>-0.33489547715506995</v>
          </cell>
          <cell r="AC62">
            <v>-0.34415147790724654</v>
          </cell>
          <cell r="AD62">
            <v>-0.35758746908339178</v>
          </cell>
          <cell r="AE62">
            <v>-0.3654322916527557</v>
          </cell>
          <cell r="AF62">
            <v>-0.37334520678805871</v>
          </cell>
          <cell r="AG62">
            <v>-0.38459793778212747</v>
          </cell>
          <cell r="AH62">
            <v>-0.38829549766959282</v>
          </cell>
          <cell r="AI62">
            <v>-0.39661064060141482</v>
          </cell>
          <cell r="AJ62">
            <v>-0.39751197451081477</v>
          </cell>
          <cell r="AK62">
            <v>-0.40246907548292354</v>
          </cell>
          <cell r="AL62">
            <v>-0.40866364715251136</v>
          </cell>
          <cell r="AM62">
            <v>-0.41031439097169786</v>
          </cell>
          <cell r="AN62">
            <v>-0.41076845210096125</v>
          </cell>
          <cell r="AO62">
            <v>-0.41709972536538387</v>
          </cell>
          <cell r="AP62">
            <v>-0.42147490511973185</v>
          </cell>
          <cell r="AQ62">
            <v>-0.42273282912396426</v>
          </cell>
          <cell r="AR62">
            <v>-0.42032159484480069</v>
          </cell>
          <cell r="AS62">
            <v>-0.41115748472571811</v>
          </cell>
          <cell r="AT62">
            <v>-0.39514493242463355</v>
          </cell>
          <cell r="AU62">
            <v>-0.38911149653764665</v>
          </cell>
          <cell r="AV62">
            <v>-0.38244906503562925</v>
          </cell>
        </row>
      </sheetData>
      <sheetData sheetId="18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_Femmes"/>
      <sheetName val="Tab durée âge pm_Hommes"/>
      <sheetName val="Gagnants_perdants_pm68_2000"/>
      <sheetName val="pm68_quintile"/>
      <sheetName val="Gagnants_perdants_pmcv_2000"/>
      <sheetName val="pmcv_quintile"/>
      <sheetName val="Pm68ans"/>
      <sheetName val="Durée_perception"/>
      <sheetName val="Âge "/>
      <sheetName val="Pm68_quintiles_Femmes"/>
      <sheetName val="Pm68_quintiles_Hommes"/>
      <sheetName val="Pm68_quintiles_Ensemble"/>
      <sheetName val="Pmcv_quintiles_Femmes"/>
      <sheetName val="Âge_quintile"/>
      <sheetName val="Ecarts_masses_LURA"/>
      <sheetName val="Ecarts_masses_autres_régimes"/>
      <sheetName val="Ecarts_masses_tousrégimes"/>
      <sheetName val="B1_DD_génération"/>
      <sheetName val="B1_année"/>
    </sheetNames>
    <sheetDataSet>
      <sheetData sheetId="0">
        <row r="3">
          <cell r="D3" t="str">
            <v>Quintile</v>
          </cell>
          <cell r="E3" t="str">
            <v>Durée de perception moyenne (écart en années</v>
          </cell>
          <cell r="F3" t="str">
            <v>Âge de perception (écart en année)</v>
          </cell>
          <cell r="G3" t="str">
            <v>Pension moyenne 68 ans</v>
          </cell>
          <cell r="H3" t="str">
            <v>Pension moyenne CV</v>
          </cell>
        </row>
        <row r="4">
          <cell r="B4" t="str">
            <v>Femmes</v>
          </cell>
          <cell r="D4" t="str">
            <v>Ensemble</v>
          </cell>
          <cell r="E4">
            <v>1.389495686927674</v>
          </cell>
          <cell r="F4">
            <v>-2.4448509879196365</v>
          </cell>
          <cell r="G4">
            <v>-0.19310092167571591</v>
          </cell>
          <cell r="H4">
            <v>-4.6839090116985393E-2</v>
          </cell>
        </row>
        <row r="5">
          <cell r="B5" t="str">
            <v>Hommes</v>
          </cell>
          <cell r="D5" t="str">
            <v>Ensemble</v>
          </cell>
          <cell r="E5">
            <v>1.682295454456618</v>
          </cell>
          <cell r="F5">
            <v>-3.3811356497290745</v>
          </cell>
          <cell r="G5">
            <v>1.3404512506952404E-2</v>
          </cell>
          <cell r="H5">
            <v>0.17762277005074578</v>
          </cell>
        </row>
        <row r="6">
          <cell r="B6" t="str">
            <v>Selon le quintile de pension</v>
          </cell>
        </row>
        <row r="7">
          <cell r="B7" t="str">
            <v>Femmes</v>
          </cell>
          <cell r="D7" t="str">
            <v>Q1</v>
          </cell>
          <cell r="E7">
            <v>8.6888827204841874</v>
          </cell>
          <cell r="F7">
            <v>-11.178788359442791</v>
          </cell>
          <cell r="G7">
            <v>0.24177593869474379</v>
          </cell>
          <cell r="H7">
            <v>0.76546765595525845</v>
          </cell>
        </row>
        <row r="8">
          <cell r="D8" t="str">
            <v>Q2</v>
          </cell>
          <cell r="E8">
            <v>2.8601629719862309</v>
          </cell>
          <cell r="F8">
            <v>-4.6755904441670424</v>
          </cell>
          <cell r="G8">
            <v>-0.20969932019815851</v>
          </cell>
          <cell r="H8">
            <v>3.6529085978406206E-2</v>
          </cell>
        </row>
        <row r="9">
          <cell r="D9" t="str">
            <v>Q3</v>
          </cell>
          <cell r="E9">
            <v>0.29314185923341896</v>
          </cell>
          <cell r="F9">
            <v>-2.6632204324618272</v>
          </cell>
          <cell r="G9">
            <v>-0.22615798598825565</v>
          </cell>
          <cell r="H9">
            <v>-6.8285281937466191E-2</v>
          </cell>
        </row>
        <row r="10">
          <cell r="D10" t="str">
            <v>Q4</v>
          </cell>
          <cell r="E10">
            <v>0.63739527022820042</v>
          </cell>
          <cell r="F10">
            <v>-1.406308382717441</v>
          </cell>
          <cell r="G10">
            <v>-0.22263847279064741</v>
          </cell>
          <cell r="H10">
            <v>-0.11219795970847468</v>
          </cell>
        </row>
        <row r="11">
          <cell r="D11" t="str">
            <v>Q5</v>
          </cell>
          <cell r="E11">
            <v>0.15345434012784942</v>
          </cell>
          <cell r="F11">
            <v>-0.90916506395757324</v>
          </cell>
          <cell r="G11">
            <v>-0.41878088204925112</v>
          </cell>
          <cell r="H11">
            <v>-0.31876043976010071</v>
          </cell>
        </row>
        <row r="12">
          <cell r="B12" t="str">
            <v>Hommes</v>
          </cell>
          <cell r="D12" t="str">
            <v>Q1</v>
          </cell>
          <cell r="E12">
            <v>14.434108807263813</v>
          </cell>
          <cell r="F12">
            <v>-21.425581806209145</v>
          </cell>
          <cell r="G12">
            <v>0.48503258135498517</v>
          </cell>
          <cell r="H12">
            <v>1.6670651842799202</v>
          </cell>
        </row>
        <row r="13">
          <cell r="D13" t="str">
            <v>Q2</v>
          </cell>
          <cell r="E13">
            <v>6.5473555452003787</v>
          </cell>
          <cell r="F13">
            <v>-10.760680826016568</v>
          </cell>
          <cell r="G13">
            <v>-0.11422092809111606</v>
          </cell>
          <cell r="H13">
            <v>0.50618986676556821</v>
          </cell>
        </row>
        <row r="14">
          <cell r="D14" t="str">
            <v>Q3</v>
          </cell>
          <cell r="E14">
            <v>5.4757724882498238</v>
          </cell>
          <cell r="F14">
            <v>-3.8412041238152881</v>
          </cell>
          <cell r="G14">
            <v>-0.13261751306546354</v>
          </cell>
          <cell r="H14">
            <v>3.3722602717456862E-2</v>
          </cell>
        </row>
        <row r="15">
          <cell r="D15" t="str">
            <v>Q4</v>
          </cell>
          <cell r="E15">
            <v>0.84921574937747124</v>
          </cell>
          <cell r="F15">
            <v>-2.1227313974591624</v>
          </cell>
          <cell r="G15">
            <v>-0.16025339065722066</v>
          </cell>
          <cell r="H15">
            <v>-3.308950291215651E-2</v>
          </cell>
        </row>
        <row r="16">
          <cell r="D16" t="str">
            <v>Q5</v>
          </cell>
          <cell r="E16">
            <v>0.14037791235280039</v>
          </cell>
          <cell r="F16">
            <v>-0.63973181121465927</v>
          </cell>
          <cell r="G16">
            <v>-0.28051726746702732</v>
          </cell>
          <cell r="H16">
            <v>-0.18091805995510457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1 enf_Hommes"/>
      <sheetName val="Tab durée âge pm_2 enf"/>
      <sheetName val="Tab durée âge pm_2 enf_Hommes"/>
      <sheetName val="Tab durée âge pm_3 enf"/>
      <sheetName val="Tab durée âge pm_3 enf_Hommes"/>
      <sheetName val="Gagnants_perdants_pm68_2000"/>
      <sheetName val="pm68_nb enf"/>
      <sheetName val="pm68_régime_Femmes"/>
      <sheetName val="pm68_régime_Hommes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_Femmes"/>
      <sheetName val="pmcv_régime_Hommes"/>
      <sheetName val="pmcv_régime_1 enf"/>
      <sheetName val="pmcv_régime_2 enf"/>
      <sheetName val="pmcv_régime_3 enf"/>
      <sheetName val="pmcv_quintile"/>
      <sheetName val="Pm68ans"/>
      <sheetName val="Ecarts_pm68_pmcv"/>
      <sheetName val="Pm68_quintiles_Femmes"/>
      <sheetName val="Pm68_quintiles_Hommes"/>
      <sheetName val="Pm68_quintiles_Ensemble"/>
      <sheetName val="Pmcv_quintiles"/>
      <sheetName val="Pm68_enfants"/>
      <sheetName val="Ecarts_pm68_régimes"/>
      <sheetName val="Ecarts_pmcv_régimes"/>
      <sheetName val="Ecarts_masses_LURA_DP"/>
      <sheetName val="Ecarts_masses_LURA_DD"/>
      <sheetName val="Ecarts_masses_autres_régimes_DP"/>
      <sheetName val="Ecarts_masses_autres_régime_DD"/>
      <sheetName val="Ecarts_masses_tousrégimes_DP"/>
      <sheetName val="Ecarts_masses_tousrégimes_DD"/>
      <sheetName val="B1_DP_génération"/>
      <sheetName val="B1_année"/>
    </sheetNames>
    <sheetDataSet>
      <sheetData sheetId="0">
        <row r="3">
          <cell r="D3" t="str">
            <v>Nombre d'enfants</v>
          </cell>
          <cell r="G3" t="str">
            <v>Pension moyenne CV</v>
          </cell>
          <cell r="H3"/>
        </row>
        <row r="4">
          <cell r="B4" t="str">
            <v>Femmes</v>
          </cell>
          <cell r="C4"/>
          <cell r="D4" t="str">
            <v>Ensemble</v>
          </cell>
          <cell r="G4">
            <v>1.6560600490573396E-2</v>
          </cell>
          <cell r="H4"/>
        </row>
        <row r="5">
          <cell r="B5" t="str">
            <v>Hommes</v>
          </cell>
          <cell r="C5"/>
          <cell r="D5" t="str">
            <v>Ensemble</v>
          </cell>
          <cell r="G5">
            <v>-2.5916777433229399E-2</v>
          </cell>
          <cell r="H5"/>
        </row>
        <row r="6">
          <cell r="B6" t="str">
            <v>Selon le nombre d'enfants</v>
          </cell>
        </row>
        <row r="7">
          <cell r="B7" t="str">
            <v>Femmes</v>
          </cell>
          <cell r="C7"/>
          <cell r="D7">
            <v>1</v>
          </cell>
          <cell r="G7">
            <v>1.5596946854972815E-2</v>
          </cell>
          <cell r="H7"/>
        </row>
        <row r="8">
          <cell r="B8"/>
          <cell r="C8"/>
          <cell r="D8">
            <v>2</v>
          </cell>
          <cell r="G8">
            <v>5.4159386366791962E-2</v>
          </cell>
          <cell r="H8"/>
        </row>
        <row r="9">
          <cell r="B9"/>
          <cell r="C9"/>
          <cell r="D9" t="str">
            <v>3 et plus</v>
          </cell>
          <cell r="G9">
            <v>-1.9753056876769204E-2</v>
          </cell>
          <cell r="H9"/>
        </row>
        <row r="10">
          <cell r="B10" t="str">
            <v>Hommes</v>
          </cell>
          <cell r="C10"/>
          <cell r="D10">
            <v>1</v>
          </cell>
          <cell r="G10">
            <v>-3.5082653785696305E-3</v>
          </cell>
          <cell r="H10"/>
        </row>
        <row r="11">
          <cell r="B11"/>
          <cell r="C11"/>
          <cell r="D11">
            <v>2</v>
          </cell>
          <cell r="G11">
            <v>-4.0445371871846714E-3</v>
          </cell>
          <cell r="H11"/>
        </row>
        <row r="12">
          <cell r="B12"/>
          <cell r="C12"/>
          <cell r="D12" t="str">
            <v>3 et plus</v>
          </cell>
          <cell r="G12">
            <v>-8.9830235999113328E-2</v>
          </cell>
          <cell r="H12"/>
        </row>
        <row r="21">
          <cell r="B21" t="str">
            <v>Pension moyenne sur cycle de vie selon le régime d'affiliation</v>
          </cell>
          <cell r="C21"/>
          <cell r="D21"/>
          <cell r="E21"/>
          <cell r="F21"/>
          <cell r="G21"/>
          <cell r="H21"/>
          <cell r="I21"/>
          <cell r="J21"/>
        </row>
        <row r="22">
          <cell r="D22" t="str">
            <v>Nombre d'enfants</v>
          </cell>
          <cell r="E22" t="str">
            <v>Mono Lura</v>
          </cell>
          <cell r="F22" t="str">
            <v>Mono FP-RS</v>
          </cell>
          <cell r="G22" t="str">
            <v>Mono MSAE-PLIB</v>
          </cell>
          <cell r="H22" t="str">
            <v>Poly Lura-FP-RS</v>
          </cell>
          <cell r="I22" t="str">
            <v>Poly Lura-MSAE-PLIB</v>
          </cell>
          <cell r="J22" t="str">
            <v>Sans droit propre</v>
          </cell>
        </row>
        <row r="23">
          <cell r="B23" t="str">
            <v>Femmes</v>
          </cell>
          <cell r="C23"/>
          <cell r="D23">
            <v>1</v>
          </cell>
          <cell r="E23">
            <v>8.0097237422704914E-3</v>
          </cell>
          <cell r="F23">
            <v>3.7729787567124751E-2</v>
          </cell>
          <cell r="G23">
            <v>3.3014621965233859E-2</v>
          </cell>
          <cell r="H23">
            <v>3.160116071402741E-2</v>
          </cell>
          <cell r="I23">
            <v>-1.0615728525410817E-2</v>
          </cell>
          <cell r="J23">
            <v>0.65236325147924012</v>
          </cell>
        </row>
        <row r="24">
          <cell r="B24"/>
          <cell r="C24"/>
          <cell r="D24">
            <v>2</v>
          </cell>
          <cell r="E24">
            <v>4.1171216146063783E-2</v>
          </cell>
          <cell r="F24">
            <v>0.13864576930398442</v>
          </cell>
          <cell r="G24">
            <v>4.0021304458637497E-2</v>
          </cell>
          <cell r="H24">
            <v>9.8398401447107542E-2</v>
          </cell>
          <cell r="I24">
            <v>3.0234119213779387E-2</v>
          </cell>
          <cell r="J24">
            <v>0.31596696493256071</v>
          </cell>
        </row>
        <row r="25">
          <cell r="B25"/>
          <cell r="C25"/>
          <cell r="D25" t="str">
            <v>3 et plus</v>
          </cell>
          <cell r="E25">
            <v>-2.9795891678337072E-2</v>
          </cell>
          <cell r="F25">
            <v>9.5961588306648471E-2</v>
          </cell>
          <cell r="G25">
            <v>-5.2550063341818998E-2</v>
          </cell>
          <cell r="H25">
            <v>2.359669316165669E-2</v>
          </cell>
          <cell r="I25">
            <v>-4.9401492343916553E-2</v>
          </cell>
          <cell r="J25">
            <v>0.15258292375388405</v>
          </cell>
        </row>
        <row r="26">
          <cell r="B26" t="str">
            <v>Hommes</v>
          </cell>
          <cell r="C26"/>
          <cell r="D26">
            <v>1</v>
          </cell>
          <cell r="E26">
            <v>-3.3605503742180076E-3</v>
          </cell>
          <cell r="F26">
            <v>-2.3868767939405622E-3</v>
          </cell>
          <cell r="G26">
            <v>4.3762771184674421E-12</v>
          </cell>
          <cell r="H26">
            <v>-4.8534214151237931E-3</v>
          </cell>
          <cell r="I26">
            <v>-4.8524555975655304E-3</v>
          </cell>
          <cell r="J26">
            <v>0.14188214081346895</v>
          </cell>
        </row>
        <row r="27">
          <cell r="B27"/>
          <cell r="C27"/>
          <cell r="D27">
            <v>2</v>
          </cell>
          <cell r="E27">
            <v>-4.9078256154961863E-3</v>
          </cell>
          <cell r="F27">
            <v>-6.7742571805473606E-4</v>
          </cell>
          <cell r="G27">
            <v>1.0418794269342335E-3</v>
          </cell>
          <cell r="H27">
            <v>-3.5775367611059483E-3</v>
          </cell>
          <cell r="I27">
            <v>-6.5190061531564814E-3</v>
          </cell>
          <cell r="J27">
            <v>1.0920524035246499</v>
          </cell>
        </row>
        <row r="28">
          <cell r="B28"/>
          <cell r="C28"/>
          <cell r="D28" t="str">
            <v>3 et plus</v>
          </cell>
          <cell r="E28">
            <v>-8.8911643869792667E-2</v>
          </cell>
          <cell r="F28">
            <v>-0.11646232890241048</v>
          </cell>
          <cell r="G28">
            <v>-5.7011112884651438E-2</v>
          </cell>
          <cell r="H28">
            <v>-0.10641749732420669</v>
          </cell>
          <cell r="I28">
            <v>-7.8534078940588836E-2</v>
          </cell>
          <cell r="J28">
            <v>0.43569703050072062</v>
          </cell>
        </row>
        <row r="37">
          <cell r="B37" t="str">
            <v>Pension moyenne sur cycle de vie selon le quintile de pension</v>
          </cell>
          <cell r="C37"/>
          <cell r="D37"/>
          <cell r="E37"/>
          <cell r="F37"/>
          <cell r="G37"/>
          <cell r="H37"/>
          <cell r="I37"/>
        </row>
        <row r="38">
          <cell r="D38" t="str">
            <v>Nombre d'enfants</v>
          </cell>
          <cell r="E38" t="str">
            <v>Q1</v>
          </cell>
          <cell r="F38" t="str">
            <v>Q2</v>
          </cell>
          <cell r="G38" t="str">
            <v>Q3</v>
          </cell>
          <cell r="H38" t="str">
            <v>Q4</v>
          </cell>
          <cell r="I38" t="str">
            <v>Q5</v>
          </cell>
        </row>
        <row r="39">
          <cell r="B39" t="str">
            <v>Femmes</v>
          </cell>
          <cell r="C39"/>
          <cell r="D39">
            <v>1</v>
          </cell>
          <cell r="E39">
            <v>0.14323165203899402</v>
          </cell>
          <cell r="F39">
            <v>5.8103984315512891E-2</v>
          </cell>
          <cell r="G39">
            <v>3.2153080854051552E-2</v>
          </cell>
          <cell r="H39">
            <v>-5.3628766949642692E-4</v>
          </cell>
          <cell r="I39">
            <v>-1.9722987078628074E-2</v>
          </cell>
        </row>
        <row r="40">
          <cell r="B40"/>
          <cell r="C40"/>
          <cell r="D40">
            <v>2</v>
          </cell>
          <cell r="E40">
            <v>0.16794015457721101</v>
          </cell>
          <cell r="F40">
            <v>0.10480453428515313</v>
          </cell>
          <cell r="G40">
            <v>8.0859425945303931E-2</v>
          </cell>
          <cell r="H40">
            <v>3.7732988917734689E-2</v>
          </cell>
          <cell r="I40">
            <v>2.9276792324850476E-4</v>
          </cell>
        </row>
        <row r="41">
          <cell r="B41"/>
          <cell r="C41"/>
          <cell r="D41" t="str">
            <v>3 et plus</v>
          </cell>
          <cell r="E41">
            <v>5.2879978399075434E-2</v>
          </cell>
          <cell r="F41">
            <v>7.368786950112205E-2</v>
          </cell>
          <cell r="G41">
            <v>2.010843701565479E-2</v>
          </cell>
          <cell r="H41">
            <v>-2.7128241658450181E-2</v>
          </cell>
          <cell r="I41">
            <v>-0.10467529785410734</v>
          </cell>
        </row>
        <row r="42">
          <cell r="B42" t="str">
            <v>Hommes</v>
          </cell>
          <cell r="C42"/>
          <cell r="D42">
            <v>1</v>
          </cell>
          <cell r="E42">
            <v>7.9812892434081295E-3</v>
          </cell>
          <cell r="F42">
            <v>2.0064197724087851E-3</v>
          </cell>
          <cell r="G42">
            <v>-2.6521946103951199E-3</v>
          </cell>
          <cell r="H42">
            <v>-8.0867074103954106E-3</v>
          </cell>
          <cell r="I42">
            <v>-5.6362657127414506E-3</v>
          </cell>
        </row>
        <row r="43">
          <cell r="B43"/>
          <cell r="C43"/>
          <cell r="D43">
            <v>2</v>
          </cell>
          <cell r="E43">
            <v>1.671754241528256E-2</v>
          </cell>
          <cell r="F43">
            <v>-3.7748542296078824E-4</v>
          </cell>
          <cell r="G43">
            <v>-2.5921060573432797E-3</v>
          </cell>
          <cell r="H43">
            <v>-7.1250029141988191E-3</v>
          </cell>
          <cell r="I43">
            <v>-9.5334175773326146E-3</v>
          </cell>
        </row>
        <row r="44">
          <cell r="B44"/>
          <cell r="C44"/>
          <cell r="D44" t="str">
            <v>3 et plus</v>
          </cell>
          <cell r="E44">
            <v>-6.5878698044176454E-2</v>
          </cell>
          <cell r="F44">
            <v>-8.5230635643470332E-2</v>
          </cell>
          <cell r="G44">
            <v>-9.2444915904345226E-2</v>
          </cell>
          <cell r="H44">
            <v>-9.9387801205625625E-2</v>
          </cell>
          <cell r="I44">
            <v>-9.0834845392534058E-2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D10">
            <v>-4.7076194445305752E-4</v>
          </cell>
          <cell r="E10">
            <v>-1.6243483947204762E-3</v>
          </cell>
          <cell r="F10">
            <v>-2.8859303936721314E-3</v>
          </cell>
          <cell r="G10">
            <v>-4.1980770365481757E-3</v>
          </cell>
          <cell r="H10">
            <v>-5.6010847851991619E-3</v>
          </cell>
          <cell r="I10">
            <v>-7.0726789653970945E-3</v>
          </cell>
          <cell r="J10">
            <v>-8.4489188976697438E-3</v>
          </cell>
          <cell r="K10">
            <v>-9.7526817834423518E-3</v>
          </cell>
          <cell r="L10">
            <v>-1.1052007203803393E-2</v>
          </cell>
          <cell r="M10">
            <v>-1.2251683168442495E-2</v>
          </cell>
          <cell r="N10">
            <v>-1.3563492469125693E-2</v>
          </cell>
          <cell r="O10">
            <v>-1.4713713505419834E-2</v>
          </cell>
          <cell r="P10">
            <v>-1.5889637642715781E-2</v>
          </cell>
          <cell r="Q10">
            <v>-1.7020300849933001E-2</v>
          </cell>
          <cell r="R10">
            <v>-1.8118049929299551E-2</v>
          </cell>
          <cell r="S10">
            <v>-1.9109825345083986E-2</v>
          </cell>
          <cell r="T10">
            <v>-1.9992871906456045E-2</v>
          </cell>
          <cell r="U10">
            <v>-2.0747670613539881E-2</v>
          </cell>
          <cell r="V10">
            <v>-2.1480053739288962E-2</v>
          </cell>
          <cell r="W10">
            <v>-2.2103962356391338E-2</v>
          </cell>
          <cell r="X10">
            <v>-2.2619274290149427E-2</v>
          </cell>
          <cell r="Y10">
            <v>-2.3094766202304551E-2</v>
          </cell>
          <cell r="Z10">
            <v>-2.3525448036786356E-2</v>
          </cell>
          <cell r="AA10">
            <v>-2.3910657400176616E-2</v>
          </cell>
          <cell r="AB10">
            <v>-2.4175255168124243E-2</v>
          </cell>
          <cell r="AC10">
            <v>-2.4509178458112846E-2</v>
          </cell>
          <cell r="AD10">
            <v>-2.4507583873074945E-2</v>
          </cell>
          <cell r="AE10">
            <v>-2.432994666027688E-2</v>
          </cell>
          <cell r="AF10">
            <v>-2.4041184410455885E-2</v>
          </cell>
          <cell r="AG10">
            <v>-2.3706981447229936E-2</v>
          </cell>
          <cell r="AH10">
            <v>-2.3438039165717295E-2</v>
          </cell>
          <cell r="AI10">
            <v>-2.3023710745194159E-2</v>
          </cell>
          <cell r="AJ10">
            <v>-2.2450813713566942E-2</v>
          </cell>
          <cell r="AK10">
            <v>-2.1747186884395808E-2</v>
          </cell>
          <cell r="AL10">
            <v>-2.1134224378612454E-2</v>
          </cell>
          <cell r="AM10">
            <v>-2.0467156884567794E-2</v>
          </cell>
          <cell r="AN10">
            <v>-1.9604462756887098E-2</v>
          </cell>
          <cell r="AO10">
            <v>-1.8798765898164982E-2</v>
          </cell>
          <cell r="AP10">
            <v>-1.8035167531715524E-2</v>
          </cell>
          <cell r="AQ10">
            <v>-1.7289823767189239E-2</v>
          </cell>
          <cell r="AR10">
            <v>-1.6479801330074095E-2</v>
          </cell>
          <cell r="AS10">
            <v>-1.5723719005849568E-2</v>
          </cell>
          <cell r="AT10">
            <v>-1.4965323447835299E-2</v>
          </cell>
          <cell r="AU10">
            <v>-1.4119847278782127E-2</v>
          </cell>
          <cell r="AV10">
            <v>-1.3272935209193482E-2</v>
          </cell>
        </row>
      </sheetData>
      <sheetData sheetId="38"/>
      <sheetData sheetId="39"/>
      <sheetData sheetId="4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1 enf_Hommes"/>
      <sheetName val="Tab durée âge pm_2 enf"/>
      <sheetName val="Tab durée âge pm_2 enf_Hommes"/>
      <sheetName val="Tab durée âge pm_3 enf"/>
      <sheetName val="Tab durée âge pm_3 enf_Hommes"/>
      <sheetName val="Gagnants_perdants_pm68_2000"/>
      <sheetName val="pm68_nb enf"/>
      <sheetName val="pm68_régime_Femmes"/>
      <sheetName val="pm68_régime_Hommes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_Femmes"/>
      <sheetName val="pmcv_régime_Hommes"/>
      <sheetName val="pmcv_régime_1 enf"/>
      <sheetName val="pmcv_régime_2 enf"/>
      <sheetName val="pmcv_régime_3 enf"/>
      <sheetName val="pmcv_quintile"/>
      <sheetName val="Pm68ans"/>
      <sheetName val="Ecarts_pm68_pmcv"/>
      <sheetName val="Pm68_quintiles_Femmes"/>
      <sheetName val="Pm68_quintiles_Hommes"/>
      <sheetName val="Pm68_quintiles_Ensemble"/>
      <sheetName val="Pmcv_quintiles"/>
      <sheetName val="Pm68_enfants"/>
      <sheetName val="Ecarts_pm68_régimes"/>
      <sheetName val="Ecarts_pmcv_régimes"/>
      <sheetName val="Ecarts_masses_LURA_DP"/>
      <sheetName val="Ecarts_masses_LURA_DD"/>
      <sheetName val="Ecarts_masses_autres_régimes_DP"/>
      <sheetName val="Ecarts_masses_autres_régime_DD"/>
      <sheetName val="Ecarts_masses_tousrégimes_DP"/>
      <sheetName val="Ecarts_masses_tousrégimes_DD"/>
      <sheetName val="B1_DP_génération"/>
      <sheetName val="B1_année"/>
    </sheetNames>
    <sheetDataSet>
      <sheetData sheetId="0">
        <row r="4">
          <cell r="G4">
            <v>-1.3532518162055363E-2</v>
          </cell>
        </row>
        <row r="5">
          <cell r="G5">
            <v>-3.0805863609650541E-2</v>
          </cell>
        </row>
        <row r="7">
          <cell r="G7">
            <v>-1.3553143969665005E-2</v>
          </cell>
        </row>
        <row r="8">
          <cell r="G8">
            <v>1.5916892963391271E-2</v>
          </cell>
        </row>
        <row r="9">
          <cell r="G9">
            <v>-4.42156505116581E-2</v>
          </cell>
        </row>
        <row r="10">
          <cell r="G10">
            <v>-4.724077462477827E-3</v>
          </cell>
        </row>
        <row r="11">
          <cell r="G11">
            <v>-5.1999932357889023E-3</v>
          </cell>
        </row>
        <row r="12">
          <cell r="G12">
            <v>-8.8435324806981463E-2</v>
          </cell>
        </row>
        <row r="21">
          <cell r="B21" t="str">
            <v>Pension moyenne sur cycle de vie selon le régime d'affiliation</v>
          </cell>
        </row>
        <row r="22">
          <cell r="D22" t="str">
            <v>Nombre d'enfants</v>
          </cell>
          <cell r="E22" t="str">
            <v>Mono Lura</v>
          </cell>
          <cell r="F22" t="str">
            <v>Mono FP-RS</v>
          </cell>
          <cell r="G22" t="str">
            <v>Mono MSAE-PLIB</v>
          </cell>
          <cell r="H22" t="str">
            <v>Poly Lura-FP-RS</v>
          </cell>
          <cell r="I22" t="str">
            <v>Poly Lura-MSAE-PLIB</v>
          </cell>
          <cell r="J22" t="str">
            <v>Sans droit propre</v>
          </cell>
        </row>
        <row r="23">
          <cell r="B23" t="str">
            <v>Femmes</v>
          </cell>
          <cell r="D23">
            <v>1</v>
          </cell>
          <cell r="E23">
            <v>-1.0429940864845832E-2</v>
          </cell>
          <cell r="F23">
            <v>-1.8709439101202152E-2</v>
          </cell>
          <cell r="G23">
            <v>8.3551398953898737E-2</v>
          </cell>
          <cell r="H23">
            <v>-1.8489876307477005E-2</v>
          </cell>
          <cell r="I23">
            <v>-1.179718745076519E-2</v>
          </cell>
          <cell r="J23">
            <v>-6.4618243946010012E-2</v>
          </cell>
        </row>
        <row r="24">
          <cell r="D24">
            <v>2</v>
          </cell>
          <cell r="E24">
            <v>1.977108219096646E-2</v>
          </cell>
          <cell r="F24">
            <v>2.5207612967540038E-2</v>
          </cell>
          <cell r="G24">
            <v>2.6282153779610073E-2</v>
          </cell>
          <cell r="H24">
            <v>8.9683541793388333E-3</v>
          </cell>
          <cell r="I24">
            <v>2.2920766996105346E-2</v>
          </cell>
          <cell r="J24">
            <v>-7.8519614893845402E-2</v>
          </cell>
        </row>
        <row r="25">
          <cell r="D25" t="str">
            <v>3 et plus</v>
          </cell>
          <cell r="E25">
            <v>-3.8798139950655508E-2</v>
          </cell>
          <cell r="F25">
            <v>-5.3539282868412252E-2</v>
          </cell>
          <cell r="G25">
            <v>-0.15483116270588859</v>
          </cell>
          <cell r="H25">
            <v>-5.4800418606707368E-2</v>
          </cell>
          <cell r="I25">
            <v>-4.0434984657074957E-2</v>
          </cell>
          <cell r="J25">
            <v>-0.10135416229369287</v>
          </cell>
        </row>
        <row r="26">
          <cell r="B26" t="str">
            <v>Hommes</v>
          </cell>
          <cell r="D26">
            <v>1</v>
          </cell>
          <cell r="E26">
            <v>-4.8872806284829817E-3</v>
          </cell>
          <cell r="F26">
            <v>-1.7806285603036986E-3</v>
          </cell>
          <cell r="G26">
            <v>-2.8932344528000975E-3</v>
          </cell>
          <cell r="H26">
            <v>-5.5108410159259158E-3</v>
          </cell>
          <cell r="I26">
            <v>-4.6084804680295299E-3</v>
          </cell>
          <cell r="J26">
            <v>6.6571126176995676E-2</v>
          </cell>
        </row>
        <row r="27">
          <cell r="D27">
            <v>2</v>
          </cell>
          <cell r="E27">
            <v>-5.566284326526949E-3</v>
          </cell>
          <cell r="F27">
            <v>-4.1956891136919472E-3</v>
          </cell>
          <cell r="G27">
            <v>-3.5041673872570067E-3</v>
          </cell>
          <cell r="H27">
            <v>-5.9107393642174877E-3</v>
          </cell>
          <cell r="I27">
            <v>-3.4515625567119734E-3</v>
          </cell>
          <cell r="J27">
            <v>0.13913032653381574</v>
          </cell>
        </row>
        <row r="28">
          <cell r="D28" t="str">
            <v>3 et plus</v>
          </cell>
          <cell r="E28">
            <v>-8.907963278907316E-2</v>
          </cell>
          <cell r="F28">
            <v>-7.9994977105903642E-2</v>
          </cell>
          <cell r="G28">
            <v>-5.2708853075682738E-2</v>
          </cell>
          <cell r="H28">
            <v>-8.8470657557424337E-2</v>
          </cell>
          <cell r="I28">
            <v>-8.0434853731605305E-2</v>
          </cell>
          <cell r="J28">
            <v>-0.27592629146665337</v>
          </cell>
        </row>
        <row r="37">
          <cell r="B37" t="str">
            <v>Pension moyenne sur cycle de vie selon le quintile de pension</v>
          </cell>
        </row>
        <row r="38">
          <cell r="D38" t="str">
            <v>Nombre d'enfants</v>
          </cell>
          <cell r="E38" t="str">
            <v>Q1</v>
          </cell>
          <cell r="F38" t="str">
            <v>Q2</v>
          </cell>
          <cell r="G38" t="str">
            <v>Q3</v>
          </cell>
          <cell r="H38" t="str">
            <v>Q4</v>
          </cell>
          <cell r="I38" t="str">
            <v>Q5</v>
          </cell>
        </row>
        <row r="39">
          <cell r="B39" t="str">
            <v>Femmes</v>
          </cell>
          <cell r="D39">
            <v>1</v>
          </cell>
          <cell r="E39">
            <v>4.617615099267236E-2</v>
          </cell>
          <cell r="F39">
            <v>3.2253316869583104E-2</v>
          </cell>
          <cell r="G39">
            <v>1.4926923366809897E-2</v>
          </cell>
          <cell r="H39">
            <v>-1.2122861552329223E-2</v>
          </cell>
          <cell r="I39">
            <v>-5.8008603350055088E-2</v>
          </cell>
        </row>
        <row r="40">
          <cell r="D40">
            <v>2</v>
          </cell>
          <cell r="E40">
            <v>8.336645170217416E-2</v>
          </cell>
          <cell r="F40">
            <v>7.3150329951238602E-2</v>
          </cell>
          <cell r="G40">
            <v>4.8406620974277281E-2</v>
          </cell>
          <cell r="H40">
            <v>1.7643728844127793E-2</v>
          </cell>
          <cell r="I40">
            <v>-3.962103656994731E-2</v>
          </cell>
        </row>
        <row r="41">
          <cell r="D41" t="str">
            <v>3 et plus</v>
          </cell>
          <cell r="E41">
            <v>7.4258583674452705E-2</v>
          </cell>
          <cell r="F41">
            <v>4.9546811199148166E-2</v>
          </cell>
          <cell r="G41">
            <v>7.5212443644006033E-3</v>
          </cell>
          <cell r="H41">
            <v>-4.6048417802556751E-2</v>
          </cell>
          <cell r="I41">
            <v>-0.11397554145682542</v>
          </cell>
        </row>
        <row r="42">
          <cell r="B42" t="str">
            <v>Hommes</v>
          </cell>
          <cell r="D42">
            <v>1</v>
          </cell>
          <cell r="E42">
            <v>5.8347517112244951E-3</v>
          </cell>
          <cell r="F42">
            <v>3.9948289131341852E-5</v>
          </cell>
          <cell r="G42">
            <v>-3.5209673248478568E-3</v>
          </cell>
          <cell r="H42">
            <v>-8.3999488321681026E-3</v>
          </cell>
          <cell r="I42">
            <v>-6.2597021757169191E-3</v>
          </cell>
        </row>
        <row r="43">
          <cell r="D43">
            <v>2</v>
          </cell>
          <cell r="E43">
            <v>4.3969502380847292E-3</v>
          </cell>
          <cell r="F43">
            <v>-5.0498831104373032E-4</v>
          </cell>
          <cell r="G43">
            <v>-3.8184903403628567E-3</v>
          </cell>
          <cell r="H43">
            <v>-9.3220724316612769E-3</v>
          </cell>
          <cell r="I43">
            <v>-6.5561730385311767E-3</v>
          </cell>
        </row>
        <row r="44">
          <cell r="D44" t="str">
            <v>3 et plus</v>
          </cell>
          <cell r="E44">
            <v>-8.6258197473979337E-2</v>
          </cell>
          <cell r="F44">
            <v>-7.9585833788768046E-2</v>
          </cell>
          <cell r="G44">
            <v>-8.7012075069305306E-2</v>
          </cell>
          <cell r="H44">
            <v>-9.4041440153122102E-2</v>
          </cell>
          <cell r="I44">
            <v>-8.8470891565669785E-2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AU FINAL"/>
      <sheetName val="Tab durée âge pm"/>
      <sheetName val="Tab durée âge pm_1 enf"/>
      <sheetName val="Tab durée âge pm_1 enf_Hommes"/>
      <sheetName val="Tab durée âge pm_2 enf"/>
      <sheetName val="Tab durée âge pm_2 enf_Hommes"/>
      <sheetName val="Tab durée âge pm_3 enf"/>
      <sheetName val="Tab durée âge pm_3 enf_Hommes"/>
      <sheetName val="Gagnants_perdants_pm68_2000"/>
      <sheetName val="pm68_nb enf"/>
      <sheetName val="pm68_régime_Femmes"/>
      <sheetName val="pm68_régime_Hommes"/>
      <sheetName val="pm68_régime_1 enf"/>
      <sheetName val="pm68_régime_2 enf"/>
      <sheetName val="pm68_régime_3 enf"/>
      <sheetName val="pm68_quintile"/>
      <sheetName val="Gagnants_perdants_pmcv_2000"/>
      <sheetName val="pmcv_nb enf"/>
      <sheetName val="pmcv_régime_Femmes"/>
      <sheetName val="pmcv_régime_Hommes"/>
      <sheetName val="pmcv_régime_1 enf"/>
      <sheetName val="pmcv_régime_2 enf"/>
      <sheetName val="pmcv_régime_3 enf"/>
      <sheetName val="pmcv_quintile"/>
      <sheetName val="Pm68ans"/>
      <sheetName val="Ecarts_pm68_pmcv"/>
      <sheetName val="Pm68_quintiles_Femmes"/>
      <sheetName val="Pm68_quintiles_Hommes"/>
      <sheetName val="Pm68_quintiles_Ensemble"/>
      <sheetName val="Pmcv_quintiles"/>
      <sheetName val="Pm68_enfants"/>
      <sheetName val="Ecarts_pm68_régimes"/>
      <sheetName val="Ecarts_pmcv_régimes"/>
      <sheetName val="Ecarts_masses_LURA_DP"/>
      <sheetName val="Ecarts_masses_LURA_DD"/>
      <sheetName val="Ecarts_masses_autres_régimes_DP"/>
      <sheetName val="Ecarts_masses_autres_régime_DD"/>
      <sheetName val="Ecarts_masses_tousrégimes_DP"/>
      <sheetName val="Ecarts_masses_tousrégimes_DD"/>
      <sheetName val="B1_DP_génération"/>
      <sheetName val="B1_année"/>
    </sheetNames>
    <sheetDataSet>
      <sheetData sheetId="0">
        <row r="4">
          <cell r="G4">
            <v>2.5921874602106376E-2</v>
          </cell>
        </row>
        <row r="5">
          <cell r="G5">
            <v>-2.5916777433229399E-2</v>
          </cell>
        </row>
        <row r="7">
          <cell r="G7">
            <v>1.5939180720564883E-2</v>
          </cell>
        </row>
        <row r="8">
          <cell r="G8">
            <v>5.8214515898240782E-2</v>
          </cell>
        </row>
        <row r="9">
          <cell r="G9">
            <v>1.143086378193181E-2</v>
          </cell>
        </row>
        <row r="10">
          <cell r="G10">
            <v>-3.5082653785696305E-3</v>
          </cell>
        </row>
        <row r="11">
          <cell r="G11">
            <v>-4.0445371871846714E-3</v>
          </cell>
        </row>
        <row r="12">
          <cell r="G12">
            <v>-8.9830235999113328E-2</v>
          </cell>
        </row>
        <row r="21">
          <cell r="B21" t="str">
            <v>Pension moyenne sur cycle de vie selon le régime d'affiliation</v>
          </cell>
        </row>
        <row r="22">
          <cell r="D22" t="str">
            <v>Nombre d'enfants</v>
          </cell>
          <cell r="E22" t="str">
            <v>Mono Lura</v>
          </cell>
          <cell r="F22" t="str">
            <v>Mono FP-RS</v>
          </cell>
          <cell r="G22" t="str">
            <v>Mono MSAE-PLIB</v>
          </cell>
          <cell r="H22" t="str">
            <v>Poly Lura-FP-RS</v>
          </cell>
          <cell r="I22" t="str">
            <v>Poly Lura-MSAE-PLIB</v>
          </cell>
          <cell r="J22" t="str">
            <v>Sans droit propre</v>
          </cell>
        </row>
        <row r="23">
          <cell r="B23" t="str">
            <v>Femmes</v>
          </cell>
          <cell r="D23">
            <v>1</v>
          </cell>
          <cell r="E23">
            <v>8.466743555920031E-3</v>
          </cell>
          <cell r="F23">
            <v>3.7729787567124751E-2</v>
          </cell>
          <cell r="G23">
            <v>3.3014621965233859E-2</v>
          </cell>
          <cell r="H23">
            <v>3.160116071402741E-2</v>
          </cell>
          <cell r="I23">
            <v>-1.0615728525410817E-2</v>
          </cell>
          <cell r="J23">
            <v>0.65236325147924012</v>
          </cell>
        </row>
        <row r="24">
          <cell r="D24">
            <v>2</v>
          </cell>
          <cell r="E24">
            <v>4.5909747549411462E-2</v>
          </cell>
          <cell r="F24">
            <v>0.14197047829958276</v>
          </cell>
          <cell r="G24">
            <v>4.0849742609966766E-2</v>
          </cell>
          <cell r="H24">
            <v>9.9804543507493459E-2</v>
          </cell>
          <cell r="I24">
            <v>3.422524983616082E-2</v>
          </cell>
          <cell r="J24">
            <v>0.31596696493256071</v>
          </cell>
        </row>
        <row r="25">
          <cell r="D25" t="str">
            <v>3 et plus</v>
          </cell>
          <cell r="E25">
            <v>-2.4015507476807807E-3</v>
          </cell>
          <cell r="F25">
            <v>0.13607352585935395</v>
          </cell>
          <cell r="G25">
            <v>-5.2550063341818998E-2</v>
          </cell>
          <cell r="H25">
            <v>7.5279240796976898E-2</v>
          </cell>
          <cell r="I25">
            <v>-1.5989239008125988E-2</v>
          </cell>
          <cell r="J25">
            <v>0.15258292375388405</v>
          </cell>
        </row>
        <row r="26">
          <cell r="B26" t="str">
            <v>Hommes</v>
          </cell>
          <cell r="D26">
            <v>1</v>
          </cell>
          <cell r="E26">
            <v>-3.3605503742180076E-3</v>
          </cell>
          <cell r="F26">
            <v>-2.3868767939405622E-3</v>
          </cell>
          <cell r="G26">
            <v>4.3762771184674421E-12</v>
          </cell>
          <cell r="H26">
            <v>-4.8534214151237931E-3</v>
          </cell>
          <cell r="I26">
            <v>-4.8524555975655304E-3</v>
          </cell>
          <cell r="J26">
            <v>0.14188214081346895</v>
          </cell>
        </row>
        <row r="27">
          <cell r="D27">
            <v>2</v>
          </cell>
          <cell r="E27">
            <v>-4.9078256154961863E-3</v>
          </cell>
          <cell r="F27">
            <v>-6.7742571805473606E-4</v>
          </cell>
          <cell r="G27">
            <v>1.0418794269342335E-3</v>
          </cell>
          <cell r="H27">
            <v>-3.5775367611059483E-3</v>
          </cell>
          <cell r="I27">
            <v>-6.5190061531564814E-3</v>
          </cell>
          <cell r="J27">
            <v>1.0920524035246499</v>
          </cell>
        </row>
        <row r="28">
          <cell r="D28" t="str">
            <v>3 et plus</v>
          </cell>
          <cell r="E28">
            <v>-8.8911643869792667E-2</v>
          </cell>
          <cell r="F28">
            <v>-0.11646232890241048</v>
          </cell>
          <cell r="G28">
            <v>-5.7011112884651438E-2</v>
          </cell>
          <cell r="H28">
            <v>-0.10641749732420669</v>
          </cell>
          <cell r="I28">
            <v>-7.8534078940588836E-2</v>
          </cell>
          <cell r="J28">
            <v>0.43569703050072062</v>
          </cell>
        </row>
        <row r="37">
          <cell r="B37" t="str">
            <v>Pension moyenne sur cycle de vie selon le quintile de pension</v>
          </cell>
        </row>
        <row r="38">
          <cell r="D38" t="str">
            <v>Nombre d'enfants</v>
          </cell>
          <cell r="E38" t="str">
            <v>Q1</v>
          </cell>
          <cell r="F38" t="str">
            <v>Q2</v>
          </cell>
          <cell r="G38" t="str">
            <v>Q3</v>
          </cell>
          <cell r="H38" t="str">
            <v>Q4</v>
          </cell>
          <cell r="I38" t="str">
            <v>Q5</v>
          </cell>
        </row>
        <row r="39">
          <cell r="B39" t="str">
            <v>Femmes</v>
          </cell>
          <cell r="D39">
            <v>1</v>
          </cell>
          <cell r="E39">
            <v>0.14323165203899402</v>
          </cell>
          <cell r="F39">
            <v>5.8103984315512891E-2</v>
          </cell>
          <cell r="G39">
            <v>3.2153080854051552E-2</v>
          </cell>
          <cell r="H39">
            <v>-5.3628766949642692E-4</v>
          </cell>
          <cell r="I39">
            <v>-1.8866453479520984E-2</v>
          </cell>
        </row>
        <row r="40">
          <cell r="D40">
            <v>2</v>
          </cell>
          <cell r="E40">
            <v>0.16794015457721101</v>
          </cell>
          <cell r="F40">
            <v>0.10480453428515313</v>
          </cell>
          <cell r="G40">
            <v>8.0859425945303931E-2</v>
          </cell>
          <cell r="H40">
            <v>3.773396849018118E-2</v>
          </cell>
          <cell r="I40">
            <v>1.1381772909440979E-2</v>
          </cell>
        </row>
        <row r="41">
          <cell r="D41" t="str">
            <v>3 et plus</v>
          </cell>
          <cell r="E41">
            <v>5.2879978399075434E-2</v>
          </cell>
          <cell r="F41">
            <v>7.3858400030303306E-2</v>
          </cell>
          <cell r="G41">
            <v>2.9784849675362546E-2</v>
          </cell>
          <cell r="H41">
            <v>6.8820839986911686E-3</v>
          </cell>
          <cell r="I41">
            <v>-4.1999683824245349E-2</v>
          </cell>
        </row>
        <row r="42">
          <cell r="B42" t="str">
            <v>Hommes</v>
          </cell>
          <cell r="D42">
            <v>1</v>
          </cell>
          <cell r="E42">
            <v>7.9812892434081295E-3</v>
          </cell>
          <cell r="F42">
            <v>2.0064197724087851E-3</v>
          </cell>
          <cell r="G42">
            <v>-2.6521946103951199E-3</v>
          </cell>
          <cell r="H42">
            <v>-8.0867074103954106E-3</v>
          </cell>
          <cell r="I42">
            <v>-5.6362657127414506E-3</v>
          </cell>
        </row>
        <row r="43">
          <cell r="D43">
            <v>2</v>
          </cell>
          <cell r="E43">
            <v>1.671754241528256E-2</v>
          </cell>
          <cell r="F43">
            <v>-3.7748542296078824E-4</v>
          </cell>
          <cell r="G43">
            <v>-2.5921060573432797E-3</v>
          </cell>
          <cell r="H43">
            <v>-7.1250029141988191E-3</v>
          </cell>
          <cell r="I43">
            <v>-9.5334175773326146E-3</v>
          </cell>
        </row>
        <row r="44">
          <cell r="D44" t="str">
            <v>3 et plus</v>
          </cell>
          <cell r="E44">
            <v>-6.5878698044176454E-2</v>
          </cell>
          <cell r="F44">
            <v>-8.5230635643470332E-2</v>
          </cell>
          <cell r="G44">
            <v>-9.2444915904345226E-2</v>
          </cell>
          <cell r="H44">
            <v>-9.9387801205625625E-2</v>
          </cell>
          <cell r="I44">
            <v>-9.0834845392534058E-2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D10">
            <v>-2.4882033871198583E-4</v>
          </cell>
          <cell r="E10">
            <v>-1.0820293584614671E-3</v>
          </cell>
          <cell r="F10">
            <v>-2.0271054605979222E-3</v>
          </cell>
          <cell r="G10">
            <v>-3.0491450043780288E-3</v>
          </cell>
          <cell r="H10">
            <v>-4.1814302075245946E-3</v>
          </cell>
          <cell r="I10">
            <v>-5.3936441349455855E-3</v>
          </cell>
          <cell r="J10">
            <v>-6.5363895593852916E-3</v>
          </cell>
          <cell r="K10">
            <v>-7.5724151543473672E-3</v>
          </cell>
          <cell r="L10">
            <v>-8.6074053556524088E-3</v>
          </cell>
          <cell r="M10">
            <v>-9.5438440789229473E-3</v>
          </cell>
          <cell r="N10">
            <v>-1.0593307682007613E-2</v>
          </cell>
          <cell r="O10">
            <v>-1.1488728675618121E-2</v>
          </cell>
          <cell r="P10">
            <v>-1.2418454646396238E-2</v>
          </cell>
          <cell r="Q10">
            <v>-1.3318628014285738E-2</v>
          </cell>
          <cell r="R10">
            <v>-1.4198468387643381E-2</v>
          </cell>
          <cell r="S10">
            <v>-1.4967558287165894E-2</v>
          </cell>
          <cell r="T10">
            <v>-1.5646924580055788E-2</v>
          </cell>
          <cell r="U10">
            <v>-1.6210964177669207E-2</v>
          </cell>
          <cell r="V10">
            <v>-1.6759278428689517E-2</v>
          </cell>
          <cell r="W10">
            <v>-1.7196051372971088E-2</v>
          </cell>
          <cell r="X10">
            <v>-1.7535482699752136E-2</v>
          </cell>
          <cell r="Y10">
            <v>-1.7856311364188082E-2</v>
          </cell>
          <cell r="Z10">
            <v>-1.8152872139556409E-2</v>
          </cell>
          <cell r="AA10">
            <v>-1.8417801447013105E-2</v>
          </cell>
          <cell r="AB10">
            <v>-1.8580986081531137E-2</v>
          </cell>
          <cell r="AC10">
            <v>-1.883448890882522E-2</v>
          </cell>
          <cell r="AD10">
            <v>-1.8765045895467125E-2</v>
          </cell>
          <cell r="AE10">
            <v>-1.8531496455726715E-2</v>
          </cell>
          <cell r="AF10">
            <v>-1.820694644392451E-2</v>
          </cell>
          <cell r="AG10">
            <v>-1.7859980406525144E-2</v>
          </cell>
          <cell r="AH10">
            <v>-1.7589995639396561E-2</v>
          </cell>
          <cell r="AI10">
            <v>-1.7185639421833154E-2</v>
          </cell>
          <cell r="AJ10">
            <v>-1.6635012267755322E-2</v>
          </cell>
          <cell r="AK10">
            <v>-1.5953683249752104E-2</v>
          </cell>
          <cell r="AL10">
            <v>-1.5387096273643652E-2</v>
          </cell>
          <cell r="AM10">
            <v>-1.4770014694923006E-2</v>
          </cell>
          <cell r="AN10">
            <v>-1.3964011718533453E-2</v>
          </cell>
          <cell r="AO10">
            <v>-1.3223823806453261E-2</v>
          </cell>
          <cell r="AP10">
            <v>-1.2535708716922334E-2</v>
          </cell>
          <cell r="AQ10">
            <v>-1.1866473513257425E-2</v>
          </cell>
          <cell r="AR10">
            <v>-1.1134825210767918E-2</v>
          </cell>
          <cell r="AS10">
            <v>-1.0459061950119364E-2</v>
          </cell>
          <cell r="AT10">
            <v>-9.7733428607515993E-3</v>
          </cell>
          <cell r="AU10">
            <v>-8.9975886641926461E-3</v>
          </cell>
          <cell r="AV10">
            <v>-8.2124707922032192E-3</v>
          </cell>
        </row>
      </sheetData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857E-BAA2-428F-AF20-C94BCAE59422}">
  <dimension ref="A1:A55"/>
  <sheetViews>
    <sheetView tabSelected="1" workbookViewId="0"/>
  </sheetViews>
  <sheetFormatPr baseColWidth="10" defaultRowHeight="14.25"/>
  <sheetData>
    <row r="1" spans="1:1" ht="15.75">
      <c r="A1" s="3" t="s">
        <v>0</v>
      </c>
    </row>
    <row r="3" spans="1:1" ht="18.75">
      <c r="A3" s="1" t="s">
        <v>1</v>
      </c>
    </row>
    <row r="5" spans="1:1" ht="18.75">
      <c r="A5" s="4" t="s">
        <v>94</v>
      </c>
    </row>
    <row r="7" spans="1:1" ht="15">
      <c r="A7" s="5" t="s">
        <v>112</v>
      </c>
    </row>
    <row r="9" spans="1:1" ht="15.75">
      <c r="A9" s="37" t="str">
        <f>'Fig A.1'!A1</f>
        <v>Figure A.1 - Part des retraitées de droit propre bénéficiaires de la MDA par génération et nombre moyen de trimestres validés au titre de la MDA selon le régime considéré - Femmes</v>
      </c>
    </row>
    <row r="10" spans="1:1" ht="15.75">
      <c r="A10" s="37" t="str">
        <f>'Fig A.2'!A1</f>
        <v>Figure A.2 - Durées d’assurance avec et sans MDA selon le nombre d’enfants pour les femmes retraitées, par génération</v>
      </c>
    </row>
    <row r="11" spans="1:1" ht="15.75">
      <c r="A11" s="37" t="str">
        <f>'Fig A.3'!A1</f>
        <v>Figure A.3 - Durées d’assurance avec et sans MDA selon le nombre d’enfants pour les femmes retraitées de la CNAV, par génération</v>
      </c>
    </row>
    <row r="12" spans="1:1" ht="15.75">
      <c r="A12" s="37" t="str">
        <f>'Fig A.4'!A1</f>
        <v>Figure A.4 - Durées d’assurance avec et sans MDA selon le nombre d’enfants pour les femmes retraitées du SRE, par génération</v>
      </c>
    </row>
    <row r="13" spans="1:1" ht="15.75">
      <c r="A13" s="37" t="str">
        <f>'Fig A.5'!A1</f>
        <v>Figure A.5 - Part des retraitées de droit propre bénéficiaires de l’AVPF par génération et nombre moyen de trimestres validés à ce titre – Cnav</v>
      </c>
    </row>
    <row r="14" spans="1:1" ht="15.75">
      <c r="A14" s="37" t="str">
        <f>'Fig A.6'!A1</f>
        <v>Figure A.6 - Part des retraités de droit propre bénéficiaires de la majoration de pension pour trois enfants et plus, par génération et régime</v>
      </c>
    </row>
    <row r="15" spans="1:1" ht="15.75">
      <c r="A15" s="37" t="str">
        <f>'Fig A.7'!A1</f>
        <v>Figure A.7 - Part des bénéficiaires des départs anticipés pour 3 enfants et âge moyen de départ, par génération</v>
      </c>
    </row>
    <row r="16" spans="1:1" ht="15.75">
      <c r="A16" s="37" t="str">
        <f>'Fig A.8'!A1</f>
        <v>Figure A.8 - Part des bénéficiaires des départs anticipés pour 3 enfants et âge moyen de départ, par génération et par régime</v>
      </c>
    </row>
    <row r="17" spans="1:1" ht="15.75">
      <c r="A17" s="37" t="str">
        <f>'Fig A.9'!A1</f>
        <v>Figure A.9 - Âge moyen de départ à la retraite des femmes bénéficiaires du dispositif et des femmes de 3 enfants et plus, par génération et par régime</v>
      </c>
    </row>
    <row r="20" spans="1:1" ht="15">
      <c r="A20" s="5" t="s">
        <v>113</v>
      </c>
    </row>
    <row r="22" spans="1:1" ht="15.75">
      <c r="A22" s="37" t="str">
        <f>'Tab B.1'!A1</f>
        <v>Tableau B.1 - Attribution de 8 trimestres de MDA quel que soit le régime d’affiliation - génération 2000</v>
      </c>
    </row>
    <row r="23" spans="1:1" ht="15.75">
      <c r="A23" s="37" t="str">
        <f>'Tab B.2'!A1</f>
        <v>Tableau B.2 - Attribution de 4 trimestres de MDA quel que soit le régime d’affiliation - génération 2000</v>
      </c>
    </row>
    <row r="24" spans="1:1" ht="15.75">
      <c r="A24" s="37" t="str">
        <f>'Tab B.3'!A1</f>
        <v>Tableau B.3 - Attribution de 2 trimestres de MDA quel que soit le régime d’affiliation - génération 2000</v>
      </c>
    </row>
    <row r="25" spans="1:1" ht="15.75">
      <c r="A25" s="37" t="str">
        <f>'Tab B.4'!A1</f>
        <v>Tableau B.4 - Harmonisation de la majoration de pension à 10 % quel que soit le régime et uniformisation au-delà du troisième enfant  - génération 2000</v>
      </c>
    </row>
    <row r="26" spans="1:1" ht="15.75">
      <c r="A26" s="37" t="str">
        <f>'Tab B.5'!A1</f>
        <v>Tableau B.5 - Écart de masses de prestations de droit direct par régimes après mesures (en %)</v>
      </c>
    </row>
    <row r="27" spans="1:1" ht="15.75">
      <c r="A27" s="37" t="str">
        <f>'Fig B.1'!A1</f>
        <v>Figure B.1 - Impact de la suppression de la condition de ressources sur la pension moyenne sur cycle de vie des assurés de la génération 2000 (en %)</v>
      </c>
    </row>
    <row r="28" spans="1:1" ht="15.75">
      <c r="A28" s="37" t="str">
        <f>'Fig B.2'!A1</f>
        <v>Figure B.2 - Impact de la génératlisation de la condition de ressources sur la pension moyenne sur cycle de vie des assurés de la génération 2000 (en %)</v>
      </c>
    </row>
    <row r="29" spans="1:1" ht="15.75">
      <c r="A29" s="37" t="str">
        <f>'Fig B.3'!A1</f>
        <v>Figure B.3 - Ecart après mesures d'harmonisation (croisement) des masses de prestations de droit dérivé (en %)</v>
      </c>
    </row>
    <row r="30" spans="1:1" ht="15.75">
      <c r="A30" s="37"/>
    </row>
    <row r="32" spans="1:1" ht="15">
      <c r="A32" s="5" t="s">
        <v>114</v>
      </c>
    </row>
    <row r="33" spans="1:1" ht="15">
      <c r="A33" s="5"/>
    </row>
    <row r="34" spans="1:1" ht="15.75">
      <c r="A34" s="37" t="str">
        <f>'Tab C.1'!A1</f>
        <v>Tableau C.1 - Principaux résultats de la simulation d’évolution des droits familiaux : MDA, majorations proportionnelles avec taux progressifs selon le nombre d’enfants, bornage de l’AVPF - génération 2000 (avec plafonnement)</v>
      </c>
    </row>
    <row r="35" spans="1:1" ht="15.75">
      <c r="A35" s="37" t="str">
        <f>'Tab C.2'!A1</f>
        <v>Tableau C.2 - Principaux résultats de la simulation d’évolution des droits familiaux : MDA, majorations proportionnelles avec taux progressifs selon le nombre d’enfants, bornage de l’AVPF - génération 1966 (avec plafonnement)</v>
      </c>
    </row>
    <row r="36" spans="1:1" ht="15.75">
      <c r="A36" s="37" t="str">
        <f>'Tab C.3'!A1</f>
        <v>Tableau C.3 - Principaux résultats de la simulation d’évolution des droits familiaux : MDA, majorations proportionnelles avec taux progressifs selon le nombre d’enfants, bornage de l’AVPF - génération 2000 (hors plafonnement)</v>
      </c>
    </row>
    <row r="37" spans="1:1" ht="15.75">
      <c r="A37" s="37" t="str">
        <f>'Tab C.4'!A1</f>
        <v>Tableau C.4 - Principaux résultats de la simulation d’évolution des droits familiaux : MDA, majorations proportionnelles avec taux progressifs selon le nombre d’enfants, bornage de l’AVPF - génération 1966 (hors plafonnement)</v>
      </c>
    </row>
    <row r="38" spans="1:1" ht="15.75">
      <c r="A38" s="37" t="str">
        <f>'Tab C.5'!A1</f>
        <v>Tableau C.5 - Écart de masses de prestations de droit direct par régimes après mesures (en %)</v>
      </c>
    </row>
    <row r="39" spans="1:1" ht="15.75">
      <c r="A39" s="37" t="str">
        <f>'Fig C.1'!A1</f>
        <v>Figure C.1 - Écart après mesure de maintien de niveau de vie des masses de prestations de droit dérivé selon le régime (en %)</v>
      </c>
    </row>
    <row r="40" spans="1:1" ht="15.75">
      <c r="A40" s="37" t="str">
        <f>'Fig C.2'!A1</f>
        <v>Figure C.2 - Écarts de masses de prestations de réversion et de bénéficiaires de réversion après mesure de la double proratisation de pension de réversion (en %)</v>
      </c>
    </row>
    <row r="41" spans="1:1" ht="15.75">
      <c r="A41" s="37" t="str">
        <f>'Fig C.3'!A1</f>
        <v>Figure C.3 - Écart de masses de prestations de droit dérivé selon le régime après mesure de double proratisation de la pension de réversion (en %)</v>
      </c>
    </row>
    <row r="42" spans="1:1" ht="15.75">
      <c r="A42" s="37" t="str">
        <f>'Fig C.4'!A1</f>
        <v>Figure C.4 - Impact de la double proratisation de la réversion sur la pension sur cycle de vie des assurés de la génération 2000</v>
      </c>
    </row>
    <row r="43" spans="1:1" ht="15.75">
      <c r="A43" s="37"/>
    </row>
    <row r="45" spans="1:1" ht="15">
      <c r="A45" s="5" t="s">
        <v>56</v>
      </c>
    </row>
    <row r="47" spans="1:1" ht="15.75">
      <c r="A47" s="37" t="str">
        <f>'Tab D.1'!A1</f>
        <v>Tableau D.1 - Principaux résultats de la simulation de bascule des droits conjugaux vers les droits familiaux - droits directs génération 2000 (avec plafonnement)</v>
      </c>
    </row>
    <row r="48" spans="1:1" ht="15.75">
      <c r="A48" s="37" t="str">
        <f>'Tab D.2'!A1</f>
        <v>Tableau D.2 - Principaux résultats de la simulation de bascule des droits conjugaux vers les droits familiaux - droits directs génération 1966 (avec plafonnement)</v>
      </c>
    </row>
    <row r="49" spans="1:1" ht="15.75">
      <c r="A49" s="37" t="str">
        <f>'Tab D.3'!A1</f>
        <v>Tableau D.3 - Principaux résultats de la simulation de bascule des droits conjugaux vers les droits familiaux - droits directs génération 2000 (hors plafonnement)</v>
      </c>
    </row>
    <row r="50" spans="1:1" ht="15.75">
      <c r="A50" s="37" t="str">
        <f>'Tab D.4'!A1</f>
        <v>Tableau D.4 - Principaux résultats de la simulation de bascule des droits conjugaux vers les droits familiaux - réversion génération 2000</v>
      </c>
    </row>
    <row r="51" spans="1:1" ht="15.75">
      <c r="A51" s="37" t="str">
        <f>'Tab D.5'!A1</f>
        <v>Tableau D.5 - Principaux résultats de la simulation de bascule des droits conjugaux vers les droits familiaux - réversion génération 1966</v>
      </c>
    </row>
    <row r="52" spans="1:1" ht="15.75">
      <c r="A52" s="37" t="str">
        <f>'Tab D.6'!A1</f>
        <v>Tableau D.6 - Principaux résultats de la simulation de bascule des droits conjugaux vers les droits familiaux - droits directs et réversion génération 2000 (avec plafonnement)</v>
      </c>
    </row>
    <row r="53" spans="1:1" ht="15.75">
      <c r="A53" s="37" t="str">
        <f>'Tab D.7'!A1</f>
        <v>Tableau D.7 - Principaux résultats de la simulation de bascule des droits conjugaux vers les droits familiaux - droits directs et réversion génération 1966 (avec plafonnement)</v>
      </c>
    </row>
    <row r="54" spans="1:1" ht="15.75">
      <c r="A54" s="37" t="str">
        <f>'Tab D.8'!A1</f>
        <v>Tableau D.8 - Principaux résultats de la simulation de bascule des droits conjugaux vers les droits familiaux - droits directs et réversion génération 2000 (sans plafonnement)</v>
      </c>
    </row>
    <row r="55" spans="1:1" ht="15.75">
      <c r="A55" s="37" t="str">
        <f>'Tab D.9'!A1</f>
        <v>Tableau D.9 - Écart de masses de prestations de droit direct par régimes après mesures (en %)</v>
      </c>
    </row>
  </sheetData>
  <hyperlinks>
    <hyperlink ref="A9" location="'Fig A.1'!A1" display="'Fig A.1'!A1" xr:uid="{98B432EA-0D69-48B3-BCCD-5CAF7A30B3E7}"/>
    <hyperlink ref="A10" location="'Fig A.2'!A1" display="'Fig A.2'!A1" xr:uid="{50C647C4-4F8A-4A81-865C-C02FF667EAB5}"/>
    <hyperlink ref="A11" location="'Fig A.3'!A1" display="'Fig A.3'!A1" xr:uid="{C1E8BCEA-E17D-4916-B2CF-9BD6365BA72A}"/>
    <hyperlink ref="A12" location="'Fig A.4'!A1" display="'Fig A.4'!A1" xr:uid="{C09FE5A6-D178-4171-8601-27A6596DFFB4}"/>
    <hyperlink ref="A13" location="'Fig A.5'!A1" display="'Fig A.5'!A1" xr:uid="{58B4A50E-0200-4277-9B21-DB4B7C2D7694}"/>
    <hyperlink ref="A14" location="'Fig A.6'!A1" display="'Fig A.6'!A1" xr:uid="{AEAD74CD-5724-4AEE-BBC7-89A9B52FB6CC}"/>
    <hyperlink ref="A15" location="'Fig A.7'!A1" display="'Fig A.7'!A1" xr:uid="{00955A69-C971-4408-A847-ACDB58A22FCF}"/>
    <hyperlink ref="A16" location="'Fig A.8'!A1" display="'Fig A.8'!A1" xr:uid="{19AC46AD-F38A-48D8-8BB2-A5368B0BB262}"/>
    <hyperlink ref="A17" location="'Fig A.9'!A1" display="'Fig A.9'!A1" xr:uid="{557B2018-4CD3-446E-B063-BBE69EB42289}"/>
    <hyperlink ref="A22" location="'Tab B.1'!A1" display="'Tab B.1'!A1" xr:uid="{31E962D8-A053-478F-9B1B-75CEA8EEC99C}"/>
    <hyperlink ref="A23" location="'Tab B.2'!A1" display="'Tab B.2'!A1" xr:uid="{66C8A00C-C997-4299-B140-2212D64D3C17}"/>
    <hyperlink ref="A24" location="'Tab B.3'!A1" display="'Tab B.3'!A1" xr:uid="{9E4F933F-257E-41A7-9557-7587147F858B}"/>
    <hyperlink ref="A25" location="'Tab B.4'!A1" display="'Tab B.4'!A1" xr:uid="{7FC32564-48D9-4A9B-B4F6-33EE242CB9A4}"/>
    <hyperlink ref="A34" location="'Tab C.1'!A1" display="'Tab C.1'!A1" xr:uid="{6385EF5A-3446-486F-9F6A-EA446648AF19}"/>
    <hyperlink ref="A36" location="'Tab C.3'!A1" display="'Tab C.3'!A1" xr:uid="{EDA6969A-24B2-4481-B96E-901EF69EB335}"/>
    <hyperlink ref="A26" location="'Tab B.5'!A1" display="'Tab B.5'!A1" xr:uid="{6C3023E1-92F8-489A-81FA-9B26BF59927E}"/>
    <hyperlink ref="A35" location="'Tab C.2'!A1" display="'Tab C.2'!A1" xr:uid="{9078FB6C-27A0-43CB-8449-E79A2CCD0D04}"/>
    <hyperlink ref="A37" location="'Tab C.4'!A1" display="'Tab C.4'!A1" xr:uid="{4CABD5FD-4F7A-41C7-B91A-4F6C86039E4B}"/>
    <hyperlink ref="A38" location="'Tab C.5'!A1" display="'Tab C.5'!A1" xr:uid="{E0D55FF5-C4F0-43AE-98F8-092F781EE370}"/>
    <hyperlink ref="A47" location="'Tab D.1'!A1" display="'Tab D.1'!A1" xr:uid="{1748D4A3-1B5F-4F21-8C29-0320010C3FCD}"/>
    <hyperlink ref="A48" location="'Tab D.2'!A1" display="'Tab D.2'!A1" xr:uid="{E1186F55-0F7C-4792-B624-E9391F65E379}"/>
    <hyperlink ref="A49" location="'Tab D.3'!A1" display="'Tab D.3'!A1" xr:uid="{6DF5C470-F189-42F8-B19F-70D28FD43E5C}"/>
    <hyperlink ref="A55" location="'Tab D.9'!A1" display="'Tab D.9'!A1" xr:uid="{8F53E89A-E2F9-4A02-A281-C5FD1610BD17}"/>
    <hyperlink ref="A50" location="'Tab D.4'!A1" display="'Tab D.4'!A1" xr:uid="{65C570AC-5346-48B0-8955-9700EA4B6344}"/>
    <hyperlink ref="A51" location="'Tab D.5'!A1" display="'Tab D.5'!A1" xr:uid="{AE1FCF15-D3E3-48D0-8426-63AFF1C95D8C}"/>
    <hyperlink ref="A52" location="'Tab D.6'!A1" display="'Tab D.6'!A1" xr:uid="{C23A52D4-C791-4FC2-B5C7-FA73FAF592AA}"/>
    <hyperlink ref="A53" location="'Tab D.7'!A1" display="'Tab D.7'!A1" xr:uid="{827AA83E-CD50-4DFF-A121-75B54EC3BB7B}"/>
    <hyperlink ref="A54" location="'Tab D.8'!A1" display="'Tab D.8'!A1" xr:uid="{0ABA4D71-FEFB-442D-884D-748C2E644D57}"/>
    <hyperlink ref="A27" location="'Fig B.1'!A1" display="'Fig B.1'!A1" xr:uid="{F0916FAF-0A04-4B67-9C33-2BAF7D183264}"/>
    <hyperlink ref="A28" location="'Fig B.2'!A1" display="'Fig B.2'!A1" xr:uid="{749C5ADB-75EA-48C4-83B4-5DE711774CD5}"/>
    <hyperlink ref="A29" location="'Fig B.3'!A1" display="'Fig B.3'!A1" xr:uid="{AA28BA0C-57AE-4B8A-8D3D-1AEA28EAE125}"/>
    <hyperlink ref="A39" location="'Fig C.1'!A1" display="'Fig C.1'!A1" xr:uid="{3C7768AD-8D00-46FC-B688-703A084B9A8D}"/>
    <hyperlink ref="A41" location="'Fig C.3'!A1" display="'Fig C.3'!A1" xr:uid="{C9D1F219-5EA5-46C8-BFE9-A154F938B2B1}"/>
    <hyperlink ref="A42" location="'Fig C.4'!A1" display="'Fig C.4'!A1" xr:uid="{F3C56564-1061-4DC9-BA7D-F524E4A41B62}"/>
    <hyperlink ref="A40" location="'Fig C.2'!A1" display="'Fig C.2'!A1" xr:uid="{4CC51269-0778-4E0D-9E10-472FE12F1F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91D6-5305-43DF-A86C-3251D7114DA8}">
  <sheetPr>
    <tabColor rgb="FFACB9CA"/>
  </sheetPr>
  <dimension ref="A1:BV17"/>
  <sheetViews>
    <sheetView workbookViewId="0">
      <selection activeCell="A2" sqref="A2"/>
    </sheetView>
  </sheetViews>
  <sheetFormatPr baseColWidth="10" defaultRowHeight="12.75"/>
  <cols>
    <col min="1" max="1" width="11" style="7"/>
    <col min="2" max="2" width="18.25" style="7" customWidth="1"/>
    <col min="3" max="257" width="11" style="7"/>
    <col min="258" max="258" width="18.25" style="7" customWidth="1"/>
    <col min="259" max="513" width="11" style="7"/>
    <col min="514" max="514" width="18.25" style="7" customWidth="1"/>
    <col min="515" max="769" width="11" style="7"/>
    <col min="770" max="770" width="18.25" style="7" customWidth="1"/>
    <col min="771" max="1025" width="11" style="7"/>
    <col min="1026" max="1026" width="18.25" style="7" customWidth="1"/>
    <col min="1027" max="1281" width="11" style="7"/>
    <col min="1282" max="1282" width="18.25" style="7" customWidth="1"/>
    <col min="1283" max="1537" width="11" style="7"/>
    <col min="1538" max="1538" width="18.25" style="7" customWidth="1"/>
    <col min="1539" max="1793" width="11" style="7"/>
    <col min="1794" max="1794" width="18.25" style="7" customWidth="1"/>
    <col min="1795" max="2049" width="11" style="7"/>
    <col min="2050" max="2050" width="18.25" style="7" customWidth="1"/>
    <col min="2051" max="2305" width="11" style="7"/>
    <col min="2306" max="2306" width="18.25" style="7" customWidth="1"/>
    <col min="2307" max="2561" width="11" style="7"/>
    <col min="2562" max="2562" width="18.25" style="7" customWidth="1"/>
    <col min="2563" max="2817" width="11" style="7"/>
    <col min="2818" max="2818" width="18.25" style="7" customWidth="1"/>
    <col min="2819" max="3073" width="11" style="7"/>
    <col min="3074" max="3074" width="18.25" style="7" customWidth="1"/>
    <col min="3075" max="3329" width="11" style="7"/>
    <col min="3330" max="3330" width="18.25" style="7" customWidth="1"/>
    <col min="3331" max="3585" width="11" style="7"/>
    <col min="3586" max="3586" width="18.25" style="7" customWidth="1"/>
    <col min="3587" max="3841" width="11" style="7"/>
    <col min="3842" max="3842" width="18.25" style="7" customWidth="1"/>
    <col min="3843" max="4097" width="11" style="7"/>
    <col min="4098" max="4098" width="18.25" style="7" customWidth="1"/>
    <col min="4099" max="4353" width="11" style="7"/>
    <col min="4354" max="4354" width="18.25" style="7" customWidth="1"/>
    <col min="4355" max="4609" width="11" style="7"/>
    <col min="4610" max="4610" width="18.25" style="7" customWidth="1"/>
    <col min="4611" max="4865" width="11" style="7"/>
    <col min="4866" max="4866" width="18.25" style="7" customWidth="1"/>
    <col min="4867" max="5121" width="11" style="7"/>
    <col min="5122" max="5122" width="18.25" style="7" customWidth="1"/>
    <col min="5123" max="5377" width="11" style="7"/>
    <col min="5378" max="5378" width="18.25" style="7" customWidth="1"/>
    <col min="5379" max="5633" width="11" style="7"/>
    <col min="5634" max="5634" width="18.25" style="7" customWidth="1"/>
    <col min="5635" max="5889" width="11" style="7"/>
    <col min="5890" max="5890" width="18.25" style="7" customWidth="1"/>
    <col min="5891" max="6145" width="11" style="7"/>
    <col min="6146" max="6146" width="18.25" style="7" customWidth="1"/>
    <col min="6147" max="6401" width="11" style="7"/>
    <col min="6402" max="6402" width="18.25" style="7" customWidth="1"/>
    <col min="6403" max="6657" width="11" style="7"/>
    <col min="6658" max="6658" width="18.25" style="7" customWidth="1"/>
    <col min="6659" max="6913" width="11" style="7"/>
    <col min="6914" max="6914" width="18.25" style="7" customWidth="1"/>
    <col min="6915" max="7169" width="11" style="7"/>
    <col min="7170" max="7170" width="18.25" style="7" customWidth="1"/>
    <col min="7171" max="7425" width="11" style="7"/>
    <col min="7426" max="7426" width="18.25" style="7" customWidth="1"/>
    <col min="7427" max="7681" width="11" style="7"/>
    <col min="7682" max="7682" width="18.25" style="7" customWidth="1"/>
    <col min="7683" max="7937" width="11" style="7"/>
    <col min="7938" max="7938" width="18.25" style="7" customWidth="1"/>
    <col min="7939" max="8193" width="11" style="7"/>
    <col min="8194" max="8194" width="18.25" style="7" customWidth="1"/>
    <col min="8195" max="8449" width="11" style="7"/>
    <col min="8450" max="8450" width="18.25" style="7" customWidth="1"/>
    <col min="8451" max="8705" width="11" style="7"/>
    <col min="8706" max="8706" width="18.25" style="7" customWidth="1"/>
    <col min="8707" max="8961" width="11" style="7"/>
    <col min="8962" max="8962" width="18.25" style="7" customWidth="1"/>
    <col min="8963" max="9217" width="11" style="7"/>
    <col min="9218" max="9218" width="18.25" style="7" customWidth="1"/>
    <col min="9219" max="9473" width="11" style="7"/>
    <col min="9474" max="9474" width="18.25" style="7" customWidth="1"/>
    <col min="9475" max="9729" width="11" style="7"/>
    <col min="9730" max="9730" width="18.25" style="7" customWidth="1"/>
    <col min="9731" max="9985" width="11" style="7"/>
    <col min="9986" max="9986" width="18.25" style="7" customWidth="1"/>
    <col min="9987" max="10241" width="11" style="7"/>
    <col min="10242" max="10242" width="18.25" style="7" customWidth="1"/>
    <col min="10243" max="10497" width="11" style="7"/>
    <col min="10498" max="10498" width="18.25" style="7" customWidth="1"/>
    <col min="10499" max="10753" width="11" style="7"/>
    <col min="10754" max="10754" width="18.25" style="7" customWidth="1"/>
    <col min="10755" max="11009" width="11" style="7"/>
    <col min="11010" max="11010" width="18.25" style="7" customWidth="1"/>
    <col min="11011" max="11265" width="11" style="7"/>
    <col min="11266" max="11266" width="18.25" style="7" customWidth="1"/>
    <col min="11267" max="11521" width="11" style="7"/>
    <col min="11522" max="11522" width="18.25" style="7" customWidth="1"/>
    <col min="11523" max="11777" width="11" style="7"/>
    <col min="11778" max="11778" width="18.25" style="7" customWidth="1"/>
    <col min="11779" max="12033" width="11" style="7"/>
    <col min="12034" max="12034" width="18.25" style="7" customWidth="1"/>
    <col min="12035" max="12289" width="11" style="7"/>
    <col min="12290" max="12290" width="18.25" style="7" customWidth="1"/>
    <col min="12291" max="12545" width="11" style="7"/>
    <col min="12546" max="12546" width="18.25" style="7" customWidth="1"/>
    <col min="12547" max="12801" width="11" style="7"/>
    <col min="12802" max="12802" width="18.25" style="7" customWidth="1"/>
    <col min="12803" max="13057" width="11" style="7"/>
    <col min="13058" max="13058" width="18.25" style="7" customWidth="1"/>
    <col min="13059" max="13313" width="11" style="7"/>
    <col min="13314" max="13314" width="18.25" style="7" customWidth="1"/>
    <col min="13315" max="13569" width="11" style="7"/>
    <col min="13570" max="13570" width="18.25" style="7" customWidth="1"/>
    <col min="13571" max="13825" width="11" style="7"/>
    <col min="13826" max="13826" width="18.25" style="7" customWidth="1"/>
    <col min="13827" max="14081" width="11" style="7"/>
    <col min="14082" max="14082" width="18.25" style="7" customWidth="1"/>
    <col min="14083" max="14337" width="11" style="7"/>
    <col min="14338" max="14338" width="18.25" style="7" customWidth="1"/>
    <col min="14339" max="14593" width="11" style="7"/>
    <col min="14594" max="14594" width="18.25" style="7" customWidth="1"/>
    <col min="14595" max="14849" width="11" style="7"/>
    <col min="14850" max="14850" width="18.25" style="7" customWidth="1"/>
    <col min="14851" max="15105" width="11" style="7"/>
    <col min="15106" max="15106" width="18.25" style="7" customWidth="1"/>
    <col min="15107" max="15361" width="11" style="7"/>
    <col min="15362" max="15362" width="18.25" style="7" customWidth="1"/>
    <col min="15363" max="15617" width="11" style="7"/>
    <col min="15618" max="15618" width="18.25" style="7" customWidth="1"/>
    <col min="15619" max="15873" width="11" style="7"/>
    <col min="15874" max="15874" width="18.25" style="7" customWidth="1"/>
    <col min="15875" max="16129" width="11" style="7"/>
    <col min="16130" max="16130" width="18.25" style="7" customWidth="1"/>
    <col min="16131" max="16384" width="11" style="7"/>
  </cols>
  <sheetData>
    <row r="1" spans="1:74" ht="15.75">
      <c r="A1" s="2" t="s">
        <v>95</v>
      </c>
    </row>
    <row r="2" spans="1:74" ht="14.25">
      <c r="A2" s="6" t="s">
        <v>2</v>
      </c>
    </row>
    <row r="3" spans="1:74" ht="13.5" thickBot="1"/>
    <row r="4" spans="1:74" ht="15" customHeight="1" thickBot="1">
      <c r="B4" s="268"/>
      <c r="C4" s="269"/>
      <c r="D4" s="8">
        <v>1930</v>
      </c>
      <c r="E4" s="9">
        <v>1931</v>
      </c>
      <c r="F4" s="9">
        <v>1932</v>
      </c>
      <c r="G4" s="9">
        <v>1933</v>
      </c>
      <c r="H4" s="9">
        <v>1934</v>
      </c>
      <c r="I4" s="9">
        <v>1935</v>
      </c>
      <c r="J4" s="9">
        <v>1936</v>
      </c>
      <c r="K4" s="9">
        <v>1937</v>
      </c>
      <c r="L4" s="9">
        <v>1938</v>
      </c>
      <c r="M4" s="9">
        <v>1939</v>
      </c>
      <c r="N4" s="9">
        <v>1940</v>
      </c>
      <c r="O4" s="9">
        <v>1941</v>
      </c>
      <c r="P4" s="9">
        <v>1942</v>
      </c>
      <c r="Q4" s="9">
        <v>1943</v>
      </c>
      <c r="R4" s="9">
        <v>1944</v>
      </c>
      <c r="S4" s="9">
        <v>1945</v>
      </c>
      <c r="T4" s="9">
        <v>1946</v>
      </c>
      <c r="U4" s="9">
        <v>1947</v>
      </c>
      <c r="V4" s="9">
        <v>1948</v>
      </c>
      <c r="W4" s="9">
        <v>1949</v>
      </c>
      <c r="X4" s="9">
        <v>1950</v>
      </c>
      <c r="Y4" s="9">
        <v>1951</v>
      </c>
      <c r="Z4" s="9">
        <v>1952</v>
      </c>
      <c r="AA4" s="9">
        <v>1953</v>
      </c>
      <c r="AB4" s="9">
        <v>1954</v>
      </c>
      <c r="AC4" s="9">
        <v>1955</v>
      </c>
      <c r="AD4" s="9">
        <v>1956</v>
      </c>
      <c r="AE4" s="9">
        <v>1957</v>
      </c>
      <c r="AF4" s="9">
        <v>1958</v>
      </c>
      <c r="AG4" s="9">
        <v>1959</v>
      </c>
      <c r="AH4" s="9">
        <v>1960</v>
      </c>
      <c r="AI4" s="9">
        <v>1961</v>
      </c>
      <c r="AJ4" s="9">
        <v>1962</v>
      </c>
      <c r="AK4" s="9">
        <v>1963</v>
      </c>
      <c r="AL4" s="9">
        <v>1964</v>
      </c>
      <c r="AM4" s="9">
        <v>1965</v>
      </c>
      <c r="AN4" s="9">
        <v>1966</v>
      </c>
      <c r="AO4" s="9">
        <v>1967</v>
      </c>
      <c r="AP4" s="9">
        <v>1968</v>
      </c>
      <c r="AQ4" s="9">
        <v>1969</v>
      </c>
      <c r="AR4" s="9">
        <v>1970</v>
      </c>
      <c r="AS4" s="9">
        <v>1971</v>
      </c>
      <c r="AT4" s="9">
        <v>1972</v>
      </c>
      <c r="AU4" s="9">
        <v>1973</v>
      </c>
      <c r="AV4" s="9">
        <v>1974</v>
      </c>
      <c r="AW4" s="9">
        <v>1975</v>
      </c>
      <c r="AX4" s="9">
        <v>1976</v>
      </c>
      <c r="AY4" s="9">
        <v>1977</v>
      </c>
      <c r="AZ4" s="9">
        <v>1978</v>
      </c>
      <c r="BA4" s="9">
        <v>1979</v>
      </c>
      <c r="BB4" s="9">
        <v>1980</v>
      </c>
      <c r="BC4" s="9">
        <v>1981</v>
      </c>
      <c r="BD4" s="9">
        <v>1982</v>
      </c>
      <c r="BE4" s="9">
        <v>1983</v>
      </c>
      <c r="BF4" s="9">
        <v>1984</v>
      </c>
      <c r="BG4" s="9">
        <v>1985</v>
      </c>
      <c r="BH4" s="9">
        <v>1986</v>
      </c>
      <c r="BI4" s="9">
        <v>1987</v>
      </c>
      <c r="BJ4" s="9">
        <v>1988</v>
      </c>
      <c r="BK4" s="9">
        <v>1989</v>
      </c>
      <c r="BL4" s="9">
        <v>1990</v>
      </c>
      <c r="BM4" s="9">
        <v>1991</v>
      </c>
      <c r="BN4" s="9">
        <v>1992</v>
      </c>
      <c r="BO4" s="9">
        <v>1993</v>
      </c>
      <c r="BP4" s="9">
        <v>1994</v>
      </c>
      <c r="BQ4" s="9">
        <v>1995</v>
      </c>
      <c r="BR4" s="9">
        <v>1996</v>
      </c>
      <c r="BS4" s="9">
        <v>1997</v>
      </c>
      <c r="BT4" s="9">
        <v>1998</v>
      </c>
      <c r="BU4" s="9">
        <v>1999</v>
      </c>
      <c r="BV4" s="10">
        <v>2000</v>
      </c>
    </row>
    <row r="5" spans="1:74">
      <c r="B5" s="262" t="s">
        <v>15</v>
      </c>
      <c r="C5" s="34" t="s">
        <v>4</v>
      </c>
      <c r="D5" s="53"/>
      <c r="E5" s="54"/>
      <c r="F5" s="54"/>
      <c r="G5" s="54">
        <f>[32]Effectifs!E10</f>
        <v>0.78536850308168227</v>
      </c>
      <c r="H5" s="54">
        <f>[32]Effectifs!F10</f>
        <v>0.79913732988134345</v>
      </c>
      <c r="I5" s="54">
        <f>[32]Effectifs!G10</f>
        <v>0.80384635437237117</v>
      </c>
      <c r="J5" s="54">
        <f>[32]Effectifs!H10</f>
        <v>0.81107167395683322</v>
      </c>
      <c r="K5" s="54">
        <f>[32]Effectifs!I10</f>
        <v>0.81574586974351104</v>
      </c>
      <c r="L5" s="54">
        <f>[32]Effectifs!J10</f>
        <v>0.82130398630611123</v>
      </c>
      <c r="M5" s="54">
        <f>[32]Effectifs!K10</f>
        <v>0.82682338649024378</v>
      </c>
      <c r="N5" s="54">
        <f>[32]Effectifs!L10</f>
        <v>0.83257255830768762</v>
      </c>
      <c r="O5" s="54">
        <f>[32]Effectifs!M10</f>
        <v>0.82977422441916704</v>
      </c>
      <c r="P5" s="54">
        <f>[32]Effectifs!N10</f>
        <v>0.83317516928425217</v>
      </c>
      <c r="Q5" s="54">
        <f>[32]Effectifs!O10</f>
        <v>0.83607643109415419</v>
      </c>
      <c r="R5" s="54">
        <f>[32]Effectifs!P10</f>
        <v>0.84326253315247324</v>
      </c>
      <c r="S5" s="54">
        <f>[32]Effectifs!Q10</f>
        <v>0.85106922672176299</v>
      </c>
      <c r="T5" s="54">
        <f>[32]Effectifs!R10</f>
        <v>0.86657149745892137</v>
      </c>
      <c r="U5" s="54">
        <f>[32]Effectifs!S10</f>
        <v>0.87504934661239397</v>
      </c>
      <c r="V5" s="54">
        <f>[32]Effectifs!T10</f>
        <v>0.88251675661875661</v>
      </c>
      <c r="W5" s="54">
        <f>[32]Effectifs!U10</f>
        <v>0.88658625466510121</v>
      </c>
      <c r="X5" s="54">
        <f>[32]Effectifs!V10</f>
        <v>0.88907348326080204</v>
      </c>
      <c r="Y5" s="54">
        <f>[32]Effectifs!W10</f>
        <v>0.89045376189663994</v>
      </c>
      <c r="Z5" s="54">
        <f>[32]Effectifs!X10</f>
        <v>0.8904528803375007</v>
      </c>
      <c r="AA5" s="54">
        <f>[32]Effectifs!Y10</f>
        <v>0.88921388209721941</v>
      </c>
      <c r="AB5" s="54">
        <f>[32]Effectifs!Z10</f>
        <v>0.88877576229337207</v>
      </c>
      <c r="AC5" s="54">
        <f>[32]Effectifs!AA10</f>
        <v>0.88922062819307546</v>
      </c>
      <c r="AD5" s="54">
        <f>[32]Effectifs!AB10</f>
        <v>0.89102916874722005</v>
      </c>
      <c r="AE5" s="54">
        <f>[32]Effectifs!AC10</f>
        <v>0.89379352485075358</v>
      </c>
      <c r="AF5" s="54">
        <f>[32]Effectifs!AD10</f>
        <v>0.89781624603729715</v>
      </c>
      <c r="AG5" s="54">
        <f>[32]Effectifs!AE10</f>
        <v>0.90522324718703684</v>
      </c>
      <c r="AH5" s="54">
        <f>[32]Effectifs!AF10</f>
        <v>0.91103882188551621</v>
      </c>
      <c r="AI5" s="54">
        <f>[32]Effectifs!AG10</f>
        <v>0.91520516993585077</v>
      </c>
      <c r="AJ5" s="54">
        <f>[32]Effectifs!AH10</f>
        <v>0.91815764761193219</v>
      </c>
      <c r="AK5" s="54">
        <f>[32]Effectifs!AI10</f>
        <v>0.91979370993287579</v>
      </c>
      <c r="AL5" s="54">
        <f>[32]Effectifs!AJ10</f>
        <v>0.91522137076612964</v>
      </c>
      <c r="AM5" s="54">
        <f>[32]Effectifs!AK10</f>
        <v>0.9109178680502481</v>
      </c>
      <c r="AN5" s="54">
        <f>[32]Effectifs!AL10</f>
        <v>0.90653560803251909</v>
      </c>
      <c r="AO5" s="54">
        <f>[32]Effectifs!AM10</f>
        <v>0.90347610595659589</v>
      </c>
      <c r="AP5" s="54">
        <f>[32]Effectifs!AN10</f>
        <v>0.90207583180034379</v>
      </c>
      <c r="AQ5" s="54">
        <f>[32]Effectifs!AO10</f>
        <v>0.90250378419024124</v>
      </c>
      <c r="AR5" s="54">
        <f>[32]Effectifs!AP10</f>
        <v>0.90350169145530335</v>
      </c>
      <c r="AS5" s="54">
        <f>[32]Effectifs!AQ10</f>
        <v>0.90522886565396499</v>
      </c>
      <c r="AT5" s="54">
        <f>[32]Effectifs!AR10</f>
        <v>0.90619366633022891</v>
      </c>
      <c r="AU5" s="54">
        <f>[32]Effectifs!AS10</f>
        <v>0.90853472181064432</v>
      </c>
      <c r="AV5" s="54">
        <f>[32]Effectifs!AT10</f>
        <v>0.9097831840259275</v>
      </c>
      <c r="AW5" s="54">
        <f>[32]Effectifs!AU10</f>
        <v>0.91000778838179186</v>
      </c>
      <c r="AX5" s="54">
        <f>[32]Effectifs!AV10</f>
        <v>0.91014804498253099</v>
      </c>
      <c r="AY5" s="54">
        <f>[32]Effectifs!AW10</f>
        <v>0.91085236838194061</v>
      </c>
      <c r="AZ5" s="54">
        <f>[32]Effectifs!AX10</f>
        <v>0.91026791185705613</v>
      </c>
      <c r="BA5" s="54">
        <f>[32]Effectifs!AY10</f>
        <v>0.91033307771695249</v>
      </c>
      <c r="BB5" s="54">
        <f>[32]Effectifs!AZ10</f>
        <v>0.91061640223102391</v>
      </c>
      <c r="BC5" s="54">
        <f>[32]Effectifs!BA10</f>
        <v>0.91045381062355624</v>
      </c>
      <c r="BD5" s="54">
        <f>[32]Effectifs!BB10</f>
        <v>0.90743638938914017</v>
      </c>
      <c r="BE5" s="54">
        <f>[32]Effectifs!BC10</f>
        <v>0.90803372884167111</v>
      </c>
      <c r="BF5" s="54">
        <f>[32]Effectifs!BD10</f>
        <v>0.90546877237005496</v>
      </c>
      <c r="BG5" s="54">
        <f>[32]Effectifs!BE10</f>
        <v>0.90206391677094722</v>
      </c>
      <c r="BH5" s="54">
        <f>[32]Effectifs!BF10</f>
        <v>0.89659405481855037</v>
      </c>
      <c r="BI5" s="54">
        <f>[32]Effectifs!BG10</f>
        <v>0.89334936904796525</v>
      </c>
      <c r="BJ5" s="54">
        <f>[32]Effectifs!BH10</f>
        <v>0.88576886285739798</v>
      </c>
      <c r="BK5" s="54">
        <f>[32]Effectifs!BI10</f>
        <v>0.8806714727162912</v>
      </c>
      <c r="BL5" s="54">
        <f>[32]Effectifs!BJ10</f>
        <v>0.87519708941800756</v>
      </c>
      <c r="BM5" s="54">
        <f>[32]Effectifs!BK10</f>
        <v>0.87251213251352644</v>
      </c>
      <c r="BN5" s="54">
        <f>[32]Effectifs!BL10</f>
        <v>0.8692909460493754</v>
      </c>
      <c r="BO5" s="54">
        <f>[32]Effectifs!BM10</f>
        <v>0.86533368520095288</v>
      </c>
      <c r="BP5" s="54">
        <f>[32]Effectifs!BN10</f>
        <v>0.86122749409435695</v>
      </c>
      <c r="BQ5" s="54">
        <f>[32]Effectifs!BO10</f>
        <v>0.85908268938738974</v>
      </c>
      <c r="BR5" s="54">
        <f>[32]Effectifs!BP10</f>
        <v>0.85683268988385142</v>
      </c>
      <c r="BS5" s="54">
        <f>[32]Effectifs!BQ10</f>
        <v>0.8564228112600093</v>
      </c>
      <c r="BT5" s="54">
        <f>[32]Effectifs!BR10</f>
        <v>0.85644821661165982</v>
      </c>
      <c r="BU5" s="54">
        <f>[32]Effectifs!BS10</f>
        <v>0.85742975093169893</v>
      </c>
      <c r="BV5" s="55">
        <f>[32]Effectifs!BT10</f>
        <v>0.85640699494368588</v>
      </c>
    </row>
    <row r="6" spans="1:74">
      <c r="B6" s="263"/>
      <c r="C6" s="35" t="s">
        <v>14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>
        <f>[33]Effectifs!Q10</f>
        <v>0.76390605686032143</v>
      </c>
      <c r="T6" s="20">
        <f>[33]Effectifs!R10</f>
        <v>0.76151564979750896</v>
      </c>
      <c r="U6" s="20">
        <f>[33]Effectifs!S10</f>
        <v>0.7565994869560192</v>
      </c>
      <c r="V6" s="20">
        <f>[33]Effectifs!T10</f>
        <v>0.75061672852765926</v>
      </c>
      <c r="W6" s="20">
        <f>[33]Effectifs!U10</f>
        <v>0.75375911671320961</v>
      </c>
      <c r="X6" s="20">
        <f>[33]Effectifs!V10</f>
        <v>0.75974023403836455</v>
      </c>
      <c r="Y6" s="20">
        <f>[33]Effectifs!W10</f>
        <v>0.76790289965054259</v>
      </c>
      <c r="Z6" s="20">
        <f>[33]Effectifs!X10</f>
        <v>0.78314777263548707</v>
      </c>
      <c r="AA6" s="20">
        <f>[33]Effectifs!Y10</f>
        <v>0.79762965009963005</v>
      </c>
      <c r="AB6" s="20">
        <f>[33]Effectifs!Z10</f>
        <v>0.80396624359809876</v>
      </c>
      <c r="AC6" s="20">
        <f>[33]Effectifs!AA10</f>
        <v>0.81043585640585591</v>
      </c>
      <c r="AD6" s="20">
        <f>[33]Effectifs!AB10</f>
        <v>0.8163555519591027</v>
      </c>
      <c r="AE6" s="20">
        <f>[33]Effectifs!AC10</f>
        <v>0.81795612201385559</v>
      </c>
      <c r="AF6" s="20">
        <f>[33]Effectifs!AD10</f>
        <v>0.82548822223863882</v>
      </c>
      <c r="AG6" s="20">
        <f>[33]Effectifs!AE10</f>
        <v>0.8301739628572955</v>
      </c>
      <c r="AH6" s="20">
        <f>[33]Effectifs!AF10</f>
        <v>0.8326987911851349</v>
      </c>
      <c r="AI6" s="20">
        <f>[33]Effectifs!AG10</f>
        <v>0.83461082580851276</v>
      </c>
      <c r="AJ6" s="20">
        <f>[33]Effectifs!AH10</f>
        <v>0.83160322564125999</v>
      </c>
      <c r="AK6" s="20">
        <f>[33]Effectifs!AI10</f>
        <v>0.82219991511139112</v>
      </c>
      <c r="AL6" s="20">
        <f>[33]Effectifs!AJ10</f>
        <v>0.81461550584064146</v>
      </c>
      <c r="AM6" s="20">
        <f>[33]Effectifs!AK10</f>
        <v>0.8095702240139232</v>
      </c>
      <c r="AN6" s="20">
        <f>[33]Effectifs!AL10</f>
        <v>0.80801546862074658</v>
      </c>
      <c r="AO6" s="20">
        <f>[33]Effectifs!AM10</f>
        <v>0.81123927153159525</v>
      </c>
      <c r="AP6" s="20">
        <f>[33]Effectifs!AN10</f>
        <v>0.81307136922742829</v>
      </c>
      <c r="AQ6" s="20">
        <f>[33]Effectifs!AO10</f>
        <v>0.81688942367839412</v>
      </c>
      <c r="AR6" s="20">
        <f>[33]Effectifs!AP10</f>
        <v>0.81468235250911913</v>
      </c>
      <c r="AS6" s="20">
        <f>[33]Effectifs!AQ10</f>
        <v>0.81091015453162107</v>
      </c>
      <c r="AT6" s="20">
        <f>[33]Effectifs!AR10</f>
        <v>0.80354517977864304</v>
      </c>
      <c r="AU6" s="20">
        <f>[33]Effectifs!AS10</f>
        <v>0.80437728688523147</v>
      </c>
      <c r="AV6" s="20">
        <f>[33]Effectifs!AT10</f>
        <v>0.79841264726185013</v>
      </c>
      <c r="AW6" s="20">
        <f>[33]Effectifs!AU10</f>
        <v>0.79942616761936791</v>
      </c>
      <c r="AX6" s="20">
        <f>[33]Effectifs!AV10</f>
        <v>0.79799555094957975</v>
      </c>
      <c r="AY6" s="20">
        <f>[33]Effectifs!AW10</f>
        <v>0.79912673898167164</v>
      </c>
      <c r="AZ6" s="20">
        <f>[33]Effectifs!AX10</f>
        <v>0.79146147452988891</v>
      </c>
      <c r="BA6" s="20">
        <f>[33]Effectifs!AY10</f>
        <v>0.79124922089423888</v>
      </c>
      <c r="BB6" s="20">
        <f>[33]Effectifs!AZ10</f>
        <v>0.78438301463477411</v>
      </c>
      <c r="BC6" s="20">
        <f>[33]Effectifs!BA10</f>
        <v>0.77572439156143058</v>
      </c>
      <c r="BD6" s="20">
        <f>[33]Effectifs!BB10</f>
        <v>0.76435062141280175</v>
      </c>
      <c r="BE6" s="20">
        <f>[33]Effectifs!BC10</f>
        <v>0.75884365986050017</v>
      </c>
      <c r="BF6" s="20">
        <f>[33]Effectifs!BD10</f>
        <v>0.74661073936838285</v>
      </c>
      <c r="BG6" s="20">
        <f>[33]Effectifs!BE10</f>
        <v>0.73897421856402534</v>
      </c>
      <c r="BH6" s="20">
        <f>[33]Effectifs!BF10</f>
        <v>0.7345443212950491</v>
      </c>
      <c r="BI6" s="20">
        <f>[33]Effectifs!BG10</f>
        <v>0.73392307301867465</v>
      </c>
      <c r="BJ6" s="20">
        <f>[33]Effectifs!BH10</f>
        <v>0.73381949157296744</v>
      </c>
      <c r="BK6" s="20">
        <f>[33]Effectifs!BI10</f>
        <v>0.73504567455062819</v>
      </c>
      <c r="BL6" s="20">
        <f>[33]Effectifs!BJ10</f>
        <v>0.73796720591093234</v>
      </c>
      <c r="BM6" s="20">
        <f>[33]Effectifs!BK10</f>
        <v>0.7374654124405513</v>
      </c>
      <c r="BN6" s="20">
        <f>[33]Effectifs!BL10</f>
        <v>0.73590462392739475</v>
      </c>
      <c r="BO6" s="20">
        <f>[33]Effectifs!BM10</f>
        <v>0.73386325859728274</v>
      </c>
      <c r="BP6" s="20">
        <f>[33]Effectifs!BN10</f>
        <v>0.73752948185499567</v>
      </c>
      <c r="BQ6" s="20">
        <f>[33]Effectifs!BO10</f>
        <v>0.73983701031451332</v>
      </c>
      <c r="BR6" s="20">
        <f>[33]Effectifs!BP10</f>
        <v>0.73845784660460234</v>
      </c>
      <c r="BS6" s="20">
        <f>[33]Effectifs!BQ10</f>
        <v>0.74090386989518209</v>
      </c>
      <c r="BT6" s="20">
        <f>[33]Effectifs!BR10</f>
        <v>0.74226857259672618</v>
      </c>
      <c r="BU6" s="20">
        <f>[33]Effectifs!BS10</f>
        <v>0.73632729257482066</v>
      </c>
      <c r="BV6" s="21">
        <f>[33]Effectifs!BT10</f>
        <v>0.74060427413411933</v>
      </c>
    </row>
    <row r="7" spans="1:74" ht="13.5" thickBot="1">
      <c r="B7" s="264"/>
      <c r="C7" s="36" t="s">
        <v>5</v>
      </c>
      <c r="D7" s="22">
        <f>[34]Effectifs!B12</f>
        <v>0.71353730092204526</v>
      </c>
      <c r="E7" s="23">
        <f>[34]Effectifs!C12</f>
        <v>0.75471331389698737</v>
      </c>
      <c r="F7" s="23">
        <f>[34]Effectifs!D12</f>
        <v>0.77788064977695481</v>
      </c>
      <c r="G7" s="23">
        <f>[34]Effectifs!E12</f>
        <v>0.79288952517298972</v>
      </c>
      <c r="H7" s="23">
        <f>[34]Effectifs!F12</f>
        <v>0.80302015919065683</v>
      </c>
      <c r="I7" s="23">
        <f>[34]Effectifs!G12</f>
        <v>0.81881508078994614</v>
      </c>
      <c r="J7" s="23">
        <f>[34]Effectifs!H12</f>
        <v>0.82047989185535652</v>
      </c>
      <c r="K7" s="23">
        <f>[34]Effectifs!I12</f>
        <v>0.83360965581271973</v>
      </c>
      <c r="L7" s="23">
        <f>[34]Effectifs!J12</f>
        <v>0.84436935473390085</v>
      </c>
      <c r="M7" s="23">
        <f>[34]Effectifs!K12</f>
        <v>0.82948348753140122</v>
      </c>
      <c r="N7" s="23">
        <f>[34]Effectifs!L12</f>
        <v>0.82563405797101452</v>
      </c>
      <c r="O7" s="23">
        <f>[34]Effectifs!M12</f>
        <v>0.80832902224521475</v>
      </c>
      <c r="P7" s="23">
        <f>[34]Effectifs!N12</f>
        <v>0.78345290969137915</v>
      </c>
      <c r="Q7" s="23">
        <f>[34]Effectifs!O12</f>
        <v>0.75471602434077079</v>
      </c>
      <c r="R7" s="23">
        <f>[34]Effectifs!P12</f>
        <v>0.60850474872333316</v>
      </c>
      <c r="S7" s="23">
        <f>[34]Effectifs!Q12</f>
        <v>0.58999911024112461</v>
      </c>
      <c r="T7" s="23">
        <f>[34]Effectifs!R12</f>
        <v>0.58130005005005003</v>
      </c>
      <c r="U7" s="23">
        <f>[34]Effectifs!S12</f>
        <v>0.58395449195763049</v>
      </c>
      <c r="V7" s="23">
        <f>[34]Effectifs!T12</f>
        <v>0.58999158957106812</v>
      </c>
      <c r="W7" s="23">
        <f>[34]Effectifs!U12</f>
        <v>0.58037713319070605</v>
      </c>
      <c r="X7" s="23">
        <f>[34]Effectifs!V12</f>
        <v>0.60595802301963442</v>
      </c>
      <c r="Y7" s="23">
        <f>[34]Effectifs!W12</f>
        <v>0.66222547249582919</v>
      </c>
      <c r="Z7" s="23">
        <f>[34]Effectifs!X12</f>
        <v>0.74765440503797631</v>
      </c>
      <c r="AA7" s="23">
        <f>[34]Effectifs!Y12</f>
        <v>0.77236925987620042</v>
      </c>
      <c r="AB7" s="23">
        <f>[34]Effectifs!Z12</f>
        <v>0.80319874047193907</v>
      </c>
      <c r="AC7" s="23">
        <f>[34]Effectifs!AA12</f>
        <v>0.81897941241116567</v>
      </c>
      <c r="AD7" s="23">
        <f>[34]Effectifs!AB12</f>
        <v>0.83676444444444442</v>
      </c>
      <c r="AE7" s="23">
        <f>[34]Effectifs!AC12</f>
        <v>0.85178957482584672</v>
      </c>
      <c r="AF7" s="23">
        <f>[34]Effectifs!AD12</f>
        <v>0.86740148127445504</v>
      </c>
      <c r="AG7" s="23">
        <f>[34]Effectifs!AE12</f>
        <v>0.87776655654644731</v>
      </c>
      <c r="AH7" s="23">
        <f>[34]Effectifs!AF12</f>
        <v>0.87599474084838425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5"/>
    </row>
    <row r="8" spans="1:74">
      <c r="B8" s="265" t="s">
        <v>16</v>
      </c>
      <c r="C8" s="34" t="s">
        <v>4</v>
      </c>
      <c r="D8" s="26"/>
      <c r="E8" s="27"/>
      <c r="F8" s="27"/>
      <c r="G8" s="27">
        <f>[32]Durées!F55</f>
        <v>21.340300679535751</v>
      </c>
      <c r="H8" s="27">
        <f>[32]Durées!G55</f>
        <v>21.538146568984548</v>
      </c>
      <c r="I8" s="27">
        <f>[32]Durées!H55</f>
        <v>21.520584627264586</v>
      </c>
      <c r="J8" s="27">
        <f>[32]Durées!I55</f>
        <v>21.449749764869136</v>
      </c>
      <c r="K8" s="27">
        <f>[32]Durées!J55</f>
        <v>21.310888949721704</v>
      </c>
      <c r="L8" s="27">
        <f>[32]Durées!K55</f>
        <v>21.15469848042331</v>
      </c>
      <c r="M8" s="27">
        <f>[32]Durées!L55</f>
        <v>20.912521287983033</v>
      </c>
      <c r="N8" s="27">
        <f>[32]Durées!M55</f>
        <v>20.575601596837192</v>
      </c>
      <c r="O8" s="27">
        <f>[32]Durées!N55</f>
        <v>20.380836094611674</v>
      </c>
      <c r="P8" s="27">
        <f>[32]Durées!O55</f>
        <v>20.112058529292881</v>
      </c>
      <c r="Q8" s="27">
        <f>[32]Durées!P55</f>
        <v>19.786541970670264</v>
      </c>
      <c r="R8" s="27">
        <f>[32]Durées!Q55</f>
        <v>19.440716564939059</v>
      </c>
      <c r="S8" s="27">
        <f>[32]Durées!R55</f>
        <v>19.16052134405723</v>
      </c>
      <c r="T8" s="27">
        <f>[32]Durées!S55</f>
        <v>18.81223781243326</v>
      </c>
      <c r="U8" s="27">
        <f>[32]Durées!T55</f>
        <v>18.521645644232873</v>
      </c>
      <c r="V8" s="27">
        <f>[32]Durées!U55</f>
        <v>18.271557720292542</v>
      </c>
      <c r="W8" s="27">
        <f>[32]Durées!V55</f>
        <v>18.160196674509962</v>
      </c>
      <c r="X8" s="27">
        <f>[32]Durées!W55</f>
        <v>18.041732046205645</v>
      </c>
      <c r="Y8" s="27">
        <f>[32]Durées!X55</f>
        <v>17.948428539677955</v>
      </c>
      <c r="Z8" s="27">
        <f>[32]Durées!Y55</f>
        <v>17.869558751837044</v>
      </c>
      <c r="AA8" s="27">
        <f>[32]Durées!Z55</f>
        <v>17.767753367610954</v>
      </c>
      <c r="AB8" s="27">
        <f>[32]Durées!AA55</f>
        <v>17.666470292213365</v>
      </c>
      <c r="AC8" s="27">
        <f>[32]Durées!AB55</f>
        <v>17.523682268273841</v>
      </c>
      <c r="AD8" s="27">
        <f>[32]Durées!AC55</f>
        <v>17.34587180758195</v>
      </c>
      <c r="AE8" s="27">
        <f>[32]Durées!AD55</f>
        <v>17.193874997404638</v>
      </c>
      <c r="AF8" s="27">
        <f>[32]Durées!AE55</f>
        <v>17.058010664859413</v>
      </c>
      <c r="AG8" s="27">
        <f>[32]Durées!AF55</f>
        <v>16.843043572253354</v>
      </c>
      <c r="AH8" s="27">
        <f>[32]Durées!AG55</f>
        <v>16.68123548764628</v>
      </c>
      <c r="AI8" s="27">
        <f>[32]Durées!AH55</f>
        <v>16.628647542632727</v>
      </c>
      <c r="AJ8" s="27">
        <f>[32]Durées!AI55</f>
        <v>16.565255489940505</v>
      </c>
      <c r="AK8" s="27">
        <f>[32]Durées!AJ55</f>
        <v>16.532779310521754</v>
      </c>
      <c r="AL8" s="27">
        <f>[32]Durées!AK55</f>
        <v>16.566934187082648</v>
      </c>
      <c r="AM8" s="27">
        <f>[32]Durées!AL55</f>
        <v>16.615948710148807</v>
      </c>
      <c r="AN8" s="27">
        <f>[32]Durées!AM55</f>
        <v>16.594807011342549</v>
      </c>
      <c r="AO8" s="27">
        <f>[32]Durées!AN55</f>
        <v>16.564724555765771</v>
      </c>
      <c r="AP8" s="27">
        <f>[32]Durées!AO55</f>
        <v>16.512998453506963</v>
      </c>
      <c r="AQ8" s="27">
        <f>[32]Durées!AP55</f>
        <v>16.467665656624188</v>
      </c>
      <c r="AR8" s="27">
        <f>[32]Durées!AQ55</f>
        <v>16.425244396295643</v>
      </c>
      <c r="AS8" s="27">
        <f>[32]Durées!AR55</f>
        <v>16.360766696695499</v>
      </c>
      <c r="AT8" s="27">
        <f>[32]Durées!AS55</f>
        <v>16.310064453464388</v>
      </c>
      <c r="AU8" s="27">
        <f>[32]Durées!AT55</f>
        <v>16.261477839825233</v>
      </c>
      <c r="AV8" s="27">
        <f>[32]Durées!AU55</f>
        <v>16.228188077867493</v>
      </c>
      <c r="AW8" s="27">
        <f>[32]Durées!AV55</f>
        <v>16.197765365727225</v>
      </c>
      <c r="AX8" s="27">
        <f>[32]Durées!AW55</f>
        <v>16.177665024272237</v>
      </c>
      <c r="AY8" s="27">
        <f>[32]Durées!AX55</f>
        <v>16.138681566895464</v>
      </c>
      <c r="AZ8" s="27">
        <f>[32]Durées!AY55</f>
        <v>16.061232901915353</v>
      </c>
      <c r="BA8" s="27">
        <f>[32]Durées!AZ55</f>
        <v>16.01187559602225</v>
      </c>
      <c r="BB8" s="27">
        <f>[32]Durées!BA55</f>
        <v>15.899274719709656</v>
      </c>
      <c r="BC8" s="27">
        <f>[32]Durées!BB55</f>
        <v>15.796480743179155</v>
      </c>
      <c r="BD8" s="27">
        <f>[32]Durées!BC55</f>
        <v>15.698481083302591</v>
      </c>
      <c r="BE8" s="27">
        <f>[32]Durées!BD55</f>
        <v>15.596264746697779</v>
      </c>
      <c r="BF8" s="27">
        <f>[32]Durées!BE55</f>
        <v>15.461594180817704</v>
      </c>
      <c r="BG8" s="27">
        <f>[32]Durées!BF55</f>
        <v>15.342244662344296</v>
      </c>
      <c r="BH8" s="27">
        <f>[32]Durées!BG55</f>
        <v>15.198534399005339</v>
      </c>
      <c r="BI8" s="27">
        <f>[32]Durées!BH55</f>
        <v>15.071440926136153</v>
      </c>
      <c r="BJ8" s="27">
        <f>[32]Durées!BI55</f>
        <v>15.01859337960669</v>
      </c>
      <c r="BK8" s="27">
        <f>[32]Durées!BJ55</f>
        <v>14.970168351932283</v>
      </c>
      <c r="BL8" s="27">
        <f>[32]Durées!BK55</f>
        <v>14.977566680761052</v>
      </c>
      <c r="BM8" s="27">
        <f>[32]Durées!BL55</f>
        <v>15.053615702866352</v>
      </c>
      <c r="BN8" s="27">
        <f>[32]Durées!BM55</f>
        <v>15.134914314679332</v>
      </c>
      <c r="BO8" s="27">
        <f>[32]Durées!BN55</f>
        <v>15.204230922055928</v>
      </c>
      <c r="BP8" s="27">
        <f>[32]Durées!BO55</f>
        <v>15.281003401866258</v>
      </c>
      <c r="BQ8" s="27">
        <f>[32]Durées!BP55</f>
        <v>15.356198542884977</v>
      </c>
      <c r="BR8" s="27">
        <f>[32]Durées!BQ55</f>
        <v>15.384644882909843</v>
      </c>
      <c r="BS8" s="27">
        <f>[32]Durées!BR55</f>
        <v>15.391951229667047</v>
      </c>
      <c r="BT8" s="27">
        <f>[32]Durées!BS55</f>
        <v>15.382154653319162</v>
      </c>
      <c r="BU8" s="27">
        <f>[32]Durées!BT55</f>
        <v>15.355969840899412</v>
      </c>
      <c r="BV8" s="28">
        <f>[32]Durées!BU55</f>
        <v>15.296465439147196</v>
      </c>
    </row>
    <row r="9" spans="1:74">
      <c r="B9" s="266"/>
      <c r="C9" s="35" t="s">
        <v>14</v>
      </c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>
        <f>[33]Durées!R55</f>
        <v>8.0841423948220008</v>
      </c>
      <c r="T9" s="30">
        <f>[33]Durées!S55</f>
        <v>7.9826949692861406</v>
      </c>
      <c r="U9" s="30">
        <f>[33]Durées!T55</f>
        <v>7.9296688989313164</v>
      </c>
      <c r="V9" s="30">
        <f>[33]Durées!U55</f>
        <v>7.8650652443228894</v>
      </c>
      <c r="W9" s="30">
        <f>[33]Durées!V55</f>
        <v>7.8359320915577459</v>
      </c>
      <c r="X9" s="30">
        <f>[33]Durées!W55</f>
        <v>7.8453515135938101</v>
      </c>
      <c r="Y9" s="30">
        <f>[33]Durées!X55</f>
        <v>7.8495559262233119</v>
      </c>
      <c r="Z9" s="30">
        <f>[33]Durées!Y55</f>
        <v>7.9179198574091938</v>
      </c>
      <c r="AA9" s="30">
        <f>[33]Durées!Z55</f>
        <v>8.0448243544360647</v>
      </c>
      <c r="AB9" s="30">
        <f>[33]Durées!AA55</f>
        <v>8.1547439206724448</v>
      </c>
      <c r="AC9" s="30">
        <f>[33]Durées!AB55</f>
        <v>8.2374260574059832</v>
      </c>
      <c r="AD9" s="30">
        <f>[33]Durées!AC55</f>
        <v>8.3521034766276081</v>
      </c>
      <c r="AE9" s="30">
        <f>[33]Durées!AD55</f>
        <v>8.4624525495030944</v>
      </c>
      <c r="AF9" s="30">
        <f>[33]Durées!AE55</f>
        <v>8.5257295397573323</v>
      </c>
      <c r="AG9" s="30">
        <f>[33]Durées!AF55</f>
        <v>8.5900311349921257</v>
      </c>
      <c r="AH9" s="30">
        <f>[33]Durées!AG55</f>
        <v>8.6517519350714611</v>
      </c>
      <c r="AI9" s="30">
        <f>[33]Durées!AH55</f>
        <v>8.6589842836991586</v>
      </c>
      <c r="AJ9" s="30">
        <f>[33]Durées!AI55</f>
        <v>8.6595227890228106</v>
      </c>
      <c r="AK9" s="30">
        <f>[33]Durées!AJ55</f>
        <v>8.6392760261367378</v>
      </c>
      <c r="AL9" s="30">
        <f>[33]Durées!AK55</f>
        <v>8.5833259643105873</v>
      </c>
      <c r="AM9" s="30">
        <f>[33]Durées!AL55</f>
        <v>8.4761862354519888</v>
      </c>
      <c r="AN9" s="30">
        <f>[33]Durées!AM55</f>
        <v>8.3840596281325013</v>
      </c>
      <c r="AO9" s="30">
        <f>[33]Durées!AN55</f>
        <v>8.2010240003003503</v>
      </c>
      <c r="AP9" s="30">
        <f>[33]Durées!AO55</f>
        <v>7.9188063542363434</v>
      </c>
      <c r="AQ9" s="30">
        <f>[33]Durées!AP55</f>
        <v>7.6774024469214863</v>
      </c>
      <c r="AR9" s="30">
        <f>[33]Durées!AQ55</f>
        <v>7.3681627119214266</v>
      </c>
      <c r="AS9" s="30">
        <f>[33]Durées!AR55</f>
        <v>6.9802704201149979</v>
      </c>
      <c r="AT9" s="30">
        <f>[33]Durées!AS55</f>
        <v>6.5683145058865815</v>
      </c>
      <c r="AU9" s="30">
        <f>[33]Durées!AT55</f>
        <v>6.206687735804886</v>
      </c>
      <c r="AV9" s="30">
        <f>[33]Durées!AU55</f>
        <v>5.8006622076358738</v>
      </c>
      <c r="AW9" s="30">
        <f>[33]Durées!AV55</f>
        <v>5.4209125929791107</v>
      </c>
      <c r="AX9" s="30">
        <f>[33]Durées!AW55</f>
        <v>5.0899834798726094</v>
      </c>
      <c r="AY9" s="30">
        <f>[33]Durées!AX55</f>
        <v>4.8279445114838948</v>
      </c>
      <c r="AZ9" s="30">
        <f>[33]Durées!AY55</f>
        <v>4.6174923478834833</v>
      </c>
      <c r="BA9" s="30">
        <f>[33]Durées!AZ55</f>
        <v>4.4497974697825429</v>
      </c>
      <c r="BB9" s="30">
        <f>[33]Durées!BA55</f>
        <v>4.3804127757217204</v>
      </c>
      <c r="BC9" s="30">
        <f>[33]Durées!BB55</f>
        <v>4.3171578894034113</v>
      </c>
      <c r="BD9" s="30">
        <f>[33]Durées!BC55</f>
        <v>4.2815469693823403</v>
      </c>
      <c r="BE9" s="30">
        <f>[33]Durées!BD55</f>
        <v>4.2505843693811354</v>
      </c>
      <c r="BF9" s="30">
        <f>[33]Durées!BE55</f>
        <v>4.2213331824373892</v>
      </c>
      <c r="BG9" s="30">
        <f>[33]Durées!BF55</f>
        <v>4.1852431157475314</v>
      </c>
      <c r="BH9" s="30">
        <f>[33]Durées!BG55</f>
        <v>4.1789284793986994</v>
      </c>
      <c r="BI9" s="30">
        <f>[33]Durées!BH55</f>
        <v>4.1516868938405436</v>
      </c>
      <c r="BJ9" s="30">
        <f>[33]Durées!BI55</f>
        <v>4.1485717177461368</v>
      </c>
      <c r="BK9" s="30">
        <f>[33]Durées!BJ55</f>
        <v>4.1445386161241569</v>
      </c>
      <c r="BL9" s="30">
        <f>[33]Durées!BK55</f>
        <v>4.1348292124672446</v>
      </c>
      <c r="BM9" s="30">
        <f>[33]Durées!BL55</f>
        <v>4.1503033897532067</v>
      </c>
      <c r="BN9" s="30">
        <f>[33]Durées!BM55</f>
        <v>4.1297825726629229</v>
      </c>
      <c r="BO9" s="30">
        <f>[33]Durées!BN55</f>
        <v>4.1090055098349412</v>
      </c>
      <c r="BP9" s="30">
        <f>[33]Durées!BO55</f>
        <v>4.1224021468280183</v>
      </c>
      <c r="BQ9" s="30">
        <f>[33]Durées!BP55</f>
        <v>4.135453275330887</v>
      </c>
      <c r="BR9" s="30">
        <f>[33]Durées!BQ55</f>
        <v>4.1418146111914433</v>
      </c>
      <c r="BS9" s="30">
        <f>[33]Durées!BR55</f>
        <v>4.1884426281315355</v>
      </c>
      <c r="BT9" s="30">
        <f>[33]Durées!BS55</f>
        <v>4.2168275328761062</v>
      </c>
      <c r="BU9" s="30">
        <f>[33]Durées!BT55</f>
        <v>4.2239213401960116</v>
      </c>
      <c r="BV9" s="31">
        <f>[33]Durées!BU55</f>
        <v>4.2069651741293548</v>
      </c>
    </row>
    <row r="10" spans="1:74" ht="13.5" thickBot="1">
      <c r="B10" s="267"/>
      <c r="C10" s="36" t="s">
        <v>5</v>
      </c>
      <c r="D10" s="32">
        <f>[34]Durées!C58</f>
        <v>10.596182085168863</v>
      </c>
      <c r="E10" s="33">
        <f>[34]Durées!D58</f>
        <v>10.639711563224317</v>
      </c>
      <c r="F10" s="33">
        <f>[34]Durées!E58</f>
        <v>10.612854360528029</v>
      </c>
      <c r="G10" s="33">
        <f>[34]Durées!F58</f>
        <v>10.560337044839002</v>
      </c>
      <c r="H10" s="33">
        <f>[34]Durées!G58</f>
        <v>10.268087077350632</v>
      </c>
      <c r="I10" s="33">
        <f>[34]Durées!H58</f>
        <v>10.368707244343094</v>
      </c>
      <c r="J10" s="33">
        <f>[34]Durées!I58</f>
        <v>10.415025949419228</v>
      </c>
      <c r="K10" s="33">
        <f>[34]Durées!J58</f>
        <v>10.258392999204457</v>
      </c>
      <c r="L10" s="33">
        <f>[34]Durées!K58</f>
        <v>10.072956749268897</v>
      </c>
      <c r="M10" s="33">
        <f>[34]Durées!L58</f>
        <v>10.006204756980354</v>
      </c>
      <c r="N10" s="33">
        <f>[34]Durées!M58</f>
        <v>9.913016221299273</v>
      </c>
      <c r="O10" s="33">
        <f>[34]Durées!N58</f>
        <v>9.6985600000000005</v>
      </c>
      <c r="P10" s="33">
        <f>[34]Durées!O58</f>
        <v>9.5370303074351295</v>
      </c>
      <c r="Q10" s="33">
        <f>[34]Durées!P58</f>
        <v>9.2790432036551707</v>
      </c>
      <c r="R10" s="33">
        <f>[34]Durées!Q58</f>
        <v>9.1620392156862724</v>
      </c>
      <c r="S10" s="33">
        <f>[34]Durées!R58</f>
        <v>8.8740763082491281</v>
      </c>
      <c r="T10" s="33">
        <f>[34]Durées!S58</f>
        <v>8.5542700317494536</v>
      </c>
      <c r="U10" s="33">
        <f>[34]Durées!T58</f>
        <v>8.2604731513028451</v>
      </c>
      <c r="V10" s="33">
        <f>[34]Durées!U58</f>
        <v>8.1174269422665724</v>
      </c>
      <c r="W10" s="33">
        <f>[34]Durées!V58</f>
        <v>7.9519931418774172</v>
      </c>
      <c r="X10" s="33">
        <f>[34]Durées!W58</f>
        <v>7.8061259872856921</v>
      </c>
      <c r="Y10" s="33">
        <f>[34]Durées!X58</f>
        <v>7.7687821375573742</v>
      </c>
      <c r="Z10" s="33">
        <f>[34]Durées!Y58</f>
        <v>7.7401400034147176</v>
      </c>
      <c r="AA10" s="33">
        <f>[34]Durées!Z58</f>
        <v>7.8205442249321004</v>
      </c>
      <c r="AB10" s="33">
        <f>[34]Durées!AA58</f>
        <v>8.0436975593431015</v>
      </c>
      <c r="AC10" s="33">
        <f>[34]Durées!AB58</f>
        <v>8.2403327891217337</v>
      </c>
      <c r="AD10" s="33">
        <f>[34]Durées!AC58</f>
        <v>8.3968726098410755</v>
      </c>
      <c r="AE10" s="33">
        <f>[34]Durées!AD58</f>
        <v>8.6860446378212863</v>
      </c>
      <c r="AF10" s="33">
        <f>[34]Durées!AE58</f>
        <v>9.1673681454779761</v>
      </c>
      <c r="AG10" s="33">
        <f>[34]Durées!AF58</f>
        <v>9.3974648985959419</v>
      </c>
      <c r="AH10" s="33">
        <f>[34]Durées!AG58</f>
        <v>9.5026858361639945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24"/>
      <c r="BV10" s="25"/>
    </row>
    <row r="12" spans="1:74">
      <c r="B12" s="11" t="s">
        <v>17</v>
      </c>
    </row>
    <row r="13" spans="1:74">
      <c r="B13" s="11" t="s">
        <v>12</v>
      </c>
    </row>
    <row r="14" spans="1:74">
      <c r="B14" s="11" t="s">
        <v>13</v>
      </c>
    </row>
    <row r="17" spans="3:14" ht="14.25">
      <c r="C17" s="270" t="s">
        <v>15</v>
      </c>
      <c r="D17" s="270"/>
      <c r="E17" s="270"/>
      <c r="F17" s="270"/>
      <c r="G17" s="270"/>
      <c r="H17" s="270"/>
      <c r="I17" s="270" t="s">
        <v>16</v>
      </c>
      <c r="J17" s="270"/>
      <c r="K17" s="270"/>
      <c r="L17" s="270"/>
      <c r="M17" s="270"/>
      <c r="N17" s="270"/>
    </row>
  </sheetData>
  <mergeCells count="5">
    <mergeCell ref="B5:B7"/>
    <mergeCell ref="B8:B10"/>
    <mergeCell ref="B4:C4"/>
    <mergeCell ref="C17:H17"/>
    <mergeCell ref="I17:N17"/>
  </mergeCells>
  <hyperlinks>
    <hyperlink ref="A2" location="SOMMAIRE!A1" display="Retour au sommaire" xr:uid="{66F1353D-EC34-4583-AF90-E2B7A62082F2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5068-0EE5-4DA2-8FCE-8659AFC30AD4}">
  <sheetPr>
    <tabColor rgb="FFACB9CA"/>
  </sheetPr>
  <dimension ref="A1:Z13"/>
  <sheetViews>
    <sheetView workbookViewId="0"/>
  </sheetViews>
  <sheetFormatPr baseColWidth="10" defaultRowHeight="12.75"/>
  <cols>
    <col min="1" max="1" width="11" style="7"/>
    <col min="2" max="2" width="30" style="7" customWidth="1"/>
    <col min="3" max="256" width="11" style="7"/>
    <col min="257" max="257" width="30" style="7" customWidth="1"/>
    <col min="258" max="512" width="11" style="7"/>
    <col min="513" max="513" width="30" style="7" customWidth="1"/>
    <col min="514" max="768" width="11" style="7"/>
    <col min="769" max="769" width="30" style="7" customWidth="1"/>
    <col min="770" max="1024" width="11" style="7"/>
    <col min="1025" max="1025" width="30" style="7" customWidth="1"/>
    <col min="1026" max="1280" width="11" style="7"/>
    <col min="1281" max="1281" width="30" style="7" customWidth="1"/>
    <col min="1282" max="1536" width="11" style="7"/>
    <col min="1537" max="1537" width="30" style="7" customWidth="1"/>
    <col min="1538" max="1792" width="11" style="7"/>
    <col min="1793" max="1793" width="30" style="7" customWidth="1"/>
    <col min="1794" max="2048" width="11" style="7"/>
    <col min="2049" max="2049" width="30" style="7" customWidth="1"/>
    <col min="2050" max="2304" width="11" style="7"/>
    <col min="2305" max="2305" width="30" style="7" customWidth="1"/>
    <col min="2306" max="2560" width="11" style="7"/>
    <col min="2561" max="2561" width="30" style="7" customWidth="1"/>
    <col min="2562" max="2816" width="11" style="7"/>
    <col min="2817" max="2817" width="30" style="7" customWidth="1"/>
    <col min="2818" max="3072" width="11" style="7"/>
    <col min="3073" max="3073" width="30" style="7" customWidth="1"/>
    <col min="3074" max="3328" width="11" style="7"/>
    <col min="3329" max="3329" width="30" style="7" customWidth="1"/>
    <col min="3330" max="3584" width="11" style="7"/>
    <col min="3585" max="3585" width="30" style="7" customWidth="1"/>
    <col min="3586" max="3840" width="11" style="7"/>
    <col min="3841" max="3841" width="30" style="7" customWidth="1"/>
    <col min="3842" max="4096" width="11" style="7"/>
    <col min="4097" max="4097" width="30" style="7" customWidth="1"/>
    <col min="4098" max="4352" width="11" style="7"/>
    <col min="4353" max="4353" width="30" style="7" customWidth="1"/>
    <col min="4354" max="4608" width="11" style="7"/>
    <col min="4609" max="4609" width="30" style="7" customWidth="1"/>
    <col min="4610" max="4864" width="11" style="7"/>
    <col min="4865" max="4865" width="30" style="7" customWidth="1"/>
    <col min="4866" max="5120" width="11" style="7"/>
    <col min="5121" max="5121" width="30" style="7" customWidth="1"/>
    <col min="5122" max="5376" width="11" style="7"/>
    <col min="5377" max="5377" width="30" style="7" customWidth="1"/>
    <col min="5378" max="5632" width="11" style="7"/>
    <col min="5633" max="5633" width="30" style="7" customWidth="1"/>
    <col min="5634" max="5888" width="11" style="7"/>
    <col min="5889" max="5889" width="30" style="7" customWidth="1"/>
    <col min="5890" max="6144" width="11" style="7"/>
    <col min="6145" max="6145" width="30" style="7" customWidth="1"/>
    <col min="6146" max="6400" width="11" style="7"/>
    <col min="6401" max="6401" width="30" style="7" customWidth="1"/>
    <col min="6402" max="6656" width="11" style="7"/>
    <col min="6657" max="6657" width="30" style="7" customWidth="1"/>
    <col min="6658" max="6912" width="11" style="7"/>
    <col min="6913" max="6913" width="30" style="7" customWidth="1"/>
    <col min="6914" max="7168" width="11" style="7"/>
    <col min="7169" max="7169" width="30" style="7" customWidth="1"/>
    <col min="7170" max="7424" width="11" style="7"/>
    <col min="7425" max="7425" width="30" style="7" customWidth="1"/>
    <col min="7426" max="7680" width="11" style="7"/>
    <col min="7681" max="7681" width="30" style="7" customWidth="1"/>
    <col min="7682" max="7936" width="11" style="7"/>
    <col min="7937" max="7937" width="30" style="7" customWidth="1"/>
    <col min="7938" max="8192" width="11" style="7"/>
    <col min="8193" max="8193" width="30" style="7" customWidth="1"/>
    <col min="8194" max="8448" width="11" style="7"/>
    <col min="8449" max="8449" width="30" style="7" customWidth="1"/>
    <col min="8450" max="8704" width="11" style="7"/>
    <col min="8705" max="8705" width="30" style="7" customWidth="1"/>
    <col min="8706" max="8960" width="11" style="7"/>
    <col min="8961" max="8961" width="30" style="7" customWidth="1"/>
    <col min="8962" max="9216" width="11" style="7"/>
    <col min="9217" max="9217" width="30" style="7" customWidth="1"/>
    <col min="9218" max="9472" width="11" style="7"/>
    <col min="9473" max="9473" width="30" style="7" customWidth="1"/>
    <col min="9474" max="9728" width="11" style="7"/>
    <col min="9729" max="9729" width="30" style="7" customWidth="1"/>
    <col min="9730" max="9984" width="11" style="7"/>
    <col min="9985" max="9985" width="30" style="7" customWidth="1"/>
    <col min="9986" max="10240" width="11" style="7"/>
    <col min="10241" max="10241" width="30" style="7" customWidth="1"/>
    <col min="10242" max="10496" width="11" style="7"/>
    <col min="10497" max="10497" width="30" style="7" customWidth="1"/>
    <col min="10498" max="10752" width="11" style="7"/>
    <col min="10753" max="10753" width="30" style="7" customWidth="1"/>
    <col min="10754" max="11008" width="11" style="7"/>
    <col min="11009" max="11009" width="30" style="7" customWidth="1"/>
    <col min="11010" max="11264" width="11" style="7"/>
    <col min="11265" max="11265" width="30" style="7" customWidth="1"/>
    <col min="11266" max="11520" width="11" style="7"/>
    <col min="11521" max="11521" width="30" style="7" customWidth="1"/>
    <col min="11522" max="11776" width="11" style="7"/>
    <col min="11777" max="11777" width="30" style="7" customWidth="1"/>
    <col min="11778" max="12032" width="11" style="7"/>
    <col min="12033" max="12033" width="30" style="7" customWidth="1"/>
    <col min="12034" max="12288" width="11" style="7"/>
    <col min="12289" max="12289" width="30" style="7" customWidth="1"/>
    <col min="12290" max="12544" width="11" style="7"/>
    <col min="12545" max="12545" width="30" style="7" customWidth="1"/>
    <col min="12546" max="12800" width="11" style="7"/>
    <col min="12801" max="12801" width="30" style="7" customWidth="1"/>
    <col min="12802" max="13056" width="11" style="7"/>
    <col min="13057" max="13057" width="30" style="7" customWidth="1"/>
    <col min="13058" max="13312" width="11" style="7"/>
    <col min="13313" max="13313" width="30" style="7" customWidth="1"/>
    <col min="13314" max="13568" width="11" style="7"/>
    <col min="13569" max="13569" width="30" style="7" customWidth="1"/>
    <col min="13570" max="13824" width="11" style="7"/>
    <col min="13825" max="13825" width="30" style="7" customWidth="1"/>
    <col min="13826" max="14080" width="11" style="7"/>
    <col min="14081" max="14081" width="30" style="7" customWidth="1"/>
    <col min="14082" max="14336" width="11" style="7"/>
    <col min="14337" max="14337" width="30" style="7" customWidth="1"/>
    <col min="14338" max="14592" width="11" style="7"/>
    <col min="14593" max="14593" width="30" style="7" customWidth="1"/>
    <col min="14594" max="14848" width="11" style="7"/>
    <col min="14849" max="14849" width="30" style="7" customWidth="1"/>
    <col min="14850" max="15104" width="11" style="7"/>
    <col min="15105" max="15105" width="30" style="7" customWidth="1"/>
    <col min="15106" max="15360" width="11" style="7"/>
    <col min="15361" max="15361" width="30" style="7" customWidth="1"/>
    <col min="15362" max="15616" width="11" style="7"/>
    <col min="15617" max="15617" width="30" style="7" customWidth="1"/>
    <col min="15618" max="15872" width="11" style="7"/>
    <col min="15873" max="15873" width="30" style="7" customWidth="1"/>
    <col min="15874" max="16128" width="11" style="7"/>
    <col min="16129" max="16129" width="30" style="7" customWidth="1"/>
    <col min="16130" max="16384" width="11" style="7"/>
  </cols>
  <sheetData>
    <row r="1" spans="1:26" ht="15.75">
      <c r="A1" s="2" t="s">
        <v>96</v>
      </c>
    </row>
    <row r="2" spans="1:26" ht="14.25">
      <c r="A2" s="6" t="s">
        <v>2</v>
      </c>
    </row>
    <row r="3" spans="1:26" ht="13.5" thickBot="1"/>
    <row r="4" spans="1:26" ht="13.5" thickBot="1">
      <c r="B4" s="38"/>
      <c r="C4" s="8">
        <v>1930</v>
      </c>
      <c r="D4" s="9">
        <v>1931</v>
      </c>
      <c r="E4" s="9">
        <v>1932</v>
      </c>
      <c r="F4" s="9">
        <v>1933</v>
      </c>
      <c r="G4" s="9">
        <v>1934</v>
      </c>
      <c r="H4" s="9">
        <v>1935</v>
      </c>
      <c r="I4" s="9">
        <v>1936</v>
      </c>
      <c r="J4" s="9">
        <v>1937</v>
      </c>
      <c r="K4" s="9">
        <v>1938</v>
      </c>
      <c r="L4" s="9">
        <v>1939</v>
      </c>
      <c r="M4" s="9">
        <v>1940</v>
      </c>
      <c r="N4" s="9">
        <v>1941</v>
      </c>
      <c r="O4" s="9">
        <v>1942</v>
      </c>
      <c r="P4" s="9">
        <v>1943</v>
      </c>
      <c r="Q4" s="9">
        <v>1944</v>
      </c>
      <c r="R4" s="9">
        <v>1945</v>
      </c>
      <c r="S4" s="9">
        <v>1946</v>
      </c>
      <c r="T4" s="9">
        <v>1947</v>
      </c>
      <c r="U4" s="9">
        <v>1948</v>
      </c>
      <c r="V4" s="9">
        <v>1949</v>
      </c>
      <c r="W4" s="9">
        <v>1950</v>
      </c>
      <c r="X4" s="9">
        <v>1951</v>
      </c>
      <c r="Y4" s="9">
        <v>1952</v>
      </c>
      <c r="Z4" s="10">
        <v>1953</v>
      </c>
    </row>
    <row r="5" spans="1:26">
      <c r="B5" s="34" t="s">
        <v>19</v>
      </c>
      <c r="C5" s="26">
        <f>[35]Durées!C296</f>
        <v>128.14881827523601</v>
      </c>
      <c r="D5" s="27">
        <f>[35]Durées!D296</f>
        <v>132.74238104425368</v>
      </c>
      <c r="E5" s="27">
        <f>[35]Durées!E296</f>
        <v>134.14661723178665</v>
      </c>
      <c r="F5" s="27">
        <f>[35]Durées!F296</f>
        <v>133.30424632691134</v>
      </c>
      <c r="G5" s="27">
        <f>[35]Durées!G296</f>
        <v>134.05288524138464</v>
      </c>
      <c r="H5" s="27">
        <f>[35]Durées!H296</f>
        <v>133.67791683371834</v>
      </c>
      <c r="I5" s="27">
        <f>[35]Durées!I296</f>
        <v>134.15703518116598</v>
      </c>
      <c r="J5" s="27">
        <f>[35]Durées!J296</f>
        <v>135.05068080825265</v>
      </c>
      <c r="K5" s="27">
        <f>[35]Durées!K296</f>
        <v>137.32258475920199</v>
      </c>
      <c r="L5" s="27">
        <f>[35]Durées!L296</f>
        <v>138.21099498280134</v>
      </c>
      <c r="M5" s="27">
        <f>[35]Durées!M296</f>
        <v>139.47536715814832</v>
      </c>
      <c r="N5" s="27">
        <f>[35]Durées!N296</f>
        <v>139.56335988046933</v>
      </c>
      <c r="O5" s="27">
        <f>[35]Durées!O296</f>
        <v>139.44170185598168</v>
      </c>
      <c r="P5" s="27">
        <f>[35]Durées!P296</f>
        <v>140.01366710729633</v>
      </c>
      <c r="Q5" s="27">
        <f>[35]Durées!Q296</f>
        <v>141.15865163702665</v>
      </c>
      <c r="R5" s="27">
        <f>[35]Durées!R296</f>
        <v>142.86895024015598</v>
      </c>
      <c r="S5" s="27">
        <f>[35]Durées!S296</f>
        <v>143.98320357689099</v>
      </c>
      <c r="T5" s="27">
        <f>[35]Durées!T296</f>
        <v>144.75913788854368</v>
      </c>
      <c r="U5" s="27">
        <f>[35]Durées!U296</f>
        <v>145.20256957287268</v>
      </c>
      <c r="V5" s="27">
        <f>[35]Durées!V296</f>
        <v>145.97989277662998</v>
      </c>
      <c r="W5" s="27">
        <f>[35]Durées!W296</f>
        <v>147.02831744189731</v>
      </c>
      <c r="X5" s="27">
        <f>[35]Durées!X296</f>
        <v>147.82809717801433</v>
      </c>
      <c r="Y5" s="27">
        <f>[35]Durées!Y296</f>
        <v>147.814576638723</v>
      </c>
      <c r="Z5" s="28">
        <f>[35]Durées!Z296</f>
        <v>148.065479163981</v>
      </c>
    </row>
    <row r="6" spans="1:26">
      <c r="B6" s="35" t="s">
        <v>18</v>
      </c>
      <c r="C6" s="29">
        <f>[35]Durées!C297</f>
        <v>121.43086009211</v>
      </c>
      <c r="D6" s="30">
        <f>[35]Durées!D297</f>
        <v>122.27322464542567</v>
      </c>
      <c r="E6" s="30">
        <f>[35]Durées!E297</f>
        <v>122.123577238035</v>
      </c>
      <c r="F6" s="30">
        <f>[35]Durées!F297</f>
        <v>121.75790724532435</v>
      </c>
      <c r="G6" s="30">
        <f>[35]Durées!G297</f>
        <v>122.47060093809567</v>
      </c>
      <c r="H6" s="30">
        <f>[35]Durées!H297</f>
        <v>123.49155952002234</v>
      </c>
      <c r="I6" s="30">
        <f>[35]Durées!I297</f>
        <v>125.00780859771668</v>
      </c>
      <c r="J6" s="30">
        <f>[35]Durées!J297</f>
        <v>126.16560397740402</v>
      </c>
      <c r="K6" s="30">
        <f>[35]Durées!K297</f>
        <v>128.68795561595633</v>
      </c>
      <c r="L6" s="30">
        <f>[35]Durées!L297</f>
        <v>130.22118251106167</v>
      </c>
      <c r="M6" s="30">
        <f>[35]Durées!M297</f>
        <v>131.88685470235998</v>
      </c>
      <c r="N6" s="30">
        <f>[35]Durées!N297</f>
        <v>133.13325423394033</v>
      </c>
      <c r="O6" s="30">
        <f>[35]Durées!O297</f>
        <v>135.27076434477064</v>
      </c>
      <c r="P6" s="30">
        <f>[35]Durées!P297</f>
        <v>137.43625664157199</v>
      </c>
      <c r="Q6" s="30">
        <f>[35]Durées!Q297</f>
        <v>139.34353874985098</v>
      </c>
      <c r="R6" s="30">
        <f>[35]Durées!R297</f>
        <v>141.27135557883335</v>
      </c>
      <c r="S6" s="30">
        <f>[35]Durées!S297</f>
        <v>143.80322177140201</v>
      </c>
      <c r="T6" s="30">
        <f>[35]Durées!T297</f>
        <v>145.91713732078634</v>
      </c>
      <c r="U6" s="30">
        <f>[35]Durées!U297</f>
        <v>147.92869733114333</v>
      </c>
      <c r="V6" s="30">
        <f>[35]Durées!V297</f>
        <v>149.24729905574367</v>
      </c>
      <c r="W6" s="30">
        <f>[35]Durées!W297</f>
        <v>151.17840250717299</v>
      </c>
      <c r="X6" s="30">
        <f>[35]Durées!X297</f>
        <v>153.27475813863833</v>
      </c>
      <c r="Y6" s="30">
        <f>[35]Durées!Y297</f>
        <v>155.44627935229201</v>
      </c>
      <c r="Z6" s="31">
        <f>[35]Durées!Z297</f>
        <v>157.418243038139</v>
      </c>
    </row>
    <row r="7" spans="1:26" ht="13.5" thickBot="1">
      <c r="B7" s="36" t="s">
        <v>22</v>
      </c>
      <c r="C7" s="32">
        <f>[35]Durées!C298</f>
        <v>112.749816694016</v>
      </c>
      <c r="D7" s="33">
        <f>[35]Durées!D298</f>
        <v>113.62811560547432</v>
      </c>
      <c r="E7" s="33">
        <f>[35]Durées!E298</f>
        <v>115.45929353068168</v>
      </c>
      <c r="F7" s="33">
        <f>[35]Durées!F298</f>
        <v>116.95203188795132</v>
      </c>
      <c r="G7" s="33">
        <f>[35]Durées!G298</f>
        <v>118.217363536495</v>
      </c>
      <c r="H7" s="33">
        <f>[35]Durées!H298</f>
        <v>118.80681674214168</v>
      </c>
      <c r="I7" s="33">
        <f>[35]Durées!I298</f>
        <v>119.458819083135</v>
      </c>
      <c r="J7" s="33">
        <f>[35]Durées!J298</f>
        <v>121.503745992625</v>
      </c>
      <c r="K7" s="33">
        <f>[35]Durées!K298</f>
        <v>122.96781679301633</v>
      </c>
      <c r="L7" s="33">
        <f>[35]Durées!L298</f>
        <v>125.08615579436731</v>
      </c>
      <c r="M7" s="33">
        <f>[35]Durées!M298</f>
        <v>127.13377839178433</v>
      </c>
      <c r="N7" s="33">
        <f>[35]Durées!N298</f>
        <v>129.37083456533</v>
      </c>
      <c r="O7" s="33">
        <f>[35]Durées!O298</f>
        <v>131.45089818186401</v>
      </c>
      <c r="P7" s="33">
        <f>[35]Durées!P298</f>
        <v>133.147723927676</v>
      </c>
      <c r="Q7" s="33">
        <f>[35]Durées!Q298</f>
        <v>135.42535672815532</v>
      </c>
      <c r="R7" s="33">
        <f>[35]Durées!R298</f>
        <v>138.36908126187268</v>
      </c>
      <c r="S7" s="33">
        <f>[35]Durées!S298</f>
        <v>141.79616659966834</v>
      </c>
      <c r="T7" s="33">
        <f>[35]Durées!T298</f>
        <v>144.88120793842802</v>
      </c>
      <c r="U7" s="33">
        <f>[35]Durées!U298</f>
        <v>147.51945146201933</v>
      </c>
      <c r="V7" s="33">
        <f>[35]Durées!V298</f>
        <v>149.09280590686066</v>
      </c>
      <c r="W7" s="33">
        <f>[35]Durées!W298</f>
        <v>151.46428870845935</v>
      </c>
      <c r="X7" s="33">
        <f>[35]Durées!X298</f>
        <v>153.51939180661398</v>
      </c>
      <c r="Y7" s="33">
        <f>[35]Durées!Y298</f>
        <v>156.23041022917701</v>
      </c>
      <c r="Z7" s="42">
        <f>[35]Durées!Z298</f>
        <v>158.211756867209</v>
      </c>
    </row>
    <row r="8" spans="1:26">
      <c r="B8" s="34" t="s">
        <v>20</v>
      </c>
      <c r="C8" s="45">
        <f>[35]Durées!C300</f>
        <v>110.11351835827729</v>
      </c>
      <c r="D8" s="43">
        <f>[35]Durées!D300</f>
        <v>110.9030751739662</v>
      </c>
      <c r="E8" s="43">
        <f>[35]Durées!E300</f>
        <v>110.695087007358</v>
      </c>
      <c r="F8" s="43">
        <f>[35]Durées!F300</f>
        <v>110.35257297886191</v>
      </c>
      <c r="G8" s="43">
        <f>[35]Durées!G300</f>
        <v>110.96644310268501</v>
      </c>
      <c r="H8" s="43">
        <f>[35]Durées!H300</f>
        <v>111.87478000618194</v>
      </c>
      <c r="I8" s="43">
        <f>[35]Durées!I300</f>
        <v>113.23500349349153</v>
      </c>
      <c r="J8" s="43">
        <f>[35]Durées!J300</f>
        <v>114.35131639580926</v>
      </c>
      <c r="K8" s="43">
        <f>[35]Durées!K300</f>
        <v>116.84576729844524</v>
      </c>
      <c r="L8" s="43">
        <f>[35]Durées!L300</f>
        <v>118.33451424752438</v>
      </c>
      <c r="M8" s="43">
        <f>[35]Durées!M300</f>
        <v>119.92176126056552</v>
      </c>
      <c r="N8" s="43">
        <f>[35]Durées!N300</f>
        <v>121.16759538662301</v>
      </c>
      <c r="O8" s="43">
        <f>[35]Durées!O300</f>
        <v>123.30234441316202</v>
      </c>
      <c r="P8" s="43">
        <f>[35]Durées!P300</f>
        <v>125.43991173515333</v>
      </c>
      <c r="Q8" s="43">
        <f>[35]Durées!Q300</f>
        <v>127.20746425603825</v>
      </c>
      <c r="R8" s="43">
        <f>[35]Durées!R300</f>
        <v>129.02276289827367</v>
      </c>
      <c r="S8" s="43">
        <f>[35]Durées!S300</f>
        <v>131.47926831114034</v>
      </c>
      <c r="T8" s="43">
        <f>[35]Durées!T300</f>
        <v>133.54962249858428</v>
      </c>
      <c r="U8" s="43">
        <f>[35]Durées!U300</f>
        <v>135.47660582645679</v>
      </c>
      <c r="V8" s="43">
        <f>[35]Durées!V300</f>
        <v>136.76201680714954</v>
      </c>
      <c r="W8" s="43">
        <f>[35]Durées!W300</f>
        <v>138.65744293643209</v>
      </c>
      <c r="X8" s="43">
        <f>[35]Durées!X300</f>
        <v>140.77428503042151</v>
      </c>
      <c r="Y8" s="43">
        <f>[35]Durées!Y300</f>
        <v>142.92481112130952</v>
      </c>
      <c r="Z8" s="44">
        <f>[35]Durées!Z300</f>
        <v>144.90379982598799</v>
      </c>
    </row>
    <row r="9" spans="1:26" ht="13.5" thickBot="1">
      <c r="B9" s="36" t="s">
        <v>21</v>
      </c>
      <c r="C9" s="46">
        <f>[35]Durées!C301</f>
        <v>83.278294999026002</v>
      </c>
      <c r="D9" s="33">
        <f>[35]Durées!D301</f>
        <v>84.869327495353744</v>
      </c>
      <c r="E9" s="33">
        <f>[35]Durées!E301</f>
        <v>86.797885025714393</v>
      </c>
      <c r="F9" s="33">
        <f>[35]Durées!F301</f>
        <v>88.083940257298707</v>
      </c>
      <c r="G9" s="33">
        <f>[35]Durées!G301</f>
        <v>89.310100423140923</v>
      </c>
      <c r="H9" s="33">
        <f>[35]Durées!H301</f>
        <v>90.071076582345896</v>
      </c>
      <c r="I9" s="33">
        <f>[35]Durées!I301</f>
        <v>90.929043130780315</v>
      </c>
      <c r="J9" s="33">
        <f>[35]Durées!J301</f>
        <v>93.209430003544071</v>
      </c>
      <c r="K9" s="33">
        <f>[35]Durées!K301</f>
        <v>95.039694427988806</v>
      </c>
      <c r="L9" s="33">
        <f>[35]Durées!L301</f>
        <v>97.25093495354686</v>
      </c>
      <c r="M9" s="33">
        <f>[35]Durées!M301</f>
        <v>99.545792790753822</v>
      </c>
      <c r="N9" s="33">
        <f>[35]Durées!N301</f>
        <v>101.67598991386807</v>
      </c>
      <c r="O9" s="33">
        <f>[35]Durées!O301</f>
        <v>103.78724823679674</v>
      </c>
      <c r="P9" s="33">
        <f>[35]Durées!P301</f>
        <v>105.45899314257319</v>
      </c>
      <c r="Q9" s="33">
        <f>[35]Durées!Q301</f>
        <v>107.78444258455276</v>
      </c>
      <c r="R9" s="33">
        <f>[35]Durées!R301</f>
        <v>110.738928918932</v>
      </c>
      <c r="S9" s="33">
        <f>[35]Durées!S301</f>
        <v>114.22538698714386</v>
      </c>
      <c r="T9" s="33">
        <f>[35]Durées!T301</f>
        <v>117.42674548082967</v>
      </c>
      <c r="U9" s="33">
        <f>[35]Durées!U301</f>
        <v>120.2389777715962</v>
      </c>
      <c r="V9" s="33">
        <f>[35]Durées!V301</f>
        <v>121.76632000913793</v>
      </c>
      <c r="W9" s="33">
        <f>[35]Durées!W301</f>
        <v>124.2212451518747</v>
      </c>
      <c r="X9" s="33">
        <f>[35]Durées!X301</f>
        <v>126.23377652299656</v>
      </c>
      <c r="Y9" s="33">
        <f>[35]Durées!Y301</f>
        <v>129.16619218252302</v>
      </c>
      <c r="Z9" s="42">
        <f>[35]Durées!Z301</f>
        <v>131.38145507877189</v>
      </c>
    </row>
    <row r="11" spans="1:26">
      <c r="B11" s="11" t="s">
        <v>11</v>
      </c>
      <c r="W11" s="13"/>
      <c r="X11" s="13"/>
      <c r="Y11" s="13"/>
      <c r="Z11" s="13"/>
    </row>
    <row r="12" spans="1:26">
      <c r="B12" s="11" t="s">
        <v>9</v>
      </c>
      <c r="W12" s="13"/>
      <c r="X12" s="13"/>
      <c r="Y12" s="13"/>
      <c r="Z12" s="13"/>
    </row>
    <row r="13" spans="1:26">
      <c r="B13" s="11" t="s">
        <v>10</v>
      </c>
    </row>
  </sheetData>
  <hyperlinks>
    <hyperlink ref="A2" location="SOMMAIRE!A1" display="Retour au sommaire" xr:uid="{D0236648-C276-49DD-BED1-A65C78E21CFA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29CF-A7A5-479E-BCE9-5954836B72EA}">
  <sheetPr>
    <tabColor rgb="FFACB9CA"/>
  </sheetPr>
  <dimension ref="A1:BR13"/>
  <sheetViews>
    <sheetView workbookViewId="0">
      <selection activeCell="A2" sqref="A2"/>
    </sheetView>
  </sheetViews>
  <sheetFormatPr baseColWidth="10" defaultRowHeight="12.75"/>
  <cols>
    <col min="1" max="1" width="11" style="7"/>
    <col min="2" max="2" width="30" style="7" customWidth="1"/>
    <col min="3" max="253" width="11" style="7"/>
    <col min="254" max="254" width="30" style="7" customWidth="1"/>
    <col min="255" max="509" width="11" style="7"/>
    <col min="510" max="510" width="30" style="7" customWidth="1"/>
    <col min="511" max="765" width="11" style="7"/>
    <col min="766" max="766" width="30" style="7" customWidth="1"/>
    <col min="767" max="1021" width="11" style="7"/>
    <col min="1022" max="1022" width="30" style="7" customWidth="1"/>
    <col min="1023" max="1277" width="11" style="7"/>
    <col min="1278" max="1278" width="30" style="7" customWidth="1"/>
    <col min="1279" max="1533" width="11" style="7"/>
    <col min="1534" max="1534" width="30" style="7" customWidth="1"/>
    <col min="1535" max="1789" width="11" style="7"/>
    <col min="1790" max="1790" width="30" style="7" customWidth="1"/>
    <col min="1791" max="2045" width="11" style="7"/>
    <col min="2046" max="2046" width="30" style="7" customWidth="1"/>
    <col min="2047" max="2301" width="11" style="7"/>
    <col min="2302" max="2302" width="30" style="7" customWidth="1"/>
    <col min="2303" max="2557" width="11" style="7"/>
    <col min="2558" max="2558" width="30" style="7" customWidth="1"/>
    <col min="2559" max="2813" width="11" style="7"/>
    <col min="2814" max="2814" width="30" style="7" customWidth="1"/>
    <col min="2815" max="3069" width="11" style="7"/>
    <col min="3070" max="3070" width="30" style="7" customWidth="1"/>
    <col min="3071" max="3325" width="11" style="7"/>
    <col min="3326" max="3326" width="30" style="7" customWidth="1"/>
    <col min="3327" max="3581" width="11" style="7"/>
    <col min="3582" max="3582" width="30" style="7" customWidth="1"/>
    <col min="3583" max="3837" width="11" style="7"/>
    <col min="3838" max="3838" width="30" style="7" customWidth="1"/>
    <col min="3839" max="4093" width="11" style="7"/>
    <col min="4094" max="4094" width="30" style="7" customWidth="1"/>
    <col min="4095" max="4349" width="11" style="7"/>
    <col min="4350" max="4350" width="30" style="7" customWidth="1"/>
    <col min="4351" max="4605" width="11" style="7"/>
    <col min="4606" max="4606" width="30" style="7" customWidth="1"/>
    <col min="4607" max="4861" width="11" style="7"/>
    <col min="4862" max="4862" width="30" style="7" customWidth="1"/>
    <col min="4863" max="5117" width="11" style="7"/>
    <col min="5118" max="5118" width="30" style="7" customWidth="1"/>
    <col min="5119" max="5373" width="11" style="7"/>
    <col min="5374" max="5374" width="30" style="7" customWidth="1"/>
    <col min="5375" max="5629" width="11" style="7"/>
    <col min="5630" max="5630" width="30" style="7" customWidth="1"/>
    <col min="5631" max="5885" width="11" style="7"/>
    <col min="5886" max="5886" width="30" style="7" customWidth="1"/>
    <col min="5887" max="6141" width="11" style="7"/>
    <col min="6142" max="6142" width="30" style="7" customWidth="1"/>
    <col min="6143" max="6397" width="11" style="7"/>
    <col min="6398" max="6398" width="30" style="7" customWidth="1"/>
    <col min="6399" max="6653" width="11" style="7"/>
    <col min="6654" max="6654" width="30" style="7" customWidth="1"/>
    <col min="6655" max="6909" width="11" style="7"/>
    <col min="6910" max="6910" width="30" style="7" customWidth="1"/>
    <col min="6911" max="7165" width="11" style="7"/>
    <col min="7166" max="7166" width="30" style="7" customWidth="1"/>
    <col min="7167" max="7421" width="11" style="7"/>
    <col min="7422" max="7422" width="30" style="7" customWidth="1"/>
    <col min="7423" max="7677" width="11" style="7"/>
    <col min="7678" max="7678" width="30" style="7" customWidth="1"/>
    <col min="7679" max="7933" width="11" style="7"/>
    <col min="7934" max="7934" width="30" style="7" customWidth="1"/>
    <col min="7935" max="8189" width="11" style="7"/>
    <col min="8190" max="8190" width="30" style="7" customWidth="1"/>
    <col min="8191" max="8445" width="11" style="7"/>
    <col min="8446" max="8446" width="30" style="7" customWidth="1"/>
    <col min="8447" max="8701" width="11" style="7"/>
    <col min="8702" max="8702" width="30" style="7" customWidth="1"/>
    <col min="8703" max="8957" width="11" style="7"/>
    <col min="8958" max="8958" width="30" style="7" customWidth="1"/>
    <col min="8959" max="9213" width="11" style="7"/>
    <col min="9214" max="9214" width="30" style="7" customWidth="1"/>
    <col min="9215" max="9469" width="11" style="7"/>
    <col min="9470" max="9470" width="30" style="7" customWidth="1"/>
    <col min="9471" max="9725" width="11" style="7"/>
    <col min="9726" max="9726" width="30" style="7" customWidth="1"/>
    <col min="9727" max="9981" width="11" style="7"/>
    <col min="9982" max="9982" width="30" style="7" customWidth="1"/>
    <col min="9983" max="10237" width="11" style="7"/>
    <col min="10238" max="10238" width="30" style="7" customWidth="1"/>
    <col min="10239" max="10493" width="11" style="7"/>
    <col min="10494" max="10494" width="30" style="7" customWidth="1"/>
    <col min="10495" max="10749" width="11" style="7"/>
    <col min="10750" max="10750" width="30" style="7" customWidth="1"/>
    <col min="10751" max="11005" width="11" style="7"/>
    <col min="11006" max="11006" width="30" style="7" customWidth="1"/>
    <col min="11007" max="11261" width="11" style="7"/>
    <col min="11262" max="11262" width="30" style="7" customWidth="1"/>
    <col min="11263" max="11517" width="11" style="7"/>
    <col min="11518" max="11518" width="30" style="7" customWidth="1"/>
    <col min="11519" max="11773" width="11" style="7"/>
    <col min="11774" max="11774" width="30" style="7" customWidth="1"/>
    <col min="11775" max="12029" width="11" style="7"/>
    <col min="12030" max="12030" width="30" style="7" customWidth="1"/>
    <col min="12031" max="12285" width="11" style="7"/>
    <col min="12286" max="12286" width="30" style="7" customWidth="1"/>
    <col min="12287" max="12541" width="11" style="7"/>
    <col min="12542" max="12542" width="30" style="7" customWidth="1"/>
    <col min="12543" max="12797" width="11" style="7"/>
    <col min="12798" max="12798" width="30" style="7" customWidth="1"/>
    <col min="12799" max="13053" width="11" style="7"/>
    <col min="13054" max="13054" width="30" style="7" customWidth="1"/>
    <col min="13055" max="13309" width="11" style="7"/>
    <col min="13310" max="13310" width="30" style="7" customWidth="1"/>
    <col min="13311" max="13565" width="11" style="7"/>
    <col min="13566" max="13566" width="30" style="7" customWidth="1"/>
    <col min="13567" max="13821" width="11" style="7"/>
    <col min="13822" max="13822" width="30" style="7" customWidth="1"/>
    <col min="13823" max="14077" width="11" style="7"/>
    <col min="14078" max="14078" width="30" style="7" customWidth="1"/>
    <col min="14079" max="14333" width="11" style="7"/>
    <col min="14334" max="14334" width="30" style="7" customWidth="1"/>
    <col min="14335" max="14589" width="11" style="7"/>
    <col min="14590" max="14590" width="30" style="7" customWidth="1"/>
    <col min="14591" max="14845" width="11" style="7"/>
    <col min="14846" max="14846" width="30" style="7" customWidth="1"/>
    <col min="14847" max="15101" width="11" style="7"/>
    <col min="15102" max="15102" width="30" style="7" customWidth="1"/>
    <col min="15103" max="15357" width="11" style="7"/>
    <col min="15358" max="15358" width="30" style="7" customWidth="1"/>
    <col min="15359" max="15613" width="11" style="7"/>
    <col min="15614" max="15614" width="30" style="7" customWidth="1"/>
    <col min="15615" max="15869" width="11" style="7"/>
    <col min="15870" max="15870" width="30" style="7" customWidth="1"/>
    <col min="15871" max="16125" width="11" style="7"/>
    <col min="16126" max="16126" width="30" style="7" customWidth="1"/>
    <col min="16127" max="16384" width="11" style="7"/>
  </cols>
  <sheetData>
    <row r="1" spans="1:70" ht="15.75">
      <c r="A1" s="2" t="s">
        <v>97</v>
      </c>
    </row>
    <row r="2" spans="1:70" ht="14.25">
      <c r="A2" s="6" t="s">
        <v>2</v>
      </c>
    </row>
    <row r="3" spans="1:70" ht="13.5" thickBot="1"/>
    <row r="4" spans="1:70" ht="13.5" thickBot="1">
      <c r="B4" s="38"/>
      <c r="C4" s="8">
        <v>1933</v>
      </c>
      <c r="D4" s="9">
        <v>1934</v>
      </c>
      <c r="E4" s="9">
        <v>1935</v>
      </c>
      <c r="F4" s="9">
        <v>1936</v>
      </c>
      <c r="G4" s="9">
        <v>1937</v>
      </c>
      <c r="H4" s="9">
        <v>1938</v>
      </c>
      <c r="I4" s="9">
        <v>1939</v>
      </c>
      <c r="J4" s="9">
        <v>1940</v>
      </c>
      <c r="K4" s="9">
        <v>1941</v>
      </c>
      <c r="L4" s="9">
        <v>1942</v>
      </c>
      <c r="M4" s="9">
        <v>1943</v>
      </c>
      <c r="N4" s="9">
        <v>1944</v>
      </c>
      <c r="O4" s="9">
        <v>1945</v>
      </c>
      <c r="P4" s="9">
        <v>1946</v>
      </c>
      <c r="Q4" s="9">
        <v>1947</v>
      </c>
      <c r="R4" s="9">
        <v>1948</v>
      </c>
      <c r="S4" s="9">
        <v>1949</v>
      </c>
      <c r="T4" s="9">
        <v>1950</v>
      </c>
      <c r="U4" s="9">
        <v>1951</v>
      </c>
      <c r="V4" s="9">
        <v>1952</v>
      </c>
      <c r="W4" s="9">
        <v>1953</v>
      </c>
      <c r="X4" s="9">
        <v>1954</v>
      </c>
      <c r="Y4" s="9">
        <v>1955</v>
      </c>
      <c r="Z4" s="9">
        <v>1956</v>
      </c>
      <c r="AA4" s="9">
        <v>1957</v>
      </c>
      <c r="AB4" s="9">
        <v>1958</v>
      </c>
      <c r="AC4" s="9">
        <v>1959</v>
      </c>
      <c r="AD4" s="9">
        <v>1960</v>
      </c>
      <c r="AE4" s="9">
        <v>1961</v>
      </c>
      <c r="AF4" s="9">
        <v>1962</v>
      </c>
      <c r="AG4" s="9">
        <v>1963</v>
      </c>
      <c r="AH4" s="9">
        <v>1964</v>
      </c>
      <c r="AI4" s="9">
        <v>1965</v>
      </c>
      <c r="AJ4" s="9">
        <v>1966</v>
      </c>
      <c r="AK4" s="9">
        <v>1967</v>
      </c>
      <c r="AL4" s="9">
        <v>1968</v>
      </c>
      <c r="AM4" s="9">
        <v>1969</v>
      </c>
      <c r="AN4" s="9">
        <v>1970</v>
      </c>
      <c r="AO4" s="9">
        <v>1971</v>
      </c>
      <c r="AP4" s="9">
        <v>1972</v>
      </c>
      <c r="AQ4" s="9">
        <v>1973</v>
      </c>
      <c r="AR4" s="9">
        <v>1974</v>
      </c>
      <c r="AS4" s="9">
        <v>1975</v>
      </c>
      <c r="AT4" s="9">
        <v>1976</v>
      </c>
      <c r="AU4" s="9">
        <v>1977</v>
      </c>
      <c r="AV4" s="9">
        <v>1978</v>
      </c>
      <c r="AW4" s="9">
        <v>1979</v>
      </c>
      <c r="AX4" s="9">
        <v>1980</v>
      </c>
      <c r="AY4" s="9">
        <v>1981</v>
      </c>
      <c r="AZ4" s="9">
        <v>1982</v>
      </c>
      <c r="BA4" s="9">
        <v>1983</v>
      </c>
      <c r="BB4" s="9">
        <v>1984</v>
      </c>
      <c r="BC4" s="9">
        <v>1985</v>
      </c>
      <c r="BD4" s="9">
        <v>1986</v>
      </c>
      <c r="BE4" s="9">
        <v>1987</v>
      </c>
      <c r="BF4" s="9">
        <v>1988</v>
      </c>
      <c r="BG4" s="9">
        <v>1989</v>
      </c>
      <c r="BH4" s="9">
        <v>1990</v>
      </c>
      <c r="BI4" s="9">
        <v>1991</v>
      </c>
      <c r="BJ4" s="9">
        <v>1992</v>
      </c>
      <c r="BK4" s="9">
        <v>1993</v>
      </c>
      <c r="BL4" s="9">
        <v>1994</v>
      </c>
      <c r="BM4" s="9">
        <v>1995</v>
      </c>
      <c r="BN4" s="9">
        <v>1996</v>
      </c>
      <c r="BO4" s="9">
        <v>1997</v>
      </c>
      <c r="BP4" s="9">
        <v>1998</v>
      </c>
      <c r="BQ4" s="9">
        <v>1999</v>
      </c>
      <c r="BR4" s="10">
        <v>2000</v>
      </c>
    </row>
    <row r="5" spans="1:70">
      <c r="B5" s="34" t="s">
        <v>19</v>
      </c>
      <c r="C5" s="26">
        <f>[32]Durées!F199</f>
        <v>128.69</v>
      </c>
      <c r="D5" s="27">
        <f>[32]Durées!G199</f>
        <v>134.29333333333332</v>
      </c>
      <c r="E5" s="27">
        <f>[32]Durées!H199</f>
        <v>136.17599999999999</v>
      </c>
      <c r="F5" s="27">
        <f>[32]Durées!I199</f>
        <v>138.44199999999998</v>
      </c>
      <c r="G5" s="27">
        <f>[32]Durées!J199</f>
        <v>139.77799999999999</v>
      </c>
      <c r="H5" s="27">
        <f>[32]Durées!K199</f>
        <v>141.196</v>
      </c>
      <c r="I5" s="27">
        <f>[32]Durées!L199</f>
        <v>142.34200000000001</v>
      </c>
      <c r="J5" s="27">
        <f>[32]Durées!M199</f>
        <v>143.82000000000002</v>
      </c>
      <c r="K5" s="27">
        <f>[32]Durées!N199</f>
        <v>145.24200000000002</v>
      </c>
      <c r="L5" s="27">
        <f>[32]Durées!O199</f>
        <v>145.65600000000001</v>
      </c>
      <c r="M5" s="27">
        <f>[32]Durées!P199</f>
        <v>145.64000000000001</v>
      </c>
      <c r="N5" s="27">
        <f>[32]Durées!Q199</f>
        <v>145.94400000000002</v>
      </c>
      <c r="O5" s="27">
        <f>[32]Durées!R199</f>
        <v>145.97200000000004</v>
      </c>
      <c r="P5" s="27">
        <f>[32]Durées!S199</f>
        <v>146.22399999999999</v>
      </c>
      <c r="Q5" s="27">
        <f>[32]Durées!T199</f>
        <v>146.59800000000001</v>
      </c>
      <c r="R5" s="27">
        <f>[32]Durées!U199</f>
        <v>147.26600000000002</v>
      </c>
      <c r="S5" s="27">
        <f>[32]Durées!V199</f>
        <v>147.786</v>
      </c>
      <c r="T5" s="27">
        <f>[32]Durées!W199</f>
        <v>148.18400000000003</v>
      </c>
      <c r="U5" s="27">
        <f>[32]Durées!X199</f>
        <v>148.16399999999999</v>
      </c>
      <c r="V5" s="27">
        <f>[32]Durées!Y199</f>
        <v>148.584</v>
      </c>
      <c r="W5" s="27">
        <f>[32]Durées!Z199</f>
        <v>149.18</v>
      </c>
      <c r="X5" s="27">
        <f>[32]Durées!AA199</f>
        <v>150.208</v>
      </c>
      <c r="Y5" s="27">
        <f>[32]Durées!AB199</f>
        <v>150.36799999999999</v>
      </c>
      <c r="Z5" s="27">
        <f>[32]Durées!AC199</f>
        <v>150.97199999999998</v>
      </c>
      <c r="AA5" s="27">
        <f>[32]Durées!AD199</f>
        <v>151.084</v>
      </c>
      <c r="AB5" s="27">
        <f>[32]Durées!AE199</f>
        <v>150.166</v>
      </c>
      <c r="AC5" s="27">
        <f>[32]Durées!AF199</f>
        <v>149.4</v>
      </c>
      <c r="AD5" s="27">
        <f>[32]Durées!AG199</f>
        <v>149.59800000000001</v>
      </c>
      <c r="AE5" s="27">
        <f>[32]Durées!AH199</f>
        <v>149.20800000000003</v>
      </c>
      <c r="AF5" s="27">
        <f>[32]Durées!AI199</f>
        <v>149.09800000000001</v>
      </c>
      <c r="AG5" s="27">
        <f>[32]Durées!AJ199</f>
        <v>149.97800000000001</v>
      </c>
      <c r="AH5" s="27">
        <f>[32]Durées!AK199</f>
        <v>149.86199999999999</v>
      </c>
      <c r="AI5" s="27">
        <f>[32]Durées!AL199</f>
        <v>149.15799999999999</v>
      </c>
      <c r="AJ5" s="27">
        <f>[32]Durées!AM199</f>
        <v>149.00800000000001</v>
      </c>
      <c r="AK5" s="27">
        <f>[32]Durées!AN199</f>
        <v>148.68600000000001</v>
      </c>
      <c r="AL5" s="27">
        <f>[32]Durées!AO199</f>
        <v>147.994</v>
      </c>
      <c r="AM5" s="27">
        <f>[32]Durées!AP199</f>
        <v>147.66000000000003</v>
      </c>
      <c r="AN5" s="27">
        <f>[32]Durées!AQ199</f>
        <v>147.584</v>
      </c>
      <c r="AO5" s="27">
        <f>[32]Durées!AR199</f>
        <v>147.09599999999998</v>
      </c>
      <c r="AP5" s="27">
        <f>[32]Durées!AS199</f>
        <v>146.06199999999998</v>
      </c>
      <c r="AQ5" s="27">
        <f>[32]Durées!AT199</f>
        <v>145.458</v>
      </c>
      <c r="AR5" s="27">
        <f>[32]Durées!AU199</f>
        <v>144.34399999999999</v>
      </c>
      <c r="AS5" s="27">
        <f>[32]Durées!AV199</f>
        <v>143.334</v>
      </c>
      <c r="AT5" s="27">
        <f>[32]Durées!AW199</f>
        <v>142.99600000000001</v>
      </c>
      <c r="AU5" s="27">
        <f>[32]Durées!AX199</f>
        <v>143.38000000000002</v>
      </c>
      <c r="AV5" s="27">
        <f>[32]Durées!AY199</f>
        <v>143.81800000000001</v>
      </c>
      <c r="AW5" s="27">
        <f>[32]Durées!AZ199</f>
        <v>144.66999999999999</v>
      </c>
      <c r="AX5" s="27">
        <f>[32]Durées!BA199</f>
        <v>145.358</v>
      </c>
      <c r="AY5" s="27">
        <f>[32]Durées!BB199</f>
        <v>145.65</v>
      </c>
      <c r="AZ5" s="27">
        <f>[32]Durées!BC199</f>
        <v>146.23200000000003</v>
      </c>
      <c r="BA5" s="27">
        <f>[32]Durées!BD199</f>
        <v>146.68799999999999</v>
      </c>
      <c r="BB5" s="27">
        <f>[32]Durées!BE199</f>
        <v>147.14600000000002</v>
      </c>
      <c r="BC5" s="27">
        <f>[32]Durées!BF199</f>
        <v>147.874</v>
      </c>
      <c r="BD5" s="27">
        <f>[32]Durées!BG199</f>
        <v>148.50600000000003</v>
      </c>
      <c r="BE5" s="27">
        <f>[32]Durées!BH199</f>
        <v>148.92400000000004</v>
      </c>
      <c r="BF5" s="27">
        <f>[32]Durées!BI199</f>
        <v>149.56</v>
      </c>
      <c r="BG5" s="27">
        <f>[32]Durées!BJ199</f>
        <v>149.94200000000001</v>
      </c>
      <c r="BH5" s="27">
        <f>[32]Durées!BK199</f>
        <v>150.476</v>
      </c>
      <c r="BI5" s="27">
        <f>[32]Durées!BL199</f>
        <v>151.14400000000001</v>
      </c>
      <c r="BJ5" s="27">
        <f>[32]Durées!BM199</f>
        <v>151.61200000000002</v>
      </c>
      <c r="BK5" s="27">
        <f>[32]Durées!BN199</f>
        <v>151.96199999999999</v>
      </c>
      <c r="BL5" s="27">
        <f>[32]Durées!BO199</f>
        <v>152.756</v>
      </c>
      <c r="BM5" s="27">
        <f>[32]Durées!BP199</f>
        <v>153.34</v>
      </c>
      <c r="BN5" s="27">
        <f>[32]Durées!BQ199</f>
        <v>153.90600000000001</v>
      </c>
      <c r="BO5" s="27">
        <f>[32]Durées!BR199</f>
        <v>154.68199999999999</v>
      </c>
      <c r="BP5" s="27">
        <f>[32]Durées!BS199</f>
        <v>155.084</v>
      </c>
      <c r="BQ5" s="27">
        <f>[32]Durées!BT199</f>
        <v>155.54</v>
      </c>
      <c r="BR5" s="28">
        <f>[32]Durées!BU199</f>
        <v>155.33000000000001</v>
      </c>
    </row>
    <row r="6" spans="1:70">
      <c r="B6" s="35" t="s">
        <v>18</v>
      </c>
      <c r="C6" s="29">
        <f>[32]Durées!F200</f>
        <v>116.39</v>
      </c>
      <c r="D6" s="30">
        <f>[32]Durées!G200</f>
        <v>115.53666666666668</v>
      </c>
      <c r="E6" s="30">
        <f>[32]Durées!H200</f>
        <v>116.994</v>
      </c>
      <c r="F6" s="30">
        <f>[32]Durées!I200</f>
        <v>118.16199999999999</v>
      </c>
      <c r="G6" s="30">
        <f>[32]Durées!J200</f>
        <v>120.18400000000001</v>
      </c>
      <c r="H6" s="30">
        <f>[32]Durées!K200</f>
        <v>122.276</v>
      </c>
      <c r="I6" s="30">
        <f>[32]Durées!L200</f>
        <v>124.622</v>
      </c>
      <c r="J6" s="30">
        <f>[32]Durées!M200</f>
        <v>127.03800000000001</v>
      </c>
      <c r="K6" s="30">
        <f>[32]Durées!N200</f>
        <v>129.27199999999999</v>
      </c>
      <c r="L6" s="30">
        <f>[32]Durées!O200</f>
        <v>131.94800000000001</v>
      </c>
      <c r="M6" s="30">
        <f>[32]Durées!P200</f>
        <v>134.78999999999996</v>
      </c>
      <c r="N6" s="30">
        <f>[32]Durées!Q200</f>
        <v>137.28200000000001</v>
      </c>
      <c r="O6" s="30">
        <f>[32]Durées!R200</f>
        <v>140.006</v>
      </c>
      <c r="P6" s="30">
        <f>[32]Durées!S200</f>
        <v>142.602</v>
      </c>
      <c r="Q6" s="30">
        <f>[32]Durées!T200</f>
        <v>144.54599999999999</v>
      </c>
      <c r="R6" s="30">
        <f>[32]Durées!U200</f>
        <v>146.71799999999999</v>
      </c>
      <c r="S6" s="30">
        <f>[32]Durées!V200</f>
        <v>148.56599999999997</v>
      </c>
      <c r="T6" s="30">
        <f>[32]Durées!W200</f>
        <v>150.28399999999999</v>
      </c>
      <c r="U6" s="30">
        <f>[32]Durées!X200</f>
        <v>152.28800000000001</v>
      </c>
      <c r="V6" s="30">
        <f>[32]Durées!Y200</f>
        <v>154.24200000000002</v>
      </c>
      <c r="W6" s="30">
        <f>[32]Durées!Z200</f>
        <v>155.934</v>
      </c>
      <c r="X6" s="30">
        <f>[32]Durées!AA200</f>
        <v>157.43600000000001</v>
      </c>
      <c r="Y6" s="30">
        <f>[32]Durées!AB200</f>
        <v>158.60600000000002</v>
      </c>
      <c r="Z6" s="30">
        <f>[32]Durées!AC200</f>
        <v>159.434</v>
      </c>
      <c r="AA6" s="30">
        <f>[32]Durées!AD200</f>
        <v>159.898</v>
      </c>
      <c r="AB6" s="30">
        <f>[32]Durées!AE200</f>
        <v>159.85</v>
      </c>
      <c r="AC6" s="30">
        <f>[32]Durées!AF200</f>
        <v>159.80000000000001</v>
      </c>
      <c r="AD6" s="30">
        <f>[32]Durées!AG200</f>
        <v>159.70599999999999</v>
      </c>
      <c r="AE6" s="30">
        <f>[32]Durées!AH200</f>
        <v>159.55000000000001</v>
      </c>
      <c r="AF6" s="30">
        <f>[32]Durées!AI200</f>
        <v>159.548</v>
      </c>
      <c r="AG6" s="30">
        <f>[32]Durées!AJ200</f>
        <v>159.89600000000002</v>
      </c>
      <c r="AH6" s="30">
        <f>[32]Durées!AK200</f>
        <v>160.03399999999999</v>
      </c>
      <c r="AI6" s="30">
        <f>[32]Durées!AL200</f>
        <v>160.32199999999997</v>
      </c>
      <c r="AJ6" s="30">
        <f>[32]Durées!AM200</f>
        <v>160.67599999999999</v>
      </c>
      <c r="AK6" s="30">
        <f>[32]Durées!AN200</f>
        <v>160.9</v>
      </c>
      <c r="AL6" s="30">
        <f>[32]Durées!AO200</f>
        <v>160.80199999999999</v>
      </c>
      <c r="AM6" s="30">
        <f>[32]Durées!AP200</f>
        <v>161.03000000000003</v>
      </c>
      <c r="AN6" s="30">
        <f>[32]Durées!AQ200</f>
        <v>161.02199999999999</v>
      </c>
      <c r="AO6" s="30">
        <f>[32]Durées!AR200</f>
        <v>160.66200000000001</v>
      </c>
      <c r="AP6" s="30">
        <f>[32]Durées!AS200</f>
        <v>160.464</v>
      </c>
      <c r="AQ6" s="30">
        <f>[32]Durées!AT200</f>
        <v>160.25200000000001</v>
      </c>
      <c r="AR6" s="30">
        <f>[32]Durées!AU200</f>
        <v>160.03000000000003</v>
      </c>
      <c r="AS6" s="30">
        <f>[32]Durées!AV200</f>
        <v>160.03199999999998</v>
      </c>
      <c r="AT6" s="30">
        <f>[32]Durées!AW200</f>
        <v>160.26400000000001</v>
      </c>
      <c r="AU6" s="30">
        <f>[32]Durées!AX200</f>
        <v>160.488</v>
      </c>
      <c r="AV6" s="30">
        <f>[32]Durées!AY200</f>
        <v>161.042</v>
      </c>
      <c r="AW6" s="30">
        <f>[32]Durées!AZ200</f>
        <v>161.56</v>
      </c>
      <c r="AX6" s="30">
        <f>[32]Durées!BA200</f>
        <v>161.81799999999998</v>
      </c>
      <c r="AY6" s="30">
        <f>[32]Durées!BB200</f>
        <v>161.78400000000002</v>
      </c>
      <c r="AZ6" s="30">
        <f>[32]Durées!BC200</f>
        <v>161.58799999999999</v>
      </c>
      <c r="BA6" s="30">
        <f>[32]Durées!BD200</f>
        <v>161.04400000000001</v>
      </c>
      <c r="BB6" s="30">
        <f>[32]Durées!BE200</f>
        <v>160.33999999999997</v>
      </c>
      <c r="BC6" s="30">
        <f>[32]Durées!BF200</f>
        <v>159.55199999999999</v>
      </c>
      <c r="BD6" s="30">
        <f>[32]Durées!BG200</f>
        <v>159.03199999999998</v>
      </c>
      <c r="BE6" s="30">
        <f>[32]Durées!BH200</f>
        <v>158.50399999999999</v>
      </c>
      <c r="BF6" s="30">
        <f>[32]Durées!BI200</f>
        <v>158.07400000000001</v>
      </c>
      <c r="BG6" s="30">
        <f>[32]Durées!BJ200</f>
        <v>157.62799999999999</v>
      </c>
      <c r="BH6" s="30">
        <f>[32]Durées!BK200</f>
        <v>157.38399999999999</v>
      </c>
      <c r="BI6" s="30">
        <f>[32]Durées!BL200</f>
        <v>157.02799999999999</v>
      </c>
      <c r="BJ6" s="30">
        <f>[32]Durées!BM200</f>
        <v>156.744</v>
      </c>
      <c r="BK6" s="30">
        <f>[32]Durées!BN200</f>
        <v>156.762</v>
      </c>
      <c r="BL6" s="30">
        <f>[32]Durées!BO200</f>
        <v>156.92400000000001</v>
      </c>
      <c r="BM6" s="30">
        <f>[32]Durées!BP200</f>
        <v>157.19</v>
      </c>
      <c r="BN6" s="30">
        <f>[32]Durées!BQ200</f>
        <v>157.68</v>
      </c>
      <c r="BO6" s="30">
        <f>[32]Durées!BR200</f>
        <v>158.38200000000001</v>
      </c>
      <c r="BP6" s="30">
        <f>[32]Durées!BS200</f>
        <v>158.79599999999999</v>
      </c>
      <c r="BQ6" s="30">
        <f>[32]Durées!BT200</f>
        <v>159.34</v>
      </c>
      <c r="BR6" s="31">
        <f>[32]Durées!BU200</f>
        <v>159.4</v>
      </c>
    </row>
    <row r="7" spans="1:70" ht="13.5" thickBot="1">
      <c r="B7" s="36" t="s">
        <v>22</v>
      </c>
      <c r="C7" s="32">
        <f>[32]Durées!F201</f>
        <v>112.24</v>
      </c>
      <c r="D7" s="33">
        <f>[32]Durées!G201</f>
        <v>114.38666666666667</v>
      </c>
      <c r="E7" s="33">
        <f>[32]Durées!H201</f>
        <v>115.97</v>
      </c>
      <c r="F7" s="33">
        <f>[32]Durées!I201</f>
        <v>117.98800000000001</v>
      </c>
      <c r="G7" s="33">
        <f>[32]Durées!J201</f>
        <v>120.16399999999999</v>
      </c>
      <c r="H7" s="33">
        <f>[32]Durées!K201</f>
        <v>122.032</v>
      </c>
      <c r="I7" s="33">
        <f>[32]Durées!L201</f>
        <v>124.184</v>
      </c>
      <c r="J7" s="33">
        <f>[32]Durées!M201</f>
        <v>126.798</v>
      </c>
      <c r="K7" s="33">
        <f>[32]Durées!N201</f>
        <v>129.16</v>
      </c>
      <c r="L7" s="33">
        <f>[32]Durées!O201</f>
        <v>131.32599999999999</v>
      </c>
      <c r="M7" s="33">
        <f>[32]Durées!P201</f>
        <v>134.18199999999999</v>
      </c>
      <c r="N7" s="33">
        <f>[32]Durées!Q201</f>
        <v>137.19400000000002</v>
      </c>
      <c r="O7" s="33">
        <f>[32]Durées!R201</f>
        <v>139.994</v>
      </c>
      <c r="P7" s="33">
        <f>[32]Durées!S201</f>
        <v>142.87200000000001</v>
      </c>
      <c r="Q7" s="33">
        <f>[32]Durées!T201</f>
        <v>145.64400000000001</v>
      </c>
      <c r="R7" s="33">
        <f>[32]Durées!U201</f>
        <v>147.76400000000001</v>
      </c>
      <c r="S7" s="33">
        <f>[32]Durées!V201</f>
        <v>149.91400000000002</v>
      </c>
      <c r="T7" s="33">
        <f>[32]Durées!W201</f>
        <v>152.304</v>
      </c>
      <c r="U7" s="33">
        <f>[32]Durées!X201</f>
        <v>154.27199999999999</v>
      </c>
      <c r="V7" s="33">
        <f>[32]Durées!Y201</f>
        <v>156.44</v>
      </c>
      <c r="W7" s="33">
        <f>[32]Durées!Z201</f>
        <v>158.69200000000001</v>
      </c>
      <c r="X7" s="33">
        <f>[32]Durées!AA201</f>
        <v>160.44999999999999</v>
      </c>
      <c r="Y7" s="33">
        <f>[32]Durées!AB201</f>
        <v>161.59399999999999</v>
      </c>
      <c r="Z7" s="33">
        <f>[32]Durées!AC201</f>
        <v>162.65199999999999</v>
      </c>
      <c r="AA7" s="33">
        <f>[32]Durées!AD201</f>
        <v>163.52600000000001</v>
      </c>
      <c r="AB7" s="33">
        <f>[32]Durées!AE201</f>
        <v>164.07599999999999</v>
      </c>
      <c r="AC7" s="33">
        <f>[32]Durées!AF201</f>
        <v>164.55199999999999</v>
      </c>
      <c r="AD7" s="33">
        <f>[32]Durées!AG201</f>
        <v>165.29599999999999</v>
      </c>
      <c r="AE7" s="33">
        <f>[32]Durées!AH201</f>
        <v>166.34</v>
      </c>
      <c r="AF7" s="33">
        <f>[32]Durées!AI201</f>
        <v>167.18199999999999</v>
      </c>
      <c r="AG7" s="33">
        <f>[32]Durées!AJ201</f>
        <v>168.208</v>
      </c>
      <c r="AH7" s="33">
        <f>[32]Durées!AK201</f>
        <v>169.13200000000001</v>
      </c>
      <c r="AI7" s="33">
        <f>[32]Durées!AL201</f>
        <v>169.81</v>
      </c>
      <c r="AJ7" s="33">
        <f>[32]Durées!AM201</f>
        <v>170.28199999999998</v>
      </c>
      <c r="AK7" s="33">
        <f>[32]Durées!AN201</f>
        <v>170.72399999999999</v>
      </c>
      <c r="AL7" s="33">
        <f>[32]Durées!AO201</f>
        <v>171.02600000000001</v>
      </c>
      <c r="AM7" s="33">
        <f>[32]Durées!AP201</f>
        <v>171.3</v>
      </c>
      <c r="AN7" s="33">
        <f>[32]Durées!AQ201</f>
        <v>171.20999999999998</v>
      </c>
      <c r="AO7" s="33">
        <f>[32]Durées!AR201</f>
        <v>170.97399999999999</v>
      </c>
      <c r="AP7" s="33">
        <f>[32]Durées!AS201</f>
        <v>170.358</v>
      </c>
      <c r="AQ7" s="33">
        <f>[32]Durées!AT201</f>
        <v>169.214</v>
      </c>
      <c r="AR7" s="33">
        <f>[32]Durées!AU201</f>
        <v>167.99</v>
      </c>
      <c r="AS7" s="33">
        <f>[32]Durées!AV201</f>
        <v>166.96199999999999</v>
      </c>
      <c r="AT7" s="33">
        <f>[32]Durées!AW201</f>
        <v>165.892</v>
      </c>
      <c r="AU7" s="33">
        <f>[32]Durées!AX201</f>
        <v>164.71799999999999</v>
      </c>
      <c r="AV7" s="33">
        <f>[32]Durées!AY201</f>
        <v>164.322</v>
      </c>
      <c r="AW7" s="33">
        <f>[32]Durées!AZ201</f>
        <v>163.73200000000003</v>
      </c>
      <c r="AX7" s="33">
        <f>[32]Durées!BA201</f>
        <v>163.24600000000001</v>
      </c>
      <c r="AY7" s="33">
        <f>[32]Durées!BB201</f>
        <v>162.78400000000002</v>
      </c>
      <c r="AZ7" s="33">
        <f>[32]Durées!BC201</f>
        <v>162.614</v>
      </c>
      <c r="BA7" s="33">
        <f>[32]Durées!BD201</f>
        <v>162.17200000000003</v>
      </c>
      <c r="BB7" s="33">
        <f>[32]Durées!BE201</f>
        <v>162.03799999999998</v>
      </c>
      <c r="BC7" s="33">
        <f>[32]Durées!BF201</f>
        <v>161.93400000000003</v>
      </c>
      <c r="BD7" s="33">
        <f>[32]Durées!BG201</f>
        <v>161.77600000000001</v>
      </c>
      <c r="BE7" s="33">
        <f>[32]Durées!BH201</f>
        <v>161.66799999999998</v>
      </c>
      <c r="BF7" s="33">
        <f>[32]Durées!BI201</f>
        <v>161.57400000000001</v>
      </c>
      <c r="BG7" s="33">
        <f>[32]Durées!BJ201</f>
        <v>161.51400000000001</v>
      </c>
      <c r="BH7" s="33">
        <f>[32]Durées!BK201</f>
        <v>161.262</v>
      </c>
      <c r="BI7" s="33">
        <f>[32]Durées!BL201</f>
        <v>160.994</v>
      </c>
      <c r="BJ7" s="33">
        <f>[32]Durées!BM201</f>
        <v>160.91800000000001</v>
      </c>
      <c r="BK7" s="33">
        <f>[32]Durées!BN201</f>
        <v>160.79000000000002</v>
      </c>
      <c r="BL7" s="33">
        <f>[32]Durées!BO201</f>
        <v>160.66800000000001</v>
      </c>
      <c r="BM7" s="33">
        <f>[32]Durées!BP201</f>
        <v>160.852</v>
      </c>
      <c r="BN7" s="33">
        <f>[32]Durées!BQ201</f>
        <v>161.12799999999999</v>
      </c>
      <c r="BO7" s="33">
        <f>[32]Durées!BR201</f>
        <v>161.25200000000001</v>
      </c>
      <c r="BP7" s="33">
        <f>[32]Durées!BS201</f>
        <v>161.63799999999998</v>
      </c>
      <c r="BQ7" s="33">
        <f>[32]Durées!BT201</f>
        <v>161.81666666666669</v>
      </c>
      <c r="BR7" s="42">
        <f>[32]Durées!BU201</f>
        <v>162.27000000000001</v>
      </c>
    </row>
    <row r="8" spans="1:70">
      <c r="B8" s="34" t="s">
        <v>20</v>
      </c>
      <c r="C8" s="47">
        <f>[32]Durées!F203</f>
        <v>105.28</v>
      </c>
      <c r="D8" s="43">
        <f>[32]Durées!G203</f>
        <v>104.34666666666668</v>
      </c>
      <c r="E8" s="43">
        <f>[32]Durées!H203</f>
        <v>105.61000000000001</v>
      </c>
      <c r="F8" s="43">
        <f>[32]Durées!I203</f>
        <v>106.64400000000001</v>
      </c>
      <c r="G8" s="43">
        <f>[32]Durées!J203</f>
        <v>108.526</v>
      </c>
      <c r="H8" s="43">
        <f>[32]Durées!K203</f>
        <v>110.49000000000001</v>
      </c>
      <c r="I8" s="43">
        <f>[32]Durées!L203</f>
        <v>112.748</v>
      </c>
      <c r="J8" s="43">
        <f>[32]Durées!M203</f>
        <v>115.08799999999999</v>
      </c>
      <c r="K8" s="43">
        <f>[32]Durées!N203</f>
        <v>117.276</v>
      </c>
      <c r="L8" s="43">
        <f>[32]Durées!O203</f>
        <v>119.91600000000001</v>
      </c>
      <c r="M8" s="43">
        <f>[32]Durées!P203</f>
        <v>122.756</v>
      </c>
      <c r="N8" s="43">
        <f>[32]Durées!Q203</f>
        <v>125.22999999999999</v>
      </c>
      <c r="O8" s="43">
        <f>[32]Durées!R203</f>
        <v>127.95</v>
      </c>
      <c r="P8" s="43">
        <f>[32]Durées!S203</f>
        <v>130.50399999999999</v>
      </c>
      <c r="Q8" s="43">
        <f>[32]Durées!T203</f>
        <v>132.39799999999997</v>
      </c>
      <c r="R8" s="43">
        <f>[32]Durées!U203</f>
        <v>134.53</v>
      </c>
      <c r="S8" s="43">
        <f>[32]Durées!V203</f>
        <v>136.35599999999999</v>
      </c>
      <c r="T8" s="43">
        <f>[32]Durées!W203</f>
        <v>138.09</v>
      </c>
      <c r="U8" s="43">
        <f>[32]Durées!X203</f>
        <v>140.13999999999999</v>
      </c>
      <c r="V8" s="43">
        <f>[32]Durées!Y203</f>
        <v>142.18200000000002</v>
      </c>
      <c r="W8" s="43">
        <f>[32]Durées!Z203</f>
        <v>143.98999999999998</v>
      </c>
      <c r="X8" s="43">
        <f>[32]Durées!AA203</f>
        <v>145.61600000000001</v>
      </c>
      <c r="Y8" s="43">
        <f>[32]Durées!AB203</f>
        <v>146.88999999999999</v>
      </c>
      <c r="Z8" s="43">
        <f>[32]Durées!AC203</f>
        <v>147.804</v>
      </c>
      <c r="AA8" s="43">
        <f>[32]Durées!AD203</f>
        <v>148.298</v>
      </c>
      <c r="AB8" s="43">
        <f>[32]Durées!AE203</f>
        <v>148.21600000000001</v>
      </c>
      <c r="AC8" s="43">
        <f>[32]Durées!AF203</f>
        <v>148.09399999999999</v>
      </c>
      <c r="AD8" s="43">
        <f>[32]Durées!AG203</f>
        <v>147.90799999999999</v>
      </c>
      <c r="AE8" s="43">
        <f>[32]Durées!AH203</f>
        <v>147.65</v>
      </c>
      <c r="AF8" s="43">
        <f>[32]Durées!AI203</f>
        <v>147.56399999999999</v>
      </c>
      <c r="AG8" s="43">
        <f>[32]Durées!AJ203</f>
        <v>147.83600000000001</v>
      </c>
      <c r="AH8" s="43">
        <f>[32]Durées!AK203</f>
        <v>147.94800000000001</v>
      </c>
      <c r="AI8" s="43">
        <f>[32]Durées!AL203</f>
        <v>148.20999999999998</v>
      </c>
      <c r="AJ8" s="43">
        <f>[32]Durées!AM203</f>
        <v>148.554</v>
      </c>
      <c r="AK8" s="43">
        <f>[32]Durées!AN203</f>
        <v>148.77600000000001</v>
      </c>
      <c r="AL8" s="43">
        <f>[32]Durées!AO203</f>
        <v>148.70599999999999</v>
      </c>
      <c r="AM8" s="43">
        <f>[32]Durées!AP203</f>
        <v>148.976</v>
      </c>
      <c r="AN8" s="43">
        <f>[32]Durées!AQ203</f>
        <v>149.01399999999998</v>
      </c>
      <c r="AO8" s="43">
        <f>[32]Durées!AR203</f>
        <v>148.708</v>
      </c>
      <c r="AP8" s="43">
        <f>[32]Durées!AS203</f>
        <v>148.55799999999999</v>
      </c>
      <c r="AQ8" s="43">
        <f>[32]Durées!AT203</f>
        <v>148.398</v>
      </c>
      <c r="AR8" s="43">
        <f>[32]Durées!AU203</f>
        <v>148.22199999999998</v>
      </c>
      <c r="AS8" s="43">
        <f>[32]Durées!AV203</f>
        <v>148.25799999999998</v>
      </c>
      <c r="AT8" s="43">
        <f>[32]Durées!AW203</f>
        <v>148.51999999999998</v>
      </c>
      <c r="AU8" s="43">
        <f>[32]Durées!AX203</f>
        <v>148.80400000000003</v>
      </c>
      <c r="AV8" s="43">
        <f>[32]Durées!AY203</f>
        <v>149.41000000000003</v>
      </c>
      <c r="AW8" s="43">
        <f>[32]Durées!AZ203</f>
        <v>149.94400000000002</v>
      </c>
      <c r="AX8" s="43">
        <f>[32]Durées!BA203</f>
        <v>150.26</v>
      </c>
      <c r="AY8" s="43">
        <f>[32]Durées!BB203</f>
        <v>150.27200000000002</v>
      </c>
      <c r="AZ8" s="43">
        <f>[32]Durées!BC203</f>
        <v>150.1</v>
      </c>
      <c r="BA8" s="43">
        <f>[32]Durées!BD203</f>
        <v>149.60399999999998</v>
      </c>
      <c r="BB8" s="43">
        <f>[32]Durées!BE203</f>
        <v>148.96200000000002</v>
      </c>
      <c r="BC8" s="43">
        <f>[32]Durées!BF203</f>
        <v>148.20800000000003</v>
      </c>
      <c r="BD8" s="43">
        <f>[32]Durées!BG203</f>
        <v>147.74600000000001</v>
      </c>
      <c r="BE8" s="43">
        <f>[32]Durées!BH203</f>
        <v>147.25399999999999</v>
      </c>
      <c r="BF8" s="43">
        <f>[32]Durées!BI203</f>
        <v>146.822</v>
      </c>
      <c r="BG8" s="43">
        <f>[32]Durées!BJ203</f>
        <v>146.35599999999999</v>
      </c>
      <c r="BH8" s="43">
        <f>[32]Durées!BK203</f>
        <v>146.08199999999999</v>
      </c>
      <c r="BI8" s="43">
        <f>[32]Durées!BL203</f>
        <v>145.642</v>
      </c>
      <c r="BJ8" s="43">
        <f>[32]Durées!BM203</f>
        <v>145.27600000000001</v>
      </c>
      <c r="BK8" s="43">
        <f>[32]Durées!BN203</f>
        <v>145.208</v>
      </c>
      <c r="BL8" s="43">
        <f>[32]Durées!BO203</f>
        <v>145.322</v>
      </c>
      <c r="BM8" s="43">
        <f>[32]Durées!BP203</f>
        <v>145.536</v>
      </c>
      <c r="BN8" s="43">
        <f>[32]Durées!BQ203</f>
        <v>146.00399999999999</v>
      </c>
      <c r="BO8" s="43">
        <f>[32]Durées!BR203</f>
        <v>146.70400000000001</v>
      </c>
      <c r="BP8" s="43">
        <f>[32]Durées!BS203</f>
        <v>147.13</v>
      </c>
      <c r="BQ8" s="43">
        <f>[32]Durées!BT203</f>
        <v>147.66666666666666</v>
      </c>
      <c r="BR8" s="44">
        <f>[32]Durées!BU203</f>
        <v>147.75</v>
      </c>
    </row>
    <row r="9" spans="1:70" ht="13.5" thickBot="1">
      <c r="B9" s="36" t="s">
        <v>21</v>
      </c>
      <c r="C9" s="32">
        <f>[32]Durées!F204</f>
        <v>84.949999999999989</v>
      </c>
      <c r="D9" s="33">
        <f>[32]Durées!G204</f>
        <v>86.483333333333334</v>
      </c>
      <c r="E9" s="33">
        <f>[32]Durées!H204</f>
        <v>88.111999999999995</v>
      </c>
      <c r="F9" s="33">
        <f>[32]Durées!I204</f>
        <v>90.126000000000005</v>
      </c>
      <c r="G9" s="33">
        <f>[32]Durées!J204</f>
        <v>92.361999999999995</v>
      </c>
      <c r="H9" s="33">
        <f>[32]Durées!K204</f>
        <v>94.244</v>
      </c>
      <c r="I9" s="33">
        <f>[32]Durées!L204</f>
        <v>96.402000000000001</v>
      </c>
      <c r="J9" s="33">
        <f>[32]Durées!M204</f>
        <v>99.146000000000001</v>
      </c>
      <c r="K9" s="33">
        <f>[32]Durées!N204</f>
        <v>101.7</v>
      </c>
      <c r="L9" s="33">
        <f>[32]Durées!O204</f>
        <v>104.056</v>
      </c>
      <c r="M9" s="33">
        <f>[32]Durées!P204</f>
        <v>107.13799999999999</v>
      </c>
      <c r="N9" s="33">
        <f>[32]Durées!Q204</f>
        <v>110.27200000000001</v>
      </c>
      <c r="O9" s="33">
        <f>[32]Durées!R204</f>
        <v>113.08199999999999</v>
      </c>
      <c r="P9" s="33">
        <f>[32]Durées!S204</f>
        <v>115.77400000000003</v>
      </c>
      <c r="Q9" s="33">
        <f>[32]Durées!T204</f>
        <v>118.52200000000002</v>
      </c>
      <c r="R9" s="33">
        <f>[32]Durées!U204</f>
        <v>120.56000000000002</v>
      </c>
      <c r="S9" s="33">
        <f>[32]Durées!V204</f>
        <v>122.67400000000001</v>
      </c>
      <c r="T9" s="33">
        <f>[32]Durées!W204</f>
        <v>125.02000000000001</v>
      </c>
      <c r="U9" s="33">
        <f>[32]Durées!X204</f>
        <v>127.056</v>
      </c>
      <c r="V9" s="33">
        <f>[32]Durées!Y204</f>
        <v>129.21799999999999</v>
      </c>
      <c r="W9" s="33">
        <f>[32]Durées!Z204</f>
        <v>131.75</v>
      </c>
      <c r="X9" s="33">
        <f>[32]Durées!AA204</f>
        <v>133.81199999999998</v>
      </c>
      <c r="Y9" s="33">
        <f>[32]Durées!AB204</f>
        <v>135.42199999999997</v>
      </c>
      <c r="Z9" s="33">
        <f>[32]Durées!AC204</f>
        <v>136.852</v>
      </c>
      <c r="AA9" s="33">
        <f>[32]Durées!AD204</f>
        <v>138.142</v>
      </c>
      <c r="AB9" s="33">
        <f>[32]Durées!AE204</f>
        <v>138.93799999999999</v>
      </c>
      <c r="AC9" s="33">
        <f>[32]Durées!AF204</f>
        <v>139.63800000000001</v>
      </c>
      <c r="AD9" s="33">
        <f>[32]Durées!AG204</f>
        <v>140.54799999999997</v>
      </c>
      <c r="AE9" s="33">
        <f>[32]Durées!AH204</f>
        <v>141.65400000000002</v>
      </c>
      <c r="AF9" s="33">
        <f>[32]Durées!AI204</f>
        <v>142.52600000000001</v>
      </c>
      <c r="AG9" s="33">
        <f>[32]Durées!AJ204</f>
        <v>143.53399999999996</v>
      </c>
      <c r="AH9" s="33">
        <f>[32]Durées!AK204</f>
        <v>144.4</v>
      </c>
      <c r="AI9" s="33">
        <f>[32]Durées!AL204</f>
        <v>144.96799999999999</v>
      </c>
      <c r="AJ9" s="33">
        <f>[32]Durées!AM204</f>
        <v>145.43600000000001</v>
      </c>
      <c r="AK9" s="33">
        <f>[32]Durées!AN204</f>
        <v>145.91199999999998</v>
      </c>
      <c r="AL9" s="33">
        <f>[32]Durées!AO204</f>
        <v>146.26200000000003</v>
      </c>
      <c r="AM9" s="33">
        <f>[32]Durées!AP204</f>
        <v>146.56800000000004</v>
      </c>
      <c r="AN9" s="33">
        <f>[32]Durées!AQ204</f>
        <v>146.54000000000002</v>
      </c>
      <c r="AO9" s="33">
        <f>[32]Durées!AR204</f>
        <v>146.36399999999998</v>
      </c>
      <c r="AP9" s="33">
        <f>[32]Durées!AS204</f>
        <v>145.81599999999997</v>
      </c>
      <c r="AQ9" s="33">
        <f>[32]Durées!AT204</f>
        <v>144.76</v>
      </c>
      <c r="AR9" s="33">
        <f>[32]Durées!AU204</f>
        <v>143.59399999999999</v>
      </c>
      <c r="AS9" s="33">
        <f>[32]Durées!AV204</f>
        <v>142.636</v>
      </c>
      <c r="AT9" s="33">
        <f>[32]Durées!AW204</f>
        <v>141.608</v>
      </c>
      <c r="AU9" s="33">
        <f>[32]Durées!AX204</f>
        <v>140.42999999999998</v>
      </c>
      <c r="AV9" s="33">
        <f>[32]Durées!AY204</f>
        <v>140.09200000000001</v>
      </c>
      <c r="AW9" s="33">
        <f>[32]Durées!AZ204</f>
        <v>139.56199999999998</v>
      </c>
      <c r="AX9" s="33">
        <f>[32]Durées!BA204</f>
        <v>139.15</v>
      </c>
      <c r="AY9" s="33">
        <f>[32]Durées!BB204</f>
        <v>138.73400000000001</v>
      </c>
      <c r="AZ9" s="33">
        <f>[32]Durées!BC204</f>
        <v>138.60399999999998</v>
      </c>
      <c r="BA9" s="33">
        <f>[32]Durées!BD204</f>
        <v>138.11199999999999</v>
      </c>
      <c r="BB9" s="33">
        <f>[32]Durées!BE204</f>
        <v>137.94999999999999</v>
      </c>
      <c r="BC9" s="33">
        <f>[32]Durées!BF204</f>
        <v>137.834</v>
      </c>
      <c r="BD9" s="33">
        <f>[32]Durées!BG204</f>
        <v>137.702</v>
      </c>
      <c r="BE9" s="33">
        <f>[32]Durées!BH204</f>
        <v>137.62599999999998</v>
      </c>
      <c r="BF9" s="33">
        <f>[32]Durées!BI204</f>
        <v>137.57199999999997</v>
      </c>
      <c r="BG9" s="33">
        <f>[32]Durées!BJ204</f>
        <v>137.58799999999999</v>
      </c>
      <c r="BH9" s="33">
        <f>[32]Durées!BK204</f>
        <v>137.31599999999997</v>
      </c>
      <c r="BI9" s="33">
        <f>[32]Durées!BL204</f>
        <v>137.036</v>
      </c>
      <c r="BJ9" s="33">
        <f>[32]Durées!BM204</f>
        <v>136.988</v>
      </c>
      <c r="BK9" s="33">
        <f>[32]Durées!BN204</f>
        <v>136.88200000000001</v>
      </c>
      <c r="BL9" s="33">
        <f>[32]Durées!BO204</f>
        <v>136.73000000000002</v>
      </c>
      <c r="BM9" s="33">
        <f>[32]Durées!BP204</f>
        <v>136.92400000000004</v>
      </c>
      <c r="BN9" s="33">
        <f>[32]Durées!BQ204</f>
        <v>137.22199999999998</v>
      </c>
      <c r="BO9" s="33">
        <f>[32]Durées!BR204</f>
        <v>137.32599999999996</v>
      </c>
      <c r="BP9" s="33">
        <f>[32]Durées!BS204</f>
        <v>137.72199999999998</v>
      </c>
      <c r="BQ9" s="33">
        <f>[32]Durées!BT204</f>
        <v>137.93000000000004</v>
      </c>
      <c r="BR9" s="42">
        <f>[32]Durées!BU204</f>
        <v>138.46</v>
      </c>
    </row>
    <row r="11" spans="1:70">
      <c r="B11" s="11" t="s">
        <v>11</v>
      </c>
      <c r="T11" s="13"/>
      <c r="U11" s="13"/>
      <c r="V11" s="13"/>
      <c r="W11" s="13"/>
    </row>
    <row r="12" spans="1:70">
      <c r="B12" s="11" t="s">
        <v>9</v>
      </c>
      <c r="T12" s="13"/>
      <c r="U12" s="13"/>
      <c r="V12" s="13"/>
      <c r="W12" s="13"/>
    </row>
    <row r="13" spans="1:70">
      <c r="B13" s="11" t="s">
        <v>10</v>
      </c>
    </row>
  </sheetData>
  <hyperlinks>
    <hyperlink ref="A2" location="SOMMAIRE!A1" display="Retour au sommaire" xr:uid="{439A0FF9-5952-4FD9-9904-FDABCB77DC81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7590-F34A-4827-94EA-8E084999B24E}">
  <sheetPr>
    <tabColor rgb="FFACB9CA"/>
  </sheetPr>
  <dimension ref="A1:BF13"/>
  <sheetViews>
    <sheetView workbookViewId="0"/>
  </sheetViews>
  <sheetFormatPr baseColWidth="10" defaultRowHeight="12.75"/>
  <cols>
    <col min="1" max="1" width="11" style="7"/>
    <col min="2" max="2" width="30" style="7" customWidth="1"/>
    <col min="3" max="241" width="11" style="7"/>
    <col min="242" max="242" width="30" style="7" customWidth="1"/>
    <col min="243" max="497" width="11" style="7"/>
    <col min="498" max="498" width="30" style="7" customWidth="1"/>
    <col min="499" max="753" width="11" style="7"/>
    <col min="754" max="754" width="30" style="7" customWidth="1"/>
    <col min="755" max="1009" width="11" style="7"/>
    <col min="1010" max="1010" width="30" style="7" customWidth="1"/>
    <col min="1011" max="1265" width="11" style="7"/>
    <col min="1266" max="1266" width="30" style="7" customWidth="1"/>
    <col min="1267" max="1521" width="11" style="7"/>
    <col min="1522" max="1522" width="30" style="7" customWidth="1"/>
    <col min="1523" max="1777" width="11" style="7"/>
    <col min="1778" max="1778" width="30" style="7" customWidth="1"/>
    <col min="1779" max="2033" width="11" style="7"/>
    <col min="2034" max="2034" width="30" style="7" customWidth="1"/>
    <col min="2035" max="2289" width="11" style="7"/>
    <col min="2290" max="2290" width="30" style="7" customWidth="1"/>
    <col min="2291" max="2545" width="11" style="7"/>
    <col min="2546" max="2546" width="30" style="7" customWidth="1"/>
    <col min="2547" max="2801" width="11" style="7"/>
    <col min="2802" max="2802" width="30" style="7" customWidth="1"/>
    <col min="2803" max="3057" width="11" style="7"/>
    <col min="3058" max="3058" width="30" style="7" customWidth="1"/>
    <col min="3059" max="3313" width="11" style="7"/>
    <col min="3314" max="3314" width="30" style="7" customWidth="1"/>
    <col min="3315" max="3569" width="11" style="7"/>
    <col min="3570" max="3570" width="30" style="7" customWidth="1"/>
    <col min="3571" max="3825" width="11" style="7"/>
    <col min="3826" max="3826" width="30" style="7" customWidth="1"/>
    <col min="3827" max="4081" width="11" style="7"/>
    <col min="4082" max="4082" width="30" style="7" customWidth="1"/>
    <col min="4083" max="4337" width="11" style="7"/>
    <col min="4338" max="4338" width="30" style="7" customWidth="1"/>
    <col min="4339" max="4593" width="11" style="7"/>
    <col min="4594" max="4594" width="30" style="7" customWidth="1"/>
    <col min="4595" max="4849" width="11" style="7"/>
    <col min="4850" max="4850" width="30" style="7" customWidth="1"/>
    <col min="4851" max="5105" width="11" style="7"/>
    <col min="5106" max="5106" width="30" style="7" customWidth="1"/>
    <col min="5107" max="5361" width="11" style="7"/>
    <col min="5362" max="5362" width="30" style="7" customWidth="1"/>
    <col min="5363" max="5617" width="11" style="7"/>
    <col min="5618" max="5618" width="30" style="7" customWidth="1"/>
    <col min="5619" max="5873" width="11" style="7"/>
    <col min="5874" max="5874" width="30" style="7" customWidth="1"/>
    <col min="5875" max="6129" width="11" style="7"/>
    <col min="6130" max="6130" width="30" style="7" customWidth="1"/>
    <col min="6131" max="6385" width="11" style="7"/>
    <col min="6386" max="6386" width="30" style="7" customWidth="1"/>
    <col min="6387" max="6641" width="11" style="7"/>
    <col min="6642" max="6642" width="30" style="7" customWidth="1"/>
    <col min="6643" max="6897" width="11" style="7"/>
    <col min="6898" max="6898" width="30" style="7" customWidth="1"/>
    <col min="6899" max="7153" width="11" style="7"/>
    <col min="7154" max="7154" width="30" style="7" customWidth="1"/>
    <col min="7155" max="7409" width="11" style="7"/>
    <col min="7410" max="7410" width="30" style="7" customWidth="1"/>
    <col min="7411" max="7665" width="11" style="7"/>
    <col min="7666" max="7666" width="30" style="7" customWidth="1"/>
    <col min="7667" max="7921" width="11" style="7"/>
    <col min="7922" max="7922" width="30" style="7" customWidth="1"/>
    <col min="7923" max="8177" width="11" style="7"/>
    <col min="8178" max="8178" width="30" style="7" customWidth="1"/>
    <col min="8179" max="8433" width="11" style="7"/>
    <col min="8434" max="8434" width="30" style="7" customWidth="1"/>
    <col min="8435" max="8689" width="11" style="7"/>
    <col min="8690" max="8690" width="30" style="7" customWidth="1"/>
    <col min="8691" max="8945" width="11" style="7"/>
    <col min="8946" max="8946" width="30" style="7" customWidth="1"/>
    <col min="8947" max="9201" width="11" style="7"/>
    <col min="9202" max="9202" width="30" style="7" customWidth="1"/>
    <col min="9203" max="9457" width="11" style="7"/>
    <col min="9458" max="9458" width="30" style="7" customWidth="1"/>
    <col min="9459" max="9713" width="11" style="7"/>
    <col min="9714" max="9714" width="30" style="7" customWidth="1"/>
    <col min="9715" max="9969" width="11" style="7"/>
    <col min="9970" max="9970" width="30" style="7" customWidth="1"/>
    <col min="9971" max="10225" width="11" style="7"/>
    <col min="10226" max="10226" width="30" style="7" customWidth="1"/>
    <col min="10227" max="10481" width="11" style="7"/>
    <col min="10482" max="10482" width="30" style="7" customWidth="1"/>
    <col min="10483" max="10737" width="11" style="7"/>
    <col min="10738" max="10738" width="30" style="7" customWidth="1"/>
    <col min="10739" max="10993" width="11" style="7"/>
    <col min="10994" max="10994" width="30" style="7" customWidth="1"/>
    <col min="10995" max="11249" width="11" style="7"/>
    <col min="11250" max="11250" width="30" style="7" customWidth="1"/>
    <col min="11251" max="11505" width="11" style="7"/>
    <col min="11506" max="11506" width="30" style="7" customWidth="1"/>
    <col min="11507" max="11761" width="11" style="7"/>
    <col min="11762" max="11762" width="30" style="7" customWidth="1"/>
    <col min="11763" max="12017" width="11" style="7"/>
    <col min="12018" max="12018" width="30" style="7" customWidth="1"/>
    <col min="12019" max="12273" width="11" style="7"/>
    <col min="12274" max="12274" width="30" style="7" customWidth="1"/>
    <col min="12275" max="12529" width="11" style="7"/>
    <col min="12530" max="12530" width="30" style="7" customWidth="1"/>
    <col min="12531" max="12785" width="11" style="7"/>
    <col min="12786" max="12786" width="30" style="7" customWidth="1"/>
    <col min="12787" max="13041" width="11" style="7"/>
    <col min="13042" max="13042" width="30" style="7" customWidth="1"/>
    <col min="13043" max="13297" width="11" style="7"/>
    <col min="13298" max="13298" width="30" style="7" customWidth="1"/>
    <col min="13299" max="13553" width="11" style="7"/>
    <col min="13554" max="13554" width="30" style="7" customWidth="1"/>
    <col min="13555" max="13809" width="11" style="7"/>
    <col min="13810" max="13810" width="30" style="7" customWidth="1"/>
    <col min="13811" max="14065" width="11" style="7"/>
    <col min="14066" max="14066" width="30" style="7" customWidth="1"/>
    <col min="14067" max="14321" width="11" style="7"/>
    <col min="14322" max="14322" width="30" style="7" customWidth="1"/>
    <col min="14323" max="14577" width="11" style="7"/>
    <col min="14578" max="14578" width="30" style="7" customWidth="1"/>
    <col min="14579" max="14833" width="11" style="7"/>
    <col min="14834" max="14834" width="30" style="7" customWidth="1"/>
    <col min="14835" max="15089" width="11" style="7"/>
    <col min="15090" max="15090" width="30" style="7" customWidth="1"/>
    <col min="15091" max="15345" width="11" style="7"/>
    <col min="15346" max="15346" width="30" style="7" customWidth="1"/>
    <col min="15347" max="15601" width="11" style="7"/>
    <col min="15602" max="15602" width="30" style="7" customWidth="1"/>
    <col min="15603" max="15857" width="11" style="7"/>
    <col min="15858" max="15858" width="30" style="7" customWidth="1"/>
    <col min="15859" max="16113" width="11" style="7"/>
    <col min="16114" max="16114" width="30" style="7" customWidth="1"/>
    <col min="16115" max="16384" width="11" style="7"/>
  </cols>
  <sheetData>
    <row r="1" spans="1:58" ht="15.75">
      <c r="A1" s="2" t="s">
        <v>98</v>
      </c>
    </row>
    <row r="2" spans="1:58" ht="14.25">
      <c r="A2" s="6" t="s">
        <v>2</v>
      </c>
    </row>
    <row r="3" spans="1:58" ht="13.5" thickBot="1"/>
    <row r="4" spans="1:58" ht="13.5" thickBot="1">
      <c r="B4" s="38"/>
      <c r="C4" s="9">
        <v>1945</v>
      </c>
      <c r="D4" s="9">
        <v>1946</v>
      </c>
      <c r="E4" s="9">
        <v>1947</v>
      </c>
      <c r="F4" s="9">
        <v>1948</v>
      </c>
      <c r="G4" s="9">
        <v>1949</v>
      </c>
      <c r="H4" s="9">
        <v>1950</v>
      </c>
      <c r="I4" s="9">
        <v>1951</v>
      </c>
      <c r="J4" s="9">
        <v>1952</v>
      </c>
      <c r="K4" s="9">
        <v>1953</v>
      </c>
      <c r="L4" s="9">
        <v>1954</v>
      </c>
      <c r="M4" s="9">
        <v>1955</v>
      </c>
      <c r="N4" s="9">
        <v>1956</v>
      </c>
      <c r="O4" s="9">
        <v>1957</v>
      </c>
      <c r="P4" s="9">
        <v>1958</v>
      </c>
      <c r="Q4" s="9">
        <v>1959</v>
      </c>
      <c r="R4" s="9">
        <v>1960</v>
      </c>
      <c r="S4" s="9">
        <v>1961</v>
      </c>
      <c r="T4" s="9">
        <v>1962</v>
      </c>
      <c r="U4" s="9">
        <v>1963</v>
      </c>
      <c r="V4" s="9">
        <v>1964</v>
      </c>
      <c r="W4" s="9">
        <v>1965</v>
      </c>
      <c r="X4" s="9">
        <v>1966</v>
      </c>
      <c r="Y4" s="9">
        <v>1967</v>
      </c>
      <c r="Z4" s="9">
        <v>1968</v>
      </c>
      <c r="AA4" s="9">
        <v>1969</v>
      </c>
      <c r="AB4" s="9">
        <v>1970</v>
      </c>
      <c r="AC4" s="9">
        <v>1971</v>
      </c>
      <c r="AD4" s="9">
        <v>1972</v>
      </c>
      <c r="AE4" s="9">
        <v>1973</v>
      </c>
      <c r="AF4" s="9">
        <v>1974</v>
      </c>
      <c r="AG4" s="9">
        <v>1975</v>
      </c>
      <c r="AH4" s="9">
        <v>1976</v>
      </c>
      <c r="AI4" s="9">
        <v>1977</v>
      </c>
      <c r="AJ4" s="9">
        <v>1978</v>
      </c>
      <c r="AK4" s="9">
        <v>1979</v>
      </c>
      <c r="AL4" s="9">
        <v>1980</v>
      </c>
      <c r="AM4" s="9">
        <v>1981</v>
      </c>
      <c r="AN4" s="9">
        <v>1982</v>
      </c>
      <c r="AO4" s="9">
        <v>1983</v>
      </c>
      <c r="AP4" s="9">
        <v>1984</v>
      </c>
      <c r="AQ4" s="9">
        <v>1985</v>
      </c>
      <c r="AR4" s="9">
        <v>1986</v>
      </c>
      <c r="AS4" s="9">
        <v>1987</v>
      </c>
      <c r="AT4" s="9">
        <v>1988</v>
      </c>
      <c r="AU4" s="9">
        <v>1989</v>
      </c>
      <c r="AV4" s="9">
        <v>1990</v>
      </c>
      <c r="AW4" s="9">
        <v>1991</v>
      </c>
      <c r="AX4" s="9">
        <v>1992</v>
      </c>
      <c r="AY4" s="9">
        <v>1993</v>
      </c>
      <c r="AZ4" s="9">
        <v>1994</v>
      </c>
      <c r="BA4" s="9">
        <v>1995</v>
      </c>
      <c r="BB4" s="9">
        <v>1996</v>
      </c>
      <c r="BC4" s="9">
        <v>1997</v>
      </c>
      <c r="BD4" s="9">
        <v>1998</v>
      </c>
      <c r="BE4" s="9">
        <v>1999</v>
      </c>
      <c r="BF4" s="10">
        <v>2000</v>
      </c>
    </row>
    <row r="5" spans="1:58">
      <c r="B5" s="34" t="s">
        <v>19</v>
      </c>
      <c r="C5" s="27">
        <f>[33]Durées!R159</f>
        <v>148.779429867185</v>
      </c>
      <c r="D5" s="27">
        <f>[33]Durées!S159</f>
        <v>153.73077015816668</v>
      </c>
      <c r="E5" s="27">
        <f>[33]Durées!T159</f>
        <v>155.97901723330202</v>
      </c>
      <c r="F5" s="27">
        <f>[33]Durées!U159</f>
        <v>157.71142875090442</v>
      </c>
      <c r="G5" s="27">
        <f>[33]Durées!V159</f>
        <v>158.68862317617862</v>
      </c>
      <c r="H5" s="27">
        <f>[33]Durées!W159</f>
        <v>159.4418067740622</v>
      </c>
      <c r="I5" s="27">
        <f>[33]Durées!X159</f>
        <v>159.47495403894283</v>
      </c>
      <c r="J5" s="27">
        <f>[33]Durées!Y159</f>
        <v>160.4932558028276</v>
      </c>
      <c r="K5" s="27">
        <f>[33]Durées!Z159</f>
        <v>162.40643979326961</v>
      </c>
      <c r="L5" s="27">
        <f>[33]Durées!AA159</f>
        <v>163.35082740659021</v>
      </c>
      <c r="M5" s="27">
        <f>[33]Durées!AB159</f>
        <v>164.623746338242</v>
      </c>
      <c r="N5" s="27">
        <f>[33]Durées!AC159</f>
        <v>165.53316685807039</v>
      </c>
      <c r="O5" s="27">
        <f>[33]Durées!AD159</f>
        <v>165.00228371517579</v>
      </c>
      <c r="P5" s="27">
        <f>[33]Durées!AE159</f>
        <v>164.14386595918461</v>
      </c>
      <c r="Q5" s="27">
        <f>[33]Durées!AF159</f>
        <v>163.59875742318681</v>
      </c>
      <c r="R5" s="27">
        <f>[33]Durées!AG159</f>
        <v>162.48165339757421</v>
      </c>
      <c r="S5" s="27">
        <f>[33]Durées!AH159</f>
        <v>162.38832017605222</v>
      </c>
      <c r="T5" s="27">
        <f>[33]Durées!AI159</f>
        <v>162.67474445757423</v>
      </c>
      <c r="U5" s="27">
        <f>[33]Durées!AJ159</f>
        <v>162.57173027206983</v>
      </c>
      <c r="V5" s="27">
        <f>[33]Durées!AK159</f>
        <v>162.344236796697</v>
      </c>
      <c r="W5" s="27">
        <f>[33]Durées!AL159</f>
        <v>162.2568996823594</v>
      </c>
      <c r="X5" s="27">
        <f>[33]Durées!AM159</f>
        <v>161.68154895762621</v>
      </c>
      <c r="Y5" s="27">
        <f>[33]Durées!AN159</f>
        <v>161.25833447199179</v>
      </c>
      <c r="Z5" s="27">
        <f>[33]Durées!AO159</f>
        <v>159.880923401291</v>
      </c>
      <c r="AA5" s="27">
        <f>[33]Durées!AP159</f>
        <v>158.4857666136898</v>
      </c>
      <c r="AB5" s="27">
        <f>[33]Durées!AQ159</f>
        <v>157.73791619966119</v>
      </c>
      <c r="AC5" s="27">
        <f>[33]Durées!AR159</f>
        <v>157.259120767837</v>
      </c>
      <c r="AD5" s="27">
        <f>[33]Durées!AS159</f>
        <v>156.24135985146398</v>
      </c>
      <c r="AE5" s="27">
        <f>[33]Durées!AT159</f>
        <v>156.54227693773458</v>
      </c>
      <c r="AF5" s="27">
        <f>[33]Durées!AU159</f>
        <v>156.86551021572862</v>
      </c>
      <c r="AG5" s="27">
        <f>[33]Durées!AV159</f>
        <v>156.8783569639408</v>
      </c>
      <c r="AH5" s="27">
        <f>[33]Durées!AW159</f>
        <v>156.51280707237299</v>
      </c>
      <c r="AI5" s="27">
        <f>[33]Durées!AX159</f>
        <v>156.65873936569801</v>
      </c>
      <c r="AJ5" s="27">
        <f>[33]Durées!AY159</f>
        <v>156.35614759160339</v>
      </c>
      <c r="AK5" s="27">
        <f>[33]Durées!AZ159</f>
        <v>156.51238321647457</v>
      </c>
      <c r="AL5" s="27">
        <f>[33]Durées!BA159</f>
        <v>156.47044134354377</v>
      </c>
      <c r="AM5" s="27">
        <f>[33]Durées!BB159</f>
        <v>156.79585247273019</v>
      </c>
      <c r="AN5" s="27">
        <f>[33]Durées!BC159</f>
        <v>157.04661152848922</v>
      </c>
      <c r="AO5" s="27">
        <f>[33]Durées!BD159</f>
        <v>157.5413825140532</v>
      </c>
      <c r="AP5" s="27">
        <f>[33]Durées!BE159</f>
        <v>158.0213349875184</v>
      </c>
      <c r="AQ5" s="27">
        <f>[33]Durées!BF159</f>
        <v>158.493497022718</v>
      </c>
      <c r="AR5" s="27">
        <f>[33]Durées!BG159</f>
        <v>158.42371685701261</v>
      </c>
      <c r="AS5" s="27">
        <f>[33]Durées!BH159</f>
        <v>158.58904433026041</v>
      </c>
      <c r="AT5" s="27">
        <f>[33]Durées!BI159</f>
        <v>158.62631966424541</v>
      </c>
      <c r="AU5" s="27">
        <f>[33]Durées!BJ159</f>
        <v>158.88690080026041</v>
      </c>
      <c r="AV5" s="27">
        <f>[33]Durées!BK159</f>
        <v>159.12420593699721</v>
      </c>
      <c r="AW5" s="27">
        <f>[33]Durées!BL159</f>
        <v>159.9810169759582</v>
      </c>
      <c r="AX5" s="27">
        <f>[33]Durées!BM159</f>
        <v>160.5654166873816</v>
      </c>
      <c r="AY5" s="27">
        <f>[33]Durées!BN159</f>
        <v>161.32201754186502</v>
      </c>
      <c r="AZ5" s="27">
        <f>[33]Durées!BO159</f>
        <v>161.70779891880142</v>
      </c>
      <c r="BA5" s="27">
        <f>[33]Durées!BP159</f>
        <v>161.63049349743801</v>
      </c>
      <c r="BB5" s="27">
        <f>[33]Durées!BQ159</f>
        <v>161.74192027557919</v>
      </c>
      <c r="BC5" s="27">
        <f>[33]Durées!BR159</f>
        <v>162.03752020728103</v>
      </c>
      <c r="BD5" s="27">
        <f>[33]Durées!BS159</f>
        <v>161.85441809017138</v>
      </c>
      <c r="BE5" s="27">
        <f>[33]Durées!BT159</f>
        <v>162.225595397321</v>
      </c>
      <c r="BF5" s="28">
        <f>[33]Durées!BU159</f>
        <v>160.832544191919</v>
      </c>
    </row>
    <row r="6" spans="1:58">
      <c r="B6" s="35" t="s">
        <v>18</v>
      </c>
      <c r="C6" s="30">
        <f>[33]Durées!R160</f>
        <v>152.024830179525</v>
      </c>
      <c r="D6" s="30">
        <f>[33]Durées!S160</f>
        <v>155.00880877992367</v>
      </c>
      <c r="E6" s="30">
        <f>[33]Durées!T160</f>
        <v>157.092737160875</v>
      </c>
      <c r="F6" s="30">
        <f>[33]Durées!U160</f>
        <v>159.23255821005358</v>
      </c>
      <c r="G6" s="30">
        <f>[33]Durées!V160</f>
        <v>161.1655657617238</v>
      </c>
      <c r="H6" s="30">
        <f>[33]Durées!W160</f>
        <v>162.89574606473661</v>
      </c>
      <c r="I6" s="30">
        <f>[33]Durées!X160</f>
        <v>164.90723559459201</v>
      </c>
      <c r="J6" s="30">
        <f>[33]Durées!Y160</f>
        <v>166.56665192929862</v>
      </c>
      <c r="K6" s="30">
        <f>[33]Durées!Z160</f>
        <v>168.10016408208099</v>
      </c>
      <c r="L6" s="30">
        <f>[33]Durées!AA160</f>
        <v>169.67101685373299</v>
      </c>
      <c r="M6" s="30">
        <f>[33]Durées!AB160</f>
        <v>170.83854014771561</v>
      </c>
      <c r="N6" s="30">
        <f>[33]Durées!AC160</f>
        <v>171.56055493739899</v>
      </c>
      <c r="O6" s="30">
        <f>[33]Durées!AD160</f>
        <v>172.207214077918</v>
      </c>
      <c r="P6" s="30">
        <f>[33]Durées!AE160</f>
        <v>172.6151798222354</v>
      </c>
      <c r="Q6" s="30">
        <f>[33]Durées!AF160</f>
        <v>172.35079201574359</v>
      </c>
      <c r="R6" s="30">
        <f>[33]Durées!AG160</f>
        <v>172.35224625536162</v>
      </c>
      <c r="S6" s="30">
        <f>[33]Durées!AH160</f>
        <v>172.4431707849844</v>
      </c>
      <c r="T6" s="30">
        <f>[33]Durées!AI160</f>
        <v>172.14853833954879</v>
      </c>
      <c r="U6" s="30">
        <f>[33]Durées!AJ160</f>
        <v>171.93209677491501</v>
      </c>
      <c r="V6" s="30">
        <f>[33]Durées!AK160</f>
        <v>171.86601355845141</v>
      </c>
      <c r="W6" s="30">
        <f>[33]Durées!AL160</f>
        <v>171.34438207769321</v>
      </c>
      <c r="X6" s="30">
        <f>[33]Durées!AM160</f>
        <v>170.81890019041202</v>
      </c>
      <c r="Y6" s="30">
        <f>[33]Durées!AN160</f>
        <v>170.58717719550702</v>
      </c>
      <c r="Z6" s="30">
        <f>[33]Durées!AO160</f>
        <v>170.129553278071</v>
      </c>
      <c r="AA6" s="30">
        <f>[33]Durées!AP160</f>
        <v>169.70558249591039</v>
      </c>
      <c r="AB6" s="30">
        <f>[33]Durées!AQ160</f>
        <v>169.4071034295734</v>
      </c>
      <c r="AC6" s="30">
        <f>[33]Durées!AR160</f>
        <v>169.02230771266619</v>
      </c>
      <c r="AD6" s="30">
        <f>[33]Durées!AS160</f>
        <v>168.4604120880638</v>
      </c>
      <c r="AE6" s="30">
        <f>[33]Durées!AT160</f>
        <v>168.07480279636061</v>
      </c>
      <c r="AF6" s="30">
        <f>[33]Durées!AU160</f>
        <v>167.888031599469</v>
      </c>
      <c r="AG6" s="30">
        <f>[33]Durées!AV160</f>
        <v>167.91395907788001</v>
      </c>
      <c r="AH6" s="30">
        <f>[33]Durées!AW160</f>
        <v>168.23485842979281</v>
      </c>
      <c r="AI6" s="30">
        <f>[33]Durées!AX160</f>
        <v>168.4563471644864</v>
      </c>
      <c r="AJ6" s="30">
        <f>[33]Durées!AY160</f>
        <v>168.86400747443182</v>
      </c>
      <c r="AK6" s="30">
        <f>[33]Durées!AZ160</f>
        <v>169.30174158575582</v>
      </c>
      <c r="AL6" s="30">
        <f>[33]Durées!BA160</f>
        <v>169.20988007918442</v>
      </c>
      <c r="AM6" s="30">
        <f>[33]Durées!BB160</f>
        <v>169.0663550947128</v>
      </c>
      <c r="AN6" s="30">
        <f>[33]Durées!BC160</f>
        <v>168.98996640194221</v>
      </c>
      <c r="AO6" s="30">
        <f>[33]Durées!BD160</f>
        <v>169.06951632581959</v>
      </c>
      <c r="AP6" s="30">
        <f>[33]Durées!BE160</f>
        <v>168.60239877754719</v>
      </c>
      <c r="AQ6" s="30">
        <f>[33]Durées!BF160</f>
        <v>168.47245175310803</v>
      </c>
      <c r="AR6" s="30">
        <f>[33]Durées!BG160</f>
        <v>168.5034310565824</v>
      </c>
      <c r="AS6" s="30">
        <f>[33]Durées!BH160</f>
        <v>168.30675971292121</v>
      </c>
      <c r="AT6" s="30">
        <f>[33]Durées!BI160</f>
        <v>168.11652473029801</v>
      </c>
      <c r="AU6" s="30">
        <f>[33]Durées!BJ160</f>
        <v>168.11118646118339</v>
      </c>
      <c r="AV6" s="30">
        <f>[33]Durées!BK160</f>
        <v>167.99112300813039</v>
      </c>
      <c r="AW6" s="30">
        <f>[33]Durées!BL160</f>
        <v>167.84926630526621</v>
      </c>
      <c r="AX6" s="30">
        <f>[33]Durées!BM160</f>
        <v>167.65759487712322</v>
      </c>
      <c r="AY6" s="30">
        <f>[33]Durées!BN160</f>
        <v>167.62519227506681</v>
      </c>
      <c r="AZ6" s="30">
        <f>[33]Durées!BO160</f>
        <v>168.1424215314274</v>
      </c>
      <c r="BA6" s="30">
        <f>[33]Durées!BP160</f>
        <v>168.80109987567158</v>
      </c>
      <c r="BB6" s="30">
        <f>[33]Durées!BQ160</f>
        <v>169.2195958909974</v>
      </c>
      <c r="BC6" s="30">
        <f>[33]Durées!BR160</f>
        <v>169.84999008752061</v>
      </c>
      <c r="BD6" s="30">
        <f>[33]Durées!BS160</f>
        <v>170.080788186961</v>
      </c>
      <c r="BE6" s="30">
        <f>[33]Durées!BT160</f>
        <v>170.02255492531637</v>
      </c>
      <c r="BF6" s="31">
        <f>[33]Durées!BU160</f>
        <v>169.60980478497001</v>
      </c>
    </row>
    <row r="7" spans="1:58" ht="13.5" thickBot="1">
      <c r="B7" s="36" t="s">
        <v>22</v>
      </c>
      <c r="C7" s="33">
        <f>[33]Durées!R161</f>
        <v>123.273290003095</v>
      </c>
      <c r="D7" s="33">
        <f>[33]Durées!S161</f>
        <v>127.96535406083534</v>
      </c>
      <c r="E7" s="33">
        <f>[33]Durées!T161</f>
        <v>130.90577884749118</v>
      </c>
      <c r="F7" s="33">
        <f>[33]Durées!U161</f>
        <v>134.145602174673</v>
      </c>
      <c r="G7" s="33">
        <f>[33]Durées!V161</f>
        <v>136.80263536497981</v>
      </c>
      <c r="H7" s="33">
        <f>[33]Durées!W161</f>
        <v>139.27877418342618</v>
      </c>
      <c r="I7" s="33">
        <f>[33]Durées!X161</f>
        <v>141.95383408557959</v>
      </c>
      <c r="J7" s="33">
        <f>[33]Durées!Y161</f>
        <v>145.3086768137016</v>
      </c>
      <c r="K7" s="33">
        <f>[33]Durées!Z161</f>
        <v>148.192395151732</v>
      </c>
      <c r="L7" s="33">
        <f>[33]Durées!AA161</f>
        <v>151.3011711074538</v>
      </c>
      <c r="M7" s="33">
        <f>[33]Durées!AB161</f>
        <v>152.4567076054054</v>
      </c>
      <c r="N7" s="33">
        <f>[33]Durées!AC161</f>
        <v>153.75653742412538</v>
      </c>
      <c r="O7" s="33">
        <f>[33]Durées!AD161</f>
        <v>153.67193187634899</v>
      </c>
      <c r="P7" s="33">
        <f>[33]Durées!AE161</f>
        <v>154.07686372526601</v>
      </c>
      <c r="Q7" s="33">
        <f>[33]Durées!AF161</f>
        <v>154.12916785515881</v>
      </c>
      <c r="R7" s="33">
        <f>[33]Durées!AG161</f>
        <v>156.06050841177662</v>
      </c>
      <c r="S7" s="33">
        <f>[33]Durées!AH161</f>
        <v>157.46310331294461</v>
      </c>
      <c r="T7" s="33">
        <f>[33]Durées!AI161</f>
        <v>159.5738506334782</v>
      </c>
      <c r="U7" s="33">
        <f>[33]Durées!AJ161</f>
        <v>161.5066040860502</v>
      </c>
      <c r="V7" s="33">
        <f>[33]Durées!AK161</f>
        <v>163.56094218144761</v>
      </c>
      <c r="W7" s="33">
        <f>[33]Durées!AL161</f>
        <v>164.5889896463882</v>
      </c>
      <c r="X7" s="33">
        <f>[33]Durées!AM161</f>
        <v>166.25647454199799</v>
      </c>
      <c r="Y7" s="33">
        <f>[33]Durées!AN161</f>
        <v>167.35437734687079</v>
      </c>
      <c r="Z7" s="33">
        <f>[33]Durées!AO161</f>
        <v>168.07363579364139</v>
      </c>
      <c r="AA7" s="33">
        <f>[33]Durées!AP161</f>
        <v>168.1526345812608</v>
      </c>
      <c r="AB7" s="33">
        <f>[33]Durées!AQ161</f>
        <v>169.18770677443982</v>
      </c>
      <c r="AC7" s="33">
        <f>[33]Durées!AR161</f>
        <v>169.77547863490781</v>
      </c>
      <c r="AD7" s="33">
        <f>[33]Durées!AS161</f>
        <v>170.29917444081482</v>
      </c>
      <c r="AE7" s="33">
        <f>[33]Durées!AT161</f>
        <v>171.07867086341099</v>
      </c>
      <c r="AF7" s="33">
        <f>[33]Durées!AU161</f>
        <v>172.26449623617981</v>
      </c>
      <c r="AG7" s="33">
        <f>[33]Durées!AV161</f>
        <v>172.35914825083182</v>
      </c>
      <c r="AH7" s="33">
        <f>[33]Durées!AW161</f>
        <v>172.50527227740142</v>
      </c>
      <c r="AI7" s="33">
        <f>[33]Durées!AX161</f>
        <v>172.8153491571592</v>
      </c>
      <c r="AJ7" s="33">
        <f>[33]Durées!AY161</f>
        <v>172.98973224816183</v>
      </c>
      <c r="AK7" s="33">
        <f>[33]Durées!AZ161</f>
        <v>172.66456793621919</v>
      </c>
      <c r="AL7" s="33">
        <f>[33]Durées!BA161</f>
        <v>172.81193515233662</v>
      </c>
      <c r="AM7" s="33">
        <f>[33]Durées!BB161</f>
        <v>172.97574502783021</v>
      </c>
      <c r="AN7" s="33">
        <f>[33]Durées!BC161</f>
        <v>172.86025424147741</v>
      </c>
      <c r="AO7" s="33">
        <f>[33]Durées!BD161</f>
        <v>172.902945599502</v>
      </c>
      <c r="AP7" s="33">
        <f>[33]Durées!BE161</f>
        <v>173.36649323750621</v>
      </c>
      <c r="AQ7" s="33">
        <f>[33]Durées!BF161</f>
        <v>173.46807751245902</v>
      </c>
      <c r="AR7" s="33">
        <f>[33]Durées!BG161</f>
        <v>173.13179982506182</v>
      </c>
      <c r="AS7" s="33">
        <f>[33]Durées!BH161</f>
        <v>172.60935189793022</v>
      </c>
      <c r="AT7" s="33">
        <f>[33]Durées!BI161</f>
        <v>172.04985522401859</v>
      </c>
      <c r="AU7" s="33">
        <f>[33]Durées!BJ161</f>
        <v>171.52082248592342</v>
      </c>
      <c r="AV7" s="33">
        <f>[33]Durées!BK161</f>
        <v>171.35992565261381</v>
      </c>
      <c r="AW7" s="33">
        <f>[33]Durées!BL161</f>
        <v>171.4643423090038</v>
      </c>
      <c r="AX7" s="33">
        <f>[33]Durées!BM161</f>
        <v>171.63339737899241</v>
      </c>
      <c r="AY7" s="33">
        <f>[33]Durées!BN161</f>
        <v>172.1181992511288</v>
      </c>
      <c r="AZ7" s="33">
        <f>[33]Durées!BO161</f>
        <v>172.39533032984002</v>
      </c>
      <c r="BA7" s="33">
        <f>[33]Durées!BP161</f>
        <v>172.65201675941779</v>
      </c>
      <c r="BB7" s="33">
        <f>[33]Durées!BQ161</f>
        <v>173.60718639842881</v>
      </c>
      <c r="BC7" s="33">
        <f>[33]Durées!BR161</f>
        <v>174.21990256384237</v>
      </c>
      <c r="BD7" s="33">
        <f>[33]Durées!BS161</f>
        <v>173.718008527932</v>
      </c>
      <c r="BE7" s="33">
        <f>[33]Durées!BT161</f>
        <v>174.17361376756568</v>
      </c>
      <c r="BF7" s="42">
        <f>[33]Durées!BU161</f>
        <v>171.275627240143</v>
      </c>
    </row>
    <row r="8" spans="1:58">
      <c r="B8" s="34" t="s">
        <v>20</v>
      </c>
      <c r="C8" s="43">
        <f>[33]Durées!R163</f>
        <v>145.50954633673024</v>
      </c>
      <c r="D8" s="43">
        <f>[33]Durées!S163</f>
        <v>148.55313056185005</v>
      </c>
      <c r="E8" s="43">
        <f>[33]Durées!T163</f>
        <v>150.7060088658834</v>
      </c>
      <c r="F8" s="43">
        <f>[33]Durées!U163</f>
        <v>152.92249676516283</v>
      </c>
      <c r="G8" s="43">
        <f>[33]Durées!V163</f>
        <v>154.91066297356812</v>
      </c>
      <c r="H8" s="43">
        <f>[33]Durées!W163</f>
        <v>156.70797521680828</v>
      </c>
      <c r="I8" s="43">
        <f>[33]Durées!X163</f>
        <v>158.76887699459772</v>
      </c>
      <c r="J8" s="43">
        <f>[33]Durées!Y163</f>
        <v>160.44740447084874</v>
      </c>
      <c r="K8" s="43">
        <f>[33]Durées!Z163</f>
        <v>161.94196358180045</v>
      </c>
      <c r="L8" s="43">
        <f>[33]Durées!AA163</f>
        <v>163.46614887554625</v>
      </c>
      <c r="M8" s="43">
        <f>[33]Durées!AB163</f>
        <v>164.57851376278123</v>
      </c>
      <c r="N8" s="43">
        <f>[33]Durées!AC163</f>
        <v>165.22532345163251</v>
      </c>
      <c r="O8" s="43">
        <f>[33]Durées!AD163</f>
        <v>165.76617131284627</v>
      </c>
      <c r="P8" s="43">
        <f>[33]Durées!AE163</f>
        <v>166.07660343824938</v>
      </c>
      <c r="Q8" s="43">
        <f>[33]Durées!AF163</f>
        <v>165.74001113464422</v>
      </c>
      <c r="R8" s="43">
        <f>[33]Durées!AG163</f>
        <v>165.68625413691899</v>
      </c>
      <c r="S8" s="43">
        <f>[33]Durées!AH163</f>
        <v>165.73670283005794</v>
      </c>
      <c r="T8" s="43">
        <f>[33]Durées!AI163</f>
        <v>165.41354962531506</v>
      </c>
      <c r="U8" s="43">
        <f>[33]Durées!AJ163</f>
        <v>165.25093818511661</v>
      </c>
      <c r="V8" s="43">
        <f>[33]Durées!AK163</f>
        <v>165.25712404495826</v>
      </c>
      <c r="W8" s="43">
        <f>[33]Durées!AL163</f>
        <v>164.81858270326833</v>
      </c>
      <c r="X8" s="43">
        <f>[33]Durées!AM163</f>
        <v>164.37206906995539</v>
      </c>
      <c r="Y8" s="43">
        <f>[33]Durées!AN163</f>
        <v>164.31181039330122</v>
      </c>
      <c r="Z8" s="43">
        <f>[33]Durées!AO163</f>
        <v>164.02662761365951</v>
      </c>
      <c r="AA8" s="43">
        <f>[33]Durées!AP163</f>
        <v>163.76375566667366</v>
      </c>
      <c r="AB8" s="43">
        <f>[33]Durées!AQ163</f>
        <v>163.69974991304503</v>
      </c>
      <c r="AC8" s="43">
        <f>[33]Durées!AR163</f>
        <v>163.6106234874764</v>
      </c>
      <c r="AD8" s="43">
        <f>[33]Durées!AS163</f>
        <v>163.35417051943995</v>
      </c>
      <c r="AE8" s="43">
        <f>[33]Durées!AT163</f>
        <v>163.26743069565356</v>
      </c>
      <c r="AF8" s="43">
        <f>[33]Durées!AU163</f>
        <v>163.41791148334735</v>
      </c>
      <c r="AG8" s="43">
        <f>[33]Durées!AV163</f>
        <v>163.71753374962958</v>
      </c>
      <c r="AH8" s="43">
        <f>[33]Durées!AW163</f>
        <v>164.27325916624099</v>
      </c>
      <c r="AI8" s="43">
        <f>[33]Durées!AX163</f>
        <v>164.68766685125854</v>
      </c>
      <c r="AJ8" s="43">
        <f>[33]Durées!AY163</f>
        <v>165.24327157228029</v>
      </c>
      <c r="AK8" s="43">
        <f>[33]Durées!AZ163</f>
        <v>165.75450859455651</v>
      </c>
      <c r="AL8" s="43">
        <f>[33]Durées!BA163</f>
        <v>165.71736819368991</v>
      </c>
      <c r="AM8" s="43">
        <f>[33]Durées!BB163</f>
        <v>165.6074917737767</v>
      </c>
      <c r="AN8" s="43">
        <f>[33]Durées!BC163</f>
        <v>165.54428114281717</v>
      </c>
      <c r="AO8" s="43">
        <f>[33]Durées!BD163</f>
        <v>165.64098568875437</v>
      </c>
      <c r="AP8" s="43">
        <f>[33]Durées!BE163</f>
        <v>165.20936140093005</v>
      </c>
      <c r="AQ8" s="43">
        <f>[33]Durées!BF163</f>
        <v>165.09366925778386</v>
      </c>
      <c r="AR8" s="43">
        <f>[33]Durées!BG163</f>
        <v>165.14973115999973</v>
      </c>
      <c r="AS8" s="43">
        <f>[33]Durées!BH163</f>
        <v>164.97592642001874</v>
      </c>
      <c r="AT8" s="43">
        <f>[33]Durées!BI163</f>
        <v>164.79314719482011</v>
      </c>
      <c r="AU8" s="43">
        <f>[33]Durées!BJ163</f>
        <v>164.77826189177048</v>
      </c>
      <c r="AV8" s="43">
        <f>[33]Durées!BK163</f>
        <v>164.65876517457863</v>
      </c>
      <c r="AW8" s="43">
        <f>[33]Durées!BL163</f>
        <v>164.50526815927395</v>
      </c>
      <c r="AX8" s="43">
        <f>[33]Durées!BM163</f>
        <v>164.32195593390239</v>
      </c>
      <c r="AY8" s="43">
        <f>[33]Durées!BN163</f>
        <v>164.27633853005722</v>
      </c>
      <c r="AZ8" s="43">
        <f>[33]Durées!BO163</f>
        <v>164.794735312027</v>
      </c>
      <c r="BA8" s="43">
        <f>[33]Durées!BP163</f>
        <v>165.46092534420899</v>
      </c>
      <c r="BB8" s="43">
        <f>[33]Durées!BQ163</f>
        <v>165.88196848597156</v>
      </c>
      <c r="BC8" s="43">
        <f>[33]Durées!BR163</f>
        <v>166.49550467908998</v>
      </c>
      <c r="BD8" s="43">
        <f>[33]Durées!BS163</f>
        <v>166.7267594049973</v>
      </c>
      <c r="BE8" s="43">
        <f>[33]Durées!BT163</f>
        <v>166.66209358012475</v>
      </c>
      <c r="BF8" s="44">
        <f>[33]Durées!BU163</f>
        <v>166.22010861588149</v>
      </c>
    </row>
    <row r="9" spans="1:58" ht="13.5" thickBot="1">
      <c r="B9" s="36" t="s">
        <v>21</v>
      </c>
      <c r="C9" s="33">
        <f>[33]Durées!R164</f>
        <v>112.06437635406991</v>
      </c>
      <c r="D9" s="33">
        <f>[33]Durées!S164</f>
        <v>116.82384851882237</v>
      </c>
      <c r="E9" s="33">
        <f>[33]Durées!T164</f>
        <v>119.92984205983024</v>
      </c>
      <c r="F9" s="33">
        <f>[33]Durées!U164</f>
        <v>123.34339832428593</v>
      </c>
      <c r="G9" s="33">
        <f>[33]Durées!V164</f>
        <v>126.16080792847831</v>
      </c>
      <c r="H9" s="33">
        <f>[33]Durées!W164</f>
        <v>128.67392429928685</v>
      </c>
      <c r="I9" s="33">
        <f>[33]Durées!X164</f>
        <v>131.35966343493243</v>
      </c>
      <c r="J9" s="33">
        <f>[33]Durées!Y164</f>
        <v>134.63079392387658</v>
      </c>
      <c r="K9" s="33">
        <f>[33]Durées!Z164</f>
        <v>137.28782521233285</v>
      </c>
      <c r="L9" s="33">
        <f>[33]Durées!AA164</f>
        <v>140.26737170476798</v>
      </c>
      <c r="M9" s="33">
        <f>[33]Durées!AB164</f>
        <v>141.2357743481935</v>
      </c>
      <c r="N9" s="33">
        <f>[33]Durées!AC164</f>
        <v>142.35066315486924</v>
      </c>
      <c r="O9" s="33">
        <f>[33]Durées!AD164</f>
        <v>142.00448752714345</v>
      </c>
      <c r="P9" s="33">
        <f>[33]Durées!AE164</f>
        <v>142.21353745569064</v>
      </c>
      <c r="Q9" s="33">
        <f>[33]Durées!AF164</f>
        <v>141.97346484825911</v>
      </c>
      <c r="R9" s="33">
        <f>[33]Durées!AG164</f>
        <v>143.69410516316549</v>
      </c>
      <c r="S9" s="33">
        <f>[33]Durées!AH164</f>
        <v>144.92024790799923</v>
      </c>
      <c r="T9" s="33">
        <f>[33]Durées!AI164</f>
        <v>146.97625546448006</v>
      </c>
      <c r="U9" s="33">
        <f>[33]Durées!AJ164</f>
        <v>148.89045120893894</v>
      </c>
      <c r="V9" s="33">
        <f>[33]Durées!AK164</f>
        <v>150.96220976002235</v>
      </c>
      <c r="W9" s="33">
        <f>[33]Durées!AL164</f>
        <v>152.12685733487316</v>
      </c>
      <c r="X9" s="33">
        <f>[33]Durées!AM164</f>
        <v>153.99026404515479</v>
      </c>
      <c r="Y9" s="33">
        <f>[33]Durées!AN164</f>
        <v>155.30429638572792</v>
      </c>
      <c r="Z9" s="33">
        <f>[33]Durées!AO164</f>
        <v>156.34927265647025</v>
      </c>
      <c r="AA9" s="33">
        <f>[33]Durées!AP164</f>
        <v>156.8028371265886</v>
      </c>
      <c r="AB9" s="33">
        <f>[33]Durées!AQ164</f>
        <v>158.20432082088783</v>
      </c>
      <c r="AC9" s="33">
        <f>[33]Durées!AR164</f>
        <v>159.22176083051764</v>
      </c>
      <c r="AD9" s="33">
        <f>[33]Durées!AS164</f>
        <v>160.23994031952651</v>
      </c>
      <c r="AE9" s="33">
        <f>[33]Durées!AT164</f>
        <v>161.55565129425105</v>
      </c>
      <c r="AF9" s="33">
        <f>[33]Durées!AU164</f>
        <v>163.2315106525071</v>
      </c>
      <c r="AG9" s="33">
        <f>[33]Durées!AV164</f>
        <v>163.89401981001626</v>
      </c>
      <c r="AH9" s="33">
        <f>[33]Durées!AW164</f>
        <v>164.56782241468227</v>
      </c>
      <c r="AI9" s="33">
        <f>[33]Durées!AX164</f>
        <v>165.26557238702762</v>
      </c>
      <c r="AJ9" s="33">
        <f>[33]Durées!AY164</f>
        <v>165.70434242966127</v>
      </c>
      <c r="AK9" s="33">
        <f>[33]Durées!AZ164</f>
        <v>165.70686678280688</v>
      </c>
      <c r="AL9" s="33">
        <f>[33]Durées!BA164</f>
        <v>165.98334041882018</v>
      </c>
      <c r="AM9" s="33">
        <f>[33]Durées!BB164</f>
        <v>166.19808870809177</v>
      </c>
      <c r="AN9" s="33">
        <f>[33]Durées!BC164</f>
        <v>166.15159800816193</v>
      </c>
      <c r="AO9" s="33">
        <f>[33]Durées!BD164</f>
        <v>166.26857508047223</v>
      </c>
      <c r="AP9" s="33">
        <f>[33]Durées!BE164</f>
        <v>166.70828712930449</v>
      </c>
      <c r="AQ9" s="33">
        <f>[33]Durées!BF164</f>
        <v>166.84820771112612</v>
      </c>
      <c r="AR9" s="33">
        <f>[33]Durées!BG164</f>
        <v>166.56471536493967</v>
      </c>
      <c r="AS9" s="33">
        <f>[33]Durées!BH164</f>
        <v>166.06449389001452</v>
      </c>
      <c r="AT9" s="33">
        <f>[33]Durées!BI164</f>
        <v>165.47746905961213</v>
      </c>
      <c r="AU9" s="33">
        <f>[33]Durées!BJ164</f>
        <v>164.97901667865978</v>
      </c>
      <c r="AV9" s="33">
        <f>[33]Durées!BK164</f>
        <v>164.8173222381717</v>
      </c>
      <c r="AW9" s="33">
        <f>[33]Durées!BL164</f>
        <v>164.93138743322248</v>
      </c>
      <c r="AX9" s="33">
        <f>[33]Durées!BM164</f>
        <v>165.11430627656853</v>
      </c>
      <c r="AY9" s="33">
        <f>[33]Durées!BN164</f>
        <v>165.62904659632639</v>
      </c>
      <c r="AZ9" s="33">
        <f>[33]Durées!BO164</f>
        <v>165.88868837594714</v>
      </c>
      <c r="BA9" s="33">
        <f>[33]Durées!BP164</f>
        <v>166.11556811252976</v>
      </c>
      <c r="BB9" s="33">
        <f>[33]Durées!BQ164</f>
        <v>167.05129603533501</v>
      </c>
      <c r="BC9" s="33">
        <f>[33]Durées!BR164</f>
        <v>167.61438814059824</v>
      </c>
      <c r="BD9" s="33">
        <f>[33]Durées!BS164</f>
        <v>167.07833266148342</v>
      </c>
      <c r="BE9" s="33">
        <f>[33]Durées!BT164</f>
        <v>167.53837980329129</v>
      </c>
      <c r="BF9" s="42">
        <f>[33]Durées!BU164</f>
        <v>164.57401433691717</v>
      </c>
    </row>
    <row r="11" spans="1:58">
      <c r="B11" s="11" t="s">
        <v>11</v>
      </c>
      <c r="H11" s="13"/>
      <c r="I11" s="13"/>
      <c r="J11" s="13"/>
      <c r="K11" s="13"/>
    </row>
    <row r="12" spans="1:58">
      <c r="B12" s="11" t="s">
        <v>9</v>
      </c>
      <c r="H12" s="13"/>
      <c r="I12" s="13"/>
      <c r="J12" s="13"/>
      <c r="K12" s="13"/>
    </row>
    <row r="13" spans="1:58">
      <c r="B13" s="11" t="s">
        <v>10</v>
      </c>
    </row>
  </sheetData>
  <hyperlinks>
    <hyperlink ref="A2" location="SOMMAIRE!A1" display="Retour au sommaire" xr:uid="{AC75F225-8865-451D-9E71-96E80307986D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8EDB-54B1-47C4-A5B5-DBE3459F3CDD}">
  <sheetPr>
    <tabColor rgb="FFACB9CA"/>
  </sheetPr>
  <dimension ref="A1:BU12"/>
  <sheetViews>
    <sheetView workbookViewId="0"/>
  </sheetViews>
  <sheetFormatPr baseColWidth="10" defaultRowHeight="12.75"/>
  <cols>
    <col min="1" max="1" width="11" style="7"/>
    <col min="2" max="2" width="25.25" style="7" customWidth="1"/>
    <col min="3" max="256" width="11" style="7"/>
    <col min="257" max="257" width="18.25" style="7" customWidth="1"/>
    <col min="258" max="512" width="11" style="7"/>
    <col min="513" max="513" width="18.25" style="7" customWidth="1"/>
    <col min="514" max="768" width="11" style="7"/>
    <col min="769" max="769" width="18.25" style="7" customWidth="1"/>
    <col min="770" max="1024" width="11" style="7"/>
    <col min="1025" max="1025" width="18.25" style="7" customWidth="1"/>
    <col min="1026" max="1280" width="11" style="7"/>
    <col min="1281" max="1281" width="18.25" style="7" customWidth="1"/>
    <col min="1282" max="1536" width="11" style="7"/>
    <col min="1537" max="1537" width="18.25" style="7" customWidth="1"/>
    <col min="1538" max="1792" width="11" style="7"/>
    <col min="1793" max="1793" width="18.25" style="7" customWidth="1"/>
    <col min="1794" max="2048" width="11" style="7"/>
    <col min="2049" max="2049" width="18.25" style="7" customWidth="1"/>
    <col min="2050" max="2304" width="11" style="7"/>
    <col min="2305" max="2305" width="18.25" style="7" customWidth="1"/>
    <col min="2306" max="2560" width="11" style="7"/>
    <col min="2561" max="2561" width="18.25" style="7" customWidth="1"/>
    <col min="2562" max="2816" width="11" style="7"/>
    <col min="2817" max="2817" width="18.25" style="7" customWidth="1"/>
    <col min="2818" max="3072" width="11" style="7"/>
    <col min="3073" max="3073" width="18.25" style="7" customWidth="1"/>
    <col min="3074" max="3328" width="11" style="7"/>
    <col min="3329" max="3329" width="18.25" style="7" customWidth="1"/>
    <col min="3330" max="3584" width="11" style="7"/>
    <col min="3585" max="3585" width="18.25" style="7" customWidth="1"/>
    <col min="3586" max="3840" width="11" style="7"/>
    <col min="3841" max="3841" width="18.25" style="7" customWidth="1"/>
    <col min="3842" max="4096" width="11" style="7"/>
    <col min="4097" max="4097" width="18.25" style="7" customWidth="1"/>
    <col min="4098" max="4352" width="11" style="7"/>
    <col min="4353" max="4353" width="18.25" style="7" customWidth="1"/>
    <col min="4354" max="4608" width="11" style="7"/>
    <col min="4609" max="4609" width="18.25" style="7" customWidth="1"/>
    <col min="4610" max="4864" width="11" style="7"/>
    <col min="4865" max="4865" width="18.25" style="7" customWidth="1"/>
    <col min="4866" max="5120" width="11" style="7"/>
    <col min="5121" max="5121" width="18.25" style="7" customWidth="1"/>
    <col min="5122" max="5376" width="11" style="7"/>
    <col min="5377" max="5377" width="18.25" style="7" customWidth="1"/>
    <col min="5378" max="5632" width="11" style="7"/>
    <col min="5633" max="5633" width="18.25" style="7" customWidth="1"/>
    <col min="5634" max="5888" width="11" style="7"/>
    <col min="5889" max="5889" width="18.25" style="7" customWidth="1"/>
    <col min="5890" max="6144" width="11" style="7"/>
    <col min="6145" max="6145" width="18.25" style="7" customWidth="1"/>
    <col min="6146" max="6400" width="11" style="7"/>
    <col min="6401" max="6401" width="18.25" style="7" customWidth="1"/>
    <col min="6402" max="6656" width="11" style="7"/>
    <col min="6657" max="6657" width="18.25" style="7" customWidth="1"/>
    <col min="6658" max="6912" width="11" style="7"/>
    <col min="6913" max="6913" width="18.25" style="7" customWidth="1"/>
    <col min="6914" max="7168" width="11" style="7"/>
    <col min="7169" max="7169" width="18.25" style="7" customWidth="1"/>
    <col min="7170" max="7424" width="11" style="7"/>
    <col min="7425" max="7425" width="18.25" style="7" customWidth="1"/>
    <col min="7426" max="7680" width="11" style="7"/>
    <col min="7681" max="7681" width="18.25" style="7" customWidth="1"/>
    <col min="7682" max="7936" width="11" style="7"/>
    <col min="7937" max="7937" width="18.25" style="7" customWidth="1"/>
    <col min="7938" max="8192" width="11" style="7"/>
    <col min="8193" max="8193" width="18.25" style="7" customWidth="1"/>
    <col min="8194" max="8448" width="11" style="7"/>
    <col min="8449" max="8449" width="18.25" style="7" customWidth="1"/>
    <col min="8450" max="8704" width="11" style="7"/>
    <col min="8705" max="8705" width="18.25" style="7" customWidth="1"/>
    <col min="8706" max="8960" width="11" style="7"/>
    <col min="8961" max="8961" width="18.25" style="7" customWidth="1"/>
    <col min="8962" max="9216" width="11" style="7"/>
    <col min="9217" max="9217" width="18.25" style="7" customWidth="1"/>
    <col min="9218" max="9472" width="11" style="7"/>
    <col min="9473" max="9473" width="18.25" style="7" customWidth="1"/>
    <col min="9474" max="9728" width="11" style="7"/>
    <col min="9729" max="9729" width="18.25" style="7" customWidth="1"/>
    <col min="9730" max="9984" width="11" style="7"/>
    <col min="9985" max="9985" width="18.25" style="7" customWidth="1"/>
    <col min="9986" max="10240" width="11" style="7"/>
    <col min="10241" max="10241" width="18.25" style="7" customWidth="1"/>
    <col min="10242" max="10496" width="11" style="7"/>
    <col min="10497" max="10497" width="18.25" style="7" customWidth="1"/>
    <col min="10498" max="10752" width="11" style="7"/>
    <col min="10753" max="10753" width="18.25" style="7" customWidth="1"/>
    <col min="10754" max="11008" width="11" style="7"/>
    <col min="11009" max="11009" width="18.25" style="7" customWidth="1"/>
    <col min="11010" max="11264" width="11" style="7"/>
    <col min="11265" max="11265" width="18.25" style="7" customWidth="1"/>
    <col min="11266" max="11520" width="11" style="7"/>
    <col min="11521" max="11521" width="18.25" style="7" customWidth="1"/>
    <col min="11522" max="11776" width="11" style="7"/>
    <col min="11777" max="11777" width="18.25" style="7" customWidth="1"/>
    <col min="11778" max="12032" width="11" style="7"/>
    <col min="12033" max="12033" width="18.25" style="7" customWidth="1"/>
    <col min="12034" max="12288" width="11" style="7"/>
    <col min="12289" max="12289" width="18.25" style="7" customWidth="1"/>
    <col min="12290" max="12544" width="11" style="7"/>
    <col min="12545" max="12545" width="18.25" style="7" customWidth="1"/>
    <col min="12546" max="12800" width="11" style="7"/>
    <col min="12801" max="12801" width="18.25" style="7" customWidth="1"/>
    <col min="12802" max="13056" width="11" style="7"/>
    <col min="13057" max="13057" width="18.25" style="7" customWidth="1"/>
    <col min="13058" max="13312" width="11" style="7"/>
    <col min="13313" max="13313" width="18.25" style="7" customWidth="1"/>
    <col min="13314" max="13568" width="11" style="7"/>
    <col min="13569" max="13569" width="18.25" style="7" customWidth="1"/>
    <col min="13570" max="13824" width="11" style="7"/>
    <col min="13825" max="13825" width="18.25" style="7" customWidth="1"/>
    <col min="13826" max="14080" width="11" style="7"/>
    <col min="14081" max="14081" width="18.25" style="7" customWidth="1"/>
    <col min="14082" max="14336" width="11" style="7"/>
    <col min="14337" max="14337" width="18.25" style="7" customWidth="1"/>
    <col min="14338" max="14592" width="11" style="7"/>
    <col min="14593" max="14593" width="18.25" style="7" customWidth="1"/>
    <col min="14594" max="14848" width="11" style="7"/>
    <col min="14849" max="14849" width="18.25" style="7" customWidth="1"/>
    <col min="14850" max="15104" width="11" style="7"/>
    <col min="15105" max="15105" width="18.25" style="7" customWidth="1"/>
    <col min="15106" max="15360" width="11" style="7"/>
    <col min="15361" max="15361" width="18.25" style="7" customWidth="1"/>
    <col min="15362" max="15616" width="11" style="7"/>
    <col min="15617" max="15617" width="18.25" style="7" customWidth="1"/>
    <col min="15618" max="15872" width="11" style="7"/>
    <col min="15873" max="15873" width="18.25" style="7" customWidth="1"/>
    <col min="15874" max="16128" width="11" style="7"/>
    <col min="16129" max="16129" width="18.25" style="7" customWidth="1"/>
    <col min="16130" max="16384" width="11" style="7"/>
  </cols>
  <sheetData>
    <row r="1" spans="1:73" ht="15.75">
      <c r="A1" s="2" t="s">
        <v>99</v>
      </c>
    </row>
    <row r="2" spans="1:73" ht="14.25">
      <c r="A2" s="6" t="s">
        <v>2</v>
      </c>
    </row>
    <row r="3" spans="1:73" ht="13.5" thickBot="1"/>
    <row r="4" spans="1:73" ht="15" customHeight="1" thickBot="1">
      <c r="B4" s="17"/>
      <c r="C4" s="8">
        <v>1930</v>
      </c>
      <c r="D4" s="9">
        <v>1931</v>
      </c>
      <c r="E4" s="9">
        <v>1932</v>
      </c>
      <c r="F4" s="9">
        <v>1933</v>
      </c>
      <c r="G4" s="9">
        <v>1934</v>
      </c>
      <c r="H4" s="9">
        <v>1935</v>
      </c>
      <c r="I4" s="9">
        <v>1936</v>
      </c>
      <c r="J4" s="9">
        <v>1937</v>
      </c>
      <c r="K4" s="9">
        <v>1938</v>
      </c>
      <c r="L4" s="9">
        <v>1939</v>
      </c>
      <c r="M4" s="9">
        <v>1940</v>
      </c>
      <c r="N4" s="9">
        <v>1941</v>
      </c>
      <c r="O4" s="9">
        <v>1942</v>
      </c>
      <c r="P4" s="9">
        <v>1943</v>
      </c>
      <c r="Q4" s="9">
        <v>1944</v>
      </c>
      <c r="R4" s="9">
        <v>1945</v>
      </c>
      <c r="S4" s="9">
        <v>1946</v>
      </c>
      <c r="T4" s="9">
        <v>1947</v>
      </c>
      <c r="U4" s="9">
        <v>1948</v>
      </c>
      <c r="V4" s="9">
        <v>1949</v>
      </c>
      <c r="W4" s="9">
        <v>1950</v>
      </c>
      <c r="X4" s="9">
        <v>1951</v>
      </c>
      <c r="Y4" s="9">
        <v>1952</v>
      </c>
      <c r="Z4" s="9">
        <v>1953</v>
      </c>
      <c r="AA4" s="9">
        <v>1954</v>
      </c>
      <c r="AB4" s="9">
        <v>1955</v>
      </c>
      <c r="AC4" s="9">
        <v>1956</v>
      </c>
      <c r="AD4" s="9">
        <v>1957</v>
      </c>
      <c r="AE4" s="9">
        <v>1958</v>
      </c>
      <c r="AF4" s="9">
        <v>1959</v>
      </c>
      <c r="AG4" s="9">
        <v>1960</v>
      </c>
      <c r="AH4" s="9">
        <v>1961</v>
      </c>
      <c r="AI4" s="9">
        <v>1962</v>
      </c>
      <c r="AJ4" s="9">
        <v>1963</v>
      </c>
      <c r="AK4" s="9">
        <v>1964</v>
      </c>
      <c r="AL4" s="9">
        <v>1965</v>
      </c>
      <c r="AM4" s="9">
        <v>1966</v>
      </c>
      <c r="AN4" s="9">
        <v>1967</v>
      </c>
      <c r="AO4" s="9">
        <v>1968</v>
      </c>
      <c r="AP4" s="9">
        <v>1969</v>
      </c>
      <c r="AQ4" s="9">
        <v>1970</v>
      </c>
      <c r="AR4" s="9">
        <v>1971</v>
      </c>
      <c r="AS4" s="9">
        <v>1972</v>
      </c>
      <c r="AT4" s="9">
        <v>1973</v>
      </c>
      <c r="AU4" s="9">
        <v>1974</v>
      </c>
      <c r="AV4" s="9">
        <v>1975</v>
      </c>
      <c r="AW4" s="9">
        <v>1976</v>
      </c>
      <c r="AX4" s="9">
        <v>1977</v>
      </c>
      <c r="AY4" s="9">
        <v>1978</v>
      </c>
      <c r="AZ4" s="9">
        <v>1979</v>
      </c>
      <c r="BA4" s="9">
        <v>1980</v>
      </c>
      <c r="BB4" s="9">
        <v>1981</v>
      </c>
      <c r="BC4" s="9">
        <v>1982</v>
      </c>
      <c r="BD4" s="9">
        <v>1983</v>
      </c>
      <c r="BE4" s="9">
        <v>1984</v>
      </c>
      <c r="BF4" s="9">
        <v>1985</v>
      </c>
      <c r="BG4" s="9">
        <v>1986</v>
      </c>
      <c r="BH4" s="9">
        <v>1987</v>
      </c>
      <c r="BI4" s="9">
        <v>1988</v>
      </c>
      <c r="BJ4" s="9">
        <v>1989</v>
      </c>
      <c r="BK4" s="9">
        <v>1990</v>
      </c>
      <c r="BL4" s="9">
        <v>1991</v>
      </c>
      <c r="BM4" s="9">
        <v>1992</v>
      </c>
      <c r="BN4" s="9">
        <v>1993</v>
      </c>
      <c r="BO4" s="9">
        <v>1994</v>
      </c>
      <c r="BP4" s="9">
        <v>1995</v>
      </c>
      <c r="BQ4" s="9">
        <v>1996</v>
      </c>
      <c r="BR4" s="9">
        <v>1997</v>
      </c>
      <c r="BS4" s="9">
        <v>1998</v>
      </c>
      <c r="BT4" s="9">
        <v>1999</v>
      </c>
      <c r="BU4" s="10">
        <v>2000</v>
      </c>
    </row>
    <row r="5" spans="1:73" ht="13.5" thickBot="1">
      <c r="B5" s="16" t="s">
        <v>15</v>
      </c>
      <c r="C5" s="53"/>
      <c r="D5" s="54"/>
      <c r="E5" s="54"/>
      <c r="F5" s="54">
        <f>[32]Effectifs!E17</f>
        <v>0.18866743807117387</v>
      </c>
      <c r="G5" s="54">
        <f>[32]Effectifs!F17</f>
        <v>0.21845886371142034</v>
      </c>
      <c r="H5" s="54">
        <f>[32]Effectifs!G17</f>
        <v>0.23824619717678042</v>
      </c>
      <c r="I5" s="54">
        <f>[32]Effectifs!H17</f>
        <v>0.2604465831966733</v>
      </c>
      <c r="J5" s="54">
        <f>[32]Effectifs!I17</f>
        <v>0.27745345430432067</v>
      </c>
      <c r="K5" s="54">
        <f>[32]Effectifs!J17</f>
        <v>0.2960819239265482</v>
      </c>
      <c r="L5" s="54">
        <f>[32]Effectifs!K17</f>
        <v>0.31108358842826112</v>
      </c>
      <c r="M5" s="54">
        <f>[32]Effectifs!L17</f>
        <v>0.32201447309184589</v>
      </c>
      <c r="N5" s="54">
        <f>[32]Effectifs!M17</f>
        <v>0.33434872128095261</v>
      </c>
      <c r="O5" s="54">
        <f>[32]Effectifs!N17</f>
        <v>0.34740787867354828</v>
      </c>
      <c r="P5" s="54">
        <f>[32]Effectifs!O17</f>
        <v>0.36223246606603043</v>
      </c>
      <c r="Q5" s="54">
        <f>[32]Effectifs!P17</f>
        <v>0.38075897704421735</v>
      </c>
      <c r="R5" s="54">
        <f>[32]Effectifs!Q17</f>
        <v>0.4029028713114885</v>
      </c>
      <c r="S5" s="54">
        <f>[32]Effectifs!R17</f>
        <v>0.42454847776397769</v>
      </c>
      <c r="T5" s="54">
        <f>[32]Effectifs!S17</f>
        <v>0.44754419698071074</v>
      </c>
      <c r="U5" s="54">
        <f>[32]Effectifs!T17</f>
        <v>0.46849909913940541</v>
      </c>
      <c r="V5" s="54">
        <f>[32]Effectifs!U17</f>
        <v>0.48985602748505064</v>
      </c>
      <c r="W5" s="54">
        <f>[32]Effectifs!V17</f>
        <v>0.50990502996641596</v>
      </c>
      <c r="X5" s="54">
        <f>[32]Effectifs!W17</f>
        <v>0.52636630104883386</v>
      </c>
      <c r="Y5" s="54">
        <f>[32]Effectifs!X17</f>
        <v>0.53828851337875072</v>
      </c>
      <c r="Z5" s="54">
        <f>[32]Effectifs!Y17</f>
        <v>0.54824035765444468</v>
      </c>
      <c r="AA5" s="54">
        <f>[32]Effectifs!Z17</f>
        <v>0.55432023907558492</v>
      </c>
      <c r="AB5" s="54">
        <f>[32]Effectifs!AA17</f>
        <v>0.55821202602780562</v>
      </c>
      <c r="AC5" s="54">
        <f>[32]Effectifs!AB17</f>
        <v>0.55981867286971343</v>
      </c>
      <c r="AD5" s="54">
        <f>[32]Effectifs!AC17</f>
        <v>0.56076178721901582</v>
      </c>
      <c r="AE5" s="54">
        <f>[32]Effectifs!AD17</f>
        <v>0.55750464665061683</v>
      </c>
      <c r="AF5" s="54">
        <f>[32]Effectifs!AE17</f>
        <v>0.55571621078135891</v>
      </c>
      <c r="AG5" s="54">
        <f>[32]Effectifs!AF17</f>
        <v>0.55367053249750031</v>
      </c>
      <c r="AH5" s="54">
        <f>[32]Effectifs!AG17</f>
        <v>0.55220148526248547</v>
      </c>
      <c r="AI5" s="54">
        <f>[32]Effectifs!AH17</f>
        <v>0.5520849880138553</v>
      </c>
      <c r="AJ5" s="54">
        <f>[32]Effectifs!AI17</f>
        <v>0.55507418960508526</v>
      </c>
      <c r="AK5" s="54">
        <f>[32]Effectifs!AJ17</f>
        <v>0.55558291925194747</v>
      </c>
      <c r="AL5" s="54">
        <f>[32]Effectifs!AK17</f>
        <v>0.55888032792753883</v>
      </c>
      <c r="AM5" s="54">
        <f>[32]Effectifs!AL17</f>
        <v>0.56197412729666563</v>
      </c>
      <c r="AN5" s="54">
        <f>[32]Effectifs!AM17</f>
        <v>0.565201452155212</v>
      </c>
      <c r="AO5" s="54">
        <f>[32]Effectifs!AN17</f>
        <v>0.56647964475042234</v>
      </c>
      <c r="AP5" s="54">
        <f>[32]Effectifs!AO17</f>
        <v>0.56849217571507915</v>
      </c>
      <c r="AQ5" s="54">
        <f>[32]Effectifs!AP17</f>
        <v>0.56648882576234472</v>
      </c>
      <c r="AR5" s="54">
        <f>[32]Effectifs!AQ17</f>
        <v>0.56460573746997211</v>
      </c>
      <c r="AS5" s="54">
        <f>[32]Effectifs!AR17</f>
        <v>0.56203951459153212</v>
      </c>
      <c r="AT5" s="54">
        <f>[32]Effectifs!AS17</f>
        <v>0.56175410248935387</v>
      </c>
      <c r="AU5" s="54">
        <f>[32]Effectifs!AT17</f>
        <v>0.56116407044433469</v>
      </c>
      <c r="AV5" s="54">
        <f>[32]Effectifs!AU17</f>
        <v>0.56267810584271216</v>
      </c>
      <c r="AW5" s="54">
        <f>[32]Effectifs!AV17</f>
        <v>0.56565233833400452</v>
      </c>
      <c r="AX5" s="54">
        <f>[32]Effectifs!AW17</f>
        <v>0.5673720031749292</v>
      </c>
      <c r="AY5" s="54">
        <f>[32]Effectifs!AX17</f>
        <v>0.56870203003612052</v>
      </c>
      <c r="AZ5" s="54">
        <f>[32]Effectifs!AY17</f>
        <v>0.56993260380581545</v>
      </c>
      <c r="BA5" s="54">
        <f>[32]Effectifs!AZ17</f>
        <v>0.57228242997197465</v>
      </c>
      <c r="BB5" s="54">
        <f>[32]Effectifs!BA17</f>
        <v>0.57080453431483591</v>
      </c>
      <c r="BC5" s="54">
        <f>[32]Effectifs!BB17</f>
        <v>0.56927770091701768</v>
      </c>
      <c r="BD5" s="54">
        <f>[32]Effectifs!BC17</f>
        <v>0.56778279370664786</v>
      </c>
      <c r="BE5" s="54">
        <f>[32]Effectifs!BD17</f>
        <v>0.56527776337984981</v>
      </c>
      <c r="BF5" s="54">
        <f>[32]Effectifs!BE17</f>
        <v>0.56103457349270669</v>
      </c>
      <c r="BG5" s="54">
        <f>[32]Effectifs!BF17</f>
        <v>0.55725154417388389</v>
      </c>
      <c r="BH5" s="54">
        <f>[32]Effectifs!BG17</f>
        <v>0.55397235319050586</v>
      </c>
      <c r="BI5" s="54">
        <f>[32]Effectifs!BH17</f>
        <v>0.54993870065657058</v>
      </c>
      <c r="BJ5" s="54">
        <f>[32]Effectifs!BI17</f>
        <v>0.54637082266824477</v>
      </c>
      <c r="BK5" s="54">
        <f>[32]Effectifs!BJ17</f>
        <v>0.54196460933957358</v>
      </c>
      <c r="BL5" s="54">
        <f>[32]Effectifs!BK17</f>
        <v>0.53911091120406485</v>
      </c>
      <c r="BM5" s="54">
        <f>[32]Effectifs!BL17</f>
        <v>0.53749379235834538</v>
      </c>
      <c r="BN5" s="54">
        <f>[32]Effectifs!BM17</f>
        <v>0.53518240769303715</v>
      </c>
      <c r="BO5" s="54">
        <f>[32]Effectifs!BN17</f>
        <v>0.53503277195428578</v>
      </c>
      <c r="BP5" s="54">
        <f>[32]Effectifs!BO17</f>
        <v>0.53509818487124949</v>
      </c>
      <c r="BQ5" s="54">
        <f>[32]Effectifs!BP17</f>
        <v>0.53517302541401168</v>
      </c>
      <c r="BR5" s="54">
        <f>[32]Effectifs!BQ17</f>
        <v>0.5345679417541167</v>
      </c>
      <c r="BS5" s="54">
        <f>[32]Effectifs!BR17</f>
        <v>0.53504966412834976</v>
      </c>
      <c r="BT5" s="54">
        <f>[32]Effectifs!BS17</f>
        <v>0.53369859574924738</v>
      </c>
      <c r="BU5" s="55">
        <f>[32]Effectifs!BT17</f>
        <v>0.53399593149393554</v>
      </c>
    </row>
    <row r="6" spans="1:73" ht="15.75" customHeight="1" thickBot="1">
      <c r="B6" s="49" t="s">
        <v>16</v>
      </c>
      <c r="C6" s="50"/>
      <c r="D6" s="51"/>
      <c r="E6" s="51"/>
      <c r="F6" s="51">
        <f>[32]Durées!F74</f>
        <v>22.208389761562053</v>
      </c>
      <c r="G6" s="51">
        <f>[32]Durées!G74</f>
        <v>22.952618318492483</v>
      </c>
      <c r="H6" s="51">
        <f>[32]Durées!H74</f>
        <v>23.830077579824696</v>
      </c>
      <c r="I6" s="51">
        <f>[32]Durées!I74</f>
        <v>24.620832990895451</v>
      </c>
      <c r="J6" s="51">
        <f>[32]Durées!J74</f>
        <v>25.425479944347952</v>
      </c>
      <c r="K6" s="51">
        <f>[32]Durées!K74</f>
        <v>26.143596446163468</v>
      </c>
      <c r="L6" s="51">
        <f>[32]Durées!L74</f>
        <v>26.69800126936007</v>
      </c>
      <c r="M6" s="51">
        <f>[32]Durées!M74</f>
        <v>27.180436056008336</v>
      </c>
      <c r="N6" s="51">
        <f>[32]Durées!N74</f>
        <v>27.604715357718533</v>
      </c>
      <c r="O6" s="51">
        <f>[32]Durées!O74</f>
        <v>27.868761056379935</v>
      </c>
      <c r="P6" s="51">
        <f>[32]Durées!P74</f>
        <v>28.182260070952889</v>
      </c>
      <c r="Q6" s="51">
        <f>[32]Durées!Q74</f>
        <v>28.314311539854049</v>
      </c>
      <c r="R6" s="51">
        <f>[32]Durées!R74</f>
        <v>28.565572780208491</v>
      </c>
      <c r="S6" s="51">
        <f>[32]Durées!S74</f>
        <v>28.709928925848612</v>
      </c>
      <c r="T6" s="51">
        <f>[32]Durées!T74</f>
        <v>28.9483684394854</v>
      </c>
      <c r="U6" s="51">
        <f>[32]Durées!U74</f>
        <v>29.161903166419116</v>
      </c>
      <c r="V6" s="51">
        <f>[32]Durées!V74</f>
        <v>29.574353705365944</v>
      </c>
      <c r="W6" s="51">
        <f>[32]Durées!W74</f>
        <v>29.903049051038955</v>
      </c>
      <c r="X6" s="51">
        <f>[32]Durées!X74</f>
        <v>30.27366770541396</v>
      </c>
      <c r="Y6" s="51">
        <f>[32]Durées!Y74</f>
        <v>30.820941815743964</v>
      </c>
      <c r="Z6" s="51">
        <f>[32]Durées!Z74</f>
        <v>31.135082700769573</v>
      </c>
      <c r="AA6" s="51">
        <f>[32]Durées!AA74</f>
        <v>31.428579372562346</v>
      </c>
      <c r="AB6" s="51">
        <f>[32]Durées!AB74</f>
        <v>31.656964151706802</v>
      </c>
      <c r="AC6" s="51">
        <f>[32]Durées!AC74</f>
        <v>31.86846557741929</v>
      </c>
      <c r="AD6" s="51">
        <f>[32]Durées!AD74</f>
        <v>31.878546197856689</v>
      </c>
      <c r="AE6" s="51">
        <f>[32]Durées!AE74</f>
        <v>32.041386888431944</v>
      </c>
      <c r="AF6" s="51">
        <f>[32]Durées!AF74</f>
        <v>31.974522006591446</v>
      </c>
      <c r="AG6" s="51">
        <f>[32]Durées!AG74</f>
        <v>31.78822917473078</v>
      </c>
      <c r="AH6" s="51">
        <f>[32]Durées!AH74</f>
        <v>31.561804366666316</v>
      </c>
      <c r="AI6" s="51">
        <f>[32]Durées!AI74</f>
        <v>31.134118649821581</v>
      </c>
      <c r="AJ6" s="51">
        <f>[32]Durées!AJ74</f>
        <v>30.535709575740384</v>
      </c>
      <c r="AK6" s="51">
        <f>[32]Durées!AK74</f>
        <v>30.0120563600697</v>
      </c>
      <c r="AL6" s="51">
        <f>[32]Durées!AL74</f>
        <v>29.578722688160195</v>
      </c>
      <c r="AM6" s="51">
        <f>[32]Durées!AM74</f>
        <v>29.171634764299938</v>
      </c>
      <c r="AN6" s="51">
        <f>[32]Durées!AN74</f>
        <v>28.869434078487519</v>
      </c>
      <c r="AO6" s="51">
        <f>[32]Durées!AO74</f>
        <v>28.619262298086575</v>
      </c>
      <c r="AP6" s="51">
        <f>[32]Durées!AP74</f>
        <v>28.37957948503556</v>
      </c>
      <c r="AQ6" s="51">
        <f>[32]Durées!AQ74</f>
        <v>28.142473542124371</v>
      </c>
      <c r="AR6" s="51">
        <f>[32]Durées!AR74</f>
        <v>27.824072197526341</v>
      </c>
      <c r="AS6" s="51">
        <f>[32]Durées!AS74</f>
        <v>27.526804523001175</v>
      </c>
      <c r="AT6" s="51">
        <f>[32]Durées!AT74</f>
        <v>27.282207601053244</v>
      </c>
      <c r="AU6" s="51">
        <f>[32]Durées!AU74</f>
        <v>27.056122367806505</v>
      </c>
      <c r="AV6" s="51">
        <f>[32]Durées!AV74</f>
        <v>26.766454980579358</v>
      </c>
      <c r="AW6" s="51">
        <f>[32]Durées!AW74</f>
        <v>26.541917702333876</v>
      </c>
      <c r="AX6" s="51">
        <f>[32]Durées!AX74</f>
        <v>26.287683439680659</v>
      </c>
      <c r="AY6" s="51">
        <f>[32]Durées!AY74</f>
        <v>26.025382258864376</v>
      </c>
      <c r="AZ6" s="51">
        <f>[32]Durées!AZ74</f>
        <v>25.80005516658623</v>
      </c>
      <c r="BA6" s="51">
        <f>[32]Durées!BA74</f>
        <v>25.620773650153701</v>
      </c>
      <c r="BB6" s="51">
        <f>[32]Durées!BB74</f>
        <v>25.469695761469342</v>
      </c>
      <c r="BC6" s="51">
        <f>[32]Durées!BC74</f>
        <v>25.422441947896257</v>
      </c>
      <c r="BD6" s="51">
        <f>[32]Durées!BD74</f>
        <v>25.277203608950533</v>
      </c>
      <c r="BE6" s="51">
        <f>[32]Durées!BE74</f>
        <v>25.190566162981277</v>
      </c>
      <c r="BF6" s="51">
        <f>[32]Durées!BF74</f>
        <v>24.980592257343275</v>
      </c>
      <c r="BG6" s="51">
        <f>[32]Durées!BG74</f>
        <v>24.636335534420052</v>
      </c>
      <c r="BH6" s="51">
        <f>[32]Durées!BH74</f>
        <v>24.272994073203144</v>
      </c>
      <c r="BI6" s="51">
        <f>[32]Durées!BI74</f>
        <v>23.997017869378077</v>
      </c>
      <c r="BJ6" s="51">
        <f>[32]Durées!BJ74</f>
        <v>23.595702485635488</v>
      </c>
      <c r="BK6" s="51">
        <f>[32]Durées!BK74</f>
        <v>23.282491807327244</v>
      </c>
      <c r="BL6" s="51">
        <f>[32]Durées!BL74</f>
        <v>23.149683676946733</v>
      </c>
      <c r="BM6" s="51">
        <f>[32]Durées!BM74</f>
        <v>22.893534846823677</v>
      </c>
      <c r="BN6" s="51">
        <f>[32]Durées!BN74</f>
        <v>22.717031990750236</v>
      </c>
      <c r="BO6" s="51">
        <f>[32]Durées!BO74</f>
        <v>22.656704168314732</v>
      </c>
      <c r="BP6" s="51">
        <f>[32]Durées!BP74</f>
        <v>22.62024528258371</v>
      </c>
      <c r="BQ6" s="51">
        <f>[32]Durées!BQ74</f>
        <v>22.545776584552467</v>
      </c>
      <c r="BR6" s="51">
        <f>[32]Durées!BR74</f>
        <v>22.466398278987416</v>
      </c>
      <c r="BS6" s="51">
        <f>[32]Durées!BS74</f>
        <v>22.337436076108951</v>
      </c>
      <c r="BT6" s="51">
        <f>[32]Durées!BT74</f>
        <v>22.184947568291552</v>
      </c>
      <c r="BU6" s="52">
        <f>[32]Durées!BU74</f>
        <v>21.910279292329911</v>
      </c>
    </row>
    <row r="8" spans="1:73">
      <c r="B8" s="11" t="s">
        <v>12</v>
      </c>
    </row>
    <row r="9" spans="1:73">
      <c r="B9" s="11" t="s">
        <v>23</v>
      </c>
    </row>
    <row r="12" spans="1:73" ht="14.25">
      <c r="C12" s="270" t="s">
        <v>15</v>
      </c>
      <c r="D12" s="270"/>
      <c r="E12" s="270"/>
      <c r="F12" s="270"/>
      <c r="G12" s="270"/>
      <c r="H12" s="270"/>
      <c r="I12" s="270" t="s">
        <v>16</v>
      </c>
      <c r="J12" s="270"/>
      <c r="K12" s="270"/>
      <c r="L12" s="270"/>
      <c r="M12" s="270"/>
      <c r="N12" s="270"/>
    </row>
  </sheetData>
  <mergeCells count="2">
    <mergeCell ref="C12:H12"/>
    <mergeCell ref="I12:N12"/>
  </mergeCells>
  <hyperlinks>
    <hyperlink ref="A2" location="SOMMAIRE!A1" display="Retour au sommaire" xr:uid="{BABE721C-4E37-4E29-A5DA-83F248561A5D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E968-597C-404A-9452-0D217834C7B0}">
  <sheetPr>
    <tabColor rgb="FFACB9CA"/>
  </sheetPr>
  <dimension ref="A1:BU15"/>
  <sheetViews>
    <sheetView workbookViewId="0">
      <selection activeCell="A2" sqref="A2"/>
    </sheetView>
  </sheetViews>
  <sheetFormatPr baseColWidth="10" defaultRowHeight="12.75"/>
  <cols>
    <col min="1" max="256" width="11" style="7"/>
    <col min="257" max="257" width="18.25" style="7" customWidth="1"/>
    <col min="258" max="512" width="11" style="7"/>
    <col min="513" max="513" width="18.25" style="7" customWidth="1"/>
    <col min="514" max="768" width="11" style="7"/>
    <col min="769" max="769" width="18.25" style="7" customWidth="1"/>
    <col min="770" max="1024" width="11" style="7"/>
    <col min="1025" max="1025" width="18.25" style="7" customWidth="1"/>
    <col min="1026" max="1280" width="11" style="7"/>
    <col min="1281" max="1281" width="18.25" style="7" customWidth="1"/>
    <col min="1282" max="1536" width="11" style="7"/>
    <col min="1537" max="1537" width="18.25" style="7" customWidth="1"/>
    <col min="1538" max="1792" width="11" style="7"/>
    <col min="1793" max="1793" width="18.25" style="7" customWidth="1"/>
    <col min="1794" max="2048" width="11" style="7"/>
    <col min="2049" max="2049" width="18.25" style="7" customWidth="1"/>
    <col min="2050" max="2304" width="11" style="7"/>
    <col min="2305" max="2305" width="18.25" style="7" customWidth="1"/>
    <col min="2306" max="2560" width="11" style="7"/>
    <col min="2561" max="2561" width="18.25" style="7" customWidth="1"/>
    <col min="2562" max="2816" width="11" style="7"/>
    <col min="2817" max="2817" width="18.25" style="7" customWidth="1"/>
    <col min="2818" max="3072" width="11" style="7"/>
    <col min="3073" max="3073" width="18.25" style="7" customWidth="1"/>
    <col min="3074" max="3328" width="11" style="7"/>
    <col min="3329" max="3329" width="18.25" style="7" customWidth="1"/>
    <col min="3330" max="3584" width="11" style="7"/>
    <col min="3585" max="3585" width="18.25" style="7" customWidth="1"/>
    <col min="3586" max="3840" width="11" style="7"/>
    <col min="3841" max="3841" width="18.25" style="7" customWidth="1"/>
    <col min="3842" max="4096" width="11" style="7"/>
    <col min="4097" max="4097" width="18.25" style="7" customWidth="1"/>
    <col min="4098" max="4352" width="11" style="7"/>
    <col min="4353" max="4353" width="18.25" style="7" customWidth="1"/>
    <col min="4354" max="4608" width="11" style="7"/>
    <col min="4609" max="4609" width="18.25" style="7" customWidth="1"/>
    <col min="4610" max="4864" width="11" style="7"/>
    <col min="4865" max="4865" width="18.25" style="7" customWidth="1"/>
    <col min="4866" max="5120" width="11" style="7"/>
    <col min="5121" max="5121" width="18.25" style="7" customWidth="1"/>
    <col min="5122" max="5376" width="11" style="7"/>
    <col min="5377" max="5377" width="18.25" style="7" customWidth="1"/>
    <col min="5378" max="5632" width="11" style="7"/>
    <col min="5633" max="5633" width="18.25" style="7" customWidth="1"/>
    <col min="5634" max="5888" width="11" style="7"/>
    <col min="5889" max="5889" width="18.25" style="7" customWidth="1"/>
    <col min="5890" max="6144" width="11" style="7"/>
    <col min="6145" max="6145" width="18.25" style="7" customWidth="1"/>
    <col min="6146" max="6400" width="11" style="7"/>
    <col min="6401" max="6401" width="18.25" style="7" customWidth="1"/>
    <col min="6402" max="6656" width="11" style="7"/>
    <col min="6657" max="6657" width="18.25" style="7" customWidth="1"/>
    <col min="6658" max="6912" width="11" style="7"/>
    <col min="6913" max="6913" width="18.25" style="7" customWidth="1"/>
    <col min="6914" max="7168" width="11" style="7"/>
    <col min="7169" max="7169" width="18.25" style="7" customWidth="1"/>
    <col min="7170" max="7424" width="11" style="7"/>
    <col min="7425" max="7425" width="18.25" style="7" customWidth="1"/>
    <col min="7426" max="7680" width="11" style="7"/>
    <col min="7681" max="7681" width="18.25" style="7" customWidth="1"/>
    <col min="7682" max="7936" width="11" style="7"/>
    <col min="7937" max="7937" width="18.25" style="7" customWidth="1"/>
    <col min="7938" max="8192" width="11" style="7"/>
    <col min="8193" max="8193" width="18.25" style="7" customWidth="1"/>
    <col min="8194" max="8448" width="11" style="7"/>
    <col min="8449" max="8449" width="18.25" style="7" customWidth="1"/>
    <col min="8450" max="8704" width="11" style="7"/>
    <col min="8705" max="8705" width="18.25" style="7" customWidth="1"/>
    <col min="8706" max="8960" width="11" style="7"/>
    <col min="8961" max="8961" width="18.25" style="7" customWidth="1"/>
    <col min="8962" max="9216" width="11" style="7"/>
    <col min="9217" max="9217" width="18.25" style="7" customWidth="1"/>
    <col min="9218" max="9472" width="11" style="7"/>
    <col min="9473" max="9473" width="18.25" style="7" customWidth="1"/>
    <col min="9474" max="9728" width="11" style="7"/>
    <col min="9729" max="9729" width="18.25" style="7" customWidth="1"/>
    <col min="9730" max="9984" width="11" style="7"/>
    <col min="9985" max="9985" width="18.25" style="7" customWidth="1"/>
    <col min="9986" max="10240" width="11" style="7"/>
    <col min="10241" max="10241" width="18.25" style="7" customWidth="1"/>
    <col min="10242" max="10496" width="11" style="7"/>
    <col min="10497" max="10497" width="18.25" style="7" customWidth="1"/>
    <col min="10498" max="10752" width="11" style="7"/>
    <col min="10753" max="10753" width="18.25" style="7" customWidth="1"/>
    <col min="10754" max="11008" width="11" style="7"/>
    <col min="11009" max="11009" width="18.25" style="7" customWidth="1"/>
    <col min="11010" max="11264" width="11" style="7"/>
    <col min="11265" max="11265" width="18.25" style="7" customWidth="1"/>
    <col min="11266" max="11520" width="11" style="7"/>
    <col min="11521" max="11521" width="18.25" style="7" customWidth="1"/>
    <col min="11522" max="11776" width="11" style="7"/>
    <col min="11777" max="11777" width="18.25" style="7" customWidth="1"/>
    <col min="11778" max="12032" width="11" style="7"/>
    <col min="12033" max="12033" width="18.25" style="7" customWidth="1"/>
    <col min="12034" max="12288" width="11" style="7"/>
    <col min="12289" max="12289" width="18.25" style="7" customWidth="1"/>
    <col min="12290" max="12544" width="11" style="7"/>
    <col min="12545" max="12545" width="18.25" style="7" customWidth="1"/>
    <col min="12546" max="12800" width="11" style="7"/>
    <col min="12801" max="12801" width="18.25" style="7" customWidth="1"/>
    <col min="12802" max="13056" width="11" style="7"/>
    <col min="13057" max="13057" width="18.25" style="7" customWidth="1"/>
    <col min="13058" max="13312" width="11" style="7"/>
    <col min="13313" max="13313" width="18.25" style="7" customWidth="1"/>
    <col min="13314" max="13568" width="11" style="7"/>
    <col min="13569" max="13569" width="18.25" style="7" customWidth="1"/>
    <col min="13570" max="13824" width="11" style="7"/>
    <col min="13825" max="13825" width="18.25" style="7" customWidth="1"/>
    <col min="13826" max="14080" width="11" style="7"/>
    <col min="14081" max="14081" width="18.25" style="7" customWidth="1"/>
    <col min="14082" max="14336" width="11" style="7"/>
    <col min="14337" max="14337" width="18.25" style="7" customWidth="1"/>
    <col min="14338" max="14592" width="11" style="7"/>
    <col min="14593" max="14593" width="18.25" style="7" customWidth="1"/>
    <col min="14594" max="14848" width="11" style="7"/>
    <col min="14849" max="14849" width="18.25" style="7" customWidth="1"/>
    <col min="14850" max="15104" width="11" style="7"/>
    <col min="15105" max="15105" width="18.25" style="7" customWidth="1"/>
    <col min="15106" max="15360" width="11" style="7"/>
    <col min="15361" max="15361" width="18.25" style="7" customWidth="1"/>
    <col min="15362" max="15616" width="11" style="7"/>
    <col min="15617" max="15617" width="18.25" style="7" customWidth="1"/>
    <col min="15618" max="15872" width="11" style="7"/>
    <col min="15873" max="15873" width="18.25" style="7" customWidth="1"/>
    <col min="15874" max="16128" width="11" style="7"/>
    <col min="16129" max="16129" width="18.25" style="7" customWidth="1"/>
    <col min="16130" max="16384" width="11" style="7"/>
  </cols>
  <sheetData>
    <row r="1" spans="1:73" ht="15.75">
      <c r="A1" s="2" t="s">
        <v>100</v>
      </c>
    </row>
    <row r="2" spans="1:73" ht="14.25">
      <c r="A2" s="6" t="s">
        <v>2</v>
      </c>
    </row>
    <row r="3" spans="1:73" ht="13.5" thickBot="1"/>
    <row r="4" spans="1:73" ht="15" customHeight="1" thickBot="1">
      <c r="B4" s="58"/>
      <c r="C4" s="39">
        <v>1930</v>
      </c>
      <c r="D4" s="40">
        <v>1931</v>
      </c>
      <c r="E4" s="40">
        <v>1932</v>
      </c>
      <c r="F4" s="40">
        <v>1933</v>
      </c>
      <c r="G4" s="40">
        <v>1934</v>
      </c>
      <c r="H4" s="40">
        <v>1935</v>
      </c>
      <c r="I4" s="40">
        <v>1936</v>
      </c>
      <c r="J4" s="40">
        <v>1937</v>
      </c>
      <c r="K4" s="40">
        <v>1938</v>
      </c>
      <c r="L4" s="40">
        <v>1939</v>
      </c>
      <c r="M4" s="40">
        <v>1940</v>
      </c>
      <c r="N4" s="40">
        <v>1941</v>
      </c>
      <c r="O4" s="40">
        <v>1942</v>
      </c>
      <c r="P4" s="40">
        <v>1943</v>
      </c>
      <c r="Q4" s="40">
        <v>1944</v>
      </c>
      <c r="R4" s="40">
        <v>1945</v>
      </c>
      <c r="S4" s="40">
        <v>1946</v>
      </c>
      <c r="T4" s="40">
        <v>1947</v>
      </c>
      <c r="U4" s="40">
        <v>1948</v>
      </c>
      <c r="V4" s="40">
        <v>1949</v>
      </c>
      <c r="W4" s="40">
        <v>1950</v>
      </c>
      <c r="X4" s="40">
        <v>1951</v>
      </c>
      <c r="Y4" s="40">
        <v>1952</v>
      </c>
      <c r="Z4" s="40">
        <v>1953</v>
      </c>
      <c r="AA4" s="40">
        <v>1954</v>
      </c>
      <c r="AB4" s="40">
        <v>1955</v>
      </c>
      <c r="AC4" s="40">
        <v>1956</v>
      </c>
      <c r="AD4" s="40">
        <v>1957</v>
      </c>
      <c r="AE4" s="40">
        <v>1958</v>
      </c>
      <c r="AF4" s="40">
        <v>1959</v>
      </c>
      <c r="AG4" s="40">
        <v>1960</v>
      </c>
      <c r="AH4" s="40">
        <v>1961</v>
      </c>
      <c r="AI4" s="40">
        <v>1962</v>
      </c>
      <c r="AJ4" s="40">
        <v>1963</v>
      </c>
      <c r="AK4" s="40">
        <v>1964</v>
      </c>
      <c r="AL4" s="40">
        <v>1965</v>
      </c>
      <c r="AM4" s="40">
        <v>1966</v>
      </c>
      <c r="AN4" s="40">
        <v>1967</v>
      </c>
      <c r="AO4" s="40">
        <v>1968</v>
      </c>
      <c r="AP4" s="40">
        <v>1969</v>
      </c>
      <c r="AQ4" s="40">
        <v>1970</v>
      </c>
      <c r="AR4" s="40">
        <v>1971</v>
      </c>
      <c r="AS4" s="40">
        <v>1972</v>
      </c>
      <c r="AT4" s="40">
        <v>1973</v>
      </c>
      <c r="AU4" s="40">
        <v>1974</v>
      </c>
      <c r="AV4" s="40">
        <v>1975</v>
      </c>
      <c r="AW4" s="40">
        <v>1976</v>
      </c>
      <c r="AX4" s="40">
        <v>1977</v>
      </c>
      <c r="AY4" s="40">
        <v>1978</v>
      </c>
      <c r="AZ4" s="40">
        <v>1979</v>
      </c>
      <c r="BA4" s="40">
        <v>1980</v>
      </c>
      <c r="BB4" s="40">
        <v>1981</v>
      </c>
      <c r="BC4" s="40">
        <v>1982</v>
      </c>
      <c r="BD4" s="40">
        <v>1983</v>
      </c>
      <c r="BE4" s="40">
        <v>1984</v>
      </c>
      <c r="BF4" s="40">
        <v>1985</v>
      </c>
      <c r="BG4" s="40">
        <v>1986</v>
      </c>
      <c r="BH4" s="40">
        <v>1987</v>
      </c>
      <c r="BI4" s="40">
        <v>1988</v>
      </c>
      <c r="BJ4" s="40">
        <v>1989</v>
      </c>
      <c r="BK4" s="40">
        <v>1990</v>
      </c>
      <c r="BL4" s="40">
        <v>1991</v>
      </c>
      <c r="BM4" s="40">
        <v>1992</v>
      </c>
      <c r="BN4" s="40">
        <v>1993</v>
      </c>
      <c r="BO4" s="40">
        <v>1994</v>
      </c>
      <c r="BP4" s="40">
        <v>1995</v>
      </c>
      <c r="BQ4" s="40">
        <v>1996</v>
      </c>
      <c r="BR4" s="40">
        <v>1997</v>
      </c>
      <c r="BS4" s="40">
        <v>1998</v>
      </c>
      <c r="BT4" s="40">
        <v>1999</v>
      </c>
      <c r="BU4" s="41">
        <v>2000</v>
      </c>
    </row>
    <row r="5" spans="1:73">
      <c r="B5" s="34" t="s">
        <v>4</v>
      </c>
      <c r="C5" s="53"/>
      <c r="D5" s="54"/>
      <c r="E5" s="54"/>
      <c r="F5" s="54">
        <f>[32]Effectifs!E35</f>
        <v>0.47300712990240767</v>
      </c>
      <c r="G5" s="54">
        <f>[32]Effectifs!F35</f>
        <v>0.47336890682709204</v>
      </c>
      <c r="H5" s="54">
        <f>[32]Effectifs!G35</f>
        <v>0.47060481777865493</v>
      </c>
      <c r="I5" s="54">
        <f>[32]Effectifs!H35</f>
        <v>0.46842736332713653</v>
      </c>
      <c r="J5" s="54">
        <f>[32]Effectifs!I35</f>
        <v>0.46391042975899388</v>
      </c>
      <c r="K5" s="54">
        <f>[32]Effectifs!J35</f>
        <v>0.45961751504031917</v>
      </c>
      <c r="L5" s="54">
        <f>[32]Effectifs!K35</f>
        <v>0.45228468822023632</v>
      </c>
      <c r="M5" s="54">
        <f>[32]Effectifs!L35</f>
        <v>0.44464607434808806</v>
      </c>
      <c r="N5" s="54">
        <f>[32]Effectifs!M35</f>
        <v>0.43372334108297839</v>
      </c>
      <c r="O5" s="54">
        <f>[32]Effectifs!N35</f>
        <v>0.422993132550749</v>
      </c>
      <c r="P5" s="54">
        <f>[32]Effectifs!O35</f>
        <v>0.41036376525288631</v>
      </c>
      <c r="Q5" s="54">
        <f>[32]Effectifs!P35</f>
        <v>0.39667395918869675</v>
      </c>
      <c r="R5" s="54">
        <f>[32]Effectifs!Q35</f>
        <v>0.38468692897364909</v>
      </c>
      <c r="S5" s="54">
        <f>[32]Effectifs!R35</f>
        <v>0.37399879027810023</v>
      </c>
      <c r="T5" s="54">
        <f>[32]Effectifs!S35</f>
        <v>0.36420193730149369</v>
      </c>
      <c r="U5" s="54">
        <f>[32]Effectifs!T35</f>
        <v>0.35442703324388741</v>
      </c>
      <c r="V5" s="54">
        <f>[32]Effectifs!U35</f>
        <v>0.34868069651076306</v>
      </c>
      <c r="W5" s="54">
        <f>[32]Effectifs!V35</f>
        <v>0.34312618615174062</v>
      </c>
      <c r="X5" s="54">
        <f>[32]Effectifs!W35</f>
        <v>0.33957074797775932</v>
      </c>
      <c r="Y5" s="54">
        <f>[32]Effectifs!X35</f>
        <v>0.33632387586724405</v>
      </c>
      <c r="Z5" s="54">
        <f>[32]Effectifs!Y35</f>
        <v>0.33486786227931409</v>
      </c>
      <c r="AA5" s="54">
        <f>[32]Effectifs!Z35</f>
        <v>0.33389287312578891</v>
      </c>
      <c r="AB5" s="54">
        <f>[32]Effectifs!AA35</f>
        <v>0.33185887503134393</v>
      </c>
      <c r="AC5" s="54">
        <f>[32]Effectifs!AB35</f>
        <v>0.32836602408625704</v>
      </c>
      <c r="AD5" s="54">
        <f>[32]Effectifs!AC35</f>
        <v>0.3256230173182475</v>
      </c>
      <c r="AE5" s="54">
        <f>[32]Effectifs!AD35</f>
        <v>0.32163884040469581</v>
      </c>
      <c r="AF5" s="54">
        <f>[32]Effectifs!AE35</f>
        <v>0.31629323558964384</v>
      </c>
      <c r="AG5" s="54">
        <f>[32]Effectifs!AF35</f>
        <v>0.31331296629792371</v>
      </c>
      <c r="AH5" s="54">
        <f>[32]Effectifs!AG35</f>
        <v>0.3126582003015389</v>
      </c>
      <c r="AI5" s="54">
        <f>[32]Effectifs!AH35</f>
        <v>0.31135199938906055</v>
      </c>
      <c r="AJ5" s="54">
        <f>[32]Effectifs!AI35</f>
        <v>0.31102285130429902</v>
      </c>
      <c r="AK5" s="54">
        <f>[32]Effectifs!AJ35</f>
        <v>0.31165013842804623</v>
      </c>
      <c r="AL5" s="54">
        <f>[32]Effectifs!AK35</f>
        <v>0.31204199224239204</v>
      </c>
      <c r="AM5" s="54">
        <f>[32]Effectifs!AL35</f>
        <v>0.31079454379029664</v>
      </c>
      <c r="AN5" s="54">
        <f>[32]Effectifs!AM35</f>
        <v>0.31086796201637568</v>
      </c>
      <c r="AO5" s="54">
        <f>[32]Effectifs!AN35</f>
        <v>0.3092873109501576</v>
      </c>
      <c r="AP5" s="54">
        <f>[32]Effectifs!AO35</f>
        <v>0.3083689593204188</v>
      </c>
      <c r="AQ5" s="54">
        <f>[32]Effectifs!AP35</f>
        <v>0.30743350490120164</v>
      </c>
      <c r="AR5" s="54">
        <f>[32]Effectifs!AQ35</f>
        <v>0.30680550249011218</v>
      </c>
      <c r="AS5" s="54">
        <f>[32]Effectifs!AR35</f>
        <v>0.3062273588076157</v>
      </c>
      <c r="AT5" s="54">
        <f>[32]Effectifs!AS35</f>
        <v>0.3075442776962492</v>
      </c>
      <c r="AU5" s="54">
        <f>[32]Effectifs!AT35</f>
        <v>0.30830053063435031</v>
      </c>
      <c r="AV5" s="54">
        <f>[32]Effectifs!AU35</f>
        <v>0.30989630761835746</v>
      </c>
      <c r="AW5" s="54">
        <f>[32]Effectifs!AV35</f>
        <v>0.31098345419634754</v>
      </c>
      <c r="AX5" s="54">
        <f>[32]Effectifs!AW35</f>
        <v>0.31186193102932708</v>
      </c>
      <c r="AY5" s="54">
        <f>[32]Effectifs!AX35</f>
        <v>0.30900483463324041</v>
      </c>
      <c r="AZ5" s="54">
        <f>[32]Effectifs!AY35</f>
        <v>0.307202805583625</v>
      </c>
      <c r="BA5" s="54">
        <f>[32]Effectifs!AZ35</f>
        <v>0.30269533748405958</v>
      </c>
      <c r="BB5" s="54">
        <f>[32]Effectifs!BA35</f>
        <v>0.29888728243862378</v>
      </c>
      <c r="BC5" s="54">
        <f>[32]Effectifs!BB35</f>
        <v>0.29335251808223572</v>
      </c>
      <c r="BD5" s="54">
        <f>[32]Effectifs!BC35</f>
        <v>0.28960590063064978</v>
      </c>
      <c r="BE5" s="54">
        <f>[32]Effectifs!BD35</f>
        <v>0.28410667611363</v>
      </c>
      <c r="BF5" s="54">
        <f>[32]Effectifs!BE35</f>
        <v>0.27877926317507601</v>
      </c>
      <c r="BG5" s="54">
        <f>[32]Effectifs!BF35</f>
        <v>0.27281842819020502</v>
      </c>
      <c r="BH5" s="54">
        <f>[32]Effectifs!BG35</f>
        <v>0.26842285256432341</v>
      </c>
      <c r="BI5" s="54">
        <f>[32]Effectifs!BH35</f>
        <v>0.26420612563351187</v>
      </c>
      <c r="BJ5" s="54">
        <f>[32]Effectifs!BI35</f>
        <v>0.26096951632777715</v>
      </c>
      <c r="BK5" s="54">
        <f>[32]Effectifs!BJ35</f>
        <v>0.25848325053875876</v>
      </c>
      <c r="BL5" s="54">
        <f>[32]Effectifs!BK35</f>
        <v>0.25743259622695658</v>
      </c>
      <c r="BM5" s="54">
        <f>[32]Effectifs!BL35</f>
        <v>0.25709278579471129</v>
      </c>
      <c r="BN5" s="54">
        <f>[32]Effectifs!BM35</f>
        <v>0.25525095448817181</v>
      </c>
      <c r="BO5" s="54">
        <f>[32]Effectifs!BN35</f>
        <v>0.25406226685492805</v>
      </c>
      <c r="BP5" s="54">
        <f>[32]Effectifs!BO35</f>
        <v>0.25379833505199267</v>
      </c>
      <c r="BQ5" s="54">
        <f>[32]Effectifs!BP35</f>
        <v>0.25312268018964684</v>
      </c>
      <c r="BR5" s="54">
        <f>[32]Effectifs!BQ35</f>
        <v>0.25089608281113207</v>
      </c>
      <c r="BS5" s="54">
        <f>[32]Effectifs!BR35</f>
        <v>0.25241383811863483</v>
      </c>
      <c r="BT5" s="54">
        <f>[32]Effectifs!BS35</f>
        <v>0.25318102363172329</v>
      </c>
      <c r="BU5" s="55">
        <f>[32]Effectifs!BT35</f>
        <v>0.25505823071188011</v>
      </c>
    </row>
    <row r="6" spans="1:73">
      <c r="B6" s="35" t="s">
        <v>14</v>
      </c>
      <c r="C6" s="57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>
        <f>[33]Effectifs!Q18</f>
        <v>0.23187414500683995</v>
      </c>
      <c r="S6" s="20">
        <f>[33]Effectifs!R18</f>
        <v>0.22583130571473711</v>
      </c>
      <c r="T6" s="20">
        <f>[33]Effectifs!S18</f>
        <v>0.22450804659494997</v>
      </c>
      <c r="U6" s="20">
        <f>[33]Effectifs!T18</f>
        <v>0.22364754356821792</v>
      </c>
      <c r="V6" s="20">
        <f>[33]Effectifs!U18</f>
        <v>0.22854451280185631</v>
      </c>
      <c r="W6" s="20">
        <f>[33]Effectifs!V18</f>
        <v>0.23046745476762079</v>
      </c>
      <c r="X6" s="20">
        <f>[33]Effectifs!W18</f>
        <v>0.23828946816248076</v>
      </c>
      <c r="Y6" s="20">
        <f>[33]Effectifs!X18</f>
        <v>0.24553407936825034</v>
      </c>
      <c r="Z6" s="20">
        <f>[33]Effectifs!Y18</f>
        <v>0.2534383192635421</v>
      </c>
      <c r="AA6" s="20">
        <f>[33]Effectifs!Z18</f>
        <v>0.25629811841255201</v>
      </c>
      <c r="AB6" s="20">
        <f>[33]Effectifs!AA18</f>
        <v>0.26058337270840848</v>
      </c>
      <c r="AC6" s="20">
        <f>[33]Effectifs!AB18</f>
        <v>0.26138372663376241</v>
      </c>
      <c r="AD6" s="20">
        <f>[33]Effectifs!AC18</f>
        <v>0.25969507175328904</v>
      </c>
      <c r="AE6" s="20">
        <f>[33]Effectifs!AD18</f>
        <v>0.25762278014760681</v>
      </c>
      <c r="AF6" s="20">
        <f>[33]Effectifs!AE18</f>
        <v>0.25527173575818063</v>
      </c>
      <c r="AG6" s="20">
        <f>[33]Effectifs!AF18</f>
        <v>0.25527389788429089</v>
      </c>
      <c r="AH6" s="20">
        <f>[33]Effectifs!AG18</f>
        <v>0.25233386621590242</v>
      </c>
      <c r="AI6" s="20">
        <f>[33]Effectifs!AH18</f>
        <v>0.25137422706229234</v>
      </c>
      <c r="AJ6" s="20">
        <f>[33]Effectifs!AI18</f>
        <v>0.24916111399317784</v>
      </c>
      <c r="AK6" s="20">
        <f>[33]Effectifs!AJ18</f>
        <v>0.2490362631355397</v>
      </c>
      <c r="AL6" s="20">
        <f>[33]Effectifs!AK18</f>
        <v>0.24718583471223871</v>
      </c>
      <c r="AM6" s="20">
        <f>[33]Effectifs!AL18</f>
        <v>0.24869544659914347</v>
      </c>
      <c r="AN6" s="20">
        <f>[33]Effectifs!AM18</f>
        <v>0.2482957198956543</v>
      </c>
      <c r="AO6" s="20">
        <f>[33]Effectifs!AN18</f>
        <v>0.24344300150495143</v>
      </c>
      <c r="AP6" s="20">
        <f>[33]Effectifs!AO18</f>
        <v>0.2437942105904442</v>
      </c>
      <c r="AQ6" s="20">
        <f>[33]Effectifs!AP18</f>
        <v>0.23876316027549399</v>
      </c>
      <c r="AR6" s="20">
        <f>[33]Effectifs!AQ18</f>
        <v>0.23513590763045275</v>
      </c>
      <c r="AS6" s="20">
        <f>[33]Effectifs!AR18</f>
        <v>0.23095178753726225</v>
      </c>
      <c r="AT6" s="20">
        <f>[33]Effectifs!AS18</f>
        <v>0.23102677080712408</v>
      </c>
      <c r="AU6" s="20">
        <f>[33]Effectifs!AT18</f>
        <v>0.22633871797070473</v>
      </c>
      <c r="AV6" s="20">
        <f>[33]Effectifs!AU18</f>
        <v>0.2238329614642241</v>
      </c>
      <c r="AW6" s="20">
        <f>[33]Effectifs!AV18</f>
        <v>0.21704729054740562</v>
      </c>
      <c r="AX6" s="20">
        <f>[33]Effectifs!AW18</f>
        <v>0.21272607942176025</v>
      </c>
      <c r="AY6" s="20">
        <f>[33]Effectifs!AX18</f>
        <v>0.20755878761757182</v>
      </c>
      <c r="AZ6" s="20">
        <f>[33]Effectifs!AY18</f>
        <v>0.20308952092566224</v>
      </c>
      <c r="BA6" s="20">
        <f>[33]Effectifs!AZ18</f>
        <v>0.19956954175524438</v>
      </c>
      <c r="BB6" s="20">
        <f>[33]Effectifs!BA18</f>
        <v>0.19131744435397569</v>
      </c>
      <c r="BC6" s="20">
        <f>[33]Effectifs!BB18</f>
        <v>0.18598496768832395</v>
      </c>
      <c r="BD6" s="20">
        <f>[33]Effectifs!BC18</f>
        <v>0.18325701040937292</v>
      </c>
      <c r="BE6" s="20">
        <f>[33]Effectifs!BD18</f>
        <v>0.17804753330911183</v>
      </c>
      <c r="BF6" s="20">
        <f>[33]Effectifs!BE18</f>
        <v>0.17513432935086812</v>
      </c>
      <c r="BG6" s="20">
        <f>[33]Effectifs!BF18</f>
        <v>0.17867238553901976</v>
      </c>
      <c r="BH6" s="20">
        <f>[33]Effectifs!BG18</f>
        <v>0.17861514804688225</v>
      </c>
      <c r="BI6" s="20">
        <f>[33]Effectifs!BH18</f>
        <v>0.1763267793139188</v>
      </c>
      <c r="BJ6" s="20">
        <f>[33]Effectifs!BI18</f>
        <v>0.17688885879759683</v>
      </c>
      <c r="BK6" s="20">
        <f>[33]Effectifs!BJ18</f>
        <v>0.17949734751273586</v>
      </c>
      <c r="BL6" s="20">
        <f>[33]Effectifs!BK18</f>
        <v>0.18143802820937308</v>
      </c>
      <c r="BM6" s="20">
        <f>[33]Effectifs!BL18</f>
        <v>0.17956972591597914</v>
      </c>
      <c r="BN6" s="20">
        <f>[33]Effectifs!BM18</f>
        <v>0.17888290400902054</v>
      </c>
      <c r="BO6" s="20">
        <f>[33]Effectifs!BN18</f>
        <v>0.18269337582776063</v>
      </c>
      <c r="BP6" s="20">
        <f>[33]Effectifs!BO18</f>
        <v>0.18237092466790483</v>
      </c>
      <c r="BQ6" s="20">
        <f>[33]Effectifs!BP18</f>
        <v>0.18554467537916736</v>
      </c>
      <c r="BR6" s="20">
        <f>[33]Effectifs!BQ18</f>
        <v>0.19209774111428982</v>
      </c>
      <c r="BS6" s="20">
        <f>[33]Effectifs!BR18</f>
        <v>0.19882117855811138</v>
      </c>
      <c r="BT6" s="20">
        <f>[33]Effectifs!BS18</f>
        <v>0.20230568277685204</v>
      </c>
      <c r="BU6" s="21">
        <f>[33]Effectifs!BT18</f>
        <v>0.20104211897524968</v>
      </c>
    </row>
    <row r="7" spans="1:73">
      <c r="B7" s="35" t="s">
        <v>5</v>
      </c>
      <c r="C7" s="57">
        <f>[34]Effectifs!B41</f>
        <v>0.3837949933</v>
      </c>
      <c r="D7" s="20">
        <f>[34]Effectifs!C41</f>
        <v>0.38477662340000002</v>
      </c>
      <c r="E7" s="20">
        <f>[34]Effectifs!D41</f>
        <v>0.38079163759999995</v>
      </c>
      <c r="F7" s="20">
        <f>[34]Effectifs!E41</f>
        <v>0.37963763503999998</v>
      </c>
      <c r="G7" s="20">
        <f>[34]Effectifs!F41</f>
        <v>0.37819552522</v>
      </c>
      <c r="H7" s="20">
        <f>[34]Effectifs!G41</f>
        <v>0.37649299258000002</v>
      </c>
      <c r="I7" s="20">
        <f>[34]Effectifs!H41</f>
        <v>0.3739169329</v>
      </c>
      <c r="J7" s="20">
        <f>[34]Effectifs!I41</f>
        <v>0.37287827194000001</v>
      </c>
      <c r="K7" s="20">
        <f>[34]Effectifs!J41</f>
        <v>0.36979288622000006</v>
      </c>
      <c r="L7" s="20">
        <f>[34]Effectifs!K41</f>
        <v>0.36243617466000005</v>
      </c>
      <c r="M7" s="20">
        <f>[34]Effectifs!L41</f>
        <v>0.35466605496000003</v>
      </c>
      <c r="N7" s="20">
        <f>[34]Effectifs!M41</f>
        <v>0.34522523317999998</v>
      </c>
      <c r="O7" s="20">
        <f>[34]Effectifs!N41</f>
        <v>0.33513964699999998</v>
      </c>
      <c r="P7" s="20">
        <f>[34]Effectifs!O41</f>
        <v>0.32376480984</v>
      </c>
      <c r="Q7" s="20">
        <f>[34]Effectifs!P41</f>
        <v>0.31189452598</v>
      </c>
      <c r="R7" s="20">
        <f>[34]Effectifs!Q41</f>
        <v>0.30010910192000001</v>
      </c>
      <c r="S7" s="20">
        <f>[34]Effectifs!R41</f>
        <v>0.29077726506000001</v>
      </c>
      <c r="T7" s="20">
        <f>[34]Effectifs!S41</f>
        <v>0.28333949278000004</v>
      </c>
      <c r="U7" s="20">
        <f>[34]Effectifs!T41</f>
        <v>0.27673221955999999</v>
      </c>
      <c r="V7" s="20">
        <f>[34]Effectifs!U41</f>
        <v>0.27520490634000006</v>
      </c>
      <c r="W7" s="20">
        <f>[34]Effectifs!V41</f>
        <v>0.27560907595999995</v>
      </c>
      <c r="X7" s="20">
        <f>[34]Effectifs!W41</f>
        <v>0.27724439686000002</v>
      </c>
      <c r="Y7" s="20">
        <f>[34]Effectifs!X41</f>
        <v>0.28079364917999999</v>
      </c>
      <c r="Z7" s="20">
        <f>[34]Effectifs!Y41</f>
        <v>0.28618690922000001</v>
      </c>
      <c r="AA7" s="20">
        <f>[34]Effectifs!Z41</f>
        <v>0.29213367832000003</v>
      </c>
      <c r="AB7" s="20">
        <f>[34]Effectifs!AA41</f>
        <v>0.29987806355999996</v>
      </c>
      <c r="AC7" s="20">
        <f>[34]Effectifs!AB41</f>
        <v>0.30962222674000001</v>
      </c>
      <c r="AD7" s="20">
        <f>[34]Effectifs!AC41</f>
        <v>0.32035946626</v>
      </c>
      <c r="AE7" s="20">
        <f>[34]Effectifs!AD41</f>
        <v>0.33116500248000003</v>
      </c>
      <c r="AF7" s="20">
        <f>[34]Effectifs!AE41</f>
        <v>0.34051219033999996</v>
      </c>
      <c r="AG7" s="20">
        <f>[34]Effectifs!AF41</f>
        <v>0.34647962298000001</v>
      </c>
      <c r="AH7" s="20">
        <f>[34]Effectifs!AG41</f>
        <v>0.34964442870000001</v>
      </c>
      <c r="AI7" s="20">
        <f>[34]Effectifs!AH41</f>
        <v>0.34726901305999996</v>
      </c>
      <c r="AJ7" s="20">
        <f>[34]Effectifs!AI41</f>
        <v>0.34288024831999997</v>
      </c>
      <c r="AK7" s="20">
        <f>[34]Effectifs!AJ41</f>
        <v>0.33752621970000002</v>
      </c>
      <c r="AL7" s="20">
        <f>[34]Effectifs!AK41</f>
        <v>0.33154458785999996</v>
      </c>
      <c r="AM7" s="20">
        <f>[34]Effectifs!AL41</f>
        <v>0.3244526626</v>
      </c>
      <c r="AN7" s="20">
        <f>[34]Effectifs!AM41</f>
        <v>0.31813492915999997</v>
      </c>
      <c r="AO7" s="20">
        <f>[34]Effectifs!AN41</f>
        <v>0.31219102875999993</v>
      </c>
      <c r="AP7" s="20">
        <f>[34]Effectifs!AO41</f>
        <v>0.30651133054000002</v>
      </c>
      <c r="AQ7" s="20">
        <f>[34]Effectifs!AP41</f>
        <v>0.30204595080000002</v>
      </c>
      <c r="AR7" s="20">
        <f>[34]Effectifs!AQ41</f>
        <v>0.29903508895999997</v>
      </c>
      <c r="AS7" s="20">
        <f>[34]Effectifs!AR41</f>
        <v>0.29739061888000001</v>
      </c>
      <c r="AT7" s="20">
        <f>[34]Effectifs!AS41</f>
        <v>0.29647257856000003</v>
      </c>
      <c r="AU7" s="20">
        <f>[34]Effectifs!AT41</f>
        <v>0.29630059331999997</v>
      </c>
      <c r="AV7" s="20">
        <f>[34]Effectifs!AU41</f>
        <v>0.29703590222000004</v>
      </c>
      <c r="AW7" s="20">
        <f>[34]Effectifs!AV41</f>
        <v>0.29763235509999997</v>
      </c>
      <c r="AX7" s="20">
        <f>[34]Effectifs!AW41</f>
        <v>0.29905525239999997</v>
      </c>
      <c r="AY7" s="20">
        <f>[34]Effectifs!AX41</f>
        <v>0.29868332294</v>
      </c>
      <c r="AZ7" s="20">
        <f>[34]Effectifs!AY41</f>
        <v>0.29906700649999995</v>
      </c>
      <c r="BA7" s="20">
        <f>[34]Effectifs!AZ41</f>
        <v>0.29929524542000002</v>
      </c>
      <c r="BB7" s="20">
        <f>[34]Effectifs!BA41</f>
        <v>0.30073502168000005</v>
      </c>
      <c r="BC7" s="20">
        <f>[34]Effectifs!BB41</f>
        <v>0.30211878556000005</v>
      </c>
      <c r="BD7" s="20">
        <f>[34]Effectifs!BC41</f>
        <v>0.30435184686000005</v>
      </c>
      <c r="BE7" s="20">
        <f>[34]Effectifs!BD41</f>
        <v>0.30640459370000001</v>
      </c>
      <c r="BF7" s="20">
        <f>[34]Effectifs!BE41</f>
        <v>0.30776898279999998</v>
      </c>
      <c r="BG7" s="20">
        <f>[34]Effectifs!BF41</f>
        <v>0.30695330158</v>
      </c>
      <c r="BH7" s="20">
        <f>[34]Effectifs!BG41</f>
        <v>0.30545953646000001</v>
      </c>
      <c r="BI7" s="20">
        <f>[34]Effectifs!BH41</f>
        <v>0.30377620585999998</v>
      </c>
      <c r="BJ7" s="20">
        <f>[34]Effectifs!BI41</f>
        <v>0.30075720536</v>
      </c>
      <c r="BK7" s="20">
        <f>[34]Effectifs!BJ41</f>
        <v>0.29805862243999998</v>
      </c>
      <c r="BL7" s="20">
        <f>[34]Effectifs!BK41</f>
        <v>0.29599931753999997</v>
      </c>
      <c r="BM7" s="20">
        <f>[34]Effectifs!BL41</f>
        <v>0.29457127577999997</v>
      </c>
      <c r="BN7" s="20">
        <f>[34]Effectifs!BM41</f>
        <v>0.29397975908000001</v>
      </c>
      <c r="BO7" s="20">
        <f>[34]Effectifs!BN41</f>
        <v>0.29416280086000002</v>
      </c>
      <c r="BP7" s="20">
        <f>[34]Effectifs!BO41</f>
        <v>0.29575940016000002</v>
      </c>
      <c r="BQ7" s="20">
        <f>[34]Effectifs!BP41</f>
        <v>0.29687966251999998</v>
      </c>
      <c r="BR7" s="20">
        <f>[34]Effectifs!BQ41</f>
        <v>0.29784829648</v>
      </c>
      <c r="BS7" s="20">
        <f>[34]Effectifs!BR41</f>
        <v>0.29917315010000001</v>
      </c>
      <c r="BT7" s="20">
        <f>[34]Effectifs!BS41</f>
        <v>0.29989503966666664</v>
      </c>
      <c r="BU7" s="21">
        <f>[34]Effectifs!BT41</f>
        <v>0.30198364480000001</v>
      </c>
    </row>
    <row r="8" spans="1:73" ht="13.5" thickBot="1">
      <c r="B8" s="36" t="s">
        <v>3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>
        <f>[36]Effectifs!M20</f>
        <v>0.38406946262967995</v>
      </c>
      <c r="O8" s="23">
        <f>[36]Effectifs!N20</f>
        <v>0.37781813921584528</v>
      </c>
      <c r="P8" s="23">
        <f>[36]Effectifs!O20</f>
        <v>0.37250108986021085</v>
      </c>
      <c r="Q8" s="23">
        <f>[36]Effectifs!P20</f>
        <v>0.36554832978363011</v>
      </c>
      <c r="R8" s="23">
        <f>[36]Effectifs!Q20</f>
        <v>0.35887708778567295</v>
      </c>
      <c r="S8" s="23">
        <f>[36]Effectifs!R20</f>
        <v>0.35371919594355283</v>
      </c>
      <c r="T8" s="23">
        <f>[36]Effectifs!S20</f>
        <v>0.34812217779610033</v>
      </c>
      <c r="U8" s="23">
        <f>[36]Effectifs!T20</f>
        <v>0.34409996556016881</v>
      </c>
      <c r="V8" s="23">
        <f>[36]Effectifs!U20</f>
        <v>0.34220212013424961</v>
      </c>
      <c r="W8" s="23">
        <f>[36]Effectifs!V20</f>
        <v>0.34192460102486627</v>
      </c>
      <c r="X8" s="23">
        <f>[36]Effectifs!W20</f>
        <v>0.34269892245754335</v>
      </c>
      <c r="Y8" s="23">
        <f>[36]Effectifs!X20</f>
        <v>0.34314572788323144</v>
      </c>
      <c r="Z8" s="23">
        <f>[36]Effectifs!Y20</f>
        <v>0.34195252418039146</v>
      </c>
      <c r="AA8" s="23">
        <f>[36]Effectifs!Z20</f>
        <v>0.33985034788775598</v>
      </c>
      <c r="AB8" s="23">
        <f>[36]Effectifs!AA20</f>
        <v>0.3355094806682809</v>
      </c>
      <c r="AC8" s="23">
        <f>[36]Effectifs!AB20</f>
        <v>0.3293055536540031</v>
      </c>
      <c r="AD8" s="23">
        <f>[36]Effectifs!AC20</f>
        <v>0.32310162663972547</v>
      </c>
      <c r="AE8" s="23">
        <f>[36]Effectifs!AD20</f>
        <v>0.31689769962544789</v>
      </c>
      <c r="AF8" s="23">
        <f>[36]Effectifs!AE20</f>
        <v>0.31069377261117026</v>
      </c>
      <c r="AG8" s="23">
        <f>[36]Effectifs!AF20</f>
        <v>0.30448984559689229</v>
      </c>
      <c r="AH8" s="23">
        <f>[36]Effectifs!AG20</f>
        <v>0.29828591858261461</v>
      </c>
      <c r="AI8" s="23">
        <f>[36]Effectifs!AH20</f>
        <v>0.29443448865205296</v>
      </c>
      <c r="AJ8" s="23">
        <f>[36]Effectifs!AI20</f>
        <v>0.29097955170947515</v>
      </c>
      <c r="AK8" s="23">
        <f>[36]Effectifs!AJ20</f>
        <v>0.28901478512198914</v>
      </c>
      <c r="AL8" s="23">
        <f>[36]Effectifs!AK20</f>
        <v>0.28766095923010637</v>
      </c>
      <c r="AM8" s="23">
        <f>[36]Effectifs!AL20</f>
        <v>0.2886481723875356</v>
      </c>
      <c r="AN8" s="23">
        <f>[36]Effectifs!AM20</f>
        <v>0.28833153358952968</v>
      </c>
      <c r="AO8" s="23">
        <f>[36]Effectifs!AN20</f>
        <v>0.28807057424186067</v>
      </c>
      <c r="AP8" s="23">
        <f>[36]Effectifs!AO20</f>
        <v>0.28783173368768583</v>
      </c>
      <c r="AQ8" s="23">
        <f>[36]Effectifs!AP20</f>
        <v>0.28836733997961794</v>
      </c>
      <c r="AR8" s="23">
        <f>[36]Effectifs!AQ20</f>
        <v>0.28881528705594045</v>
      </c>
      <c r="AS8" s="23">
        <f>[36]Effectifs!AR20</f>
        <v>0.29095867627523697</v>
      </c>
      <c r="AT8" s="23">
        <f>[36]Effectifs!AS20</f>
        <v>0.29364268295385698</v>
      </c>
      <c r="AU8" s="23">
        <f>[36]Effectifs!AT20</f>
        <v>0.29677489613236313</v>
      </c>
      <c r="AV8" s="23">
        <f>[36]Effectifs!AU20</f>
        <v>0.2998250904152468</v>
      </c>
      <c r="AW8" s="23">
        <f>[36]Effectifs!AV20</f>
        <v>0.30317443503557839</v>
      </c>
      <c r="AX8" s="23">
        <f>[36]Effectifs!AW20</f>
        <v>0.30509690741082846</v>
      </c>
      <c r="AY8" s="23">
        <f>[36]Effectifs!AX20</f>
        <v>0.30668529148519991</v>
      </c>
      <c r="AZ8" s="23">
        <f>[36]Effectifs!AY20</f>
        <v>0.30783764130549562</v>
      </c>
      <c r="BA8" s="23">
        <f>[36]Effectifs!AZ20</f>
        <v>0.30941513774492924</v>
      </c>
      <c r="BB8" s="23">
        <f>[36]Effectifs!BA20</f>
        <v>0.31034155731101587</v>
      </c>
      <c r="BC8" s="23">
        <f>[36]Effectifs!BB20</f>
        <v>0.31016079948796965</v>
      </c>
      <c r="BD8" s="23">
        <f>[36]Effectifs!BC20</f>
        <v>0.30962287088645268</v>
      </c>
      <c r="BE8" s="23">
        <f>[36]Effectifs!BD20</f>
        <v>0.30714861507793545</v>
      </c>
      <c r="BF8" s="23">
        <f>[36]Effectifs!BE20</f>
        <v>0.30182839740647321</v>
      </c>
      <c r="BG8" s="23">
        <f>[36]Effectifs!BF20</f>
        <v>0.29513403391472409</v>
      </c>
      <c r="BH8" s="23">
        <f>[36]Effectifs!BG20</f>
        <v>0.29007749377383141</v>
      </c>
      <c r="BI8" s="23">
        <f>[36]Effectifs!BH20</f>
        <v>0.28558601881380363</v>
      </c>
      <c r="BJ8" s="23">
        <f>[36]Effectifs!BI20</f>
        <v>0.28273164864986222</v>
      </c>
      <c r="BK8" s="23">
        <f>[36]Effectifs!BJ20</f>
        <v>0.28451300347400077</v>
      </c>
      <c r="BL8" s="23">
        <f>[36]Effectifs!BK20</f>
        <v>0.28917479228910781</v>
      </c>
      <c r="BM8" s="23">
        <f>[36]Effectifs!BL20</f>
        <v>0.29296552257452607</v>
      </c>
      <c r="BN8" s="23">
        <f>[36]Effectifs!BM20</f>
        <v>0.29851109200980031</v>
      </c>
      <c r="BO8" s="23">
        <f>[36]Effectifs!BN20</f>
        <v>0.30332104669161747</v>
      </c>
      <c r="BP8" s="23">
        <f>[36]Effectifs!BO20</f>
        <v>0.30736626737700323</v>
      </c>
      <c r="BQ8" s="23">
        <f>[36]Effectifs!BP20</f>
        <v>0.30885130212243372</v>
      </c>
      <c r="BR8" s="23">
        <f>[36]Effectifs!BQ20</f>
        <v>0.31139574396300429</v>
      </c>
      <c r="BS8" s="23">
        <f>[36]Effectifs!BR20</f>
        <v>0.31215973045663015</v>
      </c>
      <c r="BT8" s="23">
        <f>[36]Effectifs!BS20</f>
        <v>0.31368005816585326</v>
      </c>
      <c r="BU8" s="56">
        <f>[36]Effectifs!BT20</f>
        <v>0.31367307974739317</v>
      </c>
    </row>
    <row r="10" spans="1:73">
      <c r="B10" s="11" t="s">
        <v>24</v>
      </c>
    </row>
    <row r="11" spans="1:73">
      <c r="B11" s="11" t="s">
        <v>25</v>
      </c>
    </row>
    <row r="12" spans="1:73">
      <c r="B12" s="15" t="s">
        <v>26</v>
      </c>
    </row>
    <row r="15" spans="1:73" ht="14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</sheetData>
  <hyperlinks>
    <hyperlink ref="A2" location="SOMMAIRE!A1" display="Retour au sommaire" xr:uid="{B90F9C2E-7106-468C-88AE-4D82BCE9B0FF}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CCB4-0811-47BE-A811-FA7F81D4196E}">
  <sheetPr>
    <tabColor rgb="FFACB9CA"/>
  </sheetPr>
  <dimension ref="A1:AC17"/>
  <sheetViews>
    <sheetView zoomScaleNormal="100" workbookViewId="0"/>
  </sheetViews>
  <sheetFormatPr baseColWidth="10" defaultRowHeight="12.75"/>
  <cols>
    <col min="1" max="2" width="11" style="7"/>
    <col min="3" max="3" width="11" style="7" customWidth="1"/>
    <col min="4" max="258" width="11" style="7"/>
    <col min="259" max="259" width="18.25" style="7" customWidth="1"/>
    <col min="260" max="514" width="11" style="7"/>
    <col min="515" max="515" width="18.25" style="7" customWidth="1"/>
    <col min="516" max="770" width="11" style="7"/>
    <col min="771" max="771" width="18.25" style="7" customWidth="1"/>
    <col min="772" max="1026" width="11" style="7"/>
    <col min="1027" max="1027" width="18.25" style="7" customWidth="1"/>
    <col min="1028" max="1282" width="11" style="7"/>
    <col min="1283" max="1283" width="18.25" style="7" customWidth="1"/>
    <col min="1284" max="1538" width="11" style="7"/>
    <col min="1539" max="1539" width="18.25" style="7" customWidth="1"/>
    <col min="1540" max="1794" width="11" style="7"/>
    <col min="1795" max="1795" width="18.25" style="7" customWidth="1"/>
    <col min="1796" max="2050" width="11" style="7"/>
    <col min="2051" max="2051" width="18.25" style="7" customWidth="1"/>
    <col min="2052" max="2306" width="11" style="7"/>
    <col min="2307" max="2307" width="18.25" style="7" customWidth="1"/>
    <col min="2308" max="2562" width="11" style="7"/>
    <col min="2563" max="2563" width="18.25" style="7" customWidth="1"/>
    <col min="2564" max="2818" width="11" style="7"/>
    <col min="2819" max="2819" width="18.25" style="7" customWidth="1"/>
    <col min="2820" max="3074" width="11" style="7"/>
    <col min="3075" max="3075" width="18.25" style="7" customWidth="1"/>
    <col min="3076" max="3330" width="11" style="7"/>
    <col min="3331" max="3331" width="18.25" style="7" customWidth="1"/>
    <col min="3332" max="3586" width="11" style="7"/>
    <col min="3587" max="3587" width="18.25" style="7" customWidth="1"/>
    <col min="3588" max="3842" width="11" style="7"/>
    <col min="3843" max="3843" width="18.25" style="7" customWidth="1"/>
    <col min="3844" max="4098" width="11" style="7"/>
    <col min="4099" max="4099" width="18.25" style="7" customWidth="1"/>
    <col min="4100" max="4354" width="11" style="7"/>
    <col min="4355" max="4355" width="18.25" style="7" customWidth="1"/>
    <col min="4356" max="4610" width="11" style="7"/>
    <col min="4611" max="4611" width="18.25" style="7" customWidth="1"/>
    <col min="4612" max="4866" width="11" style="7"/>
    <col min="4867" max="4867" width="18.25" style="7" customWidth="1"/>
    <col min="4868" max="5122" width="11" style="7"/>
    <col min="5123" max="5123" width="18.25" style="7" customWidth="1"/>
    <col min="5124" max="5378" width="11" style="7"/>
    <col min="5379" max="5379" width="18.25" style="7" customWidth="1"/>
    <col min="5380" max="5634" width="11" style="7"/>
    <col min="5635" max="5635" width="18.25" style="7" customWidth="1"/>
    <col min="5636" max="5890" width="11" style="7"/>
    <col min="5891" max="5891" width="18.25" style="7" customWidth="1"/>
    <col min="5892" max="6146" width="11" style="7"/>
    <col min="6147" max="6147" width="18.25" style="7" customWidth="1"/>
    <col min="6148" max="6402" width="11" style="7"/>
    <col min="6403" max="6403" width="18.25" style="7" customWidth="1"/>
    <col min="6404" max="6658" width="11" style="7"/>
    <col min="6659" max="6659" width="18.25" style="7" customWidth="1"/>
    <col min="6660" max="6914" width="11" style="7"/>
    <col min="6915" max="6915" width="18.25" style="7" customWidth="1"/>
    <col min="6916" max="7170" width="11" style="7"/>
    <col min="7171" max="7171" width="18.25" style="7" customWidth="1"/>
    <col min="7172" max="7426" width="11" style="7"/>
    <col min="7427" max="7427" width="18.25" style="7" customWidth="1"/>
    <col min="7428" max="7682" width="11" style="7"/>
    <col min="7683" max="7683" width="18.25" style="7" customWidth="1"/>
    <col min="7684" max="7938" width="11" style="7"/>
    <col min="7939" max="7939" width="18.25" style="7" customWidth="1"/>
    <col min="7940" max="8194" width="11" style="7"/>
    <col min="8195" max="8195" width="18.25" style="7" customWidth="1"/>
    <col min="8196" max="8450" width="11" style="7"/>
    <col min="8451" max="8451" width="18.25" style="7" customWidth="1"/>
    <col min="8452" max="8706" width="11" style="7"/>
    <col min="8707" max="8707" width="18.25" style="7" customWidth="1"/>
    <col min="8708" max="8962" width="11" style="7"/>
    <col min="8963" max="8963" width="18.25" style="7" customWidth="1"/>
    <col min="8964" max="9218" width="11" style="7"/>
    <col min="9219" max="9219" width="18.25" style="7" customWidth="1"/>
    <col min="9220" max="9474" width="11" style="7"/>
    <col min="9475" max="9475" width="18.25" style="7" customWidth="1"/>
    <col min="9476" max="9730" width="11" style="7"/>
    <col min="9731" max="9731" width="18.25" style="7" customWidth="1"/>
    <col min="9732" max="9986" width="11" style="7"/>
    <col min="9987" max="9987" width="18.25" style="7" customWidth="1"/>
    <col min="9988" max="10242" width="11" style="7"/>
    <col min="10243" max="10243" width="18.25" style="7" customWidth="1"/>
    <col min="10244" max="10498" width="11" style="7"/>
    <col min="10499" max="10499" width="18.25" style="7" customWidth="1"/>
    <col min="10500" max="10754" width="11" style="7"/>
    <col min="10755" max="10755" width="18.25" style="7" customWidth="1"/>
    <col min="10756" max="11010" width="11" style="7"/>
    <col min="11011" max="11011" width="18.25" style="7" customWidth="1"/>
    <col min="11012" max="11266" width="11" style="7"/>
    <col min="11267" max="11267" width="18.25" style="7" customWidth="1"/>
    <col min="11268" max="11522" width="11" style="7"/>
    <col min="11523" max="11523" width="18.25" style="7" customWidth="1"/>
    <col min="11524" max="11778" width="11" style="7"/>
    <col min="11779" max="11779" width="18.25" style="7" customWidth="1"/>
    <col min="11780" max="12034" width="11" style="7"/>
    <col min="12035" max="12035" width="18.25" style="7" customWidth="1"/>
    <col min="12036" max="12290" width="11" style="7"/>
    <col min="12291" max="12291" width="18.25" style="7" customWidth="1"/>
    <col min="12292" max="12546" width="11" style="7"/>
    <col min="12547" max="12547" width="18.25" style="7" customWidth="1"/>
    <col min="12548" max="12802" width="11" style="7"/>
    <col min="12803" max="12803" width="18.25" style="7" customWidth="1"/>
    <col min="12804" max="13058" width="11" style="7"/>
    <col min="13059" max="13059" width="18.25" style="7" customWidth="1"/>
    <col min="13060" max="13314" width="11" style="7"/>
    <col min="13315" max="13315" width="18.25" style="7" customWidth="1"/>
    <col min="13316" max="13570" width="11" style="7"/>
    <col min="13571" max="13571" width="18.25" style="7" customWidth="1"/>
    <col min="13572" max="13826" width="11" style="7"/>
    <col min="13827" max="13827" width="18.25" style="7" customWidth="1"/>
    <col min="13828" max="14082" width="11" style="7"/>
    <col min="14083" max="14083" width="18.25" style="7" customWidth="1"/>
    <col min="14084" max="14338" width="11" style="7"/>
    <col min="14339" max="14339" width="18.25" style="7" customWidth="1"/>
    <col min="14340" max="14594" width="11" style="7"/>
    <col min="14595" max="14595" width="18.25" style="7" customWidth="1"/>
    <col min="14596" max="14850" width="11" style="7"/>
    <col min="14851" max="14851" width="18.25" style="7" customWidth="1"/>
    <col min="14852" max="15106" width="11" style="7"/>
    <col min="15107" max="15107" width="18.25" style="7" customWidth="1"/>
    <col min="15108" max="15362" width="11" style="7"/>
    <col min="15363" max="15363" width="18.25" style="7" customWidth="1"/>
    <col min="15364" max="15618" width="11" style="7"/>
    <col min="15619" max="15619" width="18.25" style="7" customWidth="1"/>
    <col min="15620" max="15874" width="11" style="7"/>
    <col min="15875" max="15875" width="18.25" style="7" customWidth="1"/>
    <col min="15876" max="16130" width="11" style="7"/>
    <col min="16131" max="16131" width="18.25" style="7" customWidth="1"/>
    <col min="16132" max="16384" width="11" style="7"/>
  </cols>
  <sheetData>
    <row r="1" spans="1:27" ht="15.75">
      <c r="A1" s="2" t="s">
        <v>101</v>
      </c>
    </row>
    <row r="2" spans="1:27" ht="14.25">
      <c r="A2" s="6" t="s">
        <v>2</v>
      </c>
    </row>
    <row r="3" spans="1:27" ht="14.25"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5" thickBot="1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3.5" thickBot="1">
      <c r="B5" s="274"/>
      <c r="C5" s="275"/>
      <c r="D5" s="8">
        <v>1930</v>
      </c>
      <c r="E5" s="9">
        <v>1931</v>
      </c>
      <c r="F5" s="9">
        <v>1932</v>
      </c>
      <c r="G5" s="9">
        <v>1933</v>
      </c>
      <c r="H5" s="9">
        <v>1934</v>
      </c>
      <c r="I5" s="9">
        <v>1935</v>
      </c>
      <c r="J5" s="9">
        <v>1936</v>
      </c>
      <c r="K5" s="9">
        <v>1937</v>
      </c>
      <c r="L5" s="9">
        <v>1938</v>
      </c>
      <c r="M5" s="9">
        <v>1939</v>
      </c>
      <c r="N5" s="9">
        <v>1940</v>
      </c>
      <c r="O5" s="9">
        <v>1941</v>
      </c>
      <c r="P5" s="9">
        <v>1942</v>
      </c>
      <c r="Q5" s="9">
        <v>1943</v>
      </c>
      <c r="R5" s="9">
        <v>1944</v>
      </c>
      <c r="S5" s="9">
        <v>1945</v>
      </c>
      <c r="T5" s="9">
        <v>1946</v>
      </c>
      <c r="U5" s="9">
        <v>1947</v>
      </c>
      <c r="V5" s="9">
        <v>1948</v>
      </c>
      <c r="W5" s="9">
        <v>1949</v>
      </c>
      <c r="X5" s="9">
        <v>1950</v>
      </c>
      <c r="Y5" s="9">
        <v>1951</v>
      </c>
      <c r="Z5" s="9">
        <v>1952</v>
      </c>
      <c r="AA5" s="10">
        <v>1953</v>
      </c>
    </row>
    <row r="6" spans="1:27">
      <c r="B6" s="271" t="s">
        <v>15</v>
      </c>
      <c r="C6" s="34" t="s">
        <v>6</v>
      </c>
      <c r="D6" s="62">
        <f>[35]Effectifs!B51</f>
        <v>6.5857077164224792E-3</v>
      </c>
      <c r="E6" s="63">
        <f>[35]Effectifs!C51</f>
        <v>5.8623983965317844E-3</v>
      </c>
      <c r="F6" s="63">
        <f>[35]Effectifs!D51</f>
        <v>5.3336831864803161E-3</v>
      </c>
      <c r="G6" s="63">
        <f>[35]Effectifs!E51</f>
        <v>7.5696950823308899E-3</v>
      </c>
      <c r="H6" s="63">
        <f>[35]Effectifs!F51</f>
        <v>6.943484773455369E-3</v>
      </c>
      <c r="I6" s="63">
        <f>[35]Effectifs!G51</f>
        <v>8.7704651318666876E-3</v>
      </c>
      <c r="J6" s="63">
        <f>[35]Effectifs!H51</f>
        <v>8.2261917317599537E-3</v>
      </c>
      <c r="K6" s="63">
        <f>[35]Effectifs!I51</f>
        <v>1.0883093933951869E-2</v>
      </c>
      <c r="L6" s="63">
        <f>[35]Effectifs!J51</f>
        <v>1.0210992049199343E-2</v>
      </c>
      <c r="M6" s="63">
        <f>[35]Effectifs!K51</f>
        <v>1.2201049969047579E-2</v>
      </c>
      <c r="N6" s="63">
        <f>[35]Effectifs!L51</f>
        <v>1.0181038193035901E-2</v>
      </c>
      <c r="O6" s="63">
        <f>[35]Effectifs!M51</f>
        <v>1.1914008022098228E-2</v>
      </c>
      <c r="P6" s="63">
        <f>[35]Effectifs!N51</f>
        <v>9.5077720440643072E-3</v>
      </c>
      <c r="Q6" s="63">
        <f>[35]Effectifs!O51</f>
        <v>1.1954256289304598E-2</v>
      </c>
      <c r="R6" s="63">
        <f>[35]Effectifs!P51</f>
        <v>1.0002558599812065E-2</v>
      </c>
      <c r="S6" s="63">
        <f>[35]Effectifs!Q51</f>
        <v>1.2572071895419965E-2</v>
      </c>
      <c r="T6" s="63">
        <f>[35]Effectifs!R51</f>
        <v>1.2423646551773235E-2</v>
      </c>
      <c r="U6" s="63">
        <f>[35]Effectifs!S51</f>
        <v>1.5033087307122541E-2</v>
      </c>
      <c r="V6" s="63">
        <f>[35]Effectifs!T51</f>
        <v>1.5503486853402401E-2</v>
      </c>
      <c r="W6" s="63">
        <f>[35]Effectifs!U51</f>
        <v>1.6217627383973723E-2</v>
      </c>
      <c r="X6" s="63">
        <f>[35]Effectifs!V51</f>
        <v>1.5455312617203178E-2</v>
      </c>
      <c r="Y6" s="63">
        <f>[35]Effectifs!W51</f>
        <v>1.4840082886448185E-2</v>
      </c>
      <c r="Z6" s="63">
        <f>[35]Effectifs!X51</f>
        <v>1.4320385418516499E-2</v>
      </c>
      <c r="AA6" s="64">
        <f>[35]Effectifs!Y51</f>
        <v>1.478940494606782E-2</v>
      </c>
    </row>
    <row r="7" spans="1:27">
      <c r="B7" s="272"/>
      <c r="C7" s="35" t="s">
        <v>7</v>
      </c>
      <c r="D7" s="65">
        <f>[35]Effectifs!B52</f>
        <v>1.3787169255330411E-2</v>
      </c>
      <c r="E7" s="66">
        <f>[35]Effectifs!C52</f>
        <v>1.2384127189834906E-2</v>
      </c>
      <c r="F7" s="66">
        <f>[35]Effectifs!D52</f>
        <v>1.1320686359821823E-2</v>
      </c>
      <c r="G7" s="66">
        <f>[35]Effectifs!E52</f>
        <v>1.6142090999912474E-2</v>
      </c>
      <c r="H7" s="66">
        <f>[35]Effectifs!F52</f>
        <v>1.4740238563491421E-2</v>
      </c>
      <c r="I7" s="66">
        <f>[35]Effectifs!G52</f>
        <v>1.8529269291140488E-2</v>
      </c>
      <c r="J7" s="66">
        <f>[35]Effectifs!H52</f>
        <v>1.7233084572369151E-2</v>
      </c>
      <c r="K7" s="66">
        <f>[35]Effectifs!I52</f>
        <v>2.286094057387272E-2</v>
      </c>
      <c r="L7" s="66">
        <f>[35]Effectifs!J52</f>
        <v>2.1350276595195169E-2</v>
      </c>
      <c r="M7" s="66">
        <f>[35]Effectifs!K52</f>
        <v>2.5539715567668916E-2</v>
      </c>
      <c r="N7" s="66">
        <f>[35]Effectifs!L52</f>
        <v>2.136486557059666E-2</v>
      </c>
      <c r="O7" s="66">
        <f>[35]Effectifs!M52</f>
        <v>2.5210980345821279E-2</v>
      </c>
      <c r="P7" s="66">
        <f>[35]Effectifs!N52</f>
        <v>2.0157148221045421E-2</v>
      </c>
      <c r="Q7" s="66">
        <f>[35]Effectifs!O52</f>
        <v>2.5368756960069763E-2</v>
      </c>
      <c r="R7" s="66">
        <f>[35]Effectifs!P52</f>
        <v>2.0957488518841608E-2</v>
      </c>
      <c r="S7" s="66">
        <f>[35]Effectifs!Q52</f>
        <v>2.5485979536506081E-2</v>
      </c>
      <c r="T7" s="66">
        <f>[35]Effectifs!R52</f>
        <v>2.397302098262066E-2</v>
      </c>
      <c r="U7" s="66">
        <f>[35]Effectifs!S52</f>
        <v>2.8430432910882517E-2</v>
      </c>
      <c r="V7" s="66">
        <f>[35]Effectifs!T52</f>
        <v>2.9239236593933252E-2</v>
      </c>
      <c r="W7" s="66">
        <f>[35]Effectifs!U52</f>
        <v>3.0606324453581583E-2</v>
      </c>
      <c r="X7" s="66">
        <f>[35]Effectifs!V52</f>
        <v>2.9108937043111353E-2</v>
      </c>
      <c r="Y7" s="66">
        <f>[35]Effectifs!W52</f>
        <v>2.7510479744286415E-2</v>
      </c>
      <c r="Z7" s="66">
        <f>[35]Effectifs!X52</f>
        <v>2.6459200385719101E-2</v>
      </c>
      <c r="AA7" s="67">
        <f>[35]Effectifs!Y52</f>
        <v>2.7688789382269947E-2</v>
      </c>
    </row>
    <row r="8" spans="1:27" ht="13.5" thickBot="1">
      <c r="B8" s="273"/>
      <c r="C8" s="36" t="s">
        <v>8</v>
      </c>
      <c r="D8" s="68">
        <f>[35]Effectifs!B53</f>
        <v>0</v>
      </c>
      <c r="E8" s="69">
        <f>[35]Effectifs!C53</f>
        <v>0</v>
      </c>
      <c r="F8" s="69">
        <f>[35]Effectifs!D53</f>
        <v>0</v>
      </c>
      <c r="G8" s="69">
        <f>[35]Effectifs!E53</f>
        <v>0</v>
      </c>
      <c r="H8" s="69">
        <f>[35]Effectifs!F53</f>
        <v>0</v>
      </c>
      <c r="I8" s="69">
        <f>[35]Effectifs!G53</f>
        <v>0</v>
      </c>
      <c r="J8" s="69">
        <f>[35]Effectifs!H53</f>
        <v>0</v>
      </c>
      <c r="K8" s="69">
        <f>[35]Effectifs!I53</f>
        <v>0</v>
      </c>
      <c r="L8" s="69">
        <f>[35]Effectifs!J53</f>
        <v>0</v>
      </c>
      <c r="M8" s="69">
        <f>[35]Effectifs!K53</f>
        <v>5.4361682311954573E-5</v>
      </c>
      <c r="N8" s="69">
        <f>[35]Effectifs!L53</f>
        <v>5.4361682311954573E-5</v>
      </c>
      <c r="O8" s="69">
        <f>[35]Effectifs!M53</f>
        <v>6.5712136970838341E-5</v>
      </c>
      <c r="P8" s="69">
        <f>[35]Effectifs!N53</f>
        <v>3.8244783657565951E-5</v>
      </c>
      <c r="Q8" s="69">
        <f>[35]Effectifs!O53</f>
        <v>1.3688076660347168E-4</v>
      </c>
      <c r="R8" s="69">
        <f>[35]Effectifs!P53</f>
        <v>3.5799445626591143E-4</v>
      </c>
      <c r="S8" s="69">
        <f>[35]Effectifs!Q53</f>
        <v>9.9225130450305015E-4</v>
      </c>
      <c r="T8" s="69">
        <f>[35]Effectifs!R53</f>
        <v>1.7583295430439454E-3</v>
      </c>
      <c r="U8" s="69">
        <f>[35]Effectifs!S53</f>
        <v>2.4305828412800956E-3</v>
      </c>
      <c r="V8" s="69">
        <f>[35]Effectifs!T53</f>
        <v>2.4630220898386075E-3</v>
      </c>
      <c r="W8" s="69">
        <f>[35]Effectifs!U53</f>
        <v>2.2730670968730579E-3</v>
      </c>
      <c r="X8" s="69">
        <f>[35]Effectifs!V53</f>
        <v>1.9976995375299844E-3</v>
      </c>
      <c r="Y8" s="69">
        <f>[35]Effectifs!W53</f>
        <v>2.0844628426969977E-3</v>
      </c>
      <c r="Z8" s="69">
        <f>[35]Effectifs!X53</f>
        <v>1.9320221646707168E-3</v>
      </c>
      <c r="AA8" s="70">
        <f>[35]Effectifs!Y53</f>
        <v>1.5669556514849123E-3</v>
      </c>
    </row>
    <row r="9" spans="1:27" ht="13.5" thickBot="1">
      <c r="B9" s="74" t="s">
        <v>27</v>
      </c>
      <c r="C9" s="61" t="s">
        <v>7</v>
      </c>
      <c r="D9" s="71">
        <f>[35]Effectifs!B62</f>
        <v>53.777075183998399</v>
      </c>
      <c r="E9" s="72">
        <f>[35]Effectifs!C62</f>
        <v>53.039757118991865</v>
      </c>
      <c r="F9" s="72">
        <f>[35]Effectifs!D62</f>
        <v>52.208861732243726</v>
      </c>
      <c r="G9" s="72">
        <f>[35]Effectifs!E62</f>
        <v>52.3001959863129</v>
      </c>
      <c r="H9" s="72">
        <f>[35]Effectifs!F62</f>
        <v>51.232239032448909</v>
      </c>
      <c r="I9" s="72">
        <f>[35]Effectifs!G62</f>
        <v>51.462142206765371</v>
      </c>
      <c r="J9" s="72">
        <f>[35]Effectifs!H62</f>
        <v>51.033906283819242</v>
      </c>
      <c r="K9" s="72">
        <f>[35]Effectifs!I62</f>
        <v>52.205104035019474</v>
      </c>
      <c r="L9" s="72">
        <f>[35]Effectifs!J62</f>
        <v>52.037100270376925</v>
      </c>
      <c r="M9" s="72">
        <f>[35]Effectifs!K62</f>
        <v>52.618563234610399</v>
      </c>
      <c r="N9" s="72">
        <f>[35]Effectifs!L62</f>
        <v>51.804531832226473</v>
      </c>
      <c r="O9" s="72">
        <f>[35]Effectifs!M62</f>
        <v>52.067509667808302</v>
      </c>
      <c r="P9" s="72">
        <f>[35]Effectifs!N62</f>
        <v>51.764313196981</v>
      </c>
      <c r="Q9" s="72">
        <f>[35]Effectifs!O62</f>
        <v>52.325916850568433</v>
      </c>
      <c r="R9" s="72">
        <f>[35]Effectifs!P62</f>
        <v>52.568432903563711</v>
      </c>
      <c r="S9" s="72">
        <f>[35]Effectifs!Q62</f>
        <v>52.739206099942329</v>
      </c>
      <c r="T9" s="72">
        <f>[35]Effectifs!R62</f>
        <v>52.65215706942363</v>
      </c>
      <c r="U9" s="72">
        <f>[35]Effectifs!S62</f>
        <v>52.654981803185201</v>
      </c>
      <c r="V9" s="72">
        <f>[35]Effectifs!T62</f>
        <v>52.906069602859638</v>
      </c>
      <c r="W9" s="72">
        <f>[35]Effectifs!U62</f>
        <v>52.876963825878896</v>
      </c>
      <c r="X9" s="72">
        <f>[35]Effectifs!V62</f>
        <v>53.327841269436043</v>
      </c>
      <c r="Y9" s="72">
        <f>[35]Effectifs!W62</f>
        <v>53.78273202216576</v>
      </c>
      <c r="Z9" s="72">
        <f>[35]Effectifs!X62</f>
        <v>54.651844194160269</v>
      </c>
      <c r="AA9" s="73">
        <f>[35]Effectifs!Y62</f>
        <v>54.996217619570302</v>
      </c>
    </row>
    <row r="10" spans="1:27" ht="14.25"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14.25">
      <c r="B11" s="11" t="s">
        <v>9</v>
      </c>
      <c r="D11" s="13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4.25">
      <c r="B12" s="11" t="s">
        <v>10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7" spans="4:29">
      <c r="D17" s="12"/>
      <c r="E17" s="12"/>
      <c r="F17" s="12"/>
      <c r="G17" s="12"/>
      <c r="H17" s="12"/>
      <c r="I17" s="12"/>
      <c r="V17" s="12"/>
      <c r="W17" s="12"/>
      <c r="X17" s="12"/>
      <c r="Y17" s="12"/>
      <c r="Z17" s="12"/>
      <c r="AA17" s="12"/>
      <c r="AB17" s="12"/>
      <c r="AC17" s="12"/>
    </row>
  </sheetData>
  <mergeCells count="2">
    <mergeCell ref="B6:B8"/>
    <mergeCell ref="B5:C5"/>
  </mergeCells>
  <hyperlinks>
    <hyperlink ref="A2" location="SOMMAIRE!A1" display="Retour au sommaire" xr:uid="{E544495F-32B5-45D6-A8B3-E13D6093FB15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A6C1-D118-4014-80FB-90CA42C1BA10}">
  <sheetPr>
    <tabColor rgb="FFACB9CA"/>
  </sheetPr>
  <dimension ref="A1:BV20"/>
  <sheetViews>
    <sheetView workbookViewId="0"/>
  </sheetViews>
  <sheetFormatPr baseColWidth="10" defaultRowHeight="12.75"/>
  <cols>
    <col min="1" max="2" width="11" style="7"/>
    <col min="3" max="3" width="36.25" style="7" customWidth="1"/>
    <col min="4" max="18" width="11" style="7" customWidth="1"/>
    <col min="19" max="258" width="11" style="7"/>
    <col min="259" max="259" width="36.25" style="7" customWidth="1"/>
    <col min="260" max="514" width="11" style="7"/>
    <col min="515" max="515" width="36.25" style="7" customWidth="1"/>
    <col min="516" max="770" width="11" style="7"/>
    <col min="771" max="771" width="36.25" style="7" customWidth="1"/>
    <col min="772" max="1026" width="11" style="7"/>
    <col min="1027" max="1027" width="36.25" style="7" customWidth="1"/>
    <col min="1028" max="1282" width="11" style="7"/>
    <col min="1283" max="1283" width="36.25" style="7" customWidth="1"/>
    <col min="1284" max="1538" width="11" style="7"/>
    <col min="1539" max="1539" width="36.25" style="7" customWidth="1"/>
    <col min="1540" max="1794" width="11" style="7"/>
    <col min="1795" max="1795" width="36.25" style="7" customWidth="1"/>
    <col min="1796" max="2050" width="11" style="7"/>
    <col min="2051" max="2051" width="36.25" style="7" customWidth="1"/>
    <col min="2052" max="2306" width="11" style="7"/>
    <col min="2307" max="2307" width="36.25" style="7" customWidth="1"/>
    <col min="2308" max="2562" width="11" style="7"/>
    <col min="2563" max="2563" width="36.25" style="7" customWidth="1"/>
    <col min="2564" max="2818" width="11" style="7"/>
    <col min="2819" max="2819" width="36.25" style="7" customWidth="1"/>
    <col min="2820" max="3074" width="11" style="7"/>
    <col min="3075" max="3075" width="36.25" style="7" customWidth="1"/>
    <col min="3076" max="3330" width="11" style="7"/>
    <col min="3331" max="3331" width="36.25" style="7" customWidth="1"/>
    <col min="3332" max="3586" width="11" style="7"/>
    <col min="3587" max="3587" width="36.25" style="7" customWidth="1"/>
    <col min="3588" max="3842" width="11" style="7"/>
    <col min="3843" max="3843" width="36.25" style="7" customWidth="1"/>
    <col min="3844" max="4098" width="11" style="7"/>
    <col min="4099" max="4099" width="36.25" style="7" customWidth="1"/>
    <col min="4100" max="4354" width="11" style="7"/>
    <col min="4355" max="4355" width="36.25" style="7" customWidth="1"/>
    <col min="4356" max="4610" width="11" style="7"/>
    <col min="4611" max="4611" width="36.25" style="7" customWidth="1"/>
    <col min="4612" max="4866" width="11" style="7"/>
    <col min="4867" max="4867" width="36.25" style="7" customWidth="1"/>
    <col min="4868" max="5122" width="11" style="7"/>
    <col min="5123" max="5123" width="36.25" style="7" customWidth="1"/>
    <col min="5124" max="5378" width="11" style="7"/>
    <col min="5379" max="5379" width="36.25" style="7" customWidth="1"/>
    <col min="5380" max="5634" width="11" style="7"/>
    <col min="5635" max="5635" width="36.25" style="7" customWidth="1"/>
    <col min="5636" max="5890" width="11" style="7"/>
    <col min="5891" max="5891" width="36.25" style="7" customWidth="1"/>
    <col min="5892" max="6146" width="11" style="7"/>
    <col min="6147" max="6147" width="36.25" style="7" customWidth="1"/>
    <col min="6148" max="6402" width="11" style="7"/>
    <col min="6403" max="6403" width="36.25" style="7" customWidth="1"/>
    <col min="6404" max="6658" width="11" style="7"/>
    <col min="6659" max="6659" width="36.25" style="7" customWidth="1"/>
    <col min="6660" max="6914" width="11" style="7"/>
    <col min="6915" max="6915" width="36.25" style="7" customWidth="1"/>
    <col min="6916" max="7170" width="11" style="7"/>
    <col min="7171" max="7171" width="36.25" style="7" customWidth="1"/>
    <col min="7172" max="7426" width="11" style="7"/>
    <col min="7427" max="7427" width="36.25" style="7" customWidth="1"/>
    <col min="7428" max="7682" width="11" style="7"/>
    <col min="7683" max="7683" width="36.25" style="7" customWidth="1"/>
    <col min="7684" max="7938" width="11" style="7"/>
    <col min="7939" max="7939" width="36.25" style="7" customWidth="1"/>
    <col min="7940" max="8194" width="11" style="7"/>
    <col min="8195" max="8195" width="36.25" style="7" customWidth="1"/>
    <col min="8196" max="8450" width="11" style="7"/>
    <col min="8451" max="8451" width="36.25" style="7" customWidth="1"/>
    <col min="8452" max="8706" width="11" style="7"/>
    <col min="8707" max="8707" width="36.25" style="7" customWidth="1"/>
    <col min="8708" max="8962" width="11" style="7"/>
    <col min="8963" max="8963" width="36.25" style="7" customWidth="1"/>
    <col min="8964" max="9218" width="11" style="7"/>
    <col min="9219" max="9219" width="36.25" style="7" customWidth="1"/>
    <col min="9220" max="9474" width="11" style="7"/>
    <col min="9475" max="9475" width="36.25" style="7" customWidth="1"/>
    <col min="9476" max="9730" width="11" style="7"/>
    <col min="9731" max="9731" width="36.25" style="7" customWidth="1"/>
    <col min="9732" max="9986" width="11" style="7"/>
    <col min="9987" max="9987" width="36.25" style="7" customWidth="1"/>
    <col min="9988" max="10242" width="11" style="7"/>
    <col min="10243" max="10243" width="36.25" style="7" customWidth="1"/>
    <col min="10244" max="10498" width="11" style="7"/>
    <col min="10499" max="10499" width="36.25" style="7" customWidth="1"/>
    <col min="10500" max="10754" width="11" style="7"/>
    <col min="10755" max="10755" width="36.25" style="7" customWidth="1"/>
    <col min="10756" max="11010" width="11" style="7"/>
    <col min="11011" max="11011" width="36.25" style="7" customWidth="1"/>
    <col min="11012" max="11266" width="11" style="7"/>
    <col min="11267" max="11267" width="36.25" style="7" customWidth="1"/>
    <col min="11268" max="11522" width="11" style="7"/>
    <col min="11523" max="11523" width="36.25" style="7" customWidth="1"/>
    <col min="11524" max="11778" width="11" style="7"/>
    <col min="11779" max="11779" width="36.25" style="7" customWidth="1"/>
    <col min="11780" max="12034" width="11" style="7"/>
    <col min="12035" max="12035" width="36.25" style="7" customWidth="1"/>
    <col min="12036" max="12290" width="11" style="7"/>
    <col min="12291" max="12291" width="36.25" style="7" customWidth="1"/>
    <col min="12292" max="12546" width="11" style="7"/>
    <col min="12547" max="12547" width="36.25" style="7" customWidth="1"/>
    <col min="12548" max="12802" width="11" style="7"/>
    <col min="12803" max="12803" width="36.25" style="7" customWidth="1"/>
    <col min="12804" max="13058" width="11" style="7"/>
    <col min="13059" max="13059" width="36.25" style="7" customWidth="1"/>
    <col min="13060" max="13314" width="11" style="7"/>
    <col min="13315" max="13315" width="36.25" style="7" customWidth="1"/>
    <col min="13316" max="13570" width="11" style="7"/>
    <col min="13571" max="13571" width="36.25" style="7" customWidth="1"/>
    <col min="13572" max="13826" width="11" style="7"/>
    <col min="13827" max="13827" width="36.25" style="7" customWidth="1"/>
    <col min="13828" max="14082" width="11" style="7"/>
    <col min="14083" max="14083" width="36.25" style="7" customWidth="1"/>
    <col min="14084" max="14338" width="11" style="7"/>
    <col min="14339" max="14339" width="36.25" style="7" customWidth="1"/>
    <col min="14340" max="14594" width="11" style="7"/>
    <col min="14595" max="14595" width="36.25" style="7" customWidth="1"/>
    <col min="14596" max="14850" width="11" style="7"/>
    <col min="14851" max="14851" width="36.25" style="7" customWidth="1"/>
    <col min="14852" max="15106" width="11" style="7"/>
    <col min="15107" max="15107" width="36.25" style="7" customWidth="1"/>
    <col min="15108" max="15362" width="11" style="7"/>
    <col min="15363" max="15363" width="36.25" style="7" customWidth="1"/>
    <col min="15364" max="15618" width="11" style="7"/>
    <col min="15619" max="15619" width="36.25" style="7" customWidth="1"/>
    <col min="15620" max="15874" width="11" style="7"/>
    <col min="15875" max="15875" width="36.25" style="7" customWidth="1"/>
    <col min="15876" max="16130" width="11" style="7"/>
    <col min="16131" max="16131" width="36.25" style="7" customWidth="1"/>
    <col min="16132" max="16384" width="11" style="7"/>
  </cols>
  <sheetData>
    <row r="1" spans="1:74" ht="15.75">
      <c r="A1" s="2" t="s">
        <v>102</v>
      </c>
      <c r="B1" s="2"/>
    </row>
    <row r="2" spans="1:74" ht="14.25">
      <c r="A2" s="6" t="s">
        <v>2</v>
      </c>
      <c r="B2" s="6"/>
    </row>
    <row r="4" spans="1:74" ht="13.5" thickBot="1"/>
    <row r="5" spans="1:74" ht="13.5" thickBot="1">
      <c r="B5" s="268"/>
      <c r="C5" s="269"/>
      <c r="D5" s="8">
        <v>1930</v>
      </c>
      <c r="E5" s="9">
        <v>1931</v>
      </c>
      <c r="F5" s="9">
        <v>1932</v>
      </c>
      <c r="G5" s="9">
        <v>1933</v>
      </c>
      <c r="H5" s="9">
        <v>1934</v>
      </c>
      <c r="I5" s="9">
        <v>1935</v>
      </c>
      <c r="J5" s="9">
        <v>1936</v>
      </c>
      <c r="K5" s="9">
        <v>1937</v>
      </c>
      <c r="L5" s="9">
        <v>1938</v>
      </c>
      <c r="M5" s="9">
        <v>1939</v>
      </c>
      <c r="N5" s="9">
        <v>1940</v>
      </c>
      <c r="O5" s="9">
        <v>1941</v>
      </c>
      <c r="P5" s="9">
        <v>1942</v>
      </c>
      <c r="Q5" s="9">
        <v>1943</v>
      </c>
      <c r="R5" s="9">
        <v>1944</v>
      </c>
      <c r="S5" s="9">
        <v>1945</v>
      </c>
      <c r="T5" s="9">
        <v>1946</v>
      </c>
      <c r="U5" s="9">
        <v>1947</v>
      </c>
      <c r="V5" s="9">
        <v>1948</v>
      </c>
      <c r="W5" s="9">
        <v>1949</v>
      </c>
      <c r="X5" s="9">
        <v>1950</v>
      </c>
      <c r="Y5" s="9">
        <v>1951</v>
      </c>
      <c r="Z5" s="9">
        <v>1952</v>
      </c>
      <c r="AA5" s="9">
        <v>1953</v>
      </c>
      <c r="AB5" s="9">
        <v>1954</v>
      </c>
      <c r="AC5" s="9">
        <v>1955</v>
      </c>
      <c r="AD5" s="9">
        <v>1956</v>
      </c>
      <c r="AE5" s="9">
        <v>1957</v>
      </c>
      <c r="AF5" s="9">
        <v>1958</v>
      </c>
      <c r="AG5" s="9">
        <v>1959</v>
      </c>
      <c r="AH5" s="9">
        <v>1960</v>
      </c>
      <c r="AI5" s="9">
        <v>1961</v>
      </c>
      <c r="AJ5" s="9">
        <v>1962</v>
      </c>
      <c r="AK5" s="9">
        <v>1963</v>
      </c>
      <c r="AL5" s="9">
        <v>1964</v>
      </c>
      <c r="AM5" s="9">
        <v>1965</v>
      </c>
      <c r="AN5" s="9">
        <v>1966</v>
      </c>
      <c r="AO5" s="9">
        <v>1967</v>
      </c>
      <c r="AP5" s="9">
        <v>1968</v>
      </c>
      <c r="AQ5" s="9">
        <v>1969</v>
      </c>
      <c r="AR5" s="9">
        <v>1970</v>
      </c>
      <c r="AS5" s="9">
        <v>1971</v>
      </c>
      <c r="AT5" s="9">
        <v>1972</v>
      </c>
      <c r="AU5" s="9">
        <v>1973</v>
      </c>
      <c r="AV5" s="9">
        <v>1974</v>
      </c>
      <c r="AW5" s="10">
        <v>1975</v>
      </c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</row>
    <row r="6" spans="1:74">
      <c r="B6" s="262" t="s">
        <v>5</v>
      </c>
      <c r="C6" s="34" t="str">
        <f>[34]Effectifs!A49</f>
        <v>Ensemble</v>
      </c>
      <c r="D6" s="76">
        <f>[34]Effectifs!B49</f>
        <v>9.8948303954969632E-2</v>
      </c>
      <c r="E6" s="77">
        <f>[34]Effectifs!C49</f>
        <v>0.10781109676762446</v>
      </c>
      <c r="F6" s="77">
        <f>[34]Effectifs!D49</f>
        <v>0.11307093744506855</v>
      </c>
      <c r="G6" s="77">
        <f>[34]Effectifs!E49</f>
        <v>0.11749087852761091</v>
      </c>
      <c r="H6" s="77">
        <f>[34]Effectifs!F49</f>
        <v>0.12007047543578271</v>
      </c>
      <c r="I6" s="77">
        <f>[34]Effectifs!G49</f>
        <v>0.12185430505466388</v>
      </c>
      <c r="J6" s="77">
        <f>[34]Effectifs!H49</f>
        <v>0.12248232460378235</v>
      </c>
      <c r="K6" s="77">
        <f>[34]Effectifs!I49</f>
        <v>0.12351679127373572</v>
      </c>
      <c r="L6" s="77">
        <f>[34]Effectifs!J49</f>
        <v>0.12411539558932105</v>
      </c>
      <c r="M6" s="77">
        <f>[34]Effectifs!K49</f>
        <v>0.12394898655186878</v>
      </c>
      <c r="N6" s="77">
        <f>[34]Effectifs!L49</f>
        <v>0.1235530958784781</v>
      </c>
      <c r="O6" s="77">
        <f>[34]Effectifs!M49</f>
        <v>0.12306244255993441</v>
      </c>
      <c r="P6" s="77">
        <f>[34]Effectifs!N49</f>
        <v>0.12452003519474197</v>
      </c>
      <c r="Q6" s="77">
        <f>[34]Effectifs!O49</f>
        <v>0.12521921179284315</v>
      </c>
      <c r="R6" s="77">
        <f>[34]Effectifs!P49</f>
        <v>0.12520790227745693</v>
      </c>
      <c r="S6" s="77">
        <f>[34]Effectifs!Q49</f>
        <v>0.12674939350205122</v>
      </c>
      <c r="T6" s="77">
        <f>[34]Effectifs!R49</f>
        <v>0.12980225591600886</v>
      </c>
      <c r="U6" s="77">
        <f>[34]Effectifs!S49</f>
        <v>0.13301996390372961</v>
      </c>
      <c r="V6" s="77">
        <f>[34]Effectifs!T49</f>
        <v>0.13620008111650683</v>
      </c>
      <c r="W6" s="77">
        <f>[34]Effectifs!U49</f>
        <v>0.13950631732609078</v>
      </c>
      <c r="X6" s="77">
        <f>[34]Effectifs!V49</f>
        <v>0.14165529640505434</v>
      </c>
      <c r="Y6" s="77">
        <f>[34]Effectifs!W49</f>
        <v>0.14156850952547509</v>
      </c>
      <c r="Z6" s="77">
        <f>[34]Effectifs!X49</f>
        <v>0.13893950219226878</v>
      </c>
      <c r="AA6" s="77">
        <f>[34]Effectifs!Y49</f>
        <v>0.13734182933876921</v>
      </c>
      <c r="AB6" s="77">
        <f>[34]Effectifs!Z49</f>
        <v>0.13507977980938185</v>
      </c>
      <c r="AC6" s="77">
        <f>[34]Effectifs!AA49</f>
        <v>0.13091442455472371</v>
      </c>
      <c r="AD6" s="77">
        <f>[34]Effectifs!AB49</f>
        <v>0.12383722501819287</v>
      </c>
      <c r="AE6" s="77">
        <f>[34]Effectifs!AC49</f>
        <v>0.11441694206968597</v>
      </c>
      <c r="AF6" s="77">
        <f>[34]Effectifs!AD49</f>
        <v>0.10186259894218379</v>
      </c>
      <c r="AG6" s="77">
        <f>[34]Effectifs!AE49</f>
        <v>8.7669405377763188E-2</v>
      </c>
      <c r="AH6" s="77">
        <f>[34]Effectifs!AF49</f>
        <v>7.3826570740299371E-2</v>
      </c>
      <c r="AI6" s="77">
        <f>[34]Effectifs!AG49</f>
        <v>6.1429648305803317E-2</v>
      </c>
      <c r="AJ6" s="77">
        <f>[34]Effectifs!AH49</f>
        <v>5.0049601558812121E-2</v>
      </c>
      <c r="AK6" s="77">
        <f>[34]Effectifs!AI49</f>
        <v>4.0978659106982208E-2</v>
      </c>
      <c r="AL6" s="77">
        <f>[34]Effectifs!AJ49</f>
        <v>3.4484058153228171E-2</v>
      </c>
      <c r="AM6" s="77">
        <f>[34]Effectifs!AK49</f>
        <v>2.8898762759674068E-2</v>
      </c>
      <c r="AN6" s="77">
        <f>[34]Effectifs!AL49</f>
        <v>2.487389019374589E-2</v>
      </c>
      <c r="AO6" s="77">
        <f>[34]Effectifs!AM49</f>
        <v>2.159398107651626E-2</v>
      </c>
      <c r="AP6" s="77">
        <f>[34]Effectifs!AN49</f>
        <v>1.8764376490251918E-2</v>
      </c>
      <c r="AQ6" s="77">
        <f>[34]Effectifs!AO49</f>
        <v>1.6044175196478036E-2</v>
      </c>
      <c r="AR6" s="77">
        <f>[34]Effectifs!AP49</f>
        <v>1.3298099015173195E-2</v>
      </c>
      <c r="AS6" s="77">
        <f>[34]Effectifs!AQ49</f>
        <v>1.0434111186116358E-2</v>
      </c>
      <c r="AT6" s="77">
        <f>[34]Effectifs!AR49</f>
        <v>7.8190924885400952E-3</v>
      </c>
      <c r="AU6" s="77">
        <f>[34]Effectifs!AS49</f>
        <v>5.4439833716761858E-3</v>
      </c>
      <c r="AV6" s="77">
        <f>[34]Effectifs!AT49</f>
        <v>3.3980923182188273E-3</v>
      </c>
      <c r="AW6" s="78">
        <f>[34]Effectifs!AU49</f>
        <v>1.9234730132409107E-3</v>
      </c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</row>
    <row r="7" spans="1:74">
      <c r="B7" s="263"/>
      <c r="C7" s="35" t="str">
        <f>[34]Effectifs!A50</f>
        <v>Femmes</v>
      </c>
      <c r="D7" s="79">
        <f>[34]Effectifs!B50</f>
        <v>0.13998323554065381</v>
      </c>
      <c r="E7" s="80">
        <f>[34]Effectifs!C50</f>
        <v>0.15428254674645708</v>
      </c>
      <c r="F7" s="80">
        <f>[34]Effectifs!D50</f>
        <v>0.16194520160814524</v>
      </c>
      <c r="G7" s="80">
        <f>[34]Effectifs!E50</f>
        <v>0.16958230674417965</v>
      </c>
      <c r="H7" s="80">
        <f>[34]Effectifs!F50</f>
        <v>0.17424270766890043</v>
      </c>
      <c r="I7" s="80">
        <f>[34]Effectifs!G50</f>
        <v>0.17796878296811894</v>
      </c>
      <c r="J7" s="80">
        <f>[34]Effectifs!H50</f>
        <v>0.18081763246333565</v>
      </c>
      <c r="K7" s="80">
        <f>[34]Effectifs!I50</f>
        <v>0.1839445868132227</v>
      </c>
      <c r="L7" s="80">
        <f>[34]Effectifs!J50</f>
        <v>0.18555203539721488</v>
      </c>
      <c r="M7" s="80">
        <f>[34]Effectifs!K50</f>
        <v>0.18573371039088155</v>
      </c>
      <c r="N7" s="80">
        <f>[34]Effectifs!L50</f>
        <v>0.18569771124553838</v>
      </c>
      <c r="O7" s="80">
        <f>[34]Effectifs!M50</f>
        <v>0.18474595070216143</v>
      </c>
      <c r="P7" s="80">
        <f>[34]Effectifs!N50</f>
        <v>0.18647283622632121</v>
      </c>
      <c r="Q7" s="80">
        <f>[34]Effectifs!O50</f>
        <v>0.18774039952308602</v>
      </c>
      <c r="R7" s="80">
        <f>[34]Effectifs!P50</f>
        <v>0.18809370484599819</v>
      </c>
      <c r="S7" s="80">
        <f>[34]Effectifs!Q50</f>
        <v>0.18938010894167939</v>
      </c>
      <c r="T7" s="80">
        <f>[34]Effectifs!R50</f>
        <v>0.19317185187939273</v>
      </c>
      <c r="U7" s="80">
        <f>[34]Effectifs!S50</f>
        <v>0.19769082620090539</v>
      </c>
      <c r="V7" s="80">
        <f>[34]Effectifs!T50</f>
        <v>0.20171468878903159</v>
      </c>
      <c r="W7" s="80">
        <f>[34]Effectifs!U50</f>
        <v>0.20627822503249904</v>
      </c>
      <c r="X7" s="80">
        <f>[34]Effectifs!V50</f>
        <v>0.20997939907876603</v>
      </c>
      <c r="Y7" s="80">
        <f>[34]Effectifs!W50</f>
        <v>0.21081876492789306</v>
      </c>
      <c r="Z7" s="80">
        <f>[34]Effectifs!X50</f>
        <v>0.20723864280221532</v>
      </c>
      <c r="AA7" s="80">
        <f>[34]Effectifs!Y50</f>
        <v>0.20478221214748621</v>
      </c>
      <c r="AB7" s="80">
        <f>[34]Effectifs!Z50</f>
        <v>0.20125565488299779</v>
      </c>
      <c r="AC7" s="80">
        <f>[34]Effectifs!AA50</f>
        <v>0.19484982286964825</v>
      </c>
      <c r="AD7" s="80">
        <f>[34]Effectifs!AB50</f>
        <v>0.18406995821955968</v>
      </c>
      <c r="AE7" s="80">
        <f>[34]Effectifs!AC50</f>
        <v>0.16998358136299402</v>
      </c>
      <c r="AF7" s="80">
        <f>[34]Effectifs!AD50</f>
        <v>0.15173978444660266</v>
      </c>
      <c r="AG7" s="80">
        <f>[34]Effectifs!AE50</f>
        <v>0.13081049735104444</v>
      </c>
      <c r="AH7" s="80">
        <f>[34]Effectifs!AF50</f>
        <v>0.11052276636726779</v>
      </c>
      <c r="AI7" s="80">
        <f>[34]Effectifs!AG50</f>
        <v>9.2010749065052327E-2</v>
      </c>
      <c r="AJ7" s="80">
        <f>[34]Effectifs!AH50</f>
        <v>7.5158244816585576E-2</v>
      </c>
      <c r="AK7" s="80">
        <f>[34]Effectifs!AI50</f>
        <v>6.1541442235570745E-2</v>
      </c>
      <c r="AL7" s="80">
        <f>[34]Effectifs!AJ50</f>
        <v>5.1761400598419119E-2</v>
      </c>
      <c r="AM7" s="80">
        <f>[34]Effectifs!AK50</f>
        <v>4.3435917559112434E-2</v>
      </c>
      <c r="AN7" s="80">
        <f>[34]Effectifs!AL50</f>
        <v>3.7449680501390047E-2</v>
      </c>
      <c r="AO7" s="80">
        <f>[34]Effectifs!AM50</f>
        <v>3.2518929951482582E-2</v>
      </c>
      <c r="AP7" s="80">
        <f>[34]Effectifs!AN50</f>
        <v>2.8292604796830122E-2</v>
      </c>
      <c r="AQ7" s="80">
        <f>[34]Effectifs!AO50</f>
        <v>2.4248627627712314E-2</v>
      </c>
      <c r="AR7" s="80">
        <f>[34]Effectifs!AP50</f>
        <v>2.0145776721020355E-2</v>
      </c>
      <c r="AS7" s="80">
        <f>[34]Effectifs!AQ50</f>
        <v>1.5852572026240908E-2</v>
      </c>
      <c r="AT7" s="80">
        <f>[34]Effectifs!AR50</f>
        <v>1.1944321561751634E-2</v>
      </c>
      <c r="AU7" s="80">
        <f>[34]Effectifs!AS50</f>
        <v>8.3544357161669074E-3</v>
      </c>
      <c r="AV7" s="80">
        <f>[34]Effectifs!AT50</f>
        <v>5.2443913414197494E-3</v>
      </c>
      <c r="AW7" s="81">
        <f>[34]Effectifs!AU50</f>
        <v>2.9811115272081121E-3</v>
      </c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</row>
    <row r="8" spans="1:74">
      <c r="B8" s="263"/>
      <c r="C8" s="35" t="str">
        <f>[34]Effectifs!A51</f>
        <v>Hommes</v>
      </c>
      <c r="D8" s="79">
        <f>[34]Effectifs!B51</f>
        <v>0</v>
      </c>
      <c r="E8" s="80">
        <f>[34]Effectifs!C51</f>
        <v>0</v>
      </c>
      <c r="F8" s="80">
        <f>[34]Effectifs!D51</f>
        <v>0</v>
      </c>
      <c r="G8" s="80">
        <f>[34]Effectifs!E51</f>
        <v>0</v>
      </c>
      <c r="H8" s="80">
        <f>[34]Effectifs!F51</f>
        <v>0</v>
      </c>
      <c r="I8" s="80">
        <f>[34]Effectifs!G51</f>
        <v>0</v>
      </c>
      <c r="J8" s="80">
        <f>[34]Effectifs!H51</f>
        <v>0</v>
      </c>
      <c r="K8" s="80">
        <f>[34]Effectifs!I51</f>
        <v>0</v>
      </c>
      <c r="L8" s="80">
        <f>[34]Effectifs!J51</f>
        <v>0</v>
      </c>
      <c r="M8" s="80">
        <f>[34]Effectifs!K51</f>
        <v>0</v>
      </c>
      <c r="N8" s="80">
        <f>[34]Effectifs!L51</f>
        <v>0</v>
      </c>
      <c r="O8" s="80">
        <f>[34]Effectifs!M51</f>
        <v>0</v>
      </c>
      <c r="P8" s="80">
        <f>[34]Effectifs!N51</f>
        <v>1.9500780031201248E-5</v>
      </c>
      <c r="Q8" s="80">
        <f>[34]Effectifs!O51</f>
        <v>1.5838966892009015E-4</v>
      </c>
      <c r="R8" s="80">
        <f>[34]Effectifs!P51</f>
        <v>4.620088090706852E-4</v>
      </c>
      <c r="S8" s="80">
        <f>[34]Effectifs!Q51</f>
        <v>1.7573161605080219E-3</v>
      </c>
      <c r="T8" s="80">
        <f>[34]Effectifs!R51</f>
        <v>2.5543028955918147E-3</v>
      </c>
      <c r="U8" s="80">
        <f>[34]Effectifs!S51</f>
        <v>3.2234097104973229E-3</v>
      </c>
      <c r="V8" s="80">
        <f>[34]Effectifs!T51</f>
        <v>3.7553763986859596E-3</v>
      </c>
      <c r="W8" s="80">
        <f>[34]Effectifs!U51</f>
        <v>4.0853274264314584E-3</v>
      </c>
      <c r="X8" s="80">
        <f>[34]Effectifs!V51</f>
        <v>3.1939042375789817E-3</v>
      </c>
      <c r="Y8" s="80">
        <f>[34]Effectifs!W51</f>
        <v>2.7680348885379476E-3</v>
      </c>
      <c r="Z8" s="80">
        <f>[34]Effectifs!X51</f>
        <v>2.4570329653925533E-3</v>
      </c>
      <c r="AA8" s="80">
        <f>[34]Effectifs!Y51</f>
        <v>2.1926355569951671E-3</v>
      </c>
      <c r="AB8" s="80">
        <f>[34]Effectifs!Z51</f>
        <v>1.8045616163996977E-3</v>
      </c>
      <c r="AC8" s="80">
        <f>[34]Effectifs!AA51</f>
        <v>1.6065410159643383E-3</v>
      </c>
      <c r="AD8" s="80">
        <f>[34]Effectifs!AB51</f>
        <v>1.4446432407731031E-3</v>
      </c>
      <c r="AE8" s="80">
        <f>[34]Effectifs!AC51</f>
        <v>1.1989820134262323E-3</v>
      </c>
      <c r="AF8" s="80">
        <f>[34]Effectifs!AD51</f>
        <v>9.6281197225784221E-4</v>
      </c>
      <c r="AG8" s="80">
        <f>[34]Effectifs!AE51</f>
        <v>7.9198820439649548E-4</v>
      </c>
      <c r="AH8" s="80">
        <f>[34]Effectifs!AF51</f>
        <v>6.561354939290066E-4</v>
      </c>
      <c r="AI8" s="80">
        <f>[34]Effectifs!AG51</f>
        <v>4.7988219151026446E-4</v>
      </c>
      <c r="AJ8" s="80">
        <f>[34]Effectifs!AH51</f>
        <v>3.6085097020631586E-4</v>
      </c>
      <c r="AK8" s="80">
        <f>[34]Effectifs!AI51</f>
        <v>2.4983576155652597E-4</v>
      </c>
      <c r="AL8" s="80">
        <f>[34]Effectifs!AJ51</f>
        <v>2.0886965239364031E-4</v>
      </c>
      <c r="AM8" s="80">
        <f>[34]Effectifs!AK51</f>
        <v>1.6714834418912172E-4</v>
      </c>
      <c r="AN8" s="80">
        <f>[34]Effectifs!AL51</f>
        <v>1.412911247265885E-4</v>
      </c>
      <c r="AO8" s="80">
        <f>[34]Effectifs!AM51</f>
        <v>1.3512690610792568E-4</v>
      </c>
      <c r="AP8" s="80">
        <f>[34]Effectifs!AN51</f>
        <v>8.8998910019544411E-5</v>
      </c>
      <c r="AQ8" s="80">
        <f>[34]Effectifs!AO51</f>
        <v>6.1763376360209407E-5</v>
      </c>
      <c r="AR8" s="80">
        <f>[34]Effectifs!AP51</f>
        <v>3.9923989299010371E-5</v>
      </c>
      <c r="AS8" s="80">
        <f>[34]Effectifs!AQ51</f>
        <v>3.2814900328761903E-5</v>
      </c>
      <c r="AT8" s="80">
        <f>[34]Effectifs!AR51</f>
        <v>2.6065895806928872E-5</v>
      </c>
      <c r="AU8" s="80">
        <f>[34]Effectifs!AS51</f>
        <v>1.2920973033350169E-5</v>
      </c>
      <c r="AV8" s="80">
        <f>[34]Effectifs!AT51</f>
        <v>6.4501564162930954E-6</v>
      </c>
      <c r="AW8" s="81">
        <f>[34]Effectifs!AU51</f>
        <v>0</v>
      </c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</row>
    <row r="9" spans="1:74" ht="13.5" thickBot="1">
      <c r="B9" s="264"/>
      <c r="C9" s="36" t="s">
        <v>30</v>
      </c>
      <c r="D9" s="82">
        <f>[34]Effectifs!B69</f>
        <v>0.36724637681159422</v>
      </c>
      <c r="E9" s="83">
        <f>[34]Effectifs!C69</f>
        <v>0.40331087295182372</v>
      </c>
      <c r="F9" s="83">
        <f>[34]Effectifs!D69</f>
        <v>0.42732711459476952</v>
      </c>
      <c r="G9" s="83">
        <f>[34]Effectifs!E69</f>
        <v>0.44802792786747131</v>
      </c>
      <c r="H9" s="83">
        <f>[34]Effectifs!F69</f>
        <v>0.46060935335141712</v>
      </c>
      <c r="I9" s="83">
        <f>[34]Effectifs!G69</f>
        <v>0.47245719971822009</v>
      </c>
      <c r="J9" s="83">
        <f>[34]Effectifs!H69</f>
        <v>0.48277970214497179</v>
      </c>
      <c r="K9" s="83">
        <f>[34]Effectifs!I69</f>
        <v>0.49066701527104711</v>
      </c>
      <c r="L9" s="83">
        <f>[34]Effectifs!J69</f>
        <v>0.49929726174926525</v>
      </c>
      <c r="M9" s="83">
        <f>[34]Effectifs!K69</f>
        <v>0.50847263313562419</v>
      </c>
      <c r="N9" s="83">
        <f>[34]Effectifs!L69</f>
        <v>0.51711049646252705</v>
      </c>
      <c r="O9" s="83">
        <f>[34]Effectifs!M69</f>
        <v>0.5265045818951668</v>
      </c>
      <c r="P9" s="83">
        <f>[34]Effectifs!N69</f>
        <v>0.54719677770797914</v>
      </c>
      <c r="Q9" s="83">
        <f>[34]Effectifs!O69</f>
        <v>0.56806376738750586</v>
      </c>
      <c r="R9" s="83">
        <f>[34]Effectifs!P69</f>
        <v>0.59062746863292159</v>
      </c>
      <c r="S9" s="83">
        <f>[34]Effectifs!Q69</f>
        <v>0.61802996273976007</v>
      </c>
      <c r="T9" s="83">
        <f>[34]Effectifs!R69</f>
        <v>0.65237794901881252</v>
      </c>
      <c r="U9" s="83">
        <f>[34]Effectifs!S69</f>
        <v>0.68692981745034043</v>
      </c>
      <c r="V9" s="83">
        <f>[34]Effectifs!T69</f>
        <v>0.71881574692269656</v>
      </c>
      <c r="W9" s="83">
        <f>[34]Effectifs!U69</f>
        <v>0.74034352392705016</v>
      </c>
      <c r="X9" s="83">
        <f>[34]Effectifs!V69</f>
        <v>0.75217227735585046</v>
      </c>
      <c r="Y9" s="83">
        <f>[34]Effectifs!W69</f>
        <v>0.74907672434285111</v>
      </c>
      <c r="Z9" s="83">
        <f>[34]Effectifs!X69</f>
        <v>0.72487181173680926</v>
      </c>
      <c r="AA9" s="83">
        <f>[34]Effectifs!Y69</f>
        <v>0.69635069916651782</v>
      </c>
      <c r="AB9" s="83">
        <f>[34]Effectifs!Z69</f>
        <v>0.66323727798489429</v>
      </c>
      <c r="AC9" s="83">
        <f>[34]Effectifs!AA69</f>
        <v>0.61830805396206456</v>
      </c>
      <c r="AD9" s="83">
        <f>[34]Effectifs!AB69</f>
        <v>0.55774350525197458</v>
      </c>
      <c r="AE9" s="83">
        <f>[34]Effectifs!AC69</f>
        <v>0.48960718440912315</v>
      </c>
      <c r="AF9" s="83">
        <f>[34]Effectifs!AD69</f>
        <v>0.41440489055476171</v>
      </c>
      <c r="AG9" s="83">
        <f>[34]Effectifs!AE69</f>
        <v>0.33887203489432999</v>
      </c>
      <c r="AH9" s="83">
        <f>[34]Effectifs!AF69</f>
        <v>0.27090529312639777</v>
      </c>
      <c r="AI9" s="83">
        <f>[34]Effectifs!AG69</f>
        <v>0.21487591008583809</v>
      </c>
      <c r="AJ9" s="83">
        <f>[34]Effectifs!AH69</f>
        <v>0.16951212486731979</v>
      </c>
      <c r="AK9" s="83">
        <f>[34]Effectifs!AI69</f>
        <v>0.13430347084349298</v>
      </c>
      <c r="AL9" s="83">
        <f>[34]Effectifs!AJ69</f>
        <v>0.1085578714668837</v>
      </c>
      <c r="AM9" s="83">
        <f>[34]Effectifs!AK69</f>
        <v>8.7212522129195877E-2</v>
      </c>
      <c r="AN9" s="83">
        <f>[34]Effectifs!AL69</f>
        <v>7.1787210819379582E-2</v>
      </c>
      <c r="AO9" s="83">
        <f>[34]Effectifs!AM69</f>
        <v>5.8417010608890374E-2</v>
      </c>
      <c r="AP9" s="83">
        <f>[34]Effectifs!AN69</f>
        <v>4.6722079257346102E-2</v>
      </c>
      <c r="AQ9" s="83">
        <f>[34]Effectifs!AO69</f>
        <v>3.6270442053678562E-2</v>
      </c>
      <c r="AR9" s="83">
        <f>[34]Effectifs!AP69</f>
        <v>2.6802414097042683E-2</v>
      </c>
      <c r="AS9" s="83">
        <f>[34]Effectifs!AQ69</f>
        <v>1.8514821983482498E-2</v>
      </c>
      <c r="AT9" s="83">
        <f>[34]Effectifs!AR69</f>
        <v>1.1755138918156254E-2</v>
      </c>
      <c r="AU9" s="83">
        <f>[34]Effectifs!AS69</f>
        <v>7.0410178691407647E-3</v>
      </c>
      <c r="AV9" s="83">
        <f>[34]Effectifs!AT69</f>
        <v>3.5369180723785532E-3</v>
      </c>
      <c r="AW9" s="84">
        <f>[34]Effectifs!AU69</f>
        <v>1.4913936183644041E-3</v>
      </c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</row>
    <row r="10" spans="1:74">
      <c r="B10" s="262" t="s">
        <v>31</v>
      </c>
      <c r="C10" s="34" t="s">
        <v>6</v>
      </c>
      <c r="D10" s="85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63">
        <f>[33]Effectifs!Q29</f>
        <v>7.4213406292749654E-2</v>
      </c>
      <c r="T10" s="63">
        <f>[33]Effectifs!R29</f>
        <v>7.093373590336656E-2</v>
      </c>
      <c r="U10" s="63">
        <f>[33]Effectifs!S29</f>
        <v>7.0517263243678852E-2</v>
      </c>
      <c r="V10" s="63">
        <f>[33]Effectifs!T29</f>
        <v>6.8403562727261363E-2</v>
      </c>
      <c r="W10" s="63">
        <f>[33]Effectifs!U29</f>
        <v>6.9597863238322649E-2</v>
      </c>
      <c r="X10" s="63">
        <f>[33]Effectifs!V29</f>
        <v>7.2119492037047109E-2</v>
      </c>
      <c r="Y10" s="63">
        <f>[33]Effectifs!W29</f>
        <v>7.3457225565855669E-2</v>
      </c>
      <c r="Z10" s="63">
        <f>[33]Effectifs!X29</f>
        <v>7.5758236136007184E-2</v>
      </c>
      <c r="AA10" s="63">
        <f>[33]Effectifs!Y29</f>
        <v>8.0483396583424474E-2</v>
      </c>
      <c r="AB10" s="63">
        <f>[33]Effectifs!Z29</f>
        <v>8.050775372579326E-2</v>
      </c>
      <c r="AC10" s="63">
        <f>[33]Effectifs!AA29</f>
        <v>8.0537596970225139E-2</v>
      </c>
      <c r="AD10" s="63">
        <f>[33]Effectifs!AB29</f>
        <v>8.1182103083481255E-2</v>
      </c>
      <c r="AE10" s="63">
        <f>[33]Effectifs!AC29</f>
        <v>7.9059691277776317E-2</v>
      </c>
      <c r="AF10" s="63">
        <f>[33]Effectifs!AD29</f>
        <v>7.5631849399435097E-2</v>
      </c>
      <c r="AG10" s="63">
        <f>[33]Effectifs!AE29</f>
        <v>7.3451808682049979E-2</v>
      </c>
      <c r="AH10" s="63">
        <f>[33]Effectifs!AF29</f>
        <v>6.8443555040470755E-2</v>
      </c>
      <c r="AI10" s="63">
        <f>[33]Effectifs!AG29</f>
        <v>6.2897632198321188E-2</v>
      </c>
      <c r="AJ10" s="63">
        <f>[33]Effectifs!AH29</f>
        <v>5.8181076343892559E-2</v>
      </c>
      <c r="AK10" s="63">
        <f>[33]Effectifs!AI29</f>
        <v>5.2417410747180537E-2</v>
      </c>
      <c r="AL10" s="63">
        <f>[33]Effectifs!AJ29</f>
        <v>4.5988978810570333E-2</v>
      </c>
      <c r="AM10" s="63">
        <f>[33]Effectifs!AK29</f>
        <v>4.3303952309648307E-2</v>
      </c>
      <c r="AN10" s="63">
        <f>[33]Effectifs!AL29</f>
        <v>4.0503842949382696E-2</v>
      </c>
      <c r="AO10" s="63">
        <f>[33]Effectifs!AM29</f>
        <v>3.7334801234997106E-2</v>
      </c>
      <c r="AP10" s="63">
        <f>[33]Effectifs!AN29</f>
        <v>3.524459288111785E-2</v>
      </c>
      <c r="AQ10" s="63">
        <f>[33]Effectifs!AO29</f>
        <v>3.5929051357000634E-2</v>
      </c>
      <c r="AR10" s="63">
        <f>[33]Effectifs!AP29</f>
        <v>3.1239460624264592E-2</v>
      </c>
      <c r="AS10" s="63">
        <f>[33]Effectifs!AQ29</f>
        <v>2.5683595027240991E-2</v>
      </c>
      <c r="AT10" s="63">
        <f>[33]Effectifs!AR29</f>
        <v>2.0346895690071424E-2</v>
      </c>
      <c r="AU10" s="63">
        <f>[33]Effectifs!AS29</f>
        <v>1.4465803177232769E-2</v>
      </c>
      <c r="AV10" s="63">
        <f>[33]Effectifs!AT29</f>
        <v>7.2590570986857724E-3</v>
      </c>
      <c r="AW10" s="64">
        <f>[33]Effectifs!AU29</f>
        <v>3.35694069656937E-3</v>
      </c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>
      <c r="B11" s="263"/>
      <c r="C11" s="35" t="s">
        <v>28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66">
        <f>[33]Effectifs!Q30</f>
        <v>0.12855377008652658</v>
      </c>
      <c r="T11" s="66">
        <f>[33]Effectifs!R30</f>
        <v>0.11885420382681899</v>
      </c>
      <c r="U11" s="66">
        <f>[33]Effectifs!S30</f>
        <v>0.11843618287618565</v>
      </c>
      <c r="V11" s="66">
        <f>[33]Effectifs!T30</f>
        <v>0.11498585000198303</v>
      </c>
      <c r="W11" s="66">
        <f>[33]Effectifs!U30</f>
        <v>0.11818660641491571</v>
      </c>
      <c r="X11" s="66">
        <f>[33]Effectifs!V30</f>
        <v>0.1244619887790587</v>
      </c>
      <c r="Y11" s="66">
        <f>[33]Effectifs!W30</f>
        <v>0.12718389460143115</v>
      </c>
      <c r="Z11" s="66">
        <f>[33]Effectifs!X30</f>
        <v>0.13301421040381561</v>
      </c>
      <c r="AA11" s="66">
        <f>[33]Effectifs!Y30</f>
        <v>0.14090350531646925</v>
      </c>
      <c r="AB11" s="66">
        <f>[33]Effectifs!Z30</f>
        <v>0.14192726642898204</v>
      </c>
      <c r="AC11" s="66">
        <f>[33]Effectifs!AA30</f>
        <v>0.14226614949300842</v>
      </c>
      <c r="AD11" s="66">
        <f>[33]Effectifs!AB30</f>
        <v>0.14486281827810626</v>
      </c>
      <c r="AE11" s="66">
        <f>[33]Effectifs!AC30</f>
        <v>0.1417019000070564</v>
      </c>
      <c r="AF11" s="66">
        <f>[33]Effectifs!AD30</f>
        <v>0.13619147362943546</v>
      </c>
      <c r="AG11" s="66">
        <f>[33]Effectifs!AE30</f>
        <v>0.13128580386433258</v>
      </c>
      <c r="AH11" s="66">
        <f>[33]Effectifs!AF30</f>
        <v>0.12198259018022813</v>
      </c>
      <c r="AI11" s="66">
        <f>[33]Effectifs!AG30</f>
        <v>0.11115933271646672</v>
      </c>
      <c r="AJ11" s="66">
        <f>[33]Effectifs!AH30</f>
        <v>0.10127731158029503</v>
      </c>
      <c r="AK11" s="66">
        <f>[33]Effectifs!AI30</f>
        <v>9.0896210726822413E-2</v>
      </c>
      <c r="AL11" s="66">
        <f>[33]Effectifs!AJ30</f>
        <v>7.9496157336887058E-2</v>
      </c>
      <c r="AM11" s="66">
        <f>[33]Effectifs!AK30</f>
        <v>7.459559891952787E-2</v>
      </c>
      <c r="AN11" s="66">
        <f>[33]Effectifs!AL30</f>
        <v>6.9709516465258567E-2</v>
      </c>
      <c r="AO11" s="66">
        <f>[33]Effectifs!AM30</f>
        <v>6.4164324686783375E-2</v>
      </c>
      <c r="AP11" s="66">
        <f>[33]Effectifs!AN30</f>
        <v>6.067896958577397E-2</v>
      </c>
      <c r="AQ11" s="66">
        <f>[33]Effectifs!AO30</f>
        <v>6.2140286236964035E-2</v>
      </c>
      <c r="AR11" s="66">
        <f>[33]Effectifs!AP30</f>
        <v>5.4095483861604322E-2</v>
      </c>
      <c r="AS11" s="66">
        <f>[33]Effectifs!AQ30</f>
        <v>4.4517623159842541E-2</v>
      </c>
      <c r="AT11" s="66">
        <f>[33]Effectifs!AR30</f>
        <v>3.5339036950473635E-2</v>
      </c>
      <c r="AU11" s="66">
        <f>[33]Effectifs!AS30</f>
        <v>2.5071892228084463E-2</v>
      </c>
      <c r="AV11" s="66">
        <f>[33]Effectifs!AT30</f>
        <v>1.2536665609995497E-2</v>
      </c>
      <c r="AW11" s="67">
        <f>[33]Effectifs!AU30</f>
        <v>5.8473232063673787E-3</v>
      </c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>
      <c r="B12" s="263"/>
      <c r="C12" s="35" t="s">
        <v>29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66">
        <f>[33]Effectifs!Q31</f>
        <v>6.8912710566615618E-3</v>
      </c>
      <c r="T12" s="66">
        <f>[33]Effectifs!R31</f>
        <v>1.3080967054166615E-2</v>
      </c>
      <c r="U12" s="66">
        <f>[33]Effectifs!S31</f>
        <v>1.335603844040054E-2</v>
      </c>
      <c r="V12" s="66">
        <f>[33]Effectifs!T31</f>
        <v>1.3220663566199248E-2</v>
      </c>
      <c r="W12" s="66">
        <f>[33]Effectifs!U31</f>
        <v>1.2045023929934534E-2</v>
      </c>
      <c r="X12" s="66">
        <f>[33]Effectifs!V31</f>
        <v>1.0925324434834119E-2</v>
      </c>
      <c r="Y12" s="66">
        <f>[33]Effectifs!W31</f>
        <v>1.0862633063467634E-2</v>
      </c>
      <c r="Z12" s="66">
        <f>[33]Effectifs!X31</f>
        <v>1.0304674455592387E-2</v>
      </c>
      <c r="AA12" s="66">
        <f>[33]Effectifs!Y31</f>
        <v>1.1710801740977921E-2</v>
      </c>
      <c r="AB12" s="66">
        <f>[33]Effectifs!Z31</f>
        <v>1.0824305731702382E-2</v>
      </c>
      <c r="AC12" s="66">
        <f>[33]Effectifs!AA31</f>
        <v>9.3797532159974085E-3</v>
      </c>
      <c r="AD12" s="66">
        <f>[33]Effectifs!AB31</f>
        <v>7.242674153579402E-3</v>
      </c>
      <c r="AE12" s="66">
        <f>[33]Effectifs!AC31</f>
        <v>5.355927322764539E-3</v>
      </c>
      <c r="AF12" s="66">
        <f>[33]Effectifs!AD31</f>
        <v>2.9942770220870631E-3</v>
      </c>
      <c r="AG12" s="66">
        <f>[33]Effectifs!AE31</f>
        <v>2.3491376258961008E-3</v>
      </c>
      <c r="AH12" s="66">
        <f>[33]Effectifs!AF31</f>
        <v>1.89332019456139E-3</v>
      </c>
      <c r="AI12" s="66">
        <f>[33]Effectifs!AG31</f>
        <v>1.581046784333922E-3</v>
      </c>
      <c r="AJ12" s="66">
        <f>[33]Effectifs!AH31</f>
        <v>1.3338279957059863E-3</v>
      </c>
      <c r="AK12" s="66">
        <f>[33]Effectifs!AI31</f>
        <v>1.2197818991701987E-3</v>
      </c>
      <c r="AL12" s="66">
        <f>[33]Effectifs!AJ31</f>
        <v>9.5602263414579019E-4</v>
      </c>
      <c r="AM12" s="66">
        <f>[33]Effectifs!AK31</f>
        <v>6.5617255918327142E-4</v>
      </c>
      <c r="AN12" s="66">
        <f>[33]Effectifs!AL31</f>
        <v>3.5268242261270991E-4</v>
      </c>
      <c r="AO12" s="66">
        <f>[33]Effectifs!AM31</f>
        <v>3.5268242261270991E-4</v>
      </c>
      <c r="AP12" s="66">
        <f>[33]Effectifs!AN31</f>
        <v>1.7937219730941703E-4</v>
      </c>
      <c r="AQ12" s="66">
        <f>[33]Effectifs!AO31</f>
        <v>1.524390243902439E-4</v>
      </c>
      <c r="AR12" s="66">
        <f>[33]Effectifs!AP31</f>
        <v>1.524390243902439E-4</v>
      </c>
      <c r="AS12" s="66">
        <f>[33]Effectifs!AQ31</f>
        <v>1.524390243902439E-4</v>
      </c>
      <c r="AT12" s="66">
        <f>[33]Effectifs!AR31</f>
        <v>1.524390243902439E-4</v>
      </c>
      <c r="AU12" s="66">
        <f>[33]Effectifs!AS31</f>
        <v>1.524390243902439E-4</v>
      </c>
      <c r="AV12" s="66">
        <f>[33]Effectifs!AT31</f>
        <v>0</v>
      </c>
      <c r="AW12" s="67">
        <f>[33]Effectifs!AU31</f>
        <v>0</v>
      </c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13.5" thickBot="1">
      <c r="B13" s="264"/>
      <c r="C13" s="36" t="s">
        <v>30</v>
      </c>
      <c r="D13" s="87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69">
        <f>[33]Effectifs!Q49</f>
        <v>0.56545961002785516</v>
      </c>
      <c r="T13" s="69">
        <f>[33]Effectifs!R49</f>
        <v>0.54433957406425881</v>
      </c>
      <c r="U13" s="69">
        <f>[33]Effectifs!S49</f>
        <v>0.54516120806891732</v>
      </c>
      <c r="V13" s="69">
        <f>[33]Effectifs!T49</f>
        <v>0.53704853917537942</v>
      </c>
      <c r="W13" s="69">
        <f>[33]Effectifs!U49</f>
        <v>0.53916141242844051</v>
      </c>
      <c r="X13" s="69">
        <f>[33]Effectifs!V49</f>
        <v>0.54998605786847066</v>
      </c>
      <c r="Y13" s="69">
        <f>[33]Effectifs!W49</f>
        <v>0.54789900606455755</v>
      </c>
      <c r="Z13" s="69">
        <f>[33]Effectifs!X49</f>
        <v>0.54271889602614798</v>
      </c>
      <c r="AA13" s="69">
        <f>[33]Effectifs!Y49</f>
        <v>0.54638625945546815</v>
      </c>
      <c r="AB13" s="69">
        <f>[33]Effectifs!Z49</f>
        <v>0.53095623283201632</v>
      </c>
      <c r="AC13" s="69">
        <f>[33]Effectifs!AA49</f>
        <v>0.52323790321340735</v>
      </c>
      <c r="AD13" s="69">
        <f>[33]Effectifs!AB49</f>
        <v>0.52063503397346811</v>
      </c>
      <c r="AE13" s="69">
        <f>[33]Effectifs!AC49</f>
        <v>0.50960999520327377</v>
      </c>
      <c r="AF13" s="69">
        <f>[33]Effectifs!AD49</f>
        <v>0.48838852836251923</v>
      </c>
      <c r="AG13" s="69">
        <f>[33]Effectifs!AE49</f>
        <v>0.47282054948217134</v>
      </c>
      <c r="AH13" s="69">
        <f>[33]Effectifs!AF49</f>
        <v>0.43576694405308336</v>
      </c>
      <c r="AI13" s="69">
        <f>[33]Effectifs!AG49</f>
        <v>0.40036600065685696</v>
      </c>
      <c r="AJ13" s="69">
        <f>[33]Effectifs!AH49</f>
        <v>0.36594545936608663</v>
      </c>
      <c r="AK13" s="69">
        <f>[33]Effectifs!AI49</f>
        <v>0.3288732508419584</v>
      </c>
      <c r="AL13" s="69">
        <f>[33]Effectifs!AJ49</f>
        <v>0.28919042438406423</v>
      </c>
      <c r="AM13" s="69">
        <f>[33]Effectifs!AK49</f>
        <v>0.27208208138270051</v>
      </c>
      <c r="AN13" s="69">
        <f>[33]Effectifs!AL49</f>
        <v>0.2474762255268447</v>
      </c>
      <c r="AO13" s="69">
        <f>[33]Effectifs!AM49</f>
        <v>0.22486600313121455</v>
      </c>
      <c r="AP13" s="69">
        <f>[33]Effectifs!AN49</f>
        <v>0.21762083137830288</v>
      </c>
      <c r="AQ13" s="69">
        <f>[33]Effectifs!AO49</f>
        <v>0.22269785320115268</v>
      </c>
      <c r="AR13" s="69">
        <f>[33]Effectifs!AP49</f>
        <v>0.19574677030346782</v>
      </c>
      <c r="AS13" s="69">
        <f>[33]Effectifs!AQ49</f>
        <v>0.16729882869096926</v>
      </c>
      <c r="AT13" s="69">
        <f>[33]Effectifs!AR49</f>
        <v>0.13816722336051968</v>
      </c>
      <c r="AU13" s="69">
        <f>[33]Effectifs!AS49</f>
        <v>9.7159191469769174E-2</v>
      </c>
      <c r="AV13" s="69">
        <f>[33]Effectifs!AT49</f>
        <v>5.1630120100245903E-2</v>
      </c>
      <c r="AW13" s="70">
        <f>[33]Effectifs!AU49</f>
        <v>2.5668581638707451E-2</v>
      </c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5" spans="1:74">
      <c r="B15" s="11" t="s">
        <v>32</v>
      </c>
    </row>
    <row r="16" spans="1:74">
      <c r="B16" s="11" t="s">
        <v>25</v>
      </c>
    </row>
    <row r="17" spans="2:14">
      <c r="B17" s="11" t="s">
        <v>33</v>
      </c>
    </row>
    <row r="20" spans="2:14">
      <c r="D20" s="276" t="s">
        <v>5</v>
      </c>
      <c r="E20" s="276"/>
      <c r="F20" s="276"/>
      <c r="G20" s="276"/>
      <c r="H20" s="276"/>
      <c r="J20" s="276" t="s">
        <v>31</v>
      </c>
      <c r="K20" s="276"/>
      <c r="L20" s="276"/>
      <c r="M20" s="276"/>
      <c r="N20" s="276"/>
    </row>
  </sheetData>
  <mergeCells count="5">
    <mergeCell ref="B10:B13"/>
    <mergeCell ref="B6:B9"/>
    <mergeCell ref="B5:C5"/>
    <mergeCell ref="D20:H20"/>
    <mergeCell ref="J20:N20"/>
  </mergeCells>
  <hyperlinks>
    <hyperlink ref="A2" location="SOMMAIRE!A1" display="Retour au sommaire" xr:uid="{EBAB9F4A-86F5-44BF-9C9E-EB884A41EEDD}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44F2-D6F3-4BE0-9394-0BBA3387E943}">
  <sheetPr>
    <tabColor rgb="FFACB9CA"/>
  </sheetPr>
  <dimension ref="A1:BV16"/>
  <sheetViews>
    <sheetView workbookViewId="0"/>
  </sheetViews>
  <sheetFormatPr baseColWidth="10" defaultRowHeight="12.75"/>
  <cols>
    <col min="1" max="2" width="11" style="7"/>
    <col min="3" max="3" width="36.25" style="7" customWidth="1"/>
    <col min="4" max="18" width="11" style="7" customWidth="1"/>
    <col min="19" max="258" width="11" style="7"/>
    <col min="259" max="259" width="36.25" style="7" customWidth="1"/>
    <col min="260" max="514" width="11" style="7"/>
    <col min="515" max="515" width="36.25" style="7" customWidth="1"/>
    <col min="516" max="770" width="11" style="7"/>
    <col min="771" max="771" width="36.25" style="7" customWidth="1"/>
    <col min="772" max="1026" width="11" style="7"/>
    <col min="1027" max="1027" width="36.25" style="7" customWidth="1"/>
    <col min="1028" max="1282" width="11" style="7"/>
    <col min="1283" max="1283" width="36.25" style="7" customWidth="1"/>
    <col min="1284" max="1538" width="11" style="7"/>
    <col min="1539" max="1539" width="36.25" style="7" customWidth="1"/>
    <col min="1540" max="1794" width="11" style="7"/>
    <col min="1795" max="1795" width="36.25" style="7" customWidth="1"/>
    <col min="1796" max="2050" width="11" style="7"/>
    <col min="2051" max="2051" width="36.25" style="7" customWidth="1"/>
    <col min="2052" max="2306" width="11" style="7"/>
    <col min="2307" max="2307" width="36.25" style="7" customWidth="1"/>
    <col min="2308" max="2562" width="11" style="7"/>
    <col min="2563" max="2563" width="36.25" style="7" customWidth="1"/>
    <col min="2564" max="2818" width="11" style="7"/>
    <col min="2819" max="2819" width="36.25" style="7" customWidth="1"/>
    <col min="2820" max="3074" width="11" style="7"/>
    <col min="3075" max="3075" width="36.25" style="7" customWidth="1"/>
    <col min="3076" max="3330" width="11" style="7"/>
    <col min="3331" max="3331" width="36.25" style="7" customWidth="1"/>
    <col min="3332" max="3586" width="11" style="7"/>
    <col min="3587" max="3587" width="36.25" style="7" customWidth="1"/>
    <col min="3588" max="3842" width="11" style="7"/>
    <col min="3843" max="3843" width="36.25" style="7" customWidth="1"/>
    <col min="3844" max="4098" width="11" style="7"/>
    <col min="4099" max="4099" width="36.25" style="7" customWidth="1"/>
    <col min="4100" max="4354" width="11" style="7"/>
    <col min="4355" max="4355" width="36.25" style="7" customWidth="1"/>
    <col min="4356" max="4610" width="11" style="7"/>
    <col min="4611" max="4611" width="36.25" style="7" customWidth="1"/>
    <col min="4612" max="4866" width="11" style="7"/>
    <col min="4867" max="4867" width="36.25" style="7" customWidth="1"/>
    <col min="4868" max="5122" width="11" style="7"/>
    <col min="5123" max="5123" width="36.25" style="7" customWidth="1"/>
    <col min="5124" max="5378" width="11" style="7"/>
    <col min="5379" max="5379" width="36.25" style="7" customWidth="1"/>
    <col min="5380" max="5634" width="11" style="7"/>
    <col min="5635" max="5635" width="36.25" style="7" customWidth="1"/>
    <col min="5636" max="5890" width="11" style="7"/>
    <col min="5891" max="5891" width="36.25" style="7" customWidth="1"/>
    <col min="5892" max="6146" width="11" style="7"/>
    <col min="6147" max="6147" width="36.25" style="7" customWidth="1"/>
    <col min="6148" max="6402" width="11" style="7"/>
    <col min="6403" max="6403" width="36.25" style="7" customWidth="1"/>
    <col min="6404" max="6658" width="11" style="7"/>
    <col min="6659" max="6659" width="36.25" style="7" customWidth="1"/>
    <col min="6660" max="6914" width="11" style="7"/>
    <col min="6915" max="6915" width="36.25" style="7" customWidth="1"/>
    <col min="6916" max="7170" width="11" style="7"/>
    <col min="7171" max="7171" width="36.25" style="7" customWidth="1"/>
    <col min="7172" max="7426" width="11" style="7"/>
    <col min="7427" max="7427" width="36.25" style="7" customWidth="1"/>
    <col min="7428" max="7682" width="11" style="7"/>
    <col min="7683" max="7683" width="36.25" style="7" customWidth="1"/>
    <col min="7684" max="7938" width="11" style="7"/>
    <col min="7939" max="7939" width="36.25" style="7" customWidth="1"/>
    <col min="7940" max="8194" width="11" style="7"/>
    <col min="8195" max="8195" width="36.25" style="7" customWidth="1"/>
    <col min="8196" max="8450" width="11" style="7"/>
    <col min="8451" max="8451" width="36.25" style="7" customWidth="1"/>
    <col min="8452" max="8706" width="11" style="7"/>
    <col min="8707" max="8707" width="36.25" style="7" customWidth="1"/>
    <col min="8708" max="8962" width="11" style="7"/>
    <col min="8963" max="8963" width="36.25" style="7" customWidth="1"/>
    <col min="8964" max="9218" width="11" style="7"/>
    <col min="9219" max="9219" width="36.25" style="7" customWidth="1"/>
    <col min="9220" max="9474" width="11" style="7"/>
    <col min="9475" max="9475" width="36.25" style="7" customWidth="1"/>
    <col min="9476" max="9730" width="11" style="7"/>
    <col min="9731" max="9731" width="36.25" style="7" customWidth="1"/>
    <col min="9732" max="9986" width="11" style="7"/>
    <col min="9987" max="9987" width="36.25" style="7" customWidth="1"/>
    <col min="9988" max="10242" width="11" style="7"/>
    <col min="10243" max="10243" width="36.25" style="7" customWidth="1"/>
    <col min="10244" max="10498" width="11" style="7"/>
    <col min="10499" max="10499" width="36.25" style="7" customWidth="1"/>
    <col min="10500" max="10754" width="11" style="7"/>
    <col min="10755" max="10755" width="36.25" style="7" customWidth="1"/>
    <col min="10756" max="11010" width="11" style="7"/>
    <col min="11011" max="11011" width="36.25" style="7" customWidth="1"/>
    <col min="11012" max="11266" width="11" style="7"/>
    <col min="11267" max="11267" width="36.25" style="7" customWidth="1"/>
    <col min="11268" max="11522" width="11" style="7"/>
    <col min="11523" max="11523" width="36.25" style="7" customWidth="1"/>
    <col min="11524" max="11778" width="11" style="7"/>
    <col min="11779" max="11779" width="36.25" style="7" customWidth="1"/>
    <col min="11780" max="12034" width="11" style="7"/>
    <col min="12035" max="12035" width="36.25" style="7" customWidth="1"/>
    <col min="12036" max="12290" width="11" style="7"/>
    <col min="12291" max="12291" width="36.25" style="7" customWidth="1"/>
    <col min="12292" max="12546" width="11" style="7"/>
    <col min="12547" max="12547" width="36.25" style="7" customWidth="1"/>
    <col min="12548" max="12802" width="11" style="7"/>
    <col min="12803" max="12803" width="36.25" style="7" customWidth="1"/>
    <col min="12804" max="13058" width="11" style="7"/>
    <col min="13059" max="13059" width="36.25" style="7" customWidth="1"/>
    <col min="13060" max="13314" width="11" style="7"/>
    <col min="13315" max="13315" width="36.25" style="7" customWidth="1"/>
    <col min="13316" max="13570" width="11" style="7"/>
    <col min="13571" max="13571" width="36.25" style="7" customWidth="1"/>
    <col min="13572" max="13826" width="11" style="7"/>
    <col min="13827" max="13827" width="36.25" style="7" customWidth="1"/>
    <col min="13828" max="14082" width="11" style="7"/>
    <col min="14083" max="14083" width="36.25" style="7" customWidth="1"/>
    <col min="14084" max="14338" width="11" style="7"/>
    <col min="14339" max="14339" width="36.25" style="7" customWidth="1"/>
    <col min="14340" max="14594" width="11" style="7"/>
    <col min="14595" max="14595" width="36.25" style="7" customWidth="1"/>
    <col min="14596" max="14850" width="11" style="7"/>
    <col min="14851" max="14851" width="36.25" style="7" customWidth="1"/>
    <col min="14852" max="15106" width="11" style="7"/>
    <col min="15107" max="15107" width="36.25" style="7" customWidth="1"/>
    <col min="15108" max="15362" width="11" style="7"/>
    <col min="15363" max="15363" width="36.25" style="7" customWidth="1"/>
    <col min="15364" max="15618" width="11" style="7"/>
    <col min="15619" max="15619" width="36.25" style="7" customWidth="1"/>
    <col min="15620" max="15874" width="11" style="7"/>
    <col min="15875" max="15875" width="36.25" style="7" customWidth="1"/>
    <col min="15876" max="16130" width="11" style="7"/>
    <col min="16131" max="16131" width="36.25" style="7" customWidth="1"/>
    <col min="16132" max="16384" width="11" style="7"/>
  </cols>
  <sheetData>
    <row r="1" spans="1:74" ht="15.75">
      <c r="A1" s="2" t="s">
        <v>103</v>
      </c>
      <c r="B1" s="2"/>
    </row>
    <row r="2" spans="1:74" ht="14.25">
      <c r="A2" s="6" t="s">
        <v>2</v>
      </c>
      <c r="B2" s="6"/>
    </row>
    <row r="4" spans="1:74" ht="13.5" thickBot="1"/>
    <row r="5" spans="1:74" ht="13.5" thickBot="1">
      <c r="B5" s="268"/>
      <c r="C5" s="269"/>
      <c r="D5" s="8">
        <v>1930</v>
      </c>
      <c r="E5" s="9">
        <v>1931</v>
      </c>
      <c r="F5" s="9">
        <v>1932</v>
      </c>
      <c r="G5" s="9">
        <v>1933</v>
      </c>
      <c r="H5" s="9">
        <v>1934</v>
      </c>
      <c r="I5" s="9">
        <v>1935</v>
      </c>
      <c r="J5" s="9">
        <v>1936</v>
      </c>
      <c r="K5" s="9">
        <v>1937</v>
      </c>
      <c r="L5" s="9">
        <v>1938</v>
      </c>
      <c r="M5" s="9">
        <v>1939</v>
      </c>
      <c r="N5" s="9">
        <v>1940</v>
      </c>
      <c r="O5" s="9">
        <v>1941</v>
      </c>
      <c r="P5" s="9">
        <v>1942</v>
      </c>
      <c r="Q5" s="9">
        <v>1943</v>
      </c>
      <c r="R5" s="9">
        <v>1944</v>
      </c>
      <c r="S5" s="9">
        <v>1945</v>
      </c>
      <c r="T5" s="9">
        <v>1946</v>
      </c>
      <c r="U5" s="9">
        <v>1947</v>
      </c>
      <c r="V5" s="9">
        <v>1948</v>
      </c>
      <c r="W5" s="9">
        <v>1949</v>
      </c>
      <c r="X5" s="9">
        <v>1950</v>
      </c>
      <c r="Y5" s="9">
        <v>1951</v>
      </c>
      <c r="Z5" s="9">
        <v>1952</v>
      </c>
      <c r="AA5" s="9">
        <v>1953</v>
      </c>
      <c r="AB5" s="9">
        <v>1954</v>
      </c>
      <c r="AC5" s="9">
        <v>1955</v>
      </c>
      <c r="AD5" s="9">
        <v>1956</v>
      </c>
      <c r="AE5" s="9">
        <v>1957</v>
      </c>
      <c r="AF5" s="9">
        <v>1958</v>
      </c>
      <c r="AG5" s="9">
        <v>1959</v>
      </c>
      <c r="AH5" s="9">
        <v>1960</v>
      </c>
      <c r="AI5" s="9">
        <v>1961</v>
      </c>
      <c r="AJ5" s="9">
        <v>1962</v>
      </c>
      <c r="AK5" s="9">
        <v>1963</v>
      </c>
      <c r="AL5" s="9">
        <v>1964</v>
      </c>
      <c r="AM5" s="9">
        <v>1965</v>
      </c>
      <c r="AN5" s="9">
        <v>1966</v>
      </c>
      <c r="AO5" s="9">
        <v>1967</v>
      </c>
      <c r="AP5" s="9">
        <v>1968</v>
      </c>
      <c r="AQ5" s="9">
        <v>1969</v>
      </c>
      <c r="AR5" s="9">
        <v>1970</v>
      </c>
      <c r="AS5" s="9">
        <v>1971</v>
      </c>
      <c r="AT5" s="9">
        <v>1972</v>
      </c>
      <c r="AU5" s="9">
        <v>1973</v>
      </c>
      <c r="AV5" s="9">
        <v>1974</v>
      </c>
      <c r="AW5" s="10">
        <v>1975</v>
      </c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</row>
    <row r="6" spans="1:74">
      <c r="B6" s="263" t="s">
        <v>5</v>
      </c>
      <c r="C6" s="35" t="s">
        <v>34</v>
      </c>
      <c r="D6" s="93">
        <f>[34]Effectifs!B59</f>
        <v>55.02</v>
      </c>
      <c r="E6" s="94">
        <f>[34]Effectifs!C59</f>
        <v>54.913333333333334</v>
      </c>
      <c r="F6" s="94">
        <f>[34]Effectifs!D59</f>
        <v>54.676000000000002</v>
      </c>
      <c r="G6" s="94">
        <f>[34]Effectifs!E59</f>
        <v>54.475999999999999</v>
      </c>
      <c r="H6" s="94">
        <f>[34]Effectifs!F59</f>
        <v>54.246000000000002</v>
      </c>
      <c r="I6" s="94">
        <f>[34]Effectifs!G59</f>
        <v>53.936</v>
      </c>
      <c r="J6" s="94">
        <f>[34]Effectifs!H59</f>
        <v>53.678000000000011</v>
      </c>
      <c r="K6" s="94">
        <f>[34]Effectifs!I59</f>
        <v>53.440000000000012</v>
      </c>
      <c r="L6" s="94">
        <f>[34]Effectifs!J59</f>
        <v>53.23</v>
      </c>
      <c r="M6" s="94">
        <f>[34]Effectifs!K59</f>
        <v>53.032000000000004</v>
      </c>
      <c r="N6" s="94">
        <f>[34]Effectifs!L59</f>
        <v>52.872</v>
      </c>
      <c r="O6" s="94">
        <f>[34]Effectifs!M59</f>
        <v>52.746000000000002</v>
      </c>
      <c r="P6" s="94">
        <f>[34]Effectifs!N59</f>
        <v>52.833999999999989</v>
      </c>
      <c r="Q6" s="94">
        <f>[34]Effectifs!O59</f>
        <v>52.887999999999998</v>
      </c>
      <c r="R6" s="94">
        <f>[34]Effectifs!P59</f>
        <v>53.016000000000005</v>
      </c>
      <c r="S6" s="94">
        <f>[34]Effectifs!Q59</f>
        <v>53.125999999999998</v>
      </c>
      <c r="T6" s="94">
        <f>[34]Effectifs!R59</f>
        <v>53.36</v>
      </c>
      <c r="U6" s="94">
        <f>[34]Effectifs!S59</f>
        <v>53.427999999999997</v>
      </c>
      <c r="V6" s="94">
        <f>[34]Effectifs!T59</f>
        <v>53.5</v>
      </c>
      <c r="W6" s="94">
        <f>[34]Effectifs!U59</f>
        <v>53.572000000000003</v>
      </c>
      <c r="X6" s="94">
        <f>[34]Effectifs!V59</f>
        <v>53.673999999999999</v>
      </c>
      <c r="Y6" s="94">
        <f>[34]Effectifs!W59</f>
        <v>53.604000000000006</v>
      </c>
      <c r="Z6" s="94">
        <f>[34]Effectifs!X59</f>
        <v>53.382000000000005</v>
      </c>
      <c r="AA6" s="94">
        <f>[34]Effectifs!Y59</f>
        <v>53.109999999999992</v>
      </c>
      <c r="AB6" s="94">
        <f>[34]Effectifs!Z59</f>
        <v>52.696000000000005</v>
      </c>
      <c r="AC6" s="94">
        <f>[34]Effectifs!AA59</f>
        <v>52.169999999999995</v>
      </c>
      <c r="AD6" s="94">
        <f>[34]Effectifs!AB59</f>
        <v>51.465999999999994</v>
      </c>
      <c r="AE6" s="94">
        <f>[34]Effectifs!AC59</f>
        <v>50.702000000000005</v>
      </c>
      <c r="AF6" s="94">
        <f>[34]Effectifs!AD59</f>
        <v>49.9</v>
      </c>
      <c r="AG6" s="94">
        <f>[34]Effectifs!AE59</f>
        <v>48.89</v>
      </c>
      <c r="AH6" s="94">
        <f>[34]Effectifs!AF59</f>
        <v>47.721999999999994</v>
      </c>
      <c r="AI6" s="94">
        <f>[34]Effectifs!AG59</f>
        <v>46.558000000000007</v>
      </c>
      <c r="AJ6" s="94">
        <f>[34]Effectifs!AH59</f>
        <v>45.438000000000002</v>
      </c>
      <c r="AK6" s="94">
        <f>[34]Effectifs!AI59</f>
        <v>44.317999999999998</v>
      </c>
      <c r="AL6" s="94">
        <f>[34]Effectifs!AJ59</f>
        <v>43.451999999999998</v>
      </c>
      <c r="AM6" s="94">
        <f>[34]Effectifs!AK59</f>
        <v>42.738</v>
      </c>
      <c r="AN6" s="94">
        <f>[34]Effectifs!AL59</f>
        <v>42.116</v>
      </c>
      <c r="AO6" s="94">
        <f>[34]Effectifs!AM59</f>
        <v>41.501999999999995</v>
      </c>
      <c r="AP6" s="94">
        <f>[34]Effectifs!AN59</f>
        <v>40.92</v>
      </c>
      <c r="AQ6" s="94">
        <f>[34]Effectifs!AO59</f>
        <v>40.283999999999999</v>
      </c>
      <c r="AR6" s="94">
        <f>[34]Effectifs!AP59</f>
        <v>39.664000000000001</v>
      </c>
      <c r="AS6" s="94">
        <f>[34]Effectifs!AQ59</f>
        <v>39.059999999999995</v>
      </c>
      <c r="AT6" s="94">
        <f>[34]Effectifs!AR59</f>
        <v>38.42199999999999</v>
      </c>
      <c r="AU6" s="94">
        <f>[34]Effectifs!AS59</f>
        <v>37.727999999999994</v>
      </c>
      <c r="AV6" s="94">
        <f>[34]Effectifs!AT59</f>
        <v>36.953999999999994</v>
      </c>
      <c r="AW6" s="95">
        <f>[34]Effectifs!AU59</f>
        <v>36.176000000000002</v>
      </c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</row>
    <row r="7" spans="1:74" ht="13.5" thickBot="1">
      <c r="B7" s="264"/>
      <c r="C7" s="36" t="s">
        <v>30</v>
      </c>
      <c r="D7" s="96">
        <f>[34]Effectifs!B86</f>
        <v>58.19</v>
      </c>
      <c r="E7" s="97">
        <f>[34]Effectifs!C86</f>
        <v>57.976666666666667</v>
      </c>
      <c r="F7" s="97">
        <f>[34]Effectifs!D86</f>
        <v>57.722000000000001</v>
      </c>
      <c r="G7" s="97">
        <f>[34]Effectifs!E86</f>
        <v>57.490000000000009</v>
      </c>
      <c r="H7" s="97">
        <f>[34]Effectifs!F86</f>
        <v>57.263999999999996</v>
      </c>
      <c r="I7" s="97">
        <f>[34]Effectifs!G86</f>
        <v>57.024000000000001</v>
      </c>
      <c r="J7" s="97">
        <f>[34]Effectifs!H86</f>
        <v>56.798000000000002</v>
      </c>
      <c r="K7" s="97">
        <f>[34]Effectifs!I86</f>
        <v>56.6</v>
      </c>
      <c r="L7" s="97">
        <f>[34]Effectifs!J86</f>
        <v>56.422000000000004</v>
      </c>
      <c r="M7" s="97">
        <f>[34]Effectifs!K86</f>
        <v>56.25</v>
      </c>
      <c r="N7" s="97">
        <f>[34]Effectifs!L86</f>
        <v>56.097999999999999</v>
      </c>
      <c r="O7" s="97">
        <f>[34]Effectifs!M86</f>
        <v>55.926000000000002</v>
      </c>
      <c r="P7" s="97">
        <f>[34]Effectifs!N86</f>
        <v>55.802</v>
      </c>
      <c r="Q7" s="97">
        <f>[34]Effectifs!O86</f>
        <v>55.648000000000003</v>
      </c>
      <c r="R7" s="97">
        <f>[34]Effectifs!P86</f>
        <v>55.556000000000004</v>
      </c>
      <c r="S7" s="97">
        <f>[34]Effectifs!Q86</f>
        <v>55.415999999999997</v>
      </c>
      <c r="T7" s="97">
        <f>[34]Effectifs!R86</f>
        <v>55.366</v>
      </c>
      <c r="U7" s="97">
        <f>[34]Effectifs!S86</f>
        <v>55.298000000000002</v>
      </c>
      <c r="V7" s="97">
        <f>[34]Effectifs!T86</f>
        <v>55.275999999999996</v>
      </c>
      <c r="W7" s="97">
        <f>[34]Effectifs!U86</f>
        <v>55.311999999999991</v>
      </c>
      <c r="X7" s="97">
        <f>[34]Effectifs!V86</f>
        <v>55.463999999999999</v>
      </c>
      <c r="Y7" s="97">
        <f>[34]Effectifs!W86</f>
        <v>55.633999999999993</v>
      </c>
      <c r="Z7" s="97">
        <f>[34]Effectifs!X86</f>
        <v>55.826000000000001</v>
      </c>
      <c r="AA7" s="97">
        <f>[34]Effectifs!Y86</f>
        <v>56.027999999999999</v>
      </c>
      <c r="AB7" s="97">
        <f>[34]Effectifs!Z86</f>
        <v>56.204000000000008</v>
      </c>
      <c r="AC7" s="97">
        <f>[34]Effectifs!AA86</f>
        <v>56.411999999999999</v>
      </c>
      <c r="AD7" s="97">
        <f>[34]Effectifs!AB86</f>
        <v>56.71</v>
      </c>
      <c r="AE7" s="97">
        <f>[34]Effectifs!AC86</f>
        <v>57.061999999999991</v>
      </c>
      <c r="AF7" s="97">
        <f>[34]Effectifs!AD86</f>
        <v>57.52</v>
      </c>
      <c r="AG7" s="97">
        <f>[34]Effectifs!AE86</f>
        <v>57.984000000000002</v>
      </c>
      <c r="AH7" s="97">
        <f>[34]Effectifs!AF86</f>
        <v>58.432000000000002</v>
      </c>
      <c r="AI7" s="97">
        <f>[34]Effectifs!AG86</f>
        <v>58.855999999999995</v>
      </c>
      <c r="AJ7" s="97">
        <f>[34]Effectifs!AH86</f>
        <v>59.298000000000002</v>
      </c>
      <c r="AK7" s="97">
        <f>[34]Effectifs!AI86</f>
        <v>59.738</v>
      </c>
      <c r="AL7" s="97">
        <f>[34]Effectifs!AJ86</f>
        <v>60.198</v>
      </c>
      <c r="AM7" s="97">
        <f>[34]Effectifs!AK86</f>
        <v>60.672000000000004</v>
      </c>
      <c r="AN7" s="97">
        <f>[34]Effectifs!AL86</f>
        <v>61.101999999999997</v>
      </c>
      <c r="AO7" s="97">
        <f>[34]Effectifs!AM86</f>
        <v>61.486000000000004</v>
      </c>
      <c r="AP7" s="97">
        <f>[34]Effectifs!AN86</f>
        <v>61.835999999999999</v>
      </c>
      <c r="AQ7" s="97">
        <f>[34]Effectifs!AO86</f>
        <v>62.148000000000003</v>
      </c>
      <c r="AR7" s="97">
        <f>[34]Effectifs!AP86</f>
        <v>62.446000000000005</v>
      </c>
      <c r="AS7" s="97">
        <f>[34]Effectifs!AQ86</f>
        <v>62.75</v>
      </c>
      <c r="AT7" s="97">
        <f>[34]Effectifs!AR86</f>
        <v>63.033999999999992</v>
      </c>
      <c r="AU7" s="97">
        <f>[34]Effectifs!AS86</f>
        <v>63.263999999999996</v>
      </c>
      <c r="AV7" s="97">
        <f>[34]Effectifs!AT86</f>
        <v>63.455999999999996</v>
      </c>
      <c r="AW7" s="98">
        <f>[34]Effectifs!AU86</f>
        <v>63.585999999999999</v>
      </c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</row>
    <row r="8" spans="1:74">
      <c r="B8" s="263" t="s">
        <v>31</v>
      </c>
      <c r="C8" s="35" t="s">
        <v>34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89">
        <f>[33]Effectifs!Q40</f>
        <v>51.4839743589744</v>
      </c>
      <c r="T8" s="89">
        <f>[33]Effectifs!R40</f>
        <v>51.427564168014669</v>
      </c>
      <c r="U8" s="89">
        <f>[33]Effectifs!S40</f>
        <v>51.645257075251472</v>
      </c>
      <c r="V8" s="89">
        <f>[33]Effectifs!T40</f>
        <v>51.549427454421824</v>
      </c>
      <c r="W8" s="89">
        <f>[33]Effectifs!U40</f>
        <v>51.722065380418577</v>
      </c>
      <c r="X8" s="89">
        <f>[33]Effectifs!V40</f>
        <v>51.827513277200126</v>
      </c>
      <c r="Y8" s="89">
        <f>[33]Effectifs!W40</f>
        <v>51.76337832763668</v>
      </c>
      <c r="Z8" s="89">
        <f>[33]Effectifs!X40</f>
        <v>51.778475779445742</v>
      </c>
      <c r="AA8" s="89">
        <f>[33]Effectifs!Y40</f>
        <v>52.086072172316122</v>
      </c>
      <c r="AB8" s="89">
        <f>[33]Effectifs!Z40</f>
        <v>51.9659748923509</v>
      </c>
      <c r="AC8" s="89">
        <f>[33]Effectifs!AA40</f>
        <v>51.678440948832915</v>
      </c>
      <c r="AD8" s="89">
        <f>[33]Effectifs!AB40</f>
        <v>51.677256239230076</v>
      </c>
      <c r="AE8" s="89">
        <f>[33]Effectifs!AC40</f>
        <v>51.290050431533857</v>
      </c>
      <c r="AF8" s="89">
        <f>[33]Effectifs!AD40</f>
        <v>51.000783081992537</v>
      </c>
      <c r="AG8" s="89">
        <f>[33]Effectifs!AE40</f>
        <v>50.889424167751478</v>
      </c>
      <c r="AH8" s="89">
        <f>[33]Effectifs!AF40</f>
        <v>50.807556005675501</v>
      </c>
      <c r="AI8" s="89">
        <f>[33]Effectifs!AG40</f>
        <v>50.509513420635258</v>
      </c>
      <c r="AJ8" s="89">
        <f>[33]Effectifs!AH40</f>
        <v>50.711022710918535</v>
      </c>
      <c r="AK8" s="89">
        <f>[33]Effectifs!AI40</f>
        <v>50.751788476684297</v>
      </c>
      <c r="AL8" s="89">
        <f>[33]Effectifs!AJ40</f>
        <v>51.011870251717184</v>
      </c>
      <c r="AM8" s="89">
        <f>[33]Effectifs!AK40</f>
        <v>51.612758354177586</v>
      </c>
      <c r="AN8" s="89">
        <f>[33]Effectifs!AL40</f>
        <v>52.522067440035855</v>
      </c>
      <c r="AO8" s="89">
        <f>[33]Effectifs!AM40</f>
        <v>53.062583267491981</v>
      </c>
      <c r="AP8" s="89">
        <f>[33]Effectifs!AN40</f>
        <v>53.861943497286994</v>
      </c>
      <c r="AQ8" s="89">
        <f>[33]Effectifs!AO40</f>
        <v>54.414404312334021</v>
      </c>
      <c r="AR8" s="89">
        <f>[33]Effectifs!AP40</f>
        <v>54.771606473965065</v>
      </c>
      <c r="AS8" s="89">
        <f>[33]Effectifs!AQ40</f>
        <v>55.215375944370031</v>
      </c>
      <c r="AT8" s="89">
        <f>[33]Effectifs!AR40</f>
        <v>55.902738581732685</v>
      </c>
      <c r="AU8" s="89">
        <f>[33]Effectifs!AS40</f>
        <v>56.1183182918776</v>
      </c>
      <c r="AV8" s="89">
        <f>[33]Effectifs!AT40</f>
        <v>56.85119047619046</v>
      </c>
      <c r="AW8" s="90">
        <f>[33]Effectifs!AU40</f>
        <v>56.375</v>
      </c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13.5" thickBot="1">
      <c r="B9" s="264"/>
      <c r="C9" s="36" t="s">
        <v>30</v>
      </c>
      <c r="D9" s="87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91">
        <f>[33]Effectifs!Q69</f>
        <v>55.447075208913702</v>
      </c>
      <c r="T9" s="91">
        <f>[33]Effectifs!R69</f>
        <v>55.584631961849198</v>
      </c>
      <c r="U9" s="91">
        <f>[33]Effectifs!S69</f>
        <v>55.734231820354317</v>
      </c>
      <c r="V9" s="91">
        <f>[33]Effectifs!T69</f>
        <v>55.77175315478182</v>
      </c>
      <c r="W9" s="91">
        <f>[33]Effectifs!U69</f>
        <v>55.90710892077616</v>
      </c>
      <c r="X9" s="91">
        <f>[33]Effectifs!V69</f>
        <v>55.962104068079</v>
      </c>
      <c r="Y9" s="91">
        <f>[33]Effectifs!W69</f>
        <v>56.094319470430001</v>
      </c>
      <c r="Z9" s="91">
        <f>[33]Effectifs!X69</f>
        <v>56.249869835494543</v>
      </c>
      <c r="AA9" s="91">
        <f>[33]Effectifs!Y69</f>
        <v>56.571429699885798</v>
      </c>
      <c r="AB9" s="91">
        <f>[33]Effectifs!Z69</f>
        <v>56.824156738766341</v>
      </c>
      <c r="AC9" s="91">
        <f>[33]Effectifs!AA69</f>
        <v>56.864180661339148</v>
      </c>
      <c r="AD9" s="91">
        <f>[33]Effectifs!AB69</f>
        <v>56.977907110689003</v>
      </c>
      <c r="AE9" s="91">
        <f>[33]Effectifs!AC69</f>
        <v>56.975337424715022</v>
      </c>
      <c r="AF9" s="91">
        <f>[33]Effectifs!AD69</f>
        <v>57.111305588637798</v>
      </c>
      <c r="AG9" s="91">
        <f>[33]Effectifs!AE69</f>
        <v>57.308488082102599</v>
      </c>
      <c r="AH9" s="91">
        <f>[33]Effectifs!AF69</f>
        <v>57.8307795842545</v>
      </c>
      <c r="AI9" s="91">
        <f>[33]Effectifs!AG69</f>
        <v>58.266705993733375</v>
      </c>
      <c r="AJ9" s="91">
        <f>[33]Effectifs!AH69</f>
        <v>58.946343398313537</v>
      </c>
      <c r="AK9" s="91">
        <f>[33]Effectifs!AI69</f>
        <v>59.572231934965735</v>
      </c>
      <c r="AL9" s="91">
        <f>[33]Effectifs!AJ69</f>
        <v>60.320501197905301</v>
      </c>
      <c r="AM9" s="91">
        <f>[33]Effectifs!AK69</f>
        <v>60.897667175936817</v>
      </c>
      <c r="AN9" s="91">
        <f>[33]Effectifs!AL69</f>
        <v>61.667325785439175</v>
      </c>
      <c r="AO9" s="91">
        <f>[33]Effectifs!AM69</f>
        <v>62.284593310474939</v>
      </c>
      <c r="AP9" s="91">
        <f>[33]Effectifs!AN69</f>
        <v>62.74892708609044</v>
      </c>
      <c r="AQ9" s="91">
        <f>[33]Effectifs!AO69</f>
        <v>63.01639089296534</v>
      </c>
      <c r="AR9" s="91">
        <f>[33]Effectifs!AP69</f>
        <v>63.548492741359667</v>
      </c>
      <c r="AS9" s="91">
        <f>[33]Effectifs!AQ69</f>
        <v>63.908279110006774</v>
      </c>
      <c r="AT9" s="91">
        <f>[33]Effectifs!AR69</f>
        <v>64.29257763921423</v>
      </c>
      <c r="AU9" s="91">
        <f>[33]Effectifs!AS69</f>
        <v>64.708923293375904</v>
      </c>
      <c r="AV9" s="91">
        <f>[33]Effectifs!AT69</f>
        <v>65.114059197053066</v>
      </c>
      <c r="AW9" s="92">
        <f>[33]Effectifs!AU69</f>
        <v>65.277005625624483</v>
      </c>
      <c r="AX9" s="75">
        <f>[33]Effectifs!AV69</f>
        <v>65.383928444040521</v>
      </c>
      <c r="AY9" s="75">
        <f>[33]Effectifs!AW69</f>
        <v>65.426251278686181</v>
      </c>
      <c r="AZ9" s="75">
        <f>[33]Effectifs!AX69</f>
        <v>65.399240071753709</v>
      </c>
      <c r="BA9" s="75">
        <f>[33]Effectifs!AY69</f>
        <v>65.418948890019394</v>
      </c>
      <c r="BB9" s="75">
        <f>[33]Effectifs!AZ69</f>
        <v>65.417920477642326</v>
      </c>
      <c r="BC9" s="75">
        <f>[33]Effectifs!BA69</f>
        <v>65.449028540143132</v>
      </c>
      <c r="BD9" s="75">
        <f>[33]Effectifs!BB69</f>
        <v>65.436016844236718</v>
      </c>
      <c r="BE9" s="75">
        <f>[33]Effectifs!BC69</f>
        <v>65.450805204025073</v>
      </c>
      <c r="BF9" s="75">
        <f>[33]Effectifs!BD69</f>
        <v>65.415880758032515</v>
      </c>
      <c r="BG9" s="75">
        <f>[33]Effectifs!BE69</f>
        <v>65.454097194250181</v>
      </c>
      <c r="BH9" s="75">
        <f>[33]Effectifs!BF69</f>
        <v>65.490250974539578</v>
      </c>
      <c r="BI9" s="75">
        <f>[33]Effectifs!BG69</f>
        <v>65.539725398997348</v>
      </c>
      <c r="BJ9" s="75">
        <f>[33]Effectifs!BH69</f>
        <v>65.598744367580622</v>
      </c>
      <c r="BK9" s="75">
        <f>[33]Effectifs!BI69</f>
        <v>65.674255900318698</v>
      </c>
      <c r="BL9" s="75">
        <f>[33]Effectifs!BJ69</f>
        <v>65.716256090225158</v>
      </c>
      <c r="BM9" s="75">
        <f>[33]Effectifs!BK69</f>
        <v>65.696008217491155</v>
      </c>
      <c r="BN9" s="75">
        <f>[33]Effectifs!BL69</f>
        <v>65.625567314336664</v>
      </c>
      <c r="BO9" s="75">
        <f>[33]Effectifs!BM69</f>
        <v>65.62217800045886</v>
      </c>
      <c r="BP9" s="75">
        <f>[33]Effectifs!BN69</f>
        <v>65.543711908966117</v>
      </c>
      <c r="BQ9" s="75">
        <f>[33]Effectifs!BO69</f>
        <v>65.550764942193538</v>
      </c>
      <c r="BR9" s="75">
        <f>[33]Effectifs!BP69</f>
        <v>65.524033228572449</v>
      </c>
      <c r="BS9" s="75">
        <f>[33]Effectifs!BQ69</f>
        <v>65.565864368923329</v>
      </c>
      <c r="BT9" s="75">
        <f>[33]Effectifs!BR69</f>
        <v>65.563414437720169</v>
      </c>
      <c r="BU9" s="75">
        <f>[33]Effectifs!BS69</f>
        <v>65.563866905073851</v>
      </c>
      <c r="BV9" s="75">
        <f>[33]Effectifs!BT69</f>
        <v>65.659946236559094</v>
      </c>
    </row>
    <row r="11" spans="1:74">
      <c r="B11" s="11" t="s">
        <v>12</v>
      </c>
    </row>
    <row r="12" spans="1:74">
      <c r="B12" s="11" t="s">
        <v>33</v>
      </c>
    </row>
    <row r="13" spans="1:74">
      <c r="B13" s="11"/>
    </row>
    <row r="16" spans="1:74">
      <c r="D16" s="276" t="s">
        <v>5</v>
      </c>
      <c r="E16" s="276"/>
      <c r="F16" s="276"/>
      <c r="G16" s="276"/>
      <c r="H16" s="276"/>
      <c r="J16" s="276" t="s">
        <v>31</v>
      </c>
      <c r="K16" s="276"/>
      <c r="L16" s="276"/>
      <c r="M16" s="276"/>
      <c r="N16" s="276"/>
    </row>
  </sheetData>
  <mergeCells count="5">
    <mergeCell ref="B5:C5"/>
    <mergeCell ref="B6:B7"/>
    <mergeCell ref="B8:B9"/>
    <mergeCell ref="D16:H16"/>
    <mergeCell ref="J16:N16"/>
  </mergeCells>
  <hyperlinks>
    <hyperlink ref="A2" location="SOMMAIRE!A1" display="Retour au sommaire" xr:uid="{BDFD436B-C209-4F11-909E-C211D71233C0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C320-27D2-4C63-8749-6EAF22A196C4}">
  <sheetPr>
    <tabColor theme="4"/>
  </sheetPr>
  <dimension ref="A1:H44"/>
  <sheetViews>
    <sheetView workbookViewId="0"/>
  </sheetViews>
  <sheetFormatPr baseColWidth="10" defaultRowHeight="12.75"/>
  <cols>
    <col min="1" max="2" width="11" style="7"/>
    <col min="3" max="3" width="36.25" style="7" customWidth="1"/>
    <col min="4" max="4" width="11" style="7" customWidth="1"/>
    <col min="5" max="8" width="20.625" style="7" customWidth="1"/>
    <col min="9" max="18" width="11" style="7" customWidth="1"/>
    <col min="19" max="258" width="11" style="7"/>
    <col min="259" max="259" width="36.25" style="7" customWidth="1"/>
    <col min="260" max="514" width="11" style="7"/>
    <col min="515" max="515" width="36.25" style="7" customWidth="1"/>
    <col min="516" max="770" width="11" style="7"/>
    <col min="771" max="771" width="36.25" style="7" customWidth="1"/>
    <col min="772" max="1026" width="11" style="7"/>
    <col min="1027" max="1027" width="36.25" style="7" customWidth="1"/>
    <col min="1028" max="1282" width="11" style="7"/>
    <col min="1283" max="1283" width="36.25" style="7" customWidth="1"/>
    <col min="1284" max="1538" width="11" style="7"/>
    <col min="1539" max="1539" width="36.25" style="7" customWidth="1"/>
    <col min="1540" max="1794" width="11" style="7"/>
    <col min="1795" max="1795" width="36.25" style="7" customWidth="1"/>
    <col min="1796" max="2050" width="11" style="7"/>
    <col min="2051" max="2051" width="36.25" style="7" customWidth="1"/>
    <col min="2052" max="2306" width="11" style="7"/>
    <col min="2307" max="2307" width="36.25" style="7" customWidth="1"/>
    <col min="2308" max="2562" width="11" style="7"/>
    <col min="2563" max="2563" width="36.25" style="7" customWidth="1"/>
    <col min="2564" max="2818" width="11" style="7"/>
    <col min="2819" max="2819" width="36.25" style="7" customWidth="1"/>
    <col min="2820" max="3074" width="11" style="7"/>
    <col min="3075" max="3075" width="36.25" style="7" customWidth="1"/>
    <col min="3076" max="3330" width="11" style="7"/>
    <col min="3331" max="3331" width="36.25" style="7" customWidth="1"/>
    <col min="3332" max="3586" width="11" style="7"/>
    <col min="3587" max="3587" width="36.25" style="7" customWidth="1"/>
    <col min="3588" max="3842" width="11" style="7"/>
    <col min="3843" max="3843" width="36.25" style="7" customWidth="1"/>
    <col min="3844" max="4098" width="11" style="7"/>
    <col min="4099" max="4099" width="36.25" style="7" customWidth="1"/>
    <col min="4100" max="4354" width="11" style="7"/>
    <col min="4355" max="4355" width="36.25" style="7" customWidth="1"/>
    <col min="4356" max="4610" width="11" style="7"/>
    <col min="4611" max="4611" width="36.25" style="7" customWidth="1"/>
    <col min="4612" max="4866" width="11" style="7"/>
    <col min="4867" max="4867" width="36.25" style="7" customWidth="1"/>
    <col min="4868" max="5122" width="11" style="7"/>
    <col min="5123" max="5123" width="36.25" style="7" customWidth="1"/>
    <col min="5124" max="5378" width="11" style="7"/>
    <col min="5379" max="5379" width="36.25" style="7" customWidth="1"/>
    <col min="5380" max="5634" width="11" style="7"/>
    <col min="5635" max="5635" width="36.25" style="7" customWidth="1"/>
    <col min="5636" max="5890" width="11" style="7"/>
    <col min="5891" max="5891" width="36.25" style="7" customWidth="1"/>
    <col min="5892" max="6146" width="11" style="7"/>
    <col min="6147" max="6147" width="36.25" style="7" customWidth="1"/>
    <col min="6148" max="6402" width="11" style="7"/>
    <col min="6403" max="6403" width="36.25" style="7" customWidth="1"/>
    <col min="6404" max="6658" width="11" style="7"/>
    <col min="6659" max="6659" width="36.25" style="7" customWidth="1"/>
    <col min="6660" max="6914" width="11" style="7"/>
    <col min="6915" max="6915" width="36.25" style="7" customWidth="1"/>
    <col min="6916" max="7170" width="11" style="7"/>
    <col min="7171" max="7171" width="36.25" style="7" customWidth="1"/>
    <col min="7172" max="7426" width="11" style="7"/>
    <col min="7427" max="7427" width="36.25" style="7" customWidth="1"/>
    <col min="7428" max="7682" width="11" style="7"/>
    <col min="7683" max="7683" width="36.25" style="7" customWidth="1"/>
    <col min="7684" max="7938" width="11" style="7"/>
    <col min="7939" max="7939" width="36.25" style="7" customWidth="1"/>
    <col min="7940" max="8194" width="11" style="7"/>
    <col min="8195" max="8195" width="36.25" style="7" customWidth="1"/>
    <col min="8196" max="8450" width="11" style="7"/>
    <col min="8451" max="8451" width="36.25" style="7" customWidth="1"/>
    <col min="8452" max="8706" width="11" style="7"/>
    <col min="8707" max="8707" width="36.25" style="7" customWidth="1"/>
    <col min="8708" max="8962" width="11" style="7"/>
    <col min="8963" max="8963" width="36.25" style="7" customWidth="1"/>
    <col min="8964" max="9218" width="11" style="7"/>
    <col min="9219" max="9219" width="36.25" style="7" customWidth="1"/>
    <col min="9220" max="9474" width="11" style="7"/>
    <col min="9475" max="9475" width="36.25" style="7" customWidth="1"/>
    <col min="9476" max="9730" width="11" style="7"/>
    <col min="9731" max="9731" width="36.25" style="7" customWidth="1"/>
    <col min="9732" max="9986" width="11" style="7"/>
    <col min="9987" max="9987" width="36.25" style="7" customWidth="1"/>
    <col min="9988" max="10242" width="11" style="7"/>
    <col min="10243" max="10243" width="36.25" style="7" customWidth="1"/>
    <col min="10244" max="10498" width="11" style="7"/>
    <col min="10499" max="10499" width="36.25" style="7" customWidth="1"/>
    <col min="10500" max="10754" width="11" style="7"/>
    <col min="10755" max="10755" width="36.25" style="7" customWidth="1"/>
    <col min="10756" max="11010" width="11" style="7"/>
    <col min="11011" max="11011" width="36.25" style="7" customWidth="1"/>
    <col min="11012" max="11266" width="11" style="7"/>
    <col min="11267" max="11267" width="36.25" style="7" customWidth="1"/>
    <col min="11268" max="11522" width="11" style="7"/>
    <col min="11523" max="11523" width="36.25" style="7" customWidth="1"/>
    <col min="11524" max="11778" width="11" style="7"/>
    <col min="11779" max="11779" width="36.25" style="7" customWidth="1"/>
    <col min="11780" max="12034" width="11" style="7"/>
    <col min="12035" max="12035" width="36.25" style="7" customWidth="1"/>
    <col min="12036" max="12290" width="11" style="7"/>
    <col min="12291" max="12291" width="36.25" style="7" customWidth="1"/>
    <col min="12292" max="12546" width="11" style="7"/>
    <col min="12547" max="12547" width="36.25" style="7" customWidth="1"/>
    <col min="12548" max="12802" width="11" style="7"/>
    <col min="12803" max="12803" width="36.25" style="7" customWidth="1"/>
    <col min="12804" max="13058" width="11" style="7"/>
    <col min="13059" max="13059" width="36.25" style="7" customWidth="1"/>
    <col min="13060" max="13314" width="11" style="7"/>
    <col min="13315" max="13315" width="36.25" style="7" customWidth="1"/>
    <col min="13316" max="13570" width="11" style="7"/>
    <col min="13571" max="13571" width="36.25" style="7" customWidth="1"/>
    <col min="13572" max="13826" width="11" style="7"/>
    <col min="13827" max="13827" width="36.25" style="7" customWidth="1"/>
    <col min="13828" max="14082" width="11" style="7"/>
    <col min="14083" max="14083" width="36.25" style="7" customWidth="1"/>
    <col min="14084" max="14338" width="11" style="7"/>
    <col min="14339" max="14339" width="36.25" style="7" customWidth="1"/>
    <col min="14340" max="14594" width="11" style="7"/>
    <col min="14595" max="14595" width="36.25" style="7" customWidth="1"/>
    <col min="14596" max="14850" width="11" style="7"/>
    <col min="14851" max="14851" width="36.25" style="7" customWidth="1"/>
    <col min="14852" max="15106" width="11" style="7"/>
    <col min="15107" max="15107" width="36.25" style="7" customWidth="1"/>
    <col min="15108" max="15362" width="11" style="7"/>
    <col min="15363" max="15363" width="36.25" style="7" customWidth="1"/>
    <col min="15364" max="15618" width="11" style="7"/>
    <col min="15619" max="15619" width="36.25" style="7" customWidth="1"/>
    <col min="15620" max="15874" width="11" style="7"/>
    <col min="15875" max="15875" width="36.25" style="7" customWidth="1"/>
    <col min="15876" max="16130" width="11" style="7"/>
    <col min="16131" max="16131" width="36.25" style="7" customWidth="1"/>
    <col min="16132" max="16384" width="11" style="7"/>
  </cols>
  <sheetData>
    <row r="1" spans="1:8" ht="15.75">
      <c r="A1" s="2" t="s">
        <v>104</v>
      </c>
      <c r="B1" s="2"/>
    </row>
    <row r="2" spans="1:8" ht="14.25">
      <c r="A2" s="6" t="s">
        <v>2</v>
      </c>
      <c r="B2" s="6"/>
    </row>
    <row r="3" spans="1:8" ht="13.5" thickBot="1"/>
    <row r="4" spans="1:8" ht="45.75" thickBot="1">
      <c r="B4" s="285"/>
      <c r="C4" s="286"/>
      <c r="D4" s="99" t="str">
        <f>'[37]TABLEAU FINAL'!D3</f>
        <v>Nombre d'enfants</v>
      </c>
      <c r="E4" s="100" t="str">
        <f>'[37]TABLEAU FINAL'!E3</f>
        <v>Durée validée totale moyenne (écart en trimestres)</v>
      </c>
      <c r="F4" s="100" t="str">
        <f>'[37]TABLEAU FINAL'!F3</f>
        <v>Âge de départ (écart en année)</v>
      </c>
      <c r="G4" s="100" t="str">
        <f>'[37]TABLEAU FINAL'!G3</f>
        <v>Pension moyenne 68 ans</v>
      </c>
      <c r="H4" s="101" t="str">
        <f>'[37]TABLEAU FINAL'!H3</f>
        <v>Pension moyenne CV</v>
      </c>
    </row>
    <row r="5" spans="1:8" ht="24.95" customHeight="1">
      <c r="B5" s="280" t="str">
        <f>'[37]TABLEAU FINAL'!B4</f>
        <v>Femmes</v>
      </c>
      <c r="C5" s="281">
        <f>'[37]TABLEAU FINAL'!C4</f>
        <v>0</v>
      </c>
      <c r="D5" s="102" t="str">
        <f>'[37]TABLEAU FINAL'!D4</f>
        <v>Ensemble</v>
      </c>
      <c r="E5" s="103">
        <f>'[37]TABLEAU FINAL'!E4</f>
        <v>1.6629516811999849</v>
      </c>
      <c r="F5" s="104">
        <f>'[37]TABLEAU FINAL'!F4</f>
        <v>-7.2031768003796515E-2</v>
      </c>
      <c r="G5" s="105">
        <f>'[37]TABLEAU FINAL'!G4</f>
        <v>1.8508937763604072E-2</v>
      </c>
      <c r="H5" s="106">
        <f>'[37]TABLEAU FINAL'!H4</f>
        <v>2.237271679506514E-2</v>
      </c>
    </row>
    <row r="6" spans="1:8" ht="24.95" customHeight="1" thickBot="1">
      <c r="B6" s="293" t="str">
        <f>'[37]TABLEAU FINAL'!B5</f>
        <v>Hommes</v>
      </c>
      <c r="C6" s="294">
        <f>'[37]TABLEAU FINAL'!C5</f>
        <v>0</v>
      </c>
      <c r="D6" s="107" t="str">
        <f>'[37]TABLEAU FINAL'!D5</f>
        <v>Ensemble</v>
      </c>
      <c r="E6" s="108" t="str">
        <f>'[37]TABLEAU FINAL'!E5</f>
        <v>-</v>
      </c>
      <c r="F6" s="109" t="str">
        <f>'[37]TABLEAU FINAL'!F5</f>
        <v>-</v>
      </c>
      <c r="G6" s="110" t="str">
        <f>'[37]TABLEAU FINAL'!G5</f>
        <v>-</v>
      </c>
      <c r="H6" s="111" t="str">
        <f>'[37]TABLEAU FINAL'!H5</f>
        <v>-</v>
      </c>
    </row>
    <row r="7" spans="1:8" ht="24.95" customHeight="1" thickBot="1">
      <c r="B7" s="277" t="str">
        <f>'[37]TABLEAU FINAL'!B6</f>
        <v>Selon le nombre d'enfants</v>
      </c>
      <c r="C7" s="278">
        <f>'[37]TABLEAU FINAL'!C6</f>
        <v>0</v>
      </c>
      <c r="D7" s="278">
        <f>'[37]TABLEAU FINAL'!D6</f>
        <v>0</v>
      </c>
      <c r="E7" s="278">
        <f>'[37]TABLEAU FINAL'!E6</f>
        <v>0</v>
      </c>
      <c r="F7" s="278">
        <f>'[37]TABLEAU FINAL'!F6</f>
        <v>0</v>
      </c>
      <c r="G7" s="278">
        <f>'[37]TABLEAU FINAL'!G6</f>
        <v>0</v>
      </c>
      <c r="H7" s="279">
        <f>'[37]TABLEAU FINAL'!H6</f>
        <v>0</v>
      </c>
    </row>
    <row r="8" spans="1:8" ht="24.95" customHeight="1">
      <c r="B8" s="280" t="str">
        <f>'[37]TABLEAU FINAL'!B7</f>
        <v>Femmes</v>
      </c>
      <c r="C8" s="281">
        <f>'[37]TABLEAU FINAL'!C7</f>
        <v>0</v>
      </c>
      <c r="D8" s="102">
        <f>'[37]TABLEAU FINAL'!D7</f>
        <v>1</v>
      </c>
      <c r="E8" s="103">
        <f>'[37]TABLEAU FINAL'!E7</f>
        <v>0.91632683209698484</v>
      </c>
      <c r="F8" s="104">
        <f>'[37]TABLEAU FINAL'!F7</f>
        <v>-6.2017200755207114E-2</v>
      </c>
      <c r="G8" s="112">
        <f>'[37]TABLEAU FINAL'!G7</f>
        <v>1.0426100995176713E-2</v>
      </c>
      <c r="H8" s="113">
        <f>'[37]TABLEAU FINAL'!H7</f>
        <v>1.3025467566263327E-2</v>
      </c>
    </row>
    <row r="9" spans="1:8" ht="24.95" customHeight="1">
      <c r="B9" s="282">
        <f>'[37]TABLEAU FINAL'!B8</f>
        <v>0</v>
      </c>
      <c r="C9" s="283">
        <f>'[37]TABLEAU FINAL'!C8</f>
        <v>0</v>
      </c>
      <c r="D9" s="114">
        <f>'[37]TABLEAU FINAL'!D8</f>
        <v>2</v>
      </c>
      <c r="E9" s="115">
        <f>'[37]TABLEAU FINAL'!E8</f>
        <v>1.7678095589880058</v>
      </c>
      <c r="F9" s="116">
        <f>'[37]TABLEAU FINAL'!F8</f>
        <v>-8.6990668972205754E-2</v>
      </c>
      <c r="G9" s="117">
        <f>'[37]TABLEAU FINAL'!G8</f>
        <v>2.1782488661846511E-2</v>
      </c>
      <c r="H9" s="118">
        <f>'[37]TABLEAU FINAL'!H8</f>
        <v>2.6592800000338368E-2</v>
      </c>
    </row>
    <row r="10" spans="1:8" ht="24.95" customHeight="1" thickBot="1">
      <c r="B10" s="282">
        <f>'[37]TABLEAU FINAL'!B9</f>
        <v>0</v>
      </c>
      <c r="C10" s="283">
        <f>'[37]TABLEAU FINAL'!C9</f>
        <v>0</v>
      </c>
      <c r="D10" s="119" t="str">
        <f>'[37]TABLEAU FINAL'!D9</f>
        <v>3 et plus</v>
      </c>
      <c r="E10" s="120">
        <f>'[37]TABLEAU FINAL'!E9</f>
        <v>2.6918019652959799</v>
      </c>
      <c r="F10" s="121">
        <f>'[37]TABLEAU FINAL'!F9</f>
        <v>-8.696255625849858E-2</v>
      </c>
      <c r="G10" s="122">
        <f>'[37]TABLEAU FINAL'!G9</f>
        <v>2.6678632350550124E-2</v>
      </c>
      <c r="H10" s="123">
        <f>'[37]TABLEAU FINAL'!H9</f>
        <v>3.1381183303581972E-2</v>
      </c>
    </row>
    <row r="11" spans="1:8" ht="24.95" customHeight="1" thickBot="1">
      <c r="B11" s="277" t="str">
        <f>'[37]TABLEAU FINAL'!B10</f>
        <v>Selon le régime d'affiliation</v>
      </c>
      <c r="C11" s="278">
        <f>'[37]TABLEAU FINAL'!C10</f>
        <v>0</v>
      </c>
      <c r="D11" s="278">
        <f>'[37]TABLEAU FINAL'!D10</f>
        <v>0</v>
      </c>
      <c r="E11" s="278">
        <f>'[37]TABLEAU FINAL'!E10</f>
        <v>0</v>
      </c>
      <c r="F11" s="278">
        <f>'[37]TABLEAU FINAL'!F10</f>
        <v>0</v>
      </c>
      <c r="G11" s="278">
        <f>'[37]TABLEAU FINAL'!G10</f>
        <v>0</v>
      </c>
      <c r="H11" s="279">
        <f>'[37]TABLEAU FINAL'!H10</f>
        <v>0</v>
      </c>
    </row>
    <row r="12" spans="1:8" ht="24.95" customHeight="1">
      <c r="B12" s="280" t="str">
        <f>'[37]TABLEAU FINAL'!B11</f>
        <v>Femmes</v>
      </c>
      <c r="C12" s="290" t="str">
        <f>'[37]TABLEAU FINAL'!C11</f>
        <v>Mono Lura</v>
      </c>
      <c r="D12" s="102">
        <f>'[37]TABLEAU FINAL'!D11</f>
        <v>1</v>
      </c>
      <c r="E12" s="103">
        <f>'[37]TABLEAU FINAL'!E11</f>
        <v>0.16441556855198769</v>
      </c>
      <c r="F12" s="104">
        <f>'[37]TABLEAU FINAL'!F11</f>
        <v>-4.9246797438087242E-3</v>
      </c>
      <c r="G12" s="112">
        <f>'[37]TABLEAU FINAL'!G11</f>
        <v>1.0773236948022902E-3</v>
      </c>
      <c r="H12" s="113">
        <f>'[37]TABLEAU FINAL'!H11</f>
        <v>1.3842068412197595E-3</v>
      </c>
    </row>
    <row r="13" spans="1:8" ht="24.95" customHeight="1">
      <c r="B13" s="282">
        <f>'[37]TABLEAU FINAL'!B12</f>
        <v>0</v>
      </c>
      <c r="C13" s="287">
        <f>'[37]TABLEAU FINAL'!C12</f>
        <v>0</v>
      </c>
      <c r="D13" s="114">
        <f>'[37]TABLEAU FINAL'!D12</f>
        <v>2</v>
      </c>
      <c r="E13" s="115">
        <f>'[37]TABLEAU FINAL'!E12</f>
        <v>0.24282098235801186</v>
      </c>
      <c r="F13" s="116">
        <f>'[37]TABLEAU FINAL'!F12</f>
        <v>-7.6229664124980445E-3</v>
      </c>
      <c r="G13" s="117">
        <f>'[37]TABLEAU FINAL'!G12</f>
        <v>4.204248101681296E-3</v>
      </c>
      <c r="H13" s="118">
        <f>'[37]TABLEAU FINAL'!H12</f>
        <v>4.9275215040174292E-3</v>
      </c>
    </row>
    <row r="14" spans="1:8" ht="24.95" customHeight="1">
      <c r="B14" s="282">
        <f>'[37]TABLEAU FINAL'!B13</f>
        <v>0</v>
      </c>
      <c r="C14" s="287">
        <f>'[37]TABLEAU FINAL'!C13</f>
        <v>0</v>
      </c>
      <c r="D14" s="119" t="str">
        <f>'[37]TABLEAU FINAL'!D13</f>
        <v>3 et plus</v>
      </c>
      <c r="E14" s="120">
        <f>'[37]TABLEAU FINAL'!E13</f>
        <v>0.38022981594602356</v>
      </c>
      <c r="F14" s="121">
        <f>'[37]TABLEAU FINAL'!F13</f>
        <v>-8.2272770282969532E-3</v>
      </c>
      <c r="G14" s="122">
        <f>'[37]TABLEAU FINAL'!G13</f>
        <v>3.9413672342181183E-3</v>
      </c>
      <c r="H14" s="123">
        <f>'[37]TABLEAU FINAL'!H13</f>
        <v>4.1786849228311329E-3</v>
      </c>
    </row>
    <row r="15" spans="1:8" ht="24.95" customHeight="1">
      <c r="B15" s="282">
        <f>'[37]TABLEAU FINAL'!B14</f>
        <v>0</v>
      </c>
      <c r="C15" s="291" t="str">
        <f>'[37]TABLEAU FINAL'!C14</f>
        <v>Mono FP-RS</v>
      </c>
      <c r="D15" s="126">
        <f>'[37]TABLEAU FINAL'!D14</f>
        <v>1</v>
      </c>
      <c r="E15" s="127">
        <f>'[37]TABLEAU FINAL'!E14</f>
        <v>2.9641559915339997</v>
      </c>
      <c r="F15" s="128">
        <f>'[37]TABLEAU FINAL'!F14</f>
        <v>-0.26337689894400285</v>
      </c>
      <c r="G15" s="129">
        <f>'[37]TABLEAU FINAL'!G14</f>
        <v>7.0405741607189043E-3</v>
      </c>
      <c r="H15" s="130">
        <f>'[37]TABLEAU FINAL'!H14</f>
        <v>1.3588034466072374E-2</v>
      </c>
    </row>
    <row r="16" spans="1:8" ht="24.95" customHeight="1">
      <c r="B16" s="282">
        <f>'[37]TABLEAU FINAL'!B15</f>
        <v>0</v>
      </c>
      <c r="C16" s="292">
        <f>'[37]TABLEAU FINAL'!C15</f>
        <v>0</v>
      </c>
      <c r="D16" s="126">
        <f>'[37]TABLEAU FINAL'!D15</f>
        <v>2</v>
      </c>
      <c r="E16" s="127">
        <f>'[37]TABLEAU FINAL'!E15</f>
        <v>7.1636577947390094</v>
      </c>
      <c r="F16" s="128">
        <f>'[37]TABLEAU FINAL'!F15</f>
        <v>-0.36166654869600023</v>
      </c>
      <c r="G16" s="129">
        <f>'[37]TABLEAU FINAL'!G15</f>
        <v>6.6973278078420018E-2</v>
      </c>
      <c r="H16" s="130">
        <f>'[37]TABLEAU FINAL'!H15</f>
        <v>8.165628738184294E-2</v>
      </c>
    </row>
    <row r="17" spans="2:8" ht="24.95" customHeight="1">
      <c r="B17" s="282">
        <f>'[37]TABLEAU FINAL'!B16</f>
        <v>0</v>
      </c>
      <c r="C17" s="292">
        <f>'[37]TABLEAU FINAL'!C16</f>
        <v>0</v>
      </c>
      <c r="D17" s="131" t="str">
        <f>'[37]TABLEAU FINAL'!D16</f>
        <v>3 et plus</v>
      </c>
      <c r="E17" s="132">
        <f>'[37]TABLEAU FINAL'!E16</f>
        <v>11.930618801632988</v>
      </c>
      <c r="F17" s="133">
        <f>'[37]TABLEAU FINAL'!F16</f>
        <v>-0.34105595923580267</v>
      </c>
      <c r="G17" s="134">
        <f>'[37]TABLEAU FINAL'!G16</f>
        <v>8.0505591780601016E-2</v>
      </c>
      <c r="H17" s="135">
        <f>'[37]TABLEAU FINAL'!H16</f>
        <v>9.6719726822594998E-2</v>
      </c>
    </row>
    <row r="18" spans="2:8" ht="24.95" customHeight="1">
      <c r="B18" s="282">
        <f>'[37]TABLEAU FINAL'!B17</f>
        <v>0</v>
      </c>
      <c r="C18" s="288" t="str">
        <f>'[37]TABLEAU FINAL'!C17</f>
        <v>Mono MSAE-PLIB</v>
      </c>
      <c r="D18" s="114">
        <f>'[37]TABLEAU FINAL'!D17</f>
        <v>1</v>
      </c>
      <c r="E18" s="120">
        <f>'[37]TABLEAU FINAL'!E17</f>
        <v>0</v>
      </c>
      <c r="F18" s="121">
        <f>'[37]TABLEAU FINAL'!F17</f>
        <v>0</v>
      </c>
      <c r="G18" s="122">
        <f>'[37]TABLEAU FINAL'!G17</f>
        <v>0</v>
      </c>
      <c r="H18" s="123">
        <f>'[37]TABLEAU FINAL'!H17</f>
        <v>0</v>
      </c>
    </row>
    <row r="19" spans="2:8" ht="24.95" customHeight="1">
      <c r="B19" s="282">
        <f>'[37]TABLEAU FINAL'!B18</f>
        <v>0</v>
      </c>
      <c r="C19" s="287">
        <f>'[37]TABLEAU FINAL'!C18</f>
        <v>0</v>
      </c>
      <c r="D19" s="114">
        <f>'[37]TABLEAU FINAL'!D18</f>
        <v>2</v>
      </c>
      <c r="E19" s="115">
        <f>'[37]TABLEAU FINAL'!E18</f>
        <v>5.5304029026909944</v>
      </c>
      <c r="F19" s="116">
        <f>'[37]TABLEAU FINAL'!F18</f>
        <v>0</v>
      </c>
      <c r="G19" s="137">
        <f>'[37]TABLEAU FINAL'!G18</f>
        <v>3.5549863372134727E-2</v>
      </c>
      <c r="H19" s="138">
        <f>'[37]TABLEAU FINAL'!H18</f>
        <v>3.8095973651335768E-2</v>
      </c>
    </row>
    <row r="20" spans="2:8" ht="24.95" customHeight="1">
      <c r="B20" s="282">
        <f>'[37]TABLEAU FINAL'!B19</f>
        <v>0</v>
      </c>
      <c r="C20" s="287">
        <f>'[37]TABLEAU FINAL'!C19</f>
        <v>0</v>
      </c>
      <c r="D20" s="119" t="str">
        <f>'[37]TABLEAU FINAL'!D19</f>
        <v>3 et plus</v>
      </c>
      <c r="E20" s="120" t="str">
        <f>'[37]TABLEAU FINAL'!E19</f>
        <v>n.a</v>
      </c>
      <c r="F20" s="121" t="str">
        <f>'[37]TABLEAU FINAL'!F19</f>
        <v>n.a</v>
      </c>
      <c r="G20" s="139" t="str">
        <f>'[37]TABLEAU FINAL'!G19</f>
        <v>n.a</v>
      </c>
      <c r="H20" s="140" t="str">
        <f>'[37]TABLEAU FINAL'!H19</f>
        <v>n.a</v>
      </c>
    </row>
    <row r="21" spans="2:8" ht="24.95" customHeight="1">
      <c r="B21" s="282">
        <f>'[37]TABLEAU FINAL'!B20</f>
        <v>0</v>
      </c>
      <c r="C21" s="291" t="str">
        <f>'[37]TABLEAU FINAL'!C20</f>
        <v>Poly Lura-FP-RS</v>
      </c>
      <c r="D21" s="126">
        <f>'[37]TABLEAU FINAL'!D20</f>
        <v>1</v>
      </c>
      <c r="E21" s="127">
        <f>'[37]TABLEAU FINAL'!E20</f>
        <v>3.4293291510589938</v>
      </c>
      <c r="F21" s="128">
        <f>'[37]TABLEAU FINAL'!F20</f>
        <v>-0.24187849925961302</v>
      </c>
      <c r="G21" s="129">
        <f>'[37]TABLEAU FINAL'!G20</f>
        <v>4.3470604077497033E-2</v>
      </c>
      <c r="H21" s="130">
        <f>'[37]TABLEAU FINAL'!H20</f>
        <v>5.42204388171037E-2</v>
      </c>
    </row>
    <row r="22" spans="2:8" ht="24.95" customHeight="1">
      <c r="B22" s="282">
        <f>'[37]TABLEAU FINAL'!B21</f>
        <v>0</v>
      </c>
      <c r="C22" s="292">
        <f>'[37]TABLEAU FINAL'!C21</f>
        <v>0</v>
      </c>
      <c r="D22" s="126">
        <f>'[37]TABLEAU FINAL'!D21</f>
        <v>2</v>
      </c>
      <c r="E22" s="127">
        <f>'[37]TABLEAU FINAL'!E21</f>
        <v>7.0085212496030067</v>
      </c>
      <c r="F22" s="128">
        <f>'[37]TABLEAU FINAL'!F21</f>
        <v>-0.36688619326049832</v>
      </c>
      <c r="G22" s="129">
        <f>'[37]TABLEAU FINAL'!G21</f>
        <v>7.1754135343651493E-2</v>
      </c>
      <c r="H22" s="130">
        <f>'[37]TABLEAU FINAL'!H21</f>
        <v>8.7554246052707008E-2</v>
      </c>
    </row>
    <row r="23" spans="2:8" ht="24.95" customHeight="1">
      <c r="B23" s="282">
        <f>'[37]TABLEAU FINAL'!B22</f>
        <v>0</v>
      </c>
      <c r="C23" s="292">
        <f>'[37]TABLEAU FINAL'!C22</f>
        <v>0</v>
      </c>
      <c r="D23" s="131" t="str">
        <f>'[37]TABLEAU FINAL'!D22</f>
        <v>3 et plus</v>
      </c>
      <c r="E23" s="132">
        <f>'[37]TABLEAU FINAL'!E22</f>
        <v>10.940360267829021</v>
      </c>
      <c r="F23" s="133">
        <f>'[37]TABLEAU FINAL'!F22</f>
        <v>-0.38997869673450225</v>
      </c>
      <c r="G23" s="134">
        <f>'[37]TABLEAU FINAL'!G22</f>
        <v>9.7199849776501646E-2</v>
      </c>
      <c r="H23" s="135">
        <f>'[37]TABLEAU FINAL'!H22</f>
        <v>0.11298606907739317</v>
      </c>
    </row>
    <row r="24" spans="2:8" ht="24.95" customHeight="1">
      <c r="B24" s="282">
        <f>'[37]TABLEAU FINAL'!B23</f>
        <v>0</v>
      </c>
      <c r="C24" s="288" t="str">
        <f>'[37]TABLEAU FINAL'!C23</f>
        <v>Poly Lura-MSAE-PLIB</v>
      </c>
      <c r="D24" s="114">
        <f>'[37]TABLEAU FINAL'!D23</f>
        <v>1</v>
      </c>
      <c r="E24" s="115">
        <f>'[37]TABLEAU FINAL'!E23</f>
        <v>0.3041879400989842</v>
      </c>
      <c r="F24" s="116">
        <f>'[37]TABLEAU FINAL'!F23</f>
        <v>-2.1740559965195416E-2</v>
      </c>
      <c r="G24" s="137">
        <f>'[37]TABLEAU FINAL'!G23</f>
        <v>2.3051110719138901E-3</v>
      </c>
      <c r="H24" s="138">
        <f>'[37]TABLEAU FINAL'!H23</f>
        <v>3.1175268988858917E-3</v>
      </c>
    </row>
    <row r="25" spans="2:8" ht="24.95" customHeight="1">
      <c r="B25" s="282">
        <f>'[37]TABLEAU FINAL'!B24</f>
        <v>0</v>
      </c>
      <c r="C25" s="287">
        <f>'[37]TABLEAU FINAL'!C24</f>
        <v>0</v>
      </c>
      <c r="D25" s="114">
        <f>'[37]TABLEAU FINAL'!D24</f>
        <v>2</v>
      </c>
      <c r="E25" s="115">
        <f>'[37]TABLEAU FINAL'!E24</f>
        <v>0.17782816574901972</v>
      </c>
      <c r="F25" s="116">
        <f>'[37]TABLEAU FINAL'!F24</f>
        <v>-9.3616140940042669E-3</v>
      </c>
      <c r="G25" s="137">
        <f>'[37]TABLEAU FINAL'!G24</f>
        <v>7.4340200313318672E-3</v>
      </c>
      <c r="H25" s="138">
        <f>'[37]TABLEAU FINAL'!H24</f>
        <v>7.1236928501721142E-3</v>
      </c>
    </row>
    <row r="26" spans="2:8" ht="24.95" customHeight="1" thickBot="1">
      <c r="B26" s="284">
        <f>'[37]TABLEAU FINAL'!B25</f>
        <v>0</v>
      </c>
      <c r="C26" s="289">
        <f>'[37]TABLEAU FINAL'!C25</f>
        <v>0</v>
      </c>
      <c r="D26" s="107" t="str">
        <f>'[37]TABLEAU FINAL'!D25</f>
        <v>3 et plus</v>
      </c>
      <c r="E26" s="108">
        <f>'[37]TABLEAU FINAL'!E25</f>
        <v>0.89447413895501882</v>
      </c>
      <c r="F26" s="109">
        <f>'[37]TABLEAU FINAL'!F25</f>
        <v>-1.1516551737997816E-3</v>
      </c>
      <c r="G26" s="110">
        <f>'[37]TABLEAU FINAL'!G25</f>
        <v>5.4504676529409934E-3</v>
      </c>
      <c r="H26" s="111">
        <f>'[37]TABLEAU FINAL'!H25</f>
        <v>4.899906601752102E-3</v>
      </c>
    </row>
    <row r="27" spans="2:8" ht="24.95" customHeight="1" thickBot="1">
      <c r="B27" s="277" t="str">
        <f>'[37]TABLEAU FINAL'!B26</f>
        <v>Selon le quintile de pension</v>
      </c>
      <c r="C27" s="278">
        <f>'[37]TABLEAU FINAL'!C26</f>
        <v>0</v>
      </c>
      <c r="D27" s="278">
        <f>'[37]TABLEAU FINAL'!D26</f>
        <v>0</v>
      </c>
      <c r="E27" s="278">
        <f>'[37]TABLEAU FINAL'!E26</f>
        <v>0</v>
      </c>
      <c r="F27" s="278">
        <f>'[37]TABLEAU FINAL'!F26</f>
        <v>0</v>
      </c>
      <c r="G27" s="278">
        <f>'[37]TABLEAU FINAL'!G26</f>
        <v>0</v>
      </c>
      <c r="H27" s="279">
        <f>'[37]TABLEAU FINAL'!H26</f>
        <v>0</v>
      </c>
    </row>
    <row r="28" spans="2:8" ht="24.95" customHeight="1">
      <c r="B28" s="282" t="str">
        <f>'[37]TABLEAU FINAL'!B27</f>
        <v>Femmes</v>
      </c>
      <c r="C28" s="287" t="str">
        <f>'[37]TABLEAU FINAL'!C27</f>
        <v>Q1</v>
      </c>
      <c r="D28" s="142">
        <f>'[37]TABLEAU FINAL'!D27</f>
        <v>1</v>
      </c>
      <c r="E28" s="143">
        <f>'[37]TABLEAU FINAL'!E27</f>
        <v>0.42265733972719488</v>
      </c>
      <c r="F28" s="144">
        <f>'[37]TABLEAU FINAL'!F27</f>
        <v>0</v>
      </c>
      <c r="G28" s="145">
        <f>'[37]TABLEAU FINAL'!G27</f>
        <v>9.5274015575343984E-3</v>
      </c>
      <c r="H28" s="146">
        <f>'[37]TABLEAU FINAL'!H27</f>
        <v>1.1350406157839776E-2</v>
      </c>
    </row>
    <row r="29" spans="2:8" ht="24.95" customHeight="1">
      <c r="B29" s="282">
        <f>'[37]TABLEAU FINAL'!B28</f>
        <v>0</v>
      </c>
      <c r="C29" s="287">
        <f>'[37]TABLEAU FINAL'!C28</f>
        <v>0</v>
      </c>
      <c r="D29" s="114">
        <f>'[37]TABLEAU FINAL'!D28</f>
        <v>2</v>
      </c>
      <c r="E29" s="115">
        <f>'[37]TABLEAU FINAL'!E28</f>
        <v>0.65755183384199256</v>
      </c>
      <c r="F29" s="116">
        <f>'[37]TABLEAU FINAL'!F28</f>
        <v>-1.2045533445927958E-3</v>
      </c>
      <c r="G29" s="117">
        <f>'[37]TABLEAU FINAL'!G28</f>
        <v>2.9755023620680499E-2</v>
      </c>
      <c r="H29" s="118">
        <f>'[37]TABLEAU FINAL'!H28</f>
        <v>3.3399788854178825E-2</v>
      </c>
    </row>
    <row r="30" spans="2:8" ht="24.95" customHeight="1">
      <c r="B30" s="282">
        <f>'[37]TABLEAU FINAL'!B29</f>
        <v>0</v>
      </c>
      <c r="C30" s="287">
        <f>'[37]TABLEAU FINAL'!C29</f>
        <v>0</v>
      </c>
      <c r="D30" s="119" t="str">
        <f>'[37]TABLEAU FINAL'!D29</f>
        <v>3 et plus</v>
      </c>
      <c r="E30" s="120">
        <f>'[37]TABLEAU FINAL'!E29</f>
        <v>1.1529350624410029</v>
      </c>
      <c r="F30" s="121">
        <f>'[37]TABLEAU FINAL'!F29</f>
        <v>3.22983509160224E-3</v>
      </c>
      <c r="G30" s="122">
        <f>'[37]TABLEAU FINAL'!G29</f>
        <v>3.3412944122113153E-2</v>
      </c>
      <c r="H30" s="123">
        <f>'[37]TABLEAU FINAL'!H29</f>
        <v>3.3626962685641137E-2</v>
      </c>
    </row>
    <row r="31" spans="2:8" ht="24.95" customHeight="1">
      <c r="B31" s="282">
        <f>'[37]TABLEAU FINAL'!B30</f>
        <v>0</v>
      </c>
      <c r="C31" s="288" t="str">
        <f>'[37]TABLEAU FINAL'!C30</f>
        <v>Q2</v>
      </c>
      <c r="D31" s="114">
        <f>'[37]TABLEAU FINAL'!D30</f>
        <v>1</v>
      </c>
      <c r="E31" s="115">
        <f>'[37]TABLEAU FINAL'!E30</f>
        <v>1.1491703630819927</v>
      </c>
      <c r="F31" s="116">
        <f>'[37]TABLEAU FINAL'!F30</f>
        <v>-3.9303351891703642E-2</v>
      </c>
      <c r="G31" s="117">
        <f>'[37]TABLEAU FINAL'!G30</f>
        <v>1.7247959895655418E-2</v>
      </c>
      <c r="H31" s="118">
        <f>'[37]TABLEAU FINAL'!H30</f>
        <v>1.8463517860870748E-2</v>
      </c>
    </row>
    <row r="32" spans="2:8" ht="24.95" customHeight="1">
      <c r="B32" s="282">
        <f>'[37]TABLEAU FINAL'!B31</f>
        <v>0</v>
      </c>
      <c r="C32" s="287">
        <f>'[37]TABLEAU FINAL'!C31</f>
        <v>0</v>
      </c>
      <c r="D32" s="114">
        <f>'[37]TABLEAU FINAL'!D31</f>
        <v>2</v>
      </c>
      <c r="E32" s="115">
        <f>'[37]TABLEAU FINAL'!E31</f>
        <v>1.9044372546310058</v>
      </c>
      <c r="F32" s="116">
        <f>'[37]TABLEAU FINAL'!F31</f>
        <v>-8.1844126395296257E-2</v>
      </c>
      <c r="G32" s="117">
        <f>'[37]TABLEAU FINAL'!G31</f>
        <v>2.356062373366874E-2</v>
      </c>
      <c r="H32" s="118">
        <f>'[37]TABLEAU FINAL'!H31</f>
        <v>2.7973567574941516E-2</v>
      </c>
    </row>
    <row r="33" spans="2:8" ht="24.95" customHeight="1">
      <c r="B33" s="282">
        <f>'[37]TABLEAU FINAL'!B32</f>
        <v>0</v>
      </c>
      <c r="C33" s="287">
        <f>'[37]TABLEAU FINAL'!C32</f>
        <v>0</v>
      </c>
      <c r="D33" s="119" t="str">
        <f>'[37]TABLEAU FINAL'!D32</f>
        <v>3 et plus</v>
      </c>
      <c r="E33" s="120">
        <f>'[37]TABLEAU FINAL'!E32</f>
        <v>1.8072514453659778</v>
      </c>
      <c r="F33" s="121">
        <f>'[37]TABLEAU FINAL'!F32</f>
        <v>-4.1482596238708425E-2</v>
      </c>
      <c r="G33" s="122">
        <f>'[37]TABLEAU FINAL'!G32</f>
        <v>2.1382815052504389E-2</v>
      </c>
      <c r="H33" s="123">
        <f>'[37]TABLEAU FINAL'!H32</f>
        <v>2.2475680361228711E-2</v>
      </c>
    </row>
    <row r="34" spans="2:8" ht="24.95" customHeight="1">
      <c r="B34" s="282">
        <f>'[37]TABLEAU FINAL'!B33</f>
        <v>0</v>
      </c>
      <c r="C34" s="288" t="str">
        <f>'[37]TABLEAU FINAL'!C33</f>
        <v>Q3</v>
      </c>
      <c r="D34" s="114">
        <f>'[37]TABLEAU FINAL'!D33</f>
        <v>1</v>
      </c>
      <c r="E34" s="115">
        <f>'[37]TABLEAU FINAL'!E33</f>
        <v>1.2677127474990186</v>
      </c>
      <c r="F34" s="116">
        <f>'[37]TABLEAU FINAL'!F33</f>
        <v>-9.9660482534488892E-2</v>
      </c>
      <c r="G34" s="117">
        <f>'[37]TABLEAU FINAL'!G33</f>
        <v>1.174448664803629E-2</v>
      </c>
      <c r="H34" s="118">
        <f>'[37]TABLEAU FINAL'!H33</f>
        <v>1.5927353006948808E-2</v>
      </c>
    </row>
    <row r="35" spans="2:8" ht="24.95" customHeight="1">
      <c r="B35" s="282">
        <f>'[37]TABLEAU FINAL'!B34</f>
        <v>0</v>
      </c>
      <c r="C35" s="287">
        <f>'[37]TABLEAU FINAL'!C34</f>
        <v>0</v>
      </c>
      <c r="D35" s="114">
        <f>'[37]TABLEAU FINAL'!D34</f>
        <v>2</v>
      </c>
      <c r="E35" s="115">
        <f>'[37]TABLEAU FINAL'!E34</f>
        <v>2.6067394170949854</v>
      </c>
      <c r="F35" s="116">
        <f>'[37]TABLEAU FINAL'!F34</f>
        <v>-0.13163658711000181</v>
      </c>
      <c r="G35" s="117">
        <f>'[37]TABLEAU FINAL'!G34</f>
        <v>2.2372587178394188E-2</v>
      </c>
      <c r="H35" s="118">
        <f>'[37]TABLEAU FINAL'!H34</f>
        <v>2.8511737760175793E-2</v>
      </c>
    </row>
    <row r="36" spans="2:8" ht="24.95" customHeight="1">
      <c r="B36" s="282">
        <f>'[37]TABLEAU FINAL'!B35</f>
        <v>0</v>
      </c>
      <c r="C36" s="287">
        <f>'[37]TABLEAU FINAL'!C35</f>
        <v>0</v>
      </c>
      <c r="D36" s="119" t="str">
        <f>'[37]TABLEAU FINAL'!D35</f>
        <v>3 et plus</v>
      </c>
      <c r="E36" s="120">
        <f>'[37]TABLEAU FINAL'!E35</f>
        <v>4.0103471943470197</v>
      </c>
      <c r="F36" s="121">
        <f>'[37]TABLEAU FINAL'!F35</f>
        <v>-0.16800925138030465</v>
      </c>
      <c r="G36" s="122">
        <f>'[37]TABLEAU FINAL'!G35</f>
        <v>2.9956888465916709E-2</v>
      </c>
      <c r="H36" s="123">
        <f>'[37]TABLEAU FINAL'!H35</f>
        <v>3.6709139925489076E-2</v>
      </c>
    </row>
    <row r="37" spans="2:8" ht="24.95" customHeight="1">
      <c r="B37" s="282">
        <f>'[37]TABLEAU FINAL'!B36</f>
        <v>0</v>
      </c>
      <c r="C37" s="288" t="str">
        <f>'[37]TABLEAU FINAL'!C36</f>
        <v>Q4</v>
      </c>
      <c r="D37" s="114">
        <f>'[37]TABLEAU FINAL'!D36</f>
        <v>1</v>
      </c>
      <c r="E37" s="115">
        <f>'[37]TABLEAU FINAL'!E36</f>
        <v>0.93763811769500194</v>
      </c>
      <c r="F37" s="116">
        <f>'[37]TABLEAU FINAL'!F36</f>
        <v>-0.11375536395210872</v>
      </c>
      <c r="G37" s="117">
        <f>'[37]TABLEAU FINAL'!G36</f>
        <v>8.7969941517704875E-3</v>
      </c>
      <c r="H37" s="118">
        <f>'[37]TABLEAU FINAL'!H36</f>
        <v>1.3839237502782487E-2</v>
      </c>
    </row>
    <row r="38" spans="2:8" ht="24.95" customHeight="1">
      <c r="B38" s="282">
        <f>'[37]TABLEAU FINAL'!B37</f>
        <v>0</v>
      </c>
      <c r="C38" s="287">
        <f>'[37]TABLEAU FINAL'!C37</f>
        <v>0</v>
      </c>
      <c r="D38" s="114">
        <f>'[37]TABLEAU FINAL'!D37</f>
        <v>2</v>
      </c>
      <c r="E38" s="115">
        <f>'[37]TABLEAU FINAL'!E37</f>
        <v>2.1656320498260015</v>
      </c>
      <c r="F38" s="116">
        <f>'[37]TABLEAU FINAL'!F37</f>
        <v>-0.16365192344059665</v>
      </c>
      <c r="G38" s="117">
        <f>'[37]TABLEAU FINAL'!G37</f>
        <v>2.0185047765176156E-2</v>
      </c>
      <c r="H38" s="118">
        <f>'[37]TABLEAU FINAL'!H37</f>
        <v>2.6783653258058315E-2</v>
      </c>
    </row>
    <row r="39" spans="2:8" ht="24.95" customHeight="1">
      <c r="B39" s="282">
        <f>'[37]TABLEAU FINAL'!B38</f>
        <v>0</v>
      </c>
      <c r="C39" s="287">
        <f>'[37]TABLEAU FINAL'!C38</f>
        <v>0</v>
      </c>
      <c r="D39" s="119" t="str">
        <f>'[37]TABLEAU FINAL'!D38</f>
        <v>3 et plus</v>
      </c>
      <c r="E39" s="120">
        <f>'[37]TABLEAU FINAL'!E38</f>
        <v>3.5838990450450012</v>
      </c>
      <c r="F39" s="121">
        <f>'[37]TABLEAU FINAL'!F38</f>
        <v>-0.11583221189320625</v>
      </c>
      <c r="G39" s="122">
        <f>'[37]TABLEAU FINAL'!G38</f>
        <v>3.1511077341880966E-2</v>
      </c>
      <c r="H39" s="123">
        <f>'[37]TABLEAU FINAL'!H38</f>
        <v>3.6990005017071059E-2</v>
      </c>
    </row>
    <row r="40" spans="2:8" ht="24.95" customHeight="1">
      <c r="B40" s="282">
        <f>'[37]TABLEAU FINAL'!B39</f>
        <v>0</v>
      </c>
      <c r="C40" s="288" t="str">
        <f>'[37]TABLEAU FINAL'!C39</f>
        <v>Q5</v>
      </c>
      <c r="D40" s="114">
        <f>'[37]TABLEAU FINAL'!D39</f>
        <v>1</v>
      </c>
      <c r="E40" s="115">
        <f>'[37]TABLEAU FINAL'!E39</f>
        <v>0.63986556514100812</v>
      </c>
      <c r="F40" s="116">
        <f>'[37]TABLEAU FINAL'!F39</f>
        <v>-8.1870598795106275E-2</v>
      </c>
      <c r="G40" s="117">
        <f>'[37]TABLEAU FINAL'!G39</f>
        <v>5.6460496481716138E-3</v>
      </c>
      <c r="H40" s="118">
        <f>'[37]TABLEAU FINAL'!H39</f>
        <v>6.517666144482126E-3</v>
      </c>
    </row>
    <row r="41" spans="2:8" ht="24.95" customHeight="1">
      <c r="B41" s="282">
        <f>'[37]TABLEAU FINAL'!B40</f>
        <v>0</v>
      </c>
      <c r="C41" s="287">
        <f>'[37]TABLEAU FINAL'!C40</f>
        <v>0</v>
      </c>
      <c r="D41" s="114">
        <f>'[37]TABLEAU FINAL'!D40</f>
        <v>2</v>
      </c>
      <c r="E41" s="115">
        <f>'[37]TABLEAU FINAL'!E40</f>
        <v>1.466027509897998</v>
      </c>
      <c r="F41" s="116">
        <f>'[37]TABLEAU FINAL'!F40</f>
        <v>-7.950766873899795E-2</v>
      </c>
      <c r="G41" s="117">
        <f>'[37]TABLEAU FINAL'!G40</f>
        <v>1.9022001468103955E-2</v>
      </c>
      <c r="H41" s="118">
        <f>'[37]TABLEAU FINAL'!H40</f>
        <v>2.2393194112396486E-2</v>
      </c>
    </row>
    <row r="42" spans="2:8" ht="24.95" customHeight="1" thickBot="1">
      <c r="B42" s="284">
        <f>'[37]TABLEAU FINAL'!B41</f>
        <v>0</v>
      </c>
      <c r="C42" s="289">
        <f>'[37]TABLEAU FINAL'!C41</f>
        <v>0</v>
      </c>
      <c r="D42" s="107" t="str">
        <f>'[37]TABLEAU FINAL'!D41</f>
        <v>3 et plus</v>
      </c>
      <c r="E42" s="108">
        <f>'[37]TABLEAU FINAL'!E41</f>
        <v>3.04850709746799</v>
      </c>
      <c r="F42" s="109">
        <f>'[37]TABLEAU FINAL'!F41</f>
        <v>-0.11910903843590859</v>
      </c>
      <c r="G42" s="147">
        <f>'[37]TABLEAU FINAL'!G41</f>
        <v>2.1726659897801426E-2</v>
      </c>
      <c r="H42" s="148">
        <f>'[37]TABLEAU FINAL'!H41</f>
        <v>2.734819325334148E-2</v>
      </c>
    </row>
    <row r="44" spans="2:8">
      <c r="B44" s="177" t="s">
        <v>35</v>
      </c>
    </row>
  </sheetData>
  <mergeCells count="19">
    <mergeCell ref="B27:H27"/>
    <mergeCell ref="B5:C5"/>
    <mergeCell ref="B6:C6"/>
    <mergeCell ref="B28:B42"/>
    <mergeCell ref="C28:C30"/>
    <mergeCell ref="C31:C33"/>
    <mergeCell ref="C34:C36"/>
    <mergeCell ref="C37:C39"/>
    <mergeCell ref="C40:C42"/>
    <mergeCell ref="B7:H7"/>
    <mergeCell ref="B8:C10"/>
    <mergeCell ref="B11:H11"/>
    <mergeCell ref="B12:B26"/>
    <mergeCell ref="B4:C4"/>
    <mergeCell ref="C12:C14"/>
    <mergeCell ref="C15:C17"/>
    <mergeCell ref="C18:C20"/>
    <mergeCell ref="C21:C23"/>
    <mergeCell ref="C24:C26"/>
  </mergeCells>
  <hyperlinks>
    <hyperlink ref="A2" location="SOMMAIRE!A1" display="Retour au sommaire" xr:uid="{32365308-67F6-4AB9-8B5F-29D733908B4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D6CE-06E2-45FF-9F44-4DF993BED2B0}">
  <sheetPr>
    <tabColor theme="4"/>
  </sheetPr>
  <dimension ref="A1:H44"/>
  <sheetViews>
    <sheetView workbookViewId="0"/>
  </sheetViews>
  <sheetFormatPr baseColWidth="10" defaultRowHeight="12.75"/>
  <cols>
    <col min="1" max="2" width="11" style="7"/>
    <col min="3" max="3" width="36.25" style="7" customWidth="1"/>
    <col min="4" max="4" width="11" style="7" customWidth="1"/>
    <col min="5" max="8" width="20.625" style="7" customWidth="1"/>
    <col min="9" max="18" width="11" style="7" customWidth="1"/>
    <col min="19" max="258" width="11" style="7"/>
    <col min="259" max="259" width="36.25" style="7" customWidth="1"/>
    <col min="260" max="514" width="11" style="7"/>
    <col min="515" max="515" width="36.25" style="7" customWidth="1"/>
    <col min="516" max="770" width="11" style="7"/>
    <col min="771" max="771" width="36.25" style="7" customWidth="1"/>
    <col min="772" max="1026" width="11" style="7"/>
    <col min="1027" max="1027" width="36.25" style="7" customWidth="1"/>
    <col min="1028" max="1282" width="11" style="7"/>
    <col min="1283" max="1283" width="36.25" style="7" customWidth="1"/>
    <col min="1284" max="1538" width="11" style="7"/>
    <col min="1539" max="1539" width="36.25" style="7" customWidth="1"/>
    <col min="1540" max="1794" width="11" style="7"/>
    <col min="1795" max="1795" width="36.25" style="7" customWidth="1"/>
    <col min="1796" max="2050" width="11" style="7"/>
    <col min="2051" max="2051" width="36.25" style="7" customWidth="1"/>
    <col min="2052" max="2306" width="11" style="7"/>
    <col min="2307" max="2307" width="36.25" style="7" customWidth="1"/>
    <col min="2308" max="2562" width="11" style="7"/>
    <col min="2563" max="2563" width="36.25" style="7" customWidth="1"/>
    <col min="2564" max="2818" width="11" style="7"/>
    <col min="2819" max="2819" width="36.25" style="7" customWidth="1"/>
    <col min="2820" max="3074" width="11" style="7"/>
    <col min="3075" max="3075" width="36.25" style="7" customWidth="1"/>
    <col min="3076" max="3330" width="11" style="7"/>
    <col min="3331" max="3331" width="36.25" style="7" customWidth="1"/>
    <col min="3332" max="3586" width="11" style="7"/>
    <col min="3587" max="3587" width="36.25" style="7" customWidth="1"/>
    <col min="3588" max="3842" width="11" style="7"/>
    <col min="3843" max="3843" width="36.25" style="7" customWidth="1"/>
    <col min="3844" max="4098" width="11" style="7"/>
    <col min="4099" max="4099" width="36.25" style="7" customWidth="1"/>
    <col min="4100" max="4354" width="11" style="7"/>
    <col min="4355" max="4355" width="36.25" style="7" customWidth="1"/>
    <col min="4356" max="4610" width="11" style="7"/>
    <col min="4611" max="4611" width="36.25" style="7" customWidth="1"/>
    <col min="4612" max="4866" width="11" style="7"/>
    <col min="4867" max="4867" width="36.25" style="7" customWidth="1"/>
    <col min="4868" max="5122" width="11" style="7"/>
    <col min="5123" max="5123" width="36.25" style="7" customWidth="1"/>
    <col min="5124" max="5378" width="11" style="7"/>
    <col min="5379" max="5379" width="36.25" style="7" customWidth="1"/>
    <col min="5380" max="5634" width="11" style="7"/>
    <col min="5635" max="5635" width="36.25" style="7" customWidth="1"/>
    <col min="5636" max="5890" width="11" style="7"/>
    <col min="5891" max="5891" width="36.25" style="7" customWidth="1"/>
    <col min="5892" max="6146" width="11" style="7"/>
    <col min="6147" max="6147" width="36.25" style="7" customWidth="1"/>
    <col min="6148" max="6402" width="11" style="7"/>
    <col min="6403" max="6403" width="36.25" style="7" customWidth="1"/>
    <col min="6404" max="6658" width="11" style="7"/>
    <col min="6659" max="6659" width="36.25" style="7" customWidth="1"/>
    <col min="6660" max="6914" width="11" style="7"/>
    <col min="6915" max="6915" width="36.25" style="7" customWidth="1"/>
    <col min="6916" max="7170" width="11" style="7"/>
    <col min="7171" max="7171" width="36.25" style="7" customWidth="1"/>
    <col min="7172" max="7426" width="11" style="7"/>
    <col min="7427" max="7427" width="36.25" style="7" customWidth="1"/>
    <col min="7428" max="7682" width="11" style="7"/>
    <col min="7683" max="7683" width="36.25" style="7" customWidth="1"/>
    <col min="7684" max="7938" width="11" style="7"/>
    <col min="7939" max="7939" width="36.25" style="7" customWidth="1"/>
    <col min="7940" max="8194" width="11" style="7"/>
    <col min="8195" max="8195" width="36.25" style="7" customWidth="1"/>
    <col min="8196" max="8450" width="11" style="7"/>
    <col min="8451" max="8451" width="36.25" style="7" customWidth="1"/>
    <col min="8452" max="8706" width="11" style="7"/>
    <col min="8707" max="8707" width="36.25" style="7" customWidth="1"/>
    <col min="8708" max="8962" width="11" style="7"/>
    <col min="8963" max="8963" width="36.25" style="7" customWidth="1"/>
    <col min="8964" max="9218" width="11" style="7"/>
    <col min="9219" max="9219" width="36.25" style="7" customWidth="1"/>
    <col min="9220" max="9474" width="11" style="7"/>
    <col min="9475" max="9475" width="36.25" style="7" customWidth="1"/>
    <col min="9476" max="9730" width="11" style="7"/>
    <col min="9731" max="9731" width="36.25" style="7" customWidth="1"/>
    <col min="9732" max="9986" width="11" style="7"/>
    <col min="9987" max="9987" width="36.25" style="7" customWidth="1"/>
    <col min="9988" max="10242" width="11" style="7"/>
    <col min="10243" max="10243" width="36.25" style="7" customWidth="1"/>
    <col min="10244" max="10498" width="11" style="7"/>
    <col min="10499" max="10499" width="36.25" style="7" customWidth="1"/>
    <col min="10500" max="10754" width="11" style="7"/>
    <col min="10755" max="10755" width="36.25" style="7" customWidth="1"/>
    <col min="10756" max="11010" width="11" style="7"/>
    <col min="11011" max="11011" width="36.25" style="7" customWidth="1"/>
    <col min="11012" max="11266" width="11" style="7"/>
    <col min="11267" max="11267" width="36.25" style="7" customWidth="1"/>
    <col min="11268" max="11522" width="11" style="7"/>
    <col min="11523" max="11523" width="36.25" style="7" customWidth="1"/>
    <col min="11524" max="11778" width="11" style="7"/>
    <col min="11779" max="11779" width="36.25" style="7" customWidth="1"/>
    <col min="11780" max="12034" width="11" style="7"/>
    <col min="12035" max="12035" width="36.25" style="7" customWidth="1"/>
    <col min="12036" max="12290" width="11" style="7"/>
    <col min="12291" max="12291" width="36.25" style="7" customWidth="1"/>
    <col min="12292" max="12546" width="11" style="7"/>
    <col min="12547" max="12547" width="36.25" style="7" customWidth="1"/>
    <col min="12548" max="12802" width="11" style="7"/>
    <col min="12803" max="12803" width="36.25" style="7" customWidth="1"/>
    <col min="12804" max="13058" width="11" style="7"/>
    <col min="13059" max="13059" width="36.25" style="7" customWidth="1"/>
    <col min="13060" max="13314" width="11" style="7"/>
    <col min="13315" max="13315" width="36.25" style="7" customWidth="1"/>
    <col min="13316" max="13570" width="11" style="7"/>
    <col min="13571" max="13571" width="36.25" style="7" customWidth="1"/>
    <col min="13572" max="13826" width="11" style="7"/>
    <col min="13827" max="13827" width="36.25" style="7" customWidth="1"/>
    <col min="13828" max="14082" width="11" style="7"/>
    <col min="14083" max="14083" width="36.25" style="7" customWidth="1"/>
    <col min="14084" max="14338" width="11" style="7"/>
    <col min="14339" max="14339" width="36.25" style="7" customWidth="1"/>
    <col min="14340" max="14594" width="11" style="7"/>
    <col min="14595" max="14595" width="36.25" style="7" customWidth="1"/>
    <col min="14596" max="14850" width="11" style="7"/>
    <col min="14851" max="14851" width="36.25" style="7" customWidth="1"/>
    <col min="14852" max="15106" width="11" style="7"/>
    <col min="15107" max="15107" width="36.25" style="7" customWidth="1"/>
    <col min="15108" max="15362" width="11" style="7"/>
    <col min="15363" max="15363" width="36.25" style="7" customWidth="1"/>
    <col min="15364" max="15618" width="11" style="7"/>
    <col min="15619" max="15619" width="36.25" style="7" customWidth="1"/>
    <col min="15620" max="15874" width="11" style="7"/>
    <col min="15875" max="15875" width="36.25" style="7" customWidth="1"/>
    <col min="15876" max="16130" width="11" style="7"/>
    <col min="16131" max="16131" width="36.25" style="7" customWidth="1"/>
    <col min="16132" max="16384" width="11" style="7"/>
  </cols>
  <sheetData>
    <row r="1" spans="1:8" ht="15.75">
      <c r="A1" s="2" t="s">
        <v>105</v>
      </c>
      <c r="B1" s="2"/>
    </row>
    <row r="2" spans="1:8" ht="14.25">
      <c r="A2" s="6" t="s">
        <v>2</v>
      </c>
      <c r="B2" s="6"/>
    </row>
    <row r="3" spans="1:8" ht="13.5" thickBot="1"/>
    <row r="4" spans="1:8" ht="45.75" thickBot="1">
      <c r="B4" s="285"/>
      <c r="C4" s="286"/>
      <c r="D4" s="99" t="str">
        <f>'[38]TABLEAU FINAL'!D3</f>
        <v>Nombre d'enfants</v>
      </c>
      <c r="E4" s="100" t="str">
        <f>'[38]TABLEAU FINAL'!E3</f>
        <v>Durée validée totale moyenne (écart en trimestres)</v>
      </c>
      <c r="F4" s="100" t="str">
        <f>'[38]TABLEAU FINAL'!F3</f>
        <v>Âge de départ (écart en année)</v>
      </c>
      <c r="G4" s="100" t="str">
        <f>'[38]TABLEAU FINAL'!G3</f>
        <v>Pension moyenne 68 ans</v>
      </c>
      <c r="H4" s="101" t="str">
        <f>'[38]TABLEAU FINAL'!H3</f>
        <v>Pension moyenne CV</v>
      </c>
    </row>
    <row r="5" spans="1:8" ht="24.95" customHeight="1">
      <c r="B5" s="280" t="str">
        <f>'[38]TABLEAU FINAL'!B4</f>
        <v>Femmes</v>
      </c>
      <c r="C5" s="281"/>
      <c r="D5" s="102" t="str">
        <f>'[38]TABLEAU FINAL'!D4</f>
        <v>Ensemble</v>
      </c>
      <c r="E5" s="103">
        <f>'[38]TABLEAU FINAL'!E4</f>
        <v>-3.2193994326670179</v>
      </c>
      <c r="F5" s="104">
        <f>'[38]TABLEAU FINAL'!F4</f>
        <v>4.0092885925801625E-2</v>
      </c>
      <c r="G5" s="105">
        <f>'[38]TABLEAU FINAL'!G4</f>
        <v>1.4382383465727511E-3</v>
      </c>
      <c r="H5" s="106">
        <f>'[38]TABLEAU FINAL'!H4</f>
        <v>5.3577656771097715E-4</v>
      </c>
    </row>
    <row r="6" spans="1:8" ht="24.95" customHeight="1" thickBot="1">
      <c r="B6" s="293" t="str">
        <f>'[38]TABLEAU FINAL'!B5</f>
        <v>Hommes</v>
      </c>
      <c r="C6" s="294"/>
      <c r="D6" s="107" t="str">
        <f>'[38]TABLEAU FINAL'!D5</f>
        <v>Ensemble</v>
      </c>
      <c r="E6" s="108" t="str">
        <f>'[38]TABLEAU FINAL'!E5</f>
        <v>-</v>
      </c>
      <c r="F6" s="109" t="str">
        <f>'[38]TABLEAU FINAL'!F5</f>
        <v>-</v>
      </c>
      <c r="G6" s="110" t="str">
        <f>'[38]TABLEAU FINAL'!G5</f>
        <v>-</v>
      </c>
      <c r="H6" s="111" t="str">
        <f>'[38]TABLEAU FINAL'!H5</f>
        <v>-</v>
      </c>
    </row>
    <row r="7" spans="1:8" ht="24.95" customHeight="1" thickBot="1">
      <c r="B7" s="277" t="str">
        <f>'[38]TABLEAU FINAL'!B6</f>
        <v>Selon le nombre d'enfants</v>
      </c>
      <c r="C7" s="278"/>
      <c r="D7" s="278"/>
      <c r="E7" s="278"/>
      <c r="F7" s="278"/>
      <c r="G7" s="278"/>
      <c r="H7" s="279"/>
    </row>
    <row r="8" spans="1:8" ht="24.95" customHeight="1">
      <c r="B8" s="280" t="str">
        <f>'[38]TABLEAU FINAL'!B7</f>
        <v>Femmes</v>
      </c>
      <c r="C8" s="281"/>
      <c r="D8" s="102">
        <f>'[38]TABLEAU FINAL'!D7</f>
        <v>1</v>
      </c>
      <c r="E8" s="103">
        <f>'[38]TABLEAU FINAL'!E7</f>
        <v>-1.5721505097280044</v>
      </c>
      <c r="F8" s="104">
        <f>'[38]TABLEAU FINAL'!F7</f>
        <v>4.6663418113496391E-2</v>
      </c>
      <c r="G8" s="112">
        <f>'[38]TABLEAU FINAL'!G7</f>
        <v>-1.9066394240754292E-3</v>
      </c>
      <c r="H8" s="113">
        <f>'[38]TABLEAU FINAL'!H7</f>
        <v>-3.9939413000735779E-3</v>
      </c>
    </row>
    <row r="9" spans="1:8" ht="24.95" customHeight="1">
      <c r="B9" s="282"/>
      <c r="C9" s="283"/>
      <c r="D9" s="114">
        <f>'[38]TABLEAU FINAL'!D8</f>
        <v>2</v>
      </c>
      <c r="E9" s="115">
        <f>'[38]TABLEAU FINAL'!E8</f>
        <v>-3.3400570074730069</v>
      </c>
      <c r="F9" s="116">
        <f>'[38]TABLEAU FINAL'!F8</f>
        <v>4.5935244371705153E-2</v>
      </c>
      <c r="G9" s="117">
        <f>'[38]TABLEAU FINAL'!G8</f>
        <v>2.3283347563884949E-3</v>
      </c>
      <c r="H9" s="118">
        <f>'[38]TABLEAU FINAL'!H8</f>
        <v>1.1932539555554733E-3</v>
      </c>
    </row>
    <row r="10" spans="1:8" ht="24.95" customHeight="1" thickBot="1">
      <c r="B10" s="282"/>
      <c r="C10" s="283"/>
      <c r="D10" s="119" t="str">
        <f>'[38]TABLEAU FINAL'!D9</f>
        <v>3 et plus</v>
      </c>
      <c r="E10" s="120">
        <f>'[38]TABLEAU FINAL'!E9</f>
        <v>-5.4445145727850104</v>
      </c>
      <c r="F10" s="121">
        <f>'[38]TABLEAU FINAL'!F9</f>
        <v>4.3330573093200542E-2</v>
      </c>
      <c r="G10" s="122">
        <f>'[38]TABLEAU FINAL'!G9</f>
        <v>2.9902596729740605E-3</v>
      </c>
      <c r="H10" s="123">
        <f>'[38]TABLEAU FINAL'!H9</f>
        <v>2.8072361393929324E-3</v>
      </c>
    </row>
    <row r="11" spans="1:8" ht="24.95" customHeight="1" thickBot="1">
      <c r="B11" s="277" t="str">
        <f>'[38]TABLEAU FINAL'!B10</f>
        <v>Selon le régime d'affiliation</v>
      </c>
      <c r="C11" s="278"/>
      <c r="D11" s="278"/>
      <c r="E11" s="278"/>
      <c r="F11" s="278"/>
      <c r="G11" s="278"/>
      <c r="H11" s="279"/>
    </row>
    <row r="12" spans="1:8" ht="24.95" customHeight="1">
      <c r="B12" s="280" t="str">
        <f>'[38]TABLEAU FINAL'!B11</f>
        <v>Femmes</v>
      </c>
      <c r="C12" s="296" t="str">
        <f>'[38]TABLEAU FINAL'!C11</f>
        <v>Mono Lura</v>
      </c>
      <c r="D12" s="150">
        <f>'[38]TABLEAU FINAL'!D11</f>
        <v>1</v>
      </c>
      <c r="E12" s="151">
        <f>'[38]TABLEAU FINAL'!E11</f>
        <v>-2.3907319118150099</v>
      </c>
      <c r="F12" s="152">
        <f>'[38]TABLEAU FINAL'!F11</f>
        <v>8.7462958301301796E-2</v>
      </c>
      <c r="G12" s="153">
        <f>'[38]TABLEAU FINAL'!G11</f>
        <v>-7.6424049019214735E-3</v>
      </c>
      <c r="H12" s="154">
        <f>'[38]TABLEAU FINAL'!H11</f>
        <v>-1.1381782545095032E-2</v>
      </c>
    </row>
    <row r="13" spans="1:8" ht="24.95" customHeight="1">
      <c r="B13" s="282"/>
      <c r="C13" s="292"/>
      <c r="D13" s="126">
        <f>'[38]TABLEAU FINAL'!D12</f>
        <v>2</v>
      </c>
      <c r="E13" s="127">
        <f>'[38]TABLEAU FINAL'!E12</f>
        <v>-4.9273811627279827</v>
      </c>
      <c r="F13" s="128">
        <f>'[38]TABLEAU FINAL'!F12</f>
        <v>9.8631463651500439E-2</v>
      </c>
      <c r="G13" s="129">
        <f>'[38]TABLEAU FINAL'!G12</f>
        <v>-1.0849796368589293E-2</v>
      </c>
      <c r="H13" s="130">
        <f>'[38]TABLEAU FINAL'!H12</f>
        <v>-1.4843465472031303E-2</v>
      </c>
    </row>
    <row r="14" spans="1:8" ht="24.95" customHeight="1">
      <c r="B14" s="282"/>
      <c r="C14" s="292"/>
      <c r="D14" s="131" t="str">
        <f>'[38]TABLEAU FINAL'!D13</f>
        <v>3 et plus</v>
      </c>
      <c r="E14" s="132">
        <f>'[38]TABLEAU FINAL'!E13</f>
        <v>-7.8961483604059879</v>
      </c>
      <c r="F14" s="133">
        <f>'[38]TABLEAU FINAL'!F13</f>
        <v>0.10050373819629499</v>
      </c>
      <c r="G14" s="134">
        <f>'[38]TABLEAU FINAL'!G13</f>
        <v>-1.214461198981287E-2</v>
      </c>
      <c r="H14" s="135">
        <f>'[38]TABLEAU FINAL'!H13</f>
        <v>-1.5113618121088468E-2</v>
      </c>
    </row>
    <row r="15" spans="1:8" ht="24.95" customHeight="1">
      <c r="B15" s="282"/>
      <c r="C15" s="291" t="str">
        <f>'[38]TABLEAU FINAL'!C14</f>
        <v>Mono FP-RS</v>
      </c>
      <c r="D15" s="114">
        <f>'[38]TABLEAU FINAL'!D14</f>
        <v>1</v>
      </c>
      <c r="E15" s="115">
        <f>'[38]TABLEAU FINAL'!E14</f>
        <v>0.8745506400129841</v>
      </c>
      <c r="F15" s="116">
        <f>'[38]TABLEAU FINAL'!F14</f>
        <v>-0.1152831532888996</v>
      </c>
      <c r="G15" s="117">
        <f>'[38]TABLEAU FINAL'!G14</f>
        <v>-7.8911145772223579E-3</v>
      </c>
      <c r="H15" s="118">
        <f>'[38]TABLEAU FINAL'!H14</f>
        <v>-7.4671881487374803E-3</v>
      </c>
    </row>
    <row r="16" spans="1:8" ht="24.95" customHeight="1">
      <c r="B16" s="282"/>
      <c r="C16" s="292"/>
      <c r="D16" s="126">
        <f>'[38]TABLEAU FINAL'!D15</f>
        <v>2</v>
      </c>
      <c r="E16" s="127">
        <f>'[38]TABLEAU FINAL'!E15</f>
        <v>2.0027253846189979</v>
      </c>
      <c r="F16" s="128">
        <f>'[38]TABLEAU FINAL'!F15</f>
        <v>-0.17035197849610029</v>
      </c>
      <c r="G16" s="129">
        <f>'[38]TABLEAU FINAL'!G15</f>
        <v>3.6234157746147355E-2</v>
      </c>
      <c r="H16" s="130">
        <f>'[38]TABLEAU FINAL'!H15</f>
        <v>4.3534513222920124E-2</v>
      </c>
    </row>
    <row r="17" spans="2:8" ht="24.95" customHeight="1">
      <c r="B17" s="282"/>
      <c r="C17" s="292"/>
      <c r="D17" s="131" t="str">
        <f>'[38]TABLEAU FINAL'!D16</f>
        <v>3 et plus</v>
      </c>
      <c r="E17" s="132">
        <f>'[38]TABLEAU FINAL'!E16</f>
        <v>3.5725269473109904</v>
      </c>
      <c r="F17" s="133">
        <f>'[38]TABLEAU FINAL'!F16</f>
        <v>-0.1877432594018984</v>
      </c>
      <c r="G17" s="134">
        <f>'[38]TABLEAU FINAL'!G16</f>
        <v>4.2887956438972141E-2</v>
      </c>
      <c r="H17" s="135">
        <f>'[38]TABLEAU FINAL'!H16</f>
        <v>5.2698182589999476E-2</v>
      </c>
    </row>
    <row r="18" spans="2:8" ht="24.95" customHeight="1">
      <c r="B18" s="282"/>
      <c r="C18" s="288" t="str">
        <f>'[38]TABLEAU FINAL'!C17</f>
        <v>Mono MSAE-PLIB</v>
      </c>
      <c r="D18" s="114">
        <f>'[38]TABLEAU FINAL'!D17</f>
        <v>1</v>
      </c>
      <c r="E18" s="115">
        <f>'[38]TABLEAU FINAL'!E17</f>
        <v>-3.2430300840970006</v>
      </c>
      <c r="F18" s="116">
        <f>'[38]TABLEAU FINAL'!F17</f>
        <v>2.0135902700900488E-2</v>
      </c>
      <c r="G18" s="137">
        <f>'[38]TABLEAU FINAL'!G17</f>
        <v>2.3728177959543295E-3</v>
      </c>
      <c r="H18" s="138">
        <f>'[38]TABLEAU FINAL'!H17</f>
        <v>-1.0036242372227777E-3</v>
      </c>
    </row>
    <row r="19" spans="2:8" ht="24.95" customHeight="1">
      <c r="B19" s="282"/>
      <c r="C19" s="287"/>
      <c r="D19" s="114">
        <f>'[38]TABLEAU FINAL'!D18</f>
        <v>2</v>
      </c>
      <c r="E19" s="115">
        <f>'[38]TABLEAU FINAL'!E18</f>
        <v>-0.10612630112500199</v>
      </c>
      <c r="F19" s="116">
        <f>'[38]TABLEAU FINAL'!F18</f>
        <v>3.551817000459323E-2</v>
      </c>
      <c r="G19" s="137">
        <f>'[38]TABLEAU FINAL'!G18</f>
        <v>3.0685540936646882E-2</v>
      </c>
      <c r="H19" s="138">
        <f>'[38]TABLEAU FINAL'!H18</f>
        <v>2.8178493345753175E-2</v>
      </c>
    </row>
    <row r="20" spans="2:8" ht="24.95" customHeight="1">
      <c r="B20" s="282"/>
      <c r="C20" s="287"/>
      <c r="D20" s="119" t="str">
        <f>'[38]TABLEAU FINAL'!D19</f>
        <v>3 et plus</v>
      </c>
      <c r="E20" s="120" t="str">
        <f>'[38]TABLEAU FINAL'!E19</f>
        <v>n.a</v>
      </c>
      <c r="F20" s="121" t="str">
        <f>'[38]TABLEAU FINAL'!F19</f>
        <v>n.a</v>
      </c>
      <c r="G20" s="139" t="str">
        <f>'[38]TABLEAU FINAL'!G19</f>
        <v>n.a</v>
      </c>
      <c r="H20" s="140" t="str">
        <f>'[38]TABLEAU FINAL'!H19</f>
        <v>n.a</v>
      </c>
    </row>
    <row r="21" spans="2:8" ht="24.95" customHeight="1">
      <c r="B21" s="282"/>
      <c r="C21" s="291" t="str">
        <f>'[38]TABLEAU FINAL'!C20</f>
        <v>Poly Lura-FP-RS</v>
      </c>
      <c r="D21" s="126">
        <f>'[38]TABLEAU FINAL'!D20</f>
        <v>1</v>
      </c>
      <c r="E21" s="127">
        <f>'[38]TABLEAU FINAL'!E20</f>
        <v>1.1269075784070139</v>
      </c>
      <c r="F21" s="128">
        <f>'[38]TABLEAU FINAL'!F20</f>
        <v>-7.5788914781909966E-2</v>
      </c>
      <c r="G21" s="129">
        <f>'[38]TABLEAU FINAL'!G20</f>
        <v>1.7562822245357435E-2</v>
      </c>
      <c r="H21" s="130">
        <f>'[38]TABLEAU FINAL'!H20</f>
        <v>2.1361388566015327E-2</v>
      </c>
    </row>
    <row r="22" spans="2:8" ht="24.95" customHeight="1">
      <c r="B22" s="282"/>
      <c r="C22" s="292"/>
      <c r="D22" s="126">
        <f>'[38]TABLEAU FINAL'!D21</f>
        <v>2</v>
      </c>
      <c r="E22" s="127">
        <f>'[38]TABLEAU FINAL'!E21</f>
        <v>2.1650622285619932</v>
      </c>
      <c r="F22" s="128">
        <f>'[38]TABLEAU FINAL'!F21</f>
        <v>-0.13821046727569808</v>
      </c>
      <c r="G22" s="129">
        <f>'[38]TABLEAU FINAL'!G21</f>
        <v>3.6321363726345757E-2</v>
      </c>
      <c r="H22" s="130">
        <f>'[38]TABLEAU FINAL'!H21</f>
        <v>4.2114793451019539E-2</v>
      </c>
    </row>
    <row r="23" spans="2:8" ht="24.95" customHeight="1">
      <c r="B23" s="282"/>
      <c r="C23" s="292"/>
      <c r="D23" s="131" t="str">
        <f>'[38]TABLEAU FINAL'!D22</f>
        <v>3 et plus</v>
      </c>
      <c r="E23" s="132">
        <f>'[38]TABLEAU FINAL'!E22</f>
        <v>3.2320339088720118</v>
      </c>
      <c r="F23" s="133">
        <f>'[38]TABLEAU FINAL'!F22</f>
        <v>-0.16684705561700497</v>
      </c>
      <c r="G23" s="134">
        <f>'[38]TABLEAU FINAL'!G22</f>
        <v>4.7626755364589046E-2</v>
      </c>
      <c r="H23" s="135">
        <f>'[38]TABLEAU FINAL'!H22</f>
        <v>5.3749357490452399E-2</v>
      </c>
    </row>
    <row r="24" spans="2:8" ht="24.95" customHeight="1">
      <c r="B24" s="282"/>
      <c r="C24" s="291" t="str">
        <f>'[38]TABLEAU FINAL'!C23</f>
        <v>Poly Lura-MSAE-PLIB</v>
      </c>
      <c r="D24" s="126">
        <f>'[38]TABLEAU FINAL'!D23</f>
        <v>1</v>
      </c>
      <c r="E24" s="127">
        <f>'[38]TABLEAU FINAL'!E23</f>
        <v>-2.3376936943270152</v>
      </c>
      <c r="F24" s="128">
        <f>'[38]TABLEAU FINAL'!F23</f>
        <v>9.6052548968003748E-2</v>
      </c>
      <c r="G24" s="129">
        <f>'[38]TABLEAU FINAL'!G23</f>
        <v>-3.5945858417093524E-3</v>
      </c>
      <c r="H24" s="130">
        <f>'[38]TABLEAU FINAL'!H23</f>
        <v>-7.4825579800811282E-3</v>
      </c>
    </row>
    <row r="25" spans="2:8" ht="24.95" customHeight="1">
      <c r="B25" s="282"/>
      <c r="C25" s="292"/>
      <c r="D25" s="126">
        <f>'[38]TABLEAU FINAL'!D24</f>
        <v>2</v>
      </c>
      <c r="E25" s="127">
        <f>'[38]TABLEAU FINAL'!E24</f>
        <v>-5.0518325067669991</v>
      </c>
      <c r="F25" s="128">
        <f>'[38]TABLEAU FINAL'!F24</f>
        <v>0.13779141739840384</v>
      </c>
      <c r="G25" s="129">
        <f>'[38]TABLEAU FINAL'!G24</f>
        <v>-4.5694403707614573E-3</v>
      </c>
      <c r="H25" s="130">
        <f>'[38]TABLEAU FINAL'!H24</f>
        <v>-1.0054007649391905E-2</v>
      </c>
    </row>
    <row r="26" spans="2:8" ht="24.95" customHeight="1" thickBot="1">
      <c r="B26" s="284"/>
      <c r="C26" s="295"/>
      <c r="D26" s="155" t="str">
        <f>'[38]TABLEAU FINAL'!D25</f>
        <v>3 et plus</v>
      </c>
      <c r="E26" s="156">
        <f>'[38]TABLEAU FINAL'!E25</f>
        <v>-6.9086521297030004</v>
      </c>
      <c r="F26" s="157">
        <f>'[38]TABLEAU FINAL'!F25</f>
        <v>0.14657414266220314</v>
      </c>
      <c r="G26" s="158">
        <f>'[38]TABLEAU FINAL'!G25</f>
        <v>-1.1323837367874012E-2</v>
      </c>
      <c r="H26" s="159">
        <f>'[38]TABLEAU FINAL'!H25</f>
        <v>-1.6577584477425633E-2</v>
      </c>
    </row>
    <row r="27" spans="2:8" ht="24.95" customHeight="1" thickBot="1">
      <c r="B27" s="277" t="str">
        <f>'[38]TABLEAU FINAL'!B26</f>
        <v>Selon le quintile de pension</v>
      </c>
      <c r="C27" s="278"/>
      <c r="D27" s="278"/>
      <c r="E27" s="278"/>
      <c r="F27" s="278"/>
      <c r="G27" s="278"/>
      <c r="H27" s="279"/>
    </row>
    <row r="28" spans="2:8" ht="24.95" customHeight="1">
      <c r="B28" s="282" t="str">
        <f>'[38]TABLEAU FINAL'!B27</f>
        <v>Femmes</v>
      </c>
      <c r="C28" s="292" t="str">
        <f>'[38]TABLEAU FINAL'!C27</f>
        <v>Q1</v>
      </c>
      <c r="D28" s="160">
        <f>'[38]TABLEAU FINAL'!D27</f>
        <v>1</v>
      </c>
      <c r="E28" s="161">
        <f>'[38]TABLEAU FINAL'!E27</f>
        <v>-2.2746110250363074</v>
      </c>
      <c r="F28" s="162">
        <f>'[38]TABLEAU FINAL'!F27</f>
        <v>4.4157530944914924E-3</v>
      </c>
      <c r="G28" s="163">
        <f>'[38]TABLEAU FINAL'!G27</f>
        <v>-1.8277753728082047E-2</v>
      </c>
      <c r="H28" s="164">
        <f>'[38]TABLEAU FINAL'!H27</f>
        <v>-1.6876685933191138E-2</v>
      </c>
    </row>
    <row r="29" spans="2:8" ht="24.95" customHeight="1">
      <c r="B29" s="282"/>
      <c r="C29" s="292"/>
      <c r="D29" s="126">
        <f>'[38]TABLEAU FINAL'!D28</f>
        <v>2</v>
      </c>
      <c r="E29" s="127">
        <f>'[38]TABLEAU FINAL'!E28</f>
        <v>-4.7755668470099977</v>
      </c>
      <c r="F29" s="128">
        <f>'[38]TABLEAU FINAL'!F28</f>
        <v>1.6097848802303361E-2</v>
      </c>
      <c r="G29" s="129">
        <f>'[38]TABLEAU FINAL'!G28</f>
        <v>-3.5917466817349197E-2</v>
      </c>
      <c r="H29" s="130">
        <f>'[38]TABLEAU FINAL'!H28</f>
        <v>-3.6197750247711991E-2</v>
      </c>
    </row>
    <row r="30" spans="2:8" ht="24.95" customHeight="1">
      <c r="B30" s="282"/>
      <c r="C30" s="292"/>
      <c r="D30" s="131" t="str">
        <f>'[38]TABLEAU FINAL'!D29</f>
        <v>3 et plus</v>
      </c>
      <c r="E30" s="132">
        <f>'[38]TABLEAU FINAL'!E29</f>
        <v>-7.5988922986469873</v>
      </c>
      <c r="F30" s="133">
        <f>'[38]TABLEAU FINAL'!F29</f>
        <v>1.9298425428402766E-2</v>
      </c>
      <c r="G30" s="134">
        <f>'[38]TABLEAU FINAL'!G29</f>
        <v>-5.0084647392339088E-2</v>
      </c>
      <c r="H30" s="135">
        <f>'[38]TABLEAU FINAL'!H29</f>
        <v>-5.0529581445444838E-2</v>
      </c>
    </row>
    <row r="31" spans="2:8" ht="24.95" customHeight="1">
      <c r="B31" s="282"/>
      <c r="C31" s="288" t="str">
        <f>'[38]TABLEAU FINAL'!C30</f>
        <v>Q2</v>
      </c>
      <c r="D31" s="114">
        <f>'[38]TABLEAU FINAL'!D30</f>
        <v>1</v>
      </c>
      <c r="E31" s="115">
        <f>'[38]TABLEAU FINAL'!E30</f>
        <v>-1.4964300040059868</v>
      </c>
      <c r="F31" s="116">
        <f>'[38]TABLEAU FINAL'!F30</f>
        <v>6.0025832211493935E-2</v>
      </c>
      <c r="G31" s="117">
        <f>'[38]TABLEAU FINAL'!G30</f>
        <v>-1.9474434084019165E-3</v>
      </c>
      <c r="H31" s="118">
        <f>'[38]TABLEAU FINAL'!H30</f>
        <v>-4.0457353161736931E-3</v>
      </c>
    </row>
    <row r="32" spans="2:8" ht="24.95" customHeight="1">
      <c r="B32" s="282"/>
      <c r="C32" s="287"/>
      <c r="D32" s="114">
        <f>'[38]TABLEAU FINAL'!D31</f>
        <v>2</v>
      </c>
      <c r="E32" s="115">
        <f>'[38]TABLEAU FINAL'!E31</f>
        <v>-3.259248550609982</v>
      </c>
      <c r="F32" s="116">
        <f>'[38]TABLEAU FINAL'!F31</f>
        <v>6.4486544604193341E-2</v>
      </c>
      <c r="G32" s="117">
        <f>'[38]TABLEAU FINAL'!G31</f>
        <v>-3.8978209359263882E-4</v>
      </c>
      <c r="H32" s="118">
        <f>'[38]TABLEAU FINAL'!H31</f>
        <v>-1.0849018406241528E-3</v>
      </c>
    </row>
    <row r="33" spans="2:8" ht="24.95" customHeight="1">
      <c r="B33" s="282"/>
      <c r="C33" s="287"/>
      <c r="D33" s="119" t="str">
        <f>'[38]TABLEAU FINAL'!D32</f>
        <v>3 et plus</v>
      </c>
      <c r="E33" s="120">
        <f>'[38]TABLEAU FINAL'!E32</f>
        <v>-6.6369989202720205</v>
      </c>
      <c r="F33" s="121">
        <f>'[38]TABLEAU FINAL'!F32</f>
        <v>0.14046430657980125</v>
      </c>
      <c r="G33" s="122">
        <f>'[38]TABLEAU FINAL'!G32</f>
        <v>-8.3869976901825849E-3</v>
      </c>
      <c r="H33" s="123">
        <f>'[38]TABLEAU FINAL'!H32</f>
        <v>-1.2050928645918058E-2</v>
      </c>
    </row>
    <row r="34" spans="2:8" ht="24.95" customHeight="1">
      <c r="B34" s="282"/>
      <c r="C34" s="291" t="str">
        <f>'[38]TABLEAU FINAL'!C33</f>
        <v>Q3</v>
      </c>
      <c r="D34" s="114">
        <f>'[38]TABLEAU FINAL'!D33</f>
        <v>1</v>
      </c>
      <c r="E34" s="115">
        <f>'[38]TABLEAU FINAL'!E33</f>
        <v>-1.2247642815469817</v>
      </c>
      <c r="F34" s="116">
        <f>'[38]TABLEAU FINAL'!F33</f>
        <v>3.1114846839798815E-2</v>
      </c>
      <c r="G34" s="117">
        <f>'[38]TABLEAU FINAL'!G33</f>
        <v>1.2806568599235124E-3</v>
      </c>
      <c r="H34" s="118">
        <f>'[38]TABLEAU FINAL'!H33</f>
        <v>2.3178886305341706E-4</v>
      </c>
    </row>
    <row r="35" spans="2:8" ht="24.95" customHeight="1">
      <c r="B35" s="282"/>
      <c r="C35" s="292"/>
      <c r="D35" s="126">
        <f>'[38]TABLEAU FINAL'!D34</f>
        <v>2</v>
      </c>
      <c r="E35" s="127">
        <f>'[38]TABLEAU FINAL'!E34</f>
        <v>-2.7098903704930137</v>
      </c>
      <c r="F35" s="128">
        <f>'[38]TABLEAU FINAL'!F34</f>
        <v>4.4769874769500007E-2</v>
      </c>
      <c r="G35" s="129">
        <f>'[38]TABLEAU FINAL'!G34</f>
        <v>4.7227120862867178E-3</v>
      </c>
      <c r="H35" s="130">
        <f>'[38]TABLEAU FINAL'!H34</f>
        <v>3.2471170390080406E-3</v>
      </c>
    </row>
    <row r="36" spans="2:8" ht="24.95" customHeight="1">
      <c r="B36" s="282"/>
      <c r="C36" s="292"/>
      <c r="D36" s="131" t="str">
        <f>'[38]TABLEAU FINAL'!D35</f>
        <v>3 et plus</v>
      </c>
      <c r="E36" s="132">
        <f>'[38]TABLEAU FINAL'!E35</f>
        <v>-3.6727589248179981</v>
      </c>
      <c r="F36" s="133">
        <f>'[38]TABLEAU FINAL'!F35</f>
        <v>-2.9609862569657253E-4</v>
      </c>
      <c r="G36" s="134">
        <f>'[38]TABLEAU FINAL'!G35</f>
        <v>9.2088122904412373E-3</v>
      </c>
      <c r="H36" s="135">
        <f>'[38]TABLEAU FINAL'!H35</f>
        <v>8.9334836895416103E-3</v>
      </c>
    </row>
    <row r="37" spans="2:8" ht="24.95" customHeight="1">
      <c r="B37" s="282"/>
      <c r="C37" s="291" t="str">
        <f>'[38]TABLEAU FINAL'!C36</f>
        <v>Q4</v>
      </c>
      <c r="D37" s="114">
        <f>'[38]TABLEAU FINAL'!D36</f>
        <v>1</v>
      </c>
      <c r="E37" s="115">
        <f>'[38]TABLEAU FINAL'!E36</f>
        <v>-1.3071191852120023</v>
      </c>
      <c r="F37" s="116">
        <f>'[38]TABLEAU FINAL'!F36</f>
        <v>9.7868882247098554E-2</v>
      </c>
      <c r="G37" s="117">
        <f>'[38]TABLEAU FINAL'!G36</f>
        <v>1.98234990912316E-3</v>
      </c>
      <c r="H37" s="118">
        <f>'[38]TABLEAU FINAL'!H36</f>
        <v>1.8585154002970228E-4</v>
      </c>
    </row>
    <row r="38" spans="2:8" ht="24.95" customHeight="1">
      <c r="B38" s="282"/>
      <c r="C38" s="292"/>
      <c r="D38" s="126">
        <f>'[38]TABLEAU FINAL'!D37</f>
        <v>2</v>
      </c>
      <c r="E38" s="127">
        <f>'[38]TABLEAU FINAL'!E37</f>
        <v>-2.8173751335849886</v>
      </c>
      <c r="F38" s="128">
        <f>'[38]TABLEAU FINAL'!F37</f>
        <v>3.1209161234500016E-2</v>
      </c>
      <c r="G38" s="129">
        <f>'[38]TABLEAU FINAL'!G37</f>
        <v>6.0406521338303154E-3</v>
      </c>
      <c r="H38" s="130">
        <f>'[38]TABLEAU FINAL'!H37</f>
        <v>5.6653309939167507E-3</v>
      </c>
    </row>
    <row r="39" spans="2:8" ht="24.95" customHeight="1">
      <c r="B39" s="282"/>
      <c r="C39" s="292"/>
      <c r="D39" s="131" t="str">
        <f>'[38]TABLEAU FINAL'!D38</f>
        <v>3 et plus</v>
      </c>
      <c r="E39" s="132">
        <f>'[38]TABLEAU FINAL'!E38</f>
        <v>-4.7174920463569947</v>
      </c>
      <c r="F39" s="133">
        <f>'[38]TABLEAU FINAL'!F38</f>
        <v>1.5897525035398985E-2</v>
      </c>
      <c r="G39" s="134">
        <f>'[38]TABLEAU FINAL'!G38</f>
        <v>1.1150218242154786E-2</v>
      </c>
      <c r="H39" s="135">
        <f>'[38]TABLEAU FINAL'!H38</f>
        <v>1.1467579692539864E-2</v>
      </c>
    </row>
    <row r="40" spans="2:8" ht="24.95" customHeight="1">
      <c r="B40" s="282"/>
      <c r="C40" s="291" t="str">
        <f>'[38]TABLEAU FINAL'!C39</f>
        <v>Q5</v>
      </c>
      <c r="D40" s="126">
        <f>'[38]TABLEAU FINAL'!D39</f>
        <v>1</v>
      </c>
      <c r="E40" s="127">
        <f>'[38]TABLEAU FINAL'!E39</f>
        <v>-1.6800100253859966</v>
      </c>
      <c r="F40" s="128">
        <f>'[38]TABLEAU FINAL'!F39</f>
        <v>5.9235776431492582E-2</v>
      </c>
      <c r="G40" s="129">
        <f>'[38]TABLEAU FINAL'!G39</f>
        <v>-4.2189501805123264E-3</v>
      </c>
      <c r="H40" s="130">
        <f>'[38]TABLEAU FINAL'!H39</f>
        <v>-8.2802321277370972E-3</v>
      </c>
    </row>
    <row r="41" spans="2:8" ht="24.95" customHeight="1">
      <c r="B41" s="282"/>
      <c r="C41" s="292"/>
      <c r="D41" s="126">
        <f>'[38]TABLEAU FINAL'!D40</f>
        <v>2</v>
      </c>
      <c r="E41" s="127">
        <f>'[38]TABLEAU FINAL'!E40</f>
        <v>-3.6607390946919907</v>
      </c>
      <c r="F41" s="128">
        <f>'[38]TABLEAU FINAL'!F40</f>
        <v>8.1290248202293469E-2</v>
      </c>
      <c r="G41" s="129">
        <f>'[38]TABLEAU FINAL'!G40</f>
        <v>4.4837569057216697E-3</v>
      </c>
      <c r="H41" s="130">
        <f>'[38]TABLEAU FINAL'!H40</f>
        <v>1.9407448191040011E-3</v>
      </c>
    </row>
    <row r="42" spans="2:8" ht="24.95" customHeight="1" thickBot="1">
      <c r="B42" s="284"/>
      <c r="C42" s="295"/>
      <c r="D42" s="155" t="str">
        <f>'[38]TABLEAU FINAL'!D41</f>
        <v>3 et plus</v>
      </c>
      <c r="E42" s="156">
        <f>'[38]TABLEAU FINAL'!E41</f>
        <v>-4.9032570531380202</v>
      </c>
      <c r="F42" s="157">
        <f>'[38]TABLEAU FINAL'!F41</f>
        <v>2.6810042904699571E-2</v>
      </c>
      <c r="G42" s="158">
        <f>'[38]TABLEAU FINAL'!G41</f>
        <v>7.624443072575593E-3</v>
      </c>
      <c r="H42" s="159">
        <f>'[38]TABLEAU FINAL'!H41</f>
        <v>7.5912962769209003E-3</v>
      </c>
    </row>
    <row r="44" spans="2:8">
      <c r="B44" s="177" t="s">
        <v>35</v>
      </c>
    </row>
  </sheetData>
  <mergeCells count="19">
    <mergeCell ref="B4:C4"/>
    <mergeCell ref="B5:C5"/>
    <mergeCell ref="B6:C6"/>
    <mergeCell ref="B7:H7"/>
    <mergeCell ref="B8:C10"/>
    <mergeCell ref="B11:H11"/>
    <mergeCell ref="B12:B26"/>
    <mergeCell ref="C12:C14"/>
    <mergeCell ref="C15:C17"/>
    <mergeCell ref="C18:C20"/>
    <mergeCell ref="C21:C23"/>
    <mergeCell ref="C24:C26"/>
    <mergeCell ref="B27:H27"/>
    <mergeCell ref="B28:B42"/>
    <mergeCell ref="C28:C30"/>
    <mergeCell ref="C31:C33"/>
    <mergeCell ref="C34:C36"/>
    <mergeCell ref="C37:C39"/>
    <mergeCell ref="C40:C42"/>
  </mergeCells>
  <hyperlinks>
    <hyperlink ref="A2" location="SOMMAIRE!A1" display="Retour au sommaire" xr:uid="{4DCF9F28-DC1A-4781-BDE8-B7353B2C6D5E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293A-3887-43CD-8C0A-B05819DC1259}">
  <sheetPr>
    <tabColor theme="4"/>
  </sheetPr>
  <dimension ref="A1:H44"/>
  <sheetViews>
    <sheetView workbookViewId="0"/>
  </sheetViews>
  <sheetFormatPr baseColWidth="10" defaultRowHeight="12.75"/>
  <cols>
    <col min="1" max="2" width="11" style="7"/>
    <col min="3" max="3" width="36.25" style="7" customWidth="1"/>
    <col min="4" max="4" width="11" style="7" customWidth="1"/>
    <col min="5" max="8" width="20.625" style="7" customWidth="1"/>
    <col min="9" max="18" width="11" style="7" customWidth="1"/>
    <col min="19" max="258" width="11" style="7"/>
    <col min="259" max="259" width="36.25" style="7" customWidth="1"/>
    <col min="260" max="514" width="11" style="7"/>
    <col min="515" max="515" width="36.25" style="7" customWidth="1"/>
    <col min="516" max="770" width="11" style="7"/>
    <col min="771" max="771" width="36.25" style="7" customWidth="1"/>
    <col min="772" max="1026" width="11" style="7"/>
    <col min="1027" max="1027" width="36.25" style="7" customWidth="1"/>
    <col min="1028" max="1282" width="11" style="7"/>
    <col min="1283" max="1283" width="36.25" style="7" customWidth="1"/>
    <col min="1284" max="1538" width="11" style="7"/>
    <col min="1539" max="1539" width="36.25" style="7" customWidth="1"/>
    <col min="1540" max="1794" width="11" style="7"/>
    <col min="1795" max="1795" width="36.25" style="7" customWidth="1"/>
    <col min="1796" max="2050" width="11" style="7"/>
    <col min="2051" max="2051" width="36.25" style="7" customWidth="1"/>
    <col min="2052" max="2306" width="11" style="7"/>
    <col min="2307" max="2307" width="36.25" style="7" customWidth="1"/>
    <col min="2308" max="2562" width="11" style="7"/>
    <col min="2563" max="2563" width="36.25" style="7" customWidth="1"/>
    <col min="2564" max="2818" width="11" style="7"/>
    <col min="2819" max="2819" width="36.25" style="7" customWidth="1"/>
    <col min="2820" max="3074" width="11" style="7"/>
    <col min="3075" max="3075" width="36.25" style="7" customWidth="1"/>
    <col min="3076" max="3330" width="11" style="7"/>
    <col min="3331" max="3331" width="36.25" style="7" customWidth="1"/>
    <col min="3332" max="3586" width="11" style="7"/>
    <col min="3587" max="3587" width="36.25" style="7" customWidth="1"/>
    <col min="3588" max="3842" width="11" style="7"/>
    <col min="3843" max="3843" width="36.25" style="7" customWidth="1"/>
    <col min="3844" max="4098" width="11" style="7"/>
    <col min="4099" max="4099" width="36.25" style="7" customWidth="1"/>
    <col min="4100" max="4354" width="11" style="7"/>
    <col min="4355" max="4355" width="36.25" style="7" customWidth="1"/>
    <col min="4356" max="4610" width="11" style="7"/>
    <col min="4611" max="4611" width="36.25" style="7" customWidth="1"/>
    <col min="4612" max="4866" width="11" style="7"/>
    <col min="4867" max="4867" width="36.25" style="7" customWidth="1"/>
    <col min="4868" max="5122" width="11" style="7"/>
    <col min="5123" max="5123" width="36.25" style="7" customWidth="1"/>
    <col min="5124" max="5378" width="11" style="7"/>
    <col min="5379" max="5379" width="36.25" style="7" customWidth="1"/>
    <col min="5380" max="5634" width="11" style="7"/>
    <col min="5635" max="5635" width="36.25" style="7" customWidth="1"/>
    <col min="5636" max="5890" width="11" style="7"/>
    <col min="5891" max="5891" width="36.25" style="7" customWidth="1"/>
    <col min="5892" max="6146" width="11" style="7"/>
    <col min="6147" max="6147" width="36.25" style="7" customWidth="1"/>
    <col min="6148" max="6402" width="11" style="7"/>
    <col min="6403" max="6403" width="36.25" style="7" customWidth="1"/>
    <col min="6404" max="6658" width="11" style="7"/>
    <col min="6659" max="6659" width="36.25" style="7" customWidth="1"/>
    <col min="6660" max="6914" width="11" style="7"/>
    <col min="6915" max="6915" width="36.25" style="7" customWidth="1"/>
    <col min="6916" max="7170" width="11" style="7"/>
    <col min="7171" max="7171" width="36.25" style="7" customWidth="1"/>
    <col min="7172" max="7426" width="11" style="7"/>
    <col min="7427" max="7427" width="36.25" style="7" customWidth="1"/>
    <col min="7428" max="7682" width="11" style="7"/>
    <col min="7683" max="7683" width="36.25" style="7" customWidth="1"/>
    <col min="7684" max="7938" width="11" style="7"/>
    <col min="7939" max="7939" width="36.25" style="7" customWidth="1"/>
    <col min="7940" max="8194" width="11" style="7"/>
    <col min="8195" max="8195" width="36.25" style="7" customWidth="1"/>
    <col min="8196" max="8450" width="11" style="7"/>
    <col min="8451" max="8451" width="36.25" style="7" customWidth="1"/>
    <col min="8452" max="8706" width="11" style="7"/>
    <col min="8707" max="8707" width="36.25" style="7" customWidth="1"/>
    <col min="8708" max="8962" width="11" style="7"/>
    <col min="8963" max="8963" width="36.25" style="7" customWidth="1"/>
    <col min="8964" max="9218" width="11" style="7"/>
    <col min="9219" max="9219" width="36.25" style="7" customWidth="1"/>
    <col min="9220" max="9474" width="11" style="7"/>
    <col min="9475" max="9475" width="36.25" style="7" customWidth="1"/>
    <col min="9476" max="9730" width="11" style="7"/>
    <col min="9731" max="9731" width="36.25" style="7" customWidth="1"/>
    <col min="9732" max="9986" width="11" style="7"/>
    <col min="9987" max="9987" width="36.25" style="7" customWidth="1"/>
    <col min="9988" max="10242" width="11" style="7"/>
    <col min="10243" max="10243" width="36.25" style="7" customWidth="1"/>
    <col min="10244" max="10498" width="11" style="7"/>
    <col min="10499" max="10499" width="36.25" style="7" customWidth="1"/>
    <col min="10500" max="10754" width="11" style="7"/>
    <col min="10755" max="10755" width="36.25" style="7" customWidth="1"/>
    <col min="10756" max="11010" width="11" style="7"/>
    <col min="11011" max="11011" width="36.25" style="7" customWidth="1"/>
    <col min="11012" max="11266" width="11" style="7"/>
    <col min="11267" max="11267" width="36.25" style="7" customWidth="1"/>
    <col min="11268" max="11522" width="11" style="7"/>
    <col min="11523" max="11523" width="36.25" style="7" customWidth="1"/>
    <col min="11524" max="11778" width="11" style="7"/>
    <col min="11779" max="11779" width="36.25" style="7" customWidth="1"/>
    <col min="11780" max="12034" width="11" style="7"/>
    <col min="12035" max="12035" width="36.25" style="7" customWidth="1"/>
    <col min="12036" max="12290" width="11" style="7"/>
    <col min="12291" max="12291" width="36.25" style="7" customWidth="1"/>
    <col min="12292" max="12546" width="11" style="7"/>
    <col min="12547" max="12547" width="36.25" style="7" customWidth="1"/>
    <col min="12548" max="12802" width="11" style="7"/>
    <col min="12803" max="12803" width="36.25" style="7" customWidth="1"/>
    <col min="12804" max="13058" width="11" style="7"/>
    <col min="13059" max="13059" width="36.25" style="7" customWidth="1"/>
    <col min="13060" max="13314" width="11" style="7"/>
    <col min="13315" max="13315" width="36.25" style="7" customWidth="1"/>
    <col min="13316" max="13570" width="11" style="7"/>
    <col min="13571" max="13571" width="36.25" style="7" customWidth="1"/>
    <col min="13572" max="13826" width="11" style="7"/>
    <col min="13827" max="13827" width="36.25" style="7" customWidth="1"/>
    <col min="13828" max="14082" width="11" style="7"/>
    <col min="14083" max="14083" width="36.25" style="7" customWidth="1"/>
    <col min="14084" max="14338" width="11" style="7"/>
    <col min="14339" max="14339" width="36.25" style="7" customWidth="1"/>
    <col min="14340" max="14594" width="11" style="7"/>
    <col min="14595" max="14595" width="36.25" style="7" customWidth="1"/>
    <col min="14596" max="14850" width="11" style="7"/>
    <col min="14851" max="14851" width="36.25" style="7" customWidth="1"/>
    <col min="14852" max="15106" width="11" style="7"/>
    <col min="15107" max="15107" width="36.25" style="7" customWidth="1"/>
    <col min="15108" max="15362" width="11" style="7"/>
    <col min="15363" max="15363" width="36.25" style="7" customWidth="1"/>
    <col min="15364" max="15618" width="11" style="7"/>
    <col min="15619" max="15619" width="36.25" style="7" customWidth="1"/>
    <col min="15620" max="15874" width="11" style="7"/>
    <col min="15875" max="15875" width="36.25" style="7" customWidth="1"/>
    <col min="15876" max="16130" width="11" style="7"/>
    <col min="16131" max="16131" width="36.25" style="7" customWidth="1"/>
    <col min="16132" max="16384" width="11" style="7"/>
  </cols>
  <sheetData>
    <row r="1" spans="1:8" ht="15.75">
      <c r="A1" s="2" t="s">
        <v>106</v>
      </c>
      <c r="B1" s="2"/>
    </row>
    <row r="2" spans="1:8" ht="14.25">
      <c r="A2" s="6" t="s">
        <v>2</v>
      </c>
      <c r="B2" s="6"/>
    </row>
    <row r="3" spans="1:8" ht="13.5" thickBot="1"/>
    <row r="4" spans="1:8" ht="45.75" thickBot="1">
      <c r="B4" s="285"/>
      <c r="C4" s="286"/>
      <c r="D4" s="99" t="str">
        <f>'[39]TABLEAU FINAL'!D3</f>
        <v>Nombre d'enfants</v>
      </c>
      <c r="E4" s="100" t="str">
        <f>'[39]TABLEAU FINAL'!E3</f>
        <v>Durée validée totale moyenne (écart en trimestres)</v>
      </c>
      <c r="F4" s="100" t="str">
        <f>'[39]TABLEAU FINAL'!F3</f>
        <v>Âge de départ (écart en année)</v>
      </c>
      <c r="G4" s="100" t="str">
        <f>'[39]TABLEAU FINAL'!G3</f>
        <v>Pension moyenne 68 ans</v>
      </c>
      <c r="H4" s="101" t="str">
        <f>'[39]TABLEAU FINAL'!H3</f>
        <v>Pension moyenne CV</v>
      </c>
    </row>
    <row r="5" spans="1:8" ht="24.95" customHeight="1">
      <c r="B5" s="280" t="str">
        <f>'[39]TABLEAU FINAL'!B4</f>
        <v>Femmes</v>
      </c>
      <c r="C5" s="281"/>
      <c r="D5" s="102" t="str">
        <f>'[39]TABLEAU FINAL'!D4</f>
        <v>Ensemble</v>
      </c>
      <c r="E5" s="103">
        <f>'[39]TABLEAU FINAL'!E4</f>
        <v>-5.521375050408011</v>
      </c>
      <c r="F5" s="104">
        <f>'[39]TABLEAU FINAL'!F4</f>
        <v>0.11817101015419951</v>
      </c>
      <c r="G5" s="105">
        <f>'[39]TABLEAU FINAL'!G4</f>
        <v>-7.0513834324100744E-3</v>
      </c>
      <c r="H5" s="106">
        <f>'[39]TABLEAU FINAL'!H4</f>
        <v>-1.1387154983892867E-2</v>
      </c>
    </row>
    <row r="6" spans="1:8" ht="24.95" customHeight="1" thickBot="1">
      <c r="B6" s="293" t="str">
        <f>'[39]TABLEAU FINAL'!B5</f>
        <v>Hommes</v>
      </c>
      <c r="C6" s="294"/>
      <c r="D6" s="107" t="str">
        <f>'[39]TABLEAU FINAL'!D5</f>
        <v>Ensemble</v>
      </c>
      <c r="E6" s="108" t="str">
        <f>'[39]TABLEAU FINAL'!E5</f>
        <v>-</v>
      </c>
      <c r="F6" s="109" t="str">
        <f>'[39]TABLEAU FINAL'!F5</f>
        <v>-</v>
      </c>
      <c r="G6" s="110" t="str">
        <f>'[39]TABLEAU FINAL'!G5</f>
        <v>-</v>
      </c>
      <c r="H6" s="111" t="str">
        <f>'[39]TABLEAU FINAL'!H5</f>
        <v>-</v>
      </c>
    </row>
    <row r="7" spans="1:8" ht="24.95" customHeight="1" thickBot="1">
      <c r="B7" s="277" t="str">
        <f>'[39]TABLEAU FINAL'!B6</f>
        <v>Selon le nombre d'enfants</v>
      </c>
      <c r="C7" s="278"/>
      <c r="D7" s="278"/>
      <c r="E7" s="278"/>
      <c r="F7" s="278"/>
      <c r="G7" s="278"/>
      <c r="H7" s="279"/>
    </row>
    <row r="8" spans="1:8" ht="24.95" customHeight="1">
      <c r="B8" s="280" t="str">
        <f>'[39]TABLEAU FINAL'!B7</f>
        <v>Femmes</v>
      </c>
      <c r="C8" s="281"/>
      <c r="D8" s="102">
        <f>'[39]TABLEAU FINAL'!D7</f>
        <v>1</v>
      </c>
      <c r="E8" s="103">
        <f>'[39]TABLEAU FINAL'!E7</f>
        <v>-2.6258468278130067</v>
      </c>
      <c r="F8" s="104">
        <f>'[39]TABLEAU FINAL'!F7</f>
        <v>0.11066748958099026</v>
      </c>
      <c r="G8" s="112">
        <f>'[39]TABLEAU FINAL'!G7</f>
        <v>-3.8183987575738376E-3</v>
      </c>
      <c r="H8" s="113">
        <f>'[39]TABLEAU FINAL'!H7</f>
        <v>-8.4938482195544562E-3</v>
      </c>
    </row>
    <row r="9" spans="1:8" ht="24.95" customHeight="1">
      <c r="B9" s="282"/>
      <c r="C9" s="283"/>
      <c r="D9" s="114">
        <f>'[39]TABLEAU FINAL'!D8</f>
        <v>2</v>
      </c>
      <c r="E9" s="115">
        <f>'[39]TABLEAU FINAL'!E8</f>
        <v>-5.7860155801990061</v>
      </c>
      <c r="F9" s="116">
        <f>'[39]TABLEAU FINAL'!F8</f>
        <v>0.13996205295740083</v>
      </c>
      <c r="G9" s="117">
        <f>'[39]TABLEAU FINAL'!G8</f>
        <v>-8.700455146297803E-3</v>
      </c>
      <c r="H9" s="118">
        <f>'[39]TABLEAU FINAL'!H8</f>
        <v>-1.3791025576982863E-2</v>
      </c>
    </row>
    <row r="10" spans="1:8" ht="24.95" customHeight="1" thickBot="1">
      <c r="B10" s="282"/>
      <c r="C10" s="283"/>
      <c r="D10" s="119" t="str">
        <f>'[39]TABLEAU FINAL'!D9</f>
        <v>3 et plus</v>
      </c>
      <c r="E10" s="120">
        <f>'[39]TABLEAU FINAL'!E9</f>
        <v>-9.3169773996050083</v>
      </c>
      <c r="F10" s="121">
        <f>'[39]TABLEAU FINAL'!F9</f>
        <v>0.14016486614779922</v>
      </c>
      <c r="G10" s="122">
        <f>'[39]TABLEAU FINAL'!G9</f>
        <v>-9.7166868216443936E-3</v>
      </c>
      <c r="H10" s="123">
        <f>'[39]TABLEAU FINAL'!H9</f>
        <v>-1.4405817927873543E-2</v>
      </c>
    </row>
    <row r="11" spans="1:8" ht="24.95" customHeight="1" thickBot="1">
      <c r="B11" s="277" t="str">
        <f>'[39]TABLEAU FINAL'!B10</f>
        <v>Selon le régime d'affiliation</v>
      </c>
      <c r="C11" s="278"/>
      <c r="D11" s="278"/>
      <c r="E11" s="278"/>
      <c r="F11" s="278"/>
      <c r="G11" s="278"/>
      <c r="H11" s="279"/>
    </row>
    <row r="12" spans="1:8" ht="24.95" customHeight="1">
      <c r="B12" s="280" t="str">
        <f>'[39]TABLEAU FINAL'!B11</f>
        <v>Femmes</v>
      </c>
      <c r="C12" s="296" t="str">
        <f>'[39]TABLEAU FINAL'!C11</f>
        <v>Mono Lura</v>
      </c>
      <c r="D12" s="150">
        <f>'[39]TABLEAU FINAL'!D11</f>
        <v>1</v>
      </c>
      <c r="E12" s="151">
        <f>'[39]TABLEAU FINAL'!E11</f>
        <v>-3.408859433163002</v>
      </c>
      <c r="F12" s="152">
        <f>'[39]TABLEAU FINAL'!F11</f>
        <v>0.14829112328600047</v>
      </c>
      <c r="G12" s="153">
        <f>'[39]TABLEAU FINAL'!G11</f>
        <v>-8.7510073541813282E-3</v>
      </c>
      <c r="H12" s="154">
        <f>'[39]TABLEAU FINAL'!H11</f>
        <v>-1.5739565168766401E-2</v>
      </c>
    </row>
    <row r="13" spans="1:8" ht="24.95" customHeight="1">
      <c r="B13" s="282"/>
      <c r="C13" s="292"/>
      <c r="D13" s="126">
        <f>'[39]TABLEAU FINAL'!D12</f>
        <v>2</v>
      </c>
      <c r="E13" s="127">
        <f>'[39]TABLEAU FINAL'!E12</f>
        <v>-7.4212426518669758</v>
      </c>
      <c r="F13" s="128">
        <f>'[39]TABLEAU FINAL'!F12</f>
        <v>0.178034434388195</v>
      </c>
      <c r="G13" s="129">
        <f>'[39]TABLEAU FINAL'!G12</f>
        <v>-1.9285696400956565E-2</v>
      </c>
      <c r="H13" s="130">
        <f>'[39]TABLEAU FINAL'!H12</f>
        <v>-2.6447823594704101E-2</v>
      </c>
    </row>
    <row r="14" spans="1:8" ht="24.95" customHeight="1">
      <c r="B14" s="282"/>
      <c r="C14" s="292"/>
      <c r="D14" s="131" t="str">
        <f>'[39]TABLEAU FINAL'!D13</f>
        <v>3 et plus</v>
      </c>
      <c r="E14" s="132">
        <f>'[39]TABLEAU FINAL'!E13</f>
        <v>-11.84761111643698</v>
      </c>
      <c r="F14" s="133">
        <f>'[39]TABLEAU FINAL'!F13</f>
        <v>0.17716738088030581</v>
      </c>
      <c r="G14" s="134">
        <f>'[39]TABLEAU FINAL'!G13</f>
        <v>-2.1247030663512745E-2</v>
      </c>
      <c r="H14" s="135">
        <f>'[39]TABLEAU FINAL'!H13</f>
        <v>-2.758037502038635E-2</v>
      </c>
    </row>
    <row r="15" spans="1:8" ht="24.95" customHeight="1">
      <c r="B15" s="282"/>
      <c r="C15" s="291" t="str">
        <f>'[39]TABLEAU FINAL'!C14</f>
        <v>Mono FP-RS</v>
      </c>
      <c r="D15" s="114">
        <f>'[39]TABLEAU FINAL'!D14</f>
        <v>1</v>
      </c>
      <c r="E15" s="115">
        <f>'[39]TABLEAU FINAL'!E14</f>
        <v>-5.0136325948017202E-2</v>
      </c>
      <c r="F15" s="116">
        <f>'[39]TABLEAU FINAL'!F14</f>
        <v>0</v>
      </c>
      <c r="G15" s="117">
        <f>'[39]TABLEAU FINAL'!G14</f>
        <v>7.2343803324106393E-3</v>
      </c>
      <c r="H15" s="118">
        <f>'[39]TABLEAU FINAL'!H14</f>
        <v>7.0170910057214542E-3</v>
      </c>
    </row>
    <row r="16" spans="1:8" ht="24.95" customHeight="1">
      <c r="B16" s="282"/>
      <c r="C16" s="292"/>
      <c r="D16" s="126">
        <f>'[39]TABLEAU FINAL'!D15</f>
        <v>2</v>
      </c>
      <c r="E16" s="127">
        <f>'[39]TABLEAU FINAL'!E15</f>
        <v>-0.16297612122198757</v>
      </c>
      <c r="F16" s="128">
        <f>'[39]TABLEAU FINAL'!F15</f>
        <v>3.8463687262009216E-3</v>
      </c>
      <c r="G16" s="129">
        <f>'[39]TABLEAU FINAL'!G15</f>
        <v>1.5805706186245772E-2</v>
      </c>
      <c r="H16" s="130">
        <f>'[39]TABLEAU FINAL'!H15</f>
        <v>1.4849984688497964E-2</v>
      </c>
    </row>
    <row r="17" spans="2:8" ht="24.95" customHeight="1">
      <c r="B17" s="282"/>
      <c r="C17" s="292"/>
      <c r="D17" s="131" t="str">
        <f>'[39]TABLEAU FINAL'!D16</f>
        <v>3 et plus</v>
      </c>
      <c r="E17" s="132">
        <f>'[39]TABLEAU FINAL'!E16</f>
        <v>-0.21265522126901715</v>
      </c>
      <c r="F17" s="133">
        <f>'[39]TABLEAU FINAL'!F16</f>
        <v>0</v>
      </c>
      <c r="G17" s="134">
        <f>'[39]TABLEAU FINAL'!G16</f>
        <v>2.5034416262825321E-2</v>
      </c>
      <c r="H17" s="135">
        <f>'[39]TABLEAU FINAL'!H16</f>
        <v>2.398361656639092E-2</v>
      </c>
    </row>
    <row r="18" spans="2:8" ht="24.95" customHeight="1">
      <c r="B18" s="282"/>
      <c r="C18" s="288" t="str">
        <f>'[39]TABLEAU FINAL'!C17</f>
        <v>Mono MSAE-PLIB</v>
      </c>
      <c r="D18" s="114">
        <f>'[39]TABLEAU FINAL'!D17</f>
        <v>1</v>
      </c>
      <c r="E18" s="115">
        <f>'[39]TABLEAU FINAL'!E17</f>
        <v>-5.2269913747619938</v>
      </c>
      <c r="F18" s="116">
        <f>'[39]TABLEAU FINAL'!F17</f>
        <v>-6.0407708102800939E-2</v>
      </c>
      <c r="G18" s="137">
        <f>'[39]TABLEAU FINAL'!G17</f>
        <v>-1.2552059659553527E-2</v>
      </c>
      <c r="H18" s="138">
        <f>'[39]TABLEAU FINAL'!H17</f>
        <v>-2.2260631726200852E-3</v>
      </c>
    </row>
    <row r="19" spans="2:8" ht="24.95" customHeight="1">
      <c r="B19" s="282"/>
      <c r="C19" s="287"/>
      <c r="D19" s="114">
        <f>'[39]TABLEAU FINAL'!D18</f>
        <v>2</v>
      </c>
      <c r="E19" s="115">
        <f>'[39]TABLEAU FINAL'!E18</f>
        <v>-3.1374999230610001</v>
      </c>
      <c r="F19" s="116">
        <f>'[39]TABLEAU FINAL'!F18</f>
        <v>0</v>
      </c>
      <c r="G19" s="137">
        <f>'[39]TABLEAU FINAL'!G18</f>
        <v>2.175076326750669E-2</v>
      </c>
      <c r="H19" s="138">
        <f>'[39]TABLEAU FINAL'!H18</f>
        <v>2.3890684697145392E-2</v>
      </c>
    </row>
    <row r="20" spans="2:8" ht="24.95" customHeight="1">
      <c r="B20" s="282"/>
      <c r="C20" s="287"/>
      <c r="D20" s="119" t="str">
        <f>'[39]TABLEAU FINAL'!D19</f>
        <v>3 et plus</v>
      </c>
      <c r="E20" s="120" t="str">
        <f>'[39]TABLEAU FINAL'!E19</f>
        <v>n.a</v>
      </c>
      <c r="F20" s="121" t="str">
        <f>'[39]TABLEAU FINAL'!F19</f>
        <v>n.a</v>
      </c>
      <c r="G20" s="139" t="str">
        <f>'[39]TABLEAU FINAL'!G19</f>
        <v>n.a</v>
      </c>
      <c r="H20" s="140" t="str">
        <f>'[39]TABLEAU FINAL'!H19</f>
        <v>n.a</v>
      </c>
    </row>
    <row r="21" spans="2:8" ht="24.95" customHeight="1">
      <c r="B21" s="282"/>
      <c r="C21" s="291" t="str">
        <f>'[39]TABLEAU FINAL'!C20</f>
        <v>Poly Lura-FP-RS</v>
      </c>
      <c r="D21" s="126">
        <f>'[39]TABLEAU FINAL'!D20</f>
        <v>1</v>
      </c>
      <c r="E21" s="127">
        <f>'[39]TABLEAU FINAL'!E20</f>
        <v>-2.3768541777997143E-2</v>
      </c>
      <c r="F21" s="128">
        <f>'[39]TABLEAU FINAL'!F20</f>
        <v>0</v>
      </c>
      <c r="G21" s="129">
        <f>'[39]TABLEAU FINAL'!G20</f>
        <v>9.9490072747618896E-3</v>
      </c>
      <c r="H21" s="130">
        <f>'[39]TABLEAU FINAL'!H20</f>
        <v>1.042807481815955E-2</v>
      </c>
    </row>
    <row r="22" spans="2:8" ht="24.95" customHeight="1">
      <c r="B22" s="282"/>
      <c r="C22" s="292"/>
      <c r="D22" s="126">
        <f>'[39]TABLEAU FINAL'!D21</f>
        <v>2</v>
      </c>
      <c r="E22" s="127">
        <f>'[39]TABLEAU FINAL'!E21</f>
        <v>-0.13989074057300854</v>
      </c>
      <c r="F22" s="128">
        <f>'[39]TABLEAU FINAL'!F21</f>
        <v>2.7642594689041289E-3</v>
      </c>
      <c r="G22" s="129">
        <f>'[39]TABLEAU FINAL'!G21</f>
        <v>1.6384507370729384E-2</v>
      </c>
      <c r="H22" s="130">
        <f>'[39]TABLEAU FINAL'!H21</f>
        <v>1.6340291224586911E-2</v>
      </c>
    </row>
    <row r="23" spans="2:8" ht="24.95" customHeight="1">
      <c r="B23" s="282"/>
      <c r="C23" s="292"/>
      <c r="D23" s="131" t="str">
        <f>'[39]TABLEAU FINAL'!D22</f>
        <v>3 et plus</v>
      </c>
      <c r="E23" s="132">
        <f>'[39]TABLEAU FINAL'!E22</f>
        <v>-0.38232125469599509</v>
      </c>
      <c r="F23" s="133">
        <f>'[39]TABLEAU FINAL'!F22</f>
        <v>3.277667378966953E-4</v>
      </c>
      <c r="G23" s="134">
        <f>'[39]TABLEAU FINAL'!G22</f>
        <v>2.1458558496365132E-2</v>
      </c>
      <c r="H23" s="135">
        <f>'[39]TABLEAU FINAL'!H22</f>
        <v>2.1148316620541729E-2</v>
      </c>
    </row>
    <row r="24" spans="2:8" ht="24.95" customHeight="1">
      <c r="B24" s="282"/>
      <c r="C24" s="291" t="str">
        <f>'[39]TABLEAU FINAL'!C23</f>
        <v>Poly Lura-MSAE-PLIB</v>
      </c>
      <c r="D24" s="126">
        <f>'[39]TABLEAU FINAL'!D23</f>
        <v>1</v>
      </c>
      <c r="E24" s="127">
        <f>'[39]TABLEAU FINAL'!E23</f>
        <v>-3.8554567107360072</v>
      </c>
      <c r="F24" s="128">
        <f>'[39]TABLEAU FINAL'!F23</f>
        <v>0.11181427128680355</v>
      </c>
      <c r="G24" s="129">
        <f>'[39]TABLEAU FINAL'!G23</f>
        <v>-1.25021593688458E-2</v>
      </c>
      <c r="H24" s="130">
        <f>'[39]TABLEAU FINAL'!H23</f>
        <v>-1.5985418557055708E-2</v>
      </c>
    </row>
    <row r="25" spans="2:8" ht="24.95" customHeight="1">
      <c r="B25" s="282"/>
      <c r="C25" s="292"/>
      <c r="D25" s="126">
        <f>'[39]TABLEAU FINAL'!D24</f>
        <v>2</v>
      </c>
      <c r="E25" s="127">
        <f>'[39]TABLEAU FINAL'!E24</f>
        <v>-7.6908262801989906</v>
      </c>
      <c r="F25" s="128">
        <f>'[39]TABLEAU FINAL'!F24</f>
        <v>0.21173763572130611</v>
      </c>
      <c r="G25" s="129">
        <f>'[39]TABLEAU FINAL'!G24</f>
        <v>-1.1548343183997889E-2</v>
      </c>
      <c r="H25" s="130">
        <f>'[39]TABLEAU FINAL'!H24</f>
        <v>-1.939544877365329E-2</v>
      </c>
    </row>
    <row r="26" spans="2:8" ht="24.95" customHeight="1" thickBot="1">
      <c r="B26" s="284"/>
      <c r="C26" s="295"/>
      <c r="D26" s="155" t="str">
        <f>'[39]TABLEAU FINAL'!D25</f>
        <v>3 et plus</v>
      </c>
      <c r="E26" s="156">
        <f>'[39]TABLEAU FINAL'!E25</f>
        <v>-10.70481290991799</v>
      </c>
      <c r="F26" s="157">
        <f>'[39]TABLEAU FINAL'!F25</f>
        <v>0.22606827024449672</v>
      </c>
      <c r="G26" s="158">
        <f>'[39]TABLEAU FINAL'!G25</f>
        <v>-1.8695840045900303E-2</v>
      </c>
      <c r="H26" s="159">
        <f>'[39]TABLEAU FINAL'!H25</f>
        <v>-2.7647376187054928E-2</v>
      </c>
    </row>
    <row r="27" spans="2:8" ht="24.95" customHeight="1" thickBot="1">
      <c r="B27" s="277" t="str">
        <f>'[39]TABLEAU FINAL'!B26</f>
        <v>Selon le quintile de pension</v>
      </c>
      <c r="C27" s="278"/>
      <c r="D27" s="278"/>
      <c r="E27" s="278"/>
      <c r="F27" s="278"/>
      <c r="G27" s="278"/>
      <c r="H27" s="279"/>
    </row>
    <row r="28" spans="2:8" ht="24.95" customHeight="1">
      <c r="B28" s="282" t="str">
        <f>'[39]TABLEAU FINAL'!B27</f>
        <v>Femmes</v>
      </c>
      <c r="C28" s="292" t="str">
        <f>'[39]TABLEAU FINAL'!C27</f>
        <v>Q1</v>
      </c>
      <c r="D28" s="160">
        <f>'[39]TABLEAU FINAL'!D27</f>
        <v>1</v>
      </c>
      <c r="E28" s="161">
        <f>'[39]TABLEAU FINAL'!E27</f>
        <v>-3.5067899297296066</v>
      </c>
      <c r="F28" s="162">
        <f>'[39]TABLEAU FINAL'!F27</f>
        <v>4.2911853333862382E-3</v>
      </c>
      <c r="G28" s="163">
        <f>'[39]TABLEAU FINAL'!G27</f>
        <v>-2.4779276100246883E-2</v>
      </c>
      <c r="H28" s="164">
        <f>'[39]TABLEAU FINAL'!H27</f>
        <v>-2.3997855209362706E-2</v>
      </c>
    </row>
    <row r="29" spans="2:8" ht="24.95" customHeight="1">
      <c r="B29" s="282"/>
      <c r="C29" s="292"/>
      <c r="D29" s="126">
        <f>'[39]TABLEAU FINAL'!D28</f>
        <v>2</v>
      </c>
      <c r="E29" s="127">
        <f>'[39]TABLEAU FINAL'!E28</f>
        <v>-7.4575503588650065</v>
      </c>
      <c r="F29" s="128">
        <f>'[39]TABLEAU FINAL'!F28</f>
        <v>2.4793528524398312E-2</v>
      </c>
      <c r="G29" s="129">
        <f>'[39]TABLEAU FINAL'!G28</f>
        <v>-6.2359813565878941E-2</v>
      </c>
      <c r="H29" s="130">
        <f>'[39]TABLEAU FINAL'!H28</f>
        <v>-6.2826088847885986E-2</v>
      </c>
    </row>
    <row r="30" spans="2:8" ht="24.95" customHeight="1">
      <c r="B30" s="282"/>
      <c r="C30" s="292"/>
      <c r="D30" s="131" t="str">
        <f>'[39]TABLEAU FINAL'!D29</f>
        <v>3 et plus</v>
      </c>
      <c r="E30" s="132">
        <f>'[39]TABLEAU FINAL'!E29</f>
        <v>-12.005257277590289</v>
      </c>
      <c r="F30" s="133">
        <f>'[39]TABLEAU FINAL'!F29</f>
        <v>1.7350711684997577E-2</v>
      </c>
      <c r="G30" s="134">
        <f>'[39]TABLEAU FINAL'!G29</f>
        <v>-9.4513059748744688E-2</v>
      </c>
      <c r="H30" s="135">
        <f>'[39]TABLEAU FINAL'!H29</f>
        <v>-9.601816914037864E-2</v>
      </c>
    </row>
    <row r="31" spans="2:8" ht="24.95" customHeight="1">
      <c r="B31" s="282"/>
      <c r="C31" s="288" t="str">
        <f>'[39]TABLEAU FINAL'!C30</f>
        <v>Q2</v>
      </c>
      <c r="D31" s="114">
        <f>'[39]TABLEAU FINAL'!D30</f>
        <v>1</v>
      </c>
      <c r="E31" s="115">
        <f>'[39]TABLEAU FINAL'!E30</f>
        <v>-2.8445390070179997</v>
      </c>
      <c r="F31" s="116">
        <f>'[39]TABLEAU FINAL'!F30</f>
        <v>0.11040846268410576</v>
      </c>
      <c r="G31" s="117">
        <f>'[39]TABLEAU FINAL'!G30</f>
        <v>-8.9890838680708463E-3</v>
      </c>
      <c r="H31" s="118">
        <f>'[39]TABLEAU FINAL'!H30</f>
        <v>-1.3246054297691656E-2</v>
      </c>
    </row>
    <row r="32" spans="2:8" ht="24.95" customHeight="1">
      <c r="B32" s="282"/>
      <c r="C32" s="287"/>
      <c r="D32" s="114">
        <f>'[39]TABLEAU FINAL'!D31</f>
        <v>2</v>
      </c>
      <c r="E32" s="115">
        <f>'[39]TABLEAU FINAL'!E31</f>
        <v>-5.7455122936669909</v>
      </c>
      <c r="F32" s="116">
        <f>'[39]TABLEAU FINAL'!F31</f>
        <v>0.15333061289359762</v>
      </c>
      <c r="G32" s="117">
        <f>'[39]TABLEAU FINAL'!G31</f>
        <v>-1.3751728046663914E-2</v>
      </c>
      <c r="H32" s="118">
        <f>'[39]TABLEAU FINAL'!H31</f>
        <v>-1.8659095811558446E-2</v>
      </c>
    </row>
    <row r="33" spans="2:8" ht="24.95" customHeight="1">
      <c r="B33" s="282"/>
      <c r="C33" s="287"/>
      <c r="D33" s="119" t="str">
        <f>'[39]TABLEAU FINAL'!D32</f>
        <v>3 et plus</v>
      </c>
      <c r="E33" s="120">
        <f>'[39]TABLEAU FINAL'!E32</f>
        <v>-10.763704697670022</v>
      </c>
      <c r="F33" s="121">
        <f>'[39]TABLEAU FINAL'!F32</f>
        <v>0.25664381385989543</v>
      </c>
      <c r="G33" s="122">
        <f>'[39]TABLEAU FINAL'!G32</f>
        <v>-2.5352308389497868E-2</v>
      </c>
      <c r="H33" s="123">
        <f>'[39]TABLEAU FINAL'!H32</f>
        <v>-3.3098581828774121E-2</v>
      </c>
    </row>
    <row r="34" spans="2:8" ht="24.95" customHeight="1">
      <c r="B34" s="282"/>
      <c r="C34" s="291" t="str">
        <f>'[39]TABLEAU FINAL'!C33</f>
        <v>Q3</v>
      </c>
      <c r="D34" s="114">
        <f>'[39]TABLEAU FINAL'!D33</f>
        <v>1</v>
      </c>
      <c r="E34" s="115">
        <f>'[39]TABLEAU FINAL'!E33</f>
        <v>-2.3582015107169809</v>
      </c>
      <c r="F34" s="116">
        <f>'[39]TABLEAU FINAL'!F33</f>
        <v>0.13005023862470466</v>
      </c>
      <c r="G34" s="117">
        <f>'[39]TABLEAU FINAL'!G33</f>
        <v>-2.208879875680525E-3</v>
      </c>
      <c r="H34" s="118">
        <f>'[39]TABLEAU FINAL'!H33</f>
        <v>-7.4549377375388026E-3</v>
      </c>
    </row>
    <row r="35" spans="2:8" ht="24.95" customHeight="1">
      <c r="B35" s="282"/>
      <c r="C35" s="292"/>
      <c r="D35" s="126">
        <f>'[39]TABLEAU FINAL'!D34</f>
        <v>2</v>
      </c>
      <c r="E35" s="127">
        <f>'[39]TABLEAU FINAL'!E34</f>
        <v>-5.2533855398069988</v>
      </c>
      <c r="F35" s="128">
        <f>'[39]TABLEAU FINAL'!F34</f>
        <v>0.16475746021139059</v>
      </c>
      <c r="G35" s="129">
        <f>'[39]TABLEAU FINAL'!G34</f>
        <v>-4.6661070151408079E-3</v>
      </c>
      <c r="H35" s="130">
        <f>'[39]TABLEAU FINAL'!H34</f>
        <v>-1.0364382451310661E-2</v>
      </c>
    </row>
    <row r="36" spans="2:8" ht="24.95" customHeight="1">
      <c r="B36" s="282"/>
      <c r="C36" s="292"/>
      <c r="D36" s="131" t="str">
        <f>'[39]TABLEAU FINAL'!D35</f>
        <v>3 et plus</v>
      </c>
      <c r="E36" s="132">
        <f>'[39]TABLEAU FINAL'!E35</f>
        <v>-7.3946919489529819</v>
      </c>
      <c r="F36" s="133">
        <f>'[39]TABLEAU FINAL'!F35</f>
        <v>0.12392960764189809</v>
      </c>
      <c r="G36" s="134">
        <f>'[39]TABLEAU FINAL'!G35</f>
        <v>-1.7702005382943531E-3</v>
      </c>
      <c r="H36" s="135">
        <f>'[39]TABLEAU FINAL'!H35</f>
        <v>-7.1313236882682984E-3</v>
      </c>
    </row>
    <row r="37" spans="2:8" ht="24.95" customHeight="1">
      <c r="B37" s="282"/>
      <c r="C37" s="291" t="str">
        <f>'[39]TABLEAU FINAL'!C36</f>
        <v>Q4</v>
      </c>
      <c r="D37" s="114">
        <f>'[39]TABLEAU FINAL'!D36</f>
        <v>1</v>
      </c>
      <c r="E37" s="115">
        <f>'[39]TABLEAU FINAL'!E36</f>
        <v>-2.3520007983150037</v>
      </c>
      <c r="F37" s="116">
        <f>'[39]TABLEAU FINAL'!F36</f>
        <v>0.21385586467619078</v>
      </c>
      <c r="G37" s="117">
        <f>'[39]TABLEAU FINAL'!G36</f>
        <v>-2.0846151038863558E-3</v>
      </c>
      <c r="H37" s="118">
        <f>'[39]TABLEAU FINAL'!H36</f>
        <v>-8.5710114146820837E-3</v>
      </c>
    </row>
    <row r="38" spans="2:8" ht="24.95" customHeight="1">
      <c r="B38" s="282"/>
      <c r="C38" s="292"/>
      <c r="D38" s="126">
        <f>'[39]TABLEAU FINAL'!D37</f>
        <v>2</v>
      </c>
      <c r="E38" s="127">
        <f>'[39]TABLEAU FINAL'!E37</f>
        <v>-5.1157175434019848</v>
      </c>
      <c r="F38" s="128">
        <f>'[39]TABLEAU FINAL'!F37</f>
        <v>0.16299493172289203</v>
      </c>
      <c r="G38" s="129">
        <f>'[39]TABLEAU FINAL'!G37</f>
        <v>-4.8609165111980213E-3</v>
      </c>
      <c r="H38" s="130">
        <f>'[39]TABLEAU FINAL'!H37</f>
        <v>-7.9275905584264006E-3</v>
      </c>
    </row>
    <row r="39" spans="2:8" ht="24.95" customHeight="1">
      <c r="B39" s="282"/>
      <c r="C39" s="292"/>
      <c r="D39" s="131" t="str">
        <f>'[39]TABLEAU FINAL'!D38</f>
        <v>3 et plus</v>
      </c>
      <c r="E39" s="132">
        <f>'[39]TABLEAU FINAL'!E38</f>
        <v>-8.5666650430150071</v>
      </c>
      <c r="F39" s="133">
        <f>'[39]TABLEAU FINAL'!F38</f>
        <v>0.14691337129168858</v>
      </c>
      <c r="G39" s="134">
        <f>'[39]TABLEAU FINAL'!G38</f>
        <v>1.1765135544330452E-3</v>
      </c>
      <c r="H39" s="135">
        <f>'[39]TABLEAU FINAL'!H38</f>
        <v>-3.6203828646460545E-3</v>
      </c>
    </row>
    <row r="40" spans="2:8" ht="24.95" customHeight="1">
      <c r="B40" s="282"/>
      <c r="C40" s="291" t="str">
        <f>'[39]TABLEAU FINAL'!C39</f>
        <v>Q5</v>
      </c>
      <c r="D40" s="126">
        <f>'[39]TABLEAU FINAL'!D39</f>
        <v>1</v>
      </c>
      <c r="E40" s="127">
        <f>'[39]TABLEAU FINAL'!E39</f>
        <v>-2.8227467782379847</v>
      </c>
      <c r="F40" s="128">
        <f>'[39]TABLEAU FINAL'!F39</f>
        <v>0.14335377033089003</v>
      </c>
      <c r="G40" s="129">
        <f>'[39]TABLEAU FINAL'!G39</f>
        <v>-4.1894021964835604E-3</v>
      </c>
      <c r="H40" s="130">
        <f>'[39]TABLEAU FINAL'!H39</f>
        <v>-8.9065824431068252E-3</v>
      </c>
    </row>
    <row r="41" spans="2:8" ht="24.95" customHeight="1">
      <c r="B41" s="282"/>
      <c r="C41" s="292"/>
      <c r="D41" s="126">
        <f>'[39]TABLEAU FINAL'!D40</f>
        <v>2</v>
      </c>
      <c r="E41" s="127">
        <f>'[39]TABLEAU FINAL'!E40</f>
        <v>-5.9047715351300099</v>
      </c>
      <c r="F41" s="128">
        <f>'[39]TABLEAU FINAL'!F40</f>
        <v>0.23777176178660397</v>
      </c>
      <c r="G41" s="129">
        <f>'[39]TABLEAU FINAL'!G40</f>
        <v>-3.8490300375398911E-3</v>
      </c>
      <c r="H41" s="130">
        <f>'[39]TABLEAU FINAL'!H40</f>
        <v>-1.1927198964412744E-2</v>
      </c>
    </row>
    <row r="42" spans="2:8" ht="24.95" customHeight="1" thickBot="1">
      <c r="B42" s="284"/>
      <c r="C42" s="295"/>
      <c r="D42" s="155" t="str">
        <f>'[39]TABLEAU FINAL'!D41</f>
        <v>3 et plus</v>
      </c>
      <c r="E42" s="156">
        <f>'[39]TABLEAU FINAL'!E41</f>
        <v>-8.6938666908870061</v>
      </c>
      <c r="F42" s="157">
        <f>'[39]TABLEAU FINAL'!F41</f>
        <v>0.14969683616149609</v>
      </c>
      <c r="G42" s="158">
        <f>'[39]TABLEAU FINAL'!G41</f>
        <v>-2.1441957473579132E-3</v>
      </c>
      <c r="H42" s="159">
        <f>'[39]TABLEAU FINAL'!H41</f>
        <v>-7.6640534168701535E-3</v>
      </c>
    </row>
    <row r="44" spans="2:8">
      <c r="B44" s="177" t="s">
        <v>35</v>
      </c>
    </row>
  </sheetData>
  <mergeCells count="19">
    <mergeCell ref="B27:H27"/>
    <mergeCell ref="B28:B42"/>
    <mergeCell ref="C28:C30"/>
    <mergeCell ref="C31:C33"/>
    <mergeCell ref="C34:C36"/>
    <mergeCell ref="C37:C39"/>
    <mergeCell ref="C40:C42"/>
    <mergeCell ref="C15:C17"/>
    <mergeCell ref="C18:C20"/>
    <mergeCell ref="C21:C23"/>
    <mergeCell ref="B4:C4"/>
    <mergeCell ref="C24:C26"/>
    <mergeCell ref="B5:C5"/>
    <mergeCell ref="B6:C6"/>
    <mergeCell ref="B7:H7"/>
    <mergeCell ref="B8:C10"/>
    <mergeCell ref="B11:H11"/>
    <mergeCell ref="B12:B26"/>
    <mergeCell ref="C12:C14"/>
  </mergeCells>
  <hyperlinks>
    <hyperlink ref="A2" location="SOMMAIRE!A1" display="Retour au sommaire" xr:uid="{9B852D9A-2092-4E6C-82C9-DD8599D10F1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9854-58F8-4248-BB8F-27A283BB5620}">
  <sheetPr>
    <tabColor theme="4"/>
  </sheetPr>
  <dimension ref="A1:H33"/>
  <sheetViews>
    <sheetView workbookViewId="0">
      <selection activeCell="A2" sqref="A2"/>
    </sheetView>
  </sheetViews>
  <sheetFormatPr baseColWidth="10" defaultRowHeight="14.25"/>
  <cols>
    <col min="5" max="8" width="20.625" customWidth="1"/>
  </cols>
  <sheetData>
    <row r="1" spans="1:8" ht="15.75">
      <c r="A1" s="2" t="s">
        <v>107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'[40]TABLEAU FINAL'!D3</f>
        <v>Nombre d'enfants</v>
      </c>
      <c r="E4" s="100" t="str">
        <f>'[40]TABLEAU FINAL'!E3</f>
        <v>Durée validée totale moyenne (écart en trimestres)</v>
      </c>
      <c r="F4" s="100" t="str">
        <f>'[40]TABLEAU FINAL'!F3</f>
        <v>Âge de départ (écart en année)</v>
      </c>
      <c r="G4" s="100" t="str">
        <f>'[40]TABLEAU FINAL'!G3</f>
        <v>Pension moyenne 68 ans</v>
      </c>
      <c r="H4" s="101" t="str">
        <f>'[40]TABLEAU FINAL'!H3</f>
        <v>Pension moyenne CV</v>
      </c>
    </row>
    <row r="5" spans="1:8" ht="15">
      <c r="B5" s="280" t="str">
        <f>'[40]TABLEAU FINAL'!B4</f>
        <v>Femmes</v>
      </c>
      <c r="C5" s="281">
        <f>'[40]TABLEAU FINAL'!C4</f>
        <v>0</v>
      </c>
      <c r="D5" s="102" t="str">
        <f>'[40]TABLEAU FINAL'!D4</f>
        <v>Ensemble</v>
      </c>
      <c r="E5" s="103" t="str">
        <f>'[40]TABLEAU FINAL'!E4</f>
        <v>-</v>
      </c>
      <c r="F5" s="104" t="str">
        <f>'[40]TABLEAU FINAL'!F4</f>
        <v>-</v>
      </c>
      <c r="G5" s="165">
        <f>'[40]TABLEAU FINAL'!G4</f>
        <v>6.016376237449883E-5</v>
      </c>
      <c r="H5" s="166">
        <f>'[40]TABLEAU FINAL'!H4</f>
        <v>2.0398867892845729E-5</v>
      </c>
    </row>
    <row r="6" spans="1:8" ht="15.75" thickBot="1">
      <c r="B6" s="293" t="str">
        <f>'[40]TABLEAU FINAL'!B5</f>
        <v>Hommes</v>
      </c>
      <c r="C6" s="294">
        <f>'[40]TABLEAU FINAL'!C5</f>
        <v>0</v>
      </c>
      <c r="D6" s="107" t="str">
        <f>'[40]TABLEAU FINAL'!D5</f>
        <v>Ensemble</v>
      </c>
      <c r="E6" s="108" t="str">
        <f>'[40]TABLEAU FINAL'!E5</f>
        <v>-</v>
      </c>
      <c r="F6" s="109" t="str">
        <f>'[40]TABLEAU FINAL'!F5</f>
        <v>-</v>
      </c>
      <c r="G6" s="167">
        <f>'[40]TABLEAU FINAL'!G5</f>
        <v>8.1767504130914048E-5</v>
      </c>
      <c r="H6" s="168">
        <f>'[40]TABLEAU FINAL'!H5</f>
        <v>3.6116339419134391E-6</v>
      </c>
    </row>
    <row r="7" spans="1:8" ht="15.75" thickBot="1">
      <c r="B7" s="277" t="str">
        <f>'[40]TABLEAU FINAL'!B6</f>
        <v>Selon le nombre d'enfants</v>
      </c>
      <c r="C7" s="278">
        <f>'[40]TABLEAU FINAL'!C6</f>
        <v>0</v>
      </c>
      <c r="D7" s="278">
        <f>'[40]TABLEAU FINAL'!D6</f>
        <v>0</v>
      </c>
      <c r="E7" s="278">
        <f>'[40]TABLEAU FINAL'!E6</f>
        <v>0</v>
      </c>
      <c r="F7" s="278">
        <f>'[40]TABLEAU FINAL'!F6</f>
        <v>0</v>
      </c>
      <c r="G7" s="278">
        <f>'[40]TABLEAU FINAL'!G6</f>
        <v>0</v>
      </c>
      <c r="H7" s="279">
        <f>'[40]TABLEAU FINAL'!H6</f>
        <v>0</v>
      </c>
    </row>
    <row r="8" spans="1:8" ht="15">
      <c r="B8" s="282" t="str">
        <f>'[40]TABLEAU FINAL'!B7</f>
        <v>Femmes</v>
      </c>
      <c r="C8" s="283">
        <f>'[40]TABLEAU FINAL'!C7</f>
        <v>0</v>
      </c>
      <c r="D8" s="119" t="str">
        <f>'[40]TABLEAU FINAL'!D7</f>
        <v>3 et plus</v>
      </c>
      <c r="E8" s="120" t="str">
        <f>'[40]TABLEAU FINAL'!E7</f>
        <v>-</v>
      </c>
      <c r="F8" s="121" t="str">
        <f>'[40]TABLEAU FINAL'!F7</f>
        <v>-</v>
      </c>
      <c r="G8" s="169">
        <f>'[40]TABLEAU FINAL'!G7</f>
        <v>2.0477093479343011E-4</v>
      </c>
      <c r="H8" s="170">
        <f>'[40]TABLEAU FINAL'!H7</f>
        <v>6.8763659982984393E-5</v>
      </c>
    </row>
    <row r="9" spans="1:8" ht="15.75" thickBot="1">
      <c r="B9" s="293" t="str">
        <f>'[40]TABLEAU FINAL'!B8</f>
        <v>Hommes</v>
      </c>
      <c r="C9" s="297">
        <f>'[40]TABLEAU FINAL'!C8</f>
        <v>0</v>
      </c>
      <c r="D9" s="107" t="str">
        <f>'[40]TABLEAU FINAL'!D8</f>
        <v>3 et plus</v>
      </c>
      <c r="E9" s="108" t="str">
        <f>'[40]TABLEAU FINAL'!E8</f>
        <v>-</v>
      </c>
      <c r="F9" s="109" t="str">
        <f>'[40]TABLEAU FINAL'!F8</f>
        <v>-</v>
      </c>
      <c r="G9" s="167">
        <f>'[40]TABLEAU FINAL'!G8</f>
        <v>3.0772687723845671E-4</v>
      </c>
      <c r="H9" s="171">
        <f>'[40]TABLEAU FINAL'!H8</f>
        <v>4.8630598885379683E-5</v>
      </c>
    </row>
    <row r="10" spans="1:8" ht="15.75" thickBot="1">
      <c r="B10" s="277" t="str">
        <f>'[40]TABLEAU FINAL'!B9</f>
        <v>Selon le régime d'affiliation</v>
      </c>
      <c r="C10" s="278">
        <f>'[40]TABLEAU FINAL'!C9</f>
        <v>0</v>
      </c>
      <c r="D10" s="278">
        <f>'[40]TABLEAU FINAL'!D9</f>
        <v>0</v>
      </c>
      <c r="E10" s="278">
        <f>'[40]TABLEAU FINAL'!E9</f>
        <v>0</v>
      </c>
      <c r="F10" s="278">
        <f>'[40]TABLEAU FINAL'!F9</f>
        <v>0</v>
      </c>
      <c r="G10" s="278">
        <f>'[40]TABLEAU FINAL'!G9</f>
        <v>0</v>
      </c>
      <c r="H10" s="279">
        <f>'[40]TABLEAU FINAL'!H9</f>
        <v>0</v>
      </c>
    </row>
    <row r="11" spans="1:8" ht="15">
      <c r="B11" s="282" t="str">
        <f>'[40]TABLEAU FINAL'!B10</f>
        <v>Femmes</v>
      </c>
      <c r="C11" s="124" t="str">
        <f>'[40]TABLEAU FINAL'!C10</f>
        <v>Mono Lura</v>
      </c>
      <c r="D11" s="119" t="str">
        <f>'[40]TABLEAU FINAL'!D10</f>
        <v>3 et plus</v>
      </c>
      <c r="E11" s="120" t="str">
        <f>'[40]TABLEAU FINAL'!E10</f>
        <v>-</v>
      </c>
      <c r="F11" s="121" t="str">
        <f>'[40]TABLEAU FINAL'!F10</f>
        <v>-</v>
      </c>
      <c r="G11" s="169">
        <f>'[40]TABLEAU FINAL'!G10</f>
        <v>2.2800220588803377E-4</v>
      </c>
      <c r="H11" s="172">
        <f>'[40]TABLEAU FINAL'!H10</f>
        <v>1.9980403764918719E-4</v>
      </c>
    </row>
    <row r="12" spans="1:8" ht="15">
      <c r="B12" s="282">
        <f>'[40]TABLEAU FINAL'!B11</f>
        <v>0</v>
      </c>
      <c r="C12" s="136" t="str">
        <f>'[40]TABLEAU FINAL'!C11</f>
        <v>Mono FP-RS</v>
      </c>
      <c r="D12" s="119" t="str">
        <f>'[40]TABLEAU FINAL'!D11</f>
        <v>3 et plus</v>
      </c>
      <c r="E12" s="120" t="str">
        <f>'[40]TABLEAU FINAL'!E11</f>
        <v>-</v>
      </c>
      <c r="F12" s="121" t="str">
        <f>'[40]TABLEAU FINAL'!F11</f>
        <v>-</v>
      </c>
      <c r="G12" s="122">
        <f>'[40]TABLEAU FINAL'!G11</f>
        <v>2.5733066720066144E-3</v>
      </c>
      <c r="H12" s="123">
        <f>'[40]TABLEAU FINAL'!H11</f>
        <v>2.4439902250850132E-3</v>
      </c>
    </row>
    <row r="13" spans="1:8" ht="30">
      <c r="B13" s="282">
        <f>'[40]TABLEAU FINAL'!B12</f>
        <v>0</v>
      </c>
      <c r="C13" s="136" t="str">
        <f>'[40]TABLEAU FINAL'!C12</f>
        <v>Mono MSAE-PLIB</v>
      </c>
      <c r="D13" s="119" t="str">
        <f>'[40]TABLEAU FINAL'!D12</f>
        <v>3 et plus</v>
      </c>
      <c r="E13" s="120" t="str">
        <f>'[40]TABLEAU FINAL'!E12</f>
        <v>n.a</v>
      </c>
      <c r="F13" s="121" t="str">
        <f>'[40]TABLEAU FINAL'!F12</f>
        <v>n.a</v>
      </c>
      <c r="G13" s="139" t="str">
        <f>'[40]TABLEAU FINAL'!G12</f>
        <v>n.a</v>
      </c>
      <c r="H13" s="140" t="str">
        <f>'[40]TABLEAU FINAL'!H12</f>
        <v>n.a</v>
      </c>
    </row>
    <row r="14" spans="1:8" ht="30">
      <c r="B14" s="282">
        <f>'[40]TABLEAU FINAL'!B13</f>
        <v>0</v>
      </c>
      <c r="C14" s="125" t="str">
        <f>'[40]TABLEAU FINAL'!C13</f>
        <v>Poly Lura-FP-RS</v>
      </c>
      <c r="D14" s="131" t="str">
        <f>'[40]TABLEAU FINAL'!D13</f>
        <v>3 et plus</v>
      </c>
      <c r="E14" s="132" t="str">
        <f>'[40]TABLEAU FINAL'!E13</f>
        <v>-</v>
      </c>
      <c r="F14" s="133" t="str">
        <f>'[40]TABLEAU FINAL'!F13</f>
        <v>-</v>
      </c>
      <c r="G14" s="134">
        <f>'[40]TABLEAU FINAL'!G13</f>
        <v>-5.1616365860797098E-3</v>
      </c>
      <c r="H14" s="135">
        <f>'[40]TABLEAU FINAL'!H13</f>
        <v>-5.2975023610551952E-3</v>
      </c>
    </row>
    <row r="15" spans="1:8" ht="30.75" thickBot="1">
      <c r="B15" s="284">
        <f>'[40]TABLEAU FINAL'!B14</f>
        <v>0</v>
      </c>
      <c r="C15" s="125" t="str">
        <f>'[40]TABLEAU FINAL'!C14</f>
        <v>Poly Lura-MSAE-PLIB</v>
      </c>
      <c r="D15" s="155" t="str">
        <f>'[40]TABLEAU FINAL'!D14</f>
        <v>3 et plus</v>
      </c>
      <c r="E15" s="156" t="str">
        <f>'[40]TABLEAU FINAL'!E14</f>
        <v>-</v>
      </c>
      <c r="F15" s="157" t="str">
        <f>'[40]TABLEAU FINAL'!F14</f>
        <v>-</v>
      </c>
      <c r="G15" s="158">
        <f>'[40]TABLEAU FINAL'!G14</f>
        <v>1.3472979067039592E-2</v>
      </c>
      <c r="H15" s="159">
        <f>'[40]TABLEAU FINAL'!H14</f>
        <v>1.293318231742635E-2</v>
      </c>
    </row>
    <row r="16" spans="1:8" ht="15">
      <c r="B16" s="282" t="str">
        <f>'[40]TABLEAU FINAL'!B15</f>
        <v>Hommes</v>
      </c>
      <c r="C16" s="124" t="str">
        <f>'[40]TABLEAU FINAL'!C15</f>
        <v>Mono Lura</v>
      </c>
      <c r="D16" s="119" t="str">
        <f>'[40]TABLEAU FINAL'!D15</f>
        <v>3 et plus</v>
      </c>
      <c r="E16" s="120" t="str">
        <f>'[40]TABLEAU FINAL'!E15</f>
        <v>-</v>
      </c>
      <c r="F16" s="121" t="str">
        <f>'[40]TABLEAU FINAL'!F15</f>
        <v>-</v>
      </c>
      <c r="G16" s="122">
        <f>'[40]TABLEAU FINAL'!G15</f>
        <v>1.1241530129173505E-3</v>
      </c>
      <c r="H16" s="123">
        <f>'[40]TABLEAU FINAL'!H15</f>
        <v>1.0943477051041928E-3</v>
      </c>
    </row>
    <row r="17" spans="2:8" ht="15">
      <c r="B17" s="282">
        <f>'[40]TABLEAU FINAL'!B16</f>
        <v>0</v>
      </c>
      <c r="C17" s="125" t="str">
        <f>'[40]TABLEAU FINAL'!C16</f>
        <v>Mono FP-RS</v>
      </c>
      <c r="D17" s="131" t="str">
        <f>'[40]TABLEAU FINAL'!D16</f>
        <v>3 et plus</v>
      </c>
      <c r="E17" s="132" t="str">
        <f>'[40]TABLEAU FINAL'!E16</f>
        <v>-</v>
      </c>
      <c r="F17" s="133" t="str">
        <f>'[40]TABLEAU FINAL'!F16</f>
        <v>-</v>
      </c>
      <c r="G17" s="134">
        <f>'[40]TABLEAU FINAL'!G16</f>
        <v>-9.1262612719366087E-3</v>
      </c>
      <c r="H17" s="135">
        <f>'[40]TABLEAU FINAL'!H16</f>
        <v>-9.6527032303418414E-3</v>
      </c>
    </row>
    <row r="18" spans="2:8" ht="30">
      <c r="B18" s="282">
        <f>'[40]TABLEAU FINAL'!B17</f>
        <v>0</v>
      </c>
      <c r="C18" s="125" t="str">
        <f>'[40]TABLEAU FINAL'!C17</f>
        <v>Mono MSAE-PLIB</v>
      </c>
      <c r="D18" s="131" t="str">
        <f>'[40]TABLEAU FINAL'!D17</f>
        <v>3 et plus</v>
      </c>
      <c r="E18" s="132" t="str">
        <f>'[40]TABLEAU FINAL'!E17</f>
        <v>-</v>
      </c>
      <c r="F18" s="133" t="str">
        <f>'[40]TABLEAU FINAL'!F17</f>
        <v>-</v>
      </c>
      <c r="G18" s="134">
        <f>'[40]TABLEAU FINAL'!G17</f>
        <v>1.5254240536210162E-2</v>
      </c>
      <c r="H18" s="135">
        <f>'[40]TABLEAU FINAL'!H17</f>
        <v>1.1417049774368637E-2</v>
      </c>
    </row>
    <row r="19" spans="2:8" ht="30">
      <c r="B19" s="282">
        <f>'[40]TABLEAU FINAL'!B18</f>
        <v>0</v>
      </c>
      <c r="C19" s="125" t="str">
        <f>'[40]TABLEAU FINAL'!C18</f>
        <v>Poly Lura-FP-RS</v>
      </c>
      <c r="D19" s="131" t="str">
        <f>'[40]TABLEAU FINAL'!D18</f>
        <v>3 et plus</v>
      </c>
      <c r="E19" s="132" t="str">
        <f>'[40]TABLEAU FINAL'!E18</f>
        <v>-</v>
      </c>
      <c r="F19" s="133" t="str">
        <f>'[40]TABLEAU FINAL'!F18</f>
        <v>-</v>
      </c>
      <c r="G19" s="134">
        <f>'[40]TABLEAU FINAL'!G18</f>
        <v>-8.8420307509332607E-3</v>
      </c>
      <c r="H19" s="135">
        <f>'[40]TABLEAU FINAL'!H18</f>
        <v>-9.0516159502983529E-3</v>
      </c>
    </row>
    <row r="20" spans="2:8" ht="30.75" thickBot="1">
      <c r="B20" s="284">
        <f>'[40]TABLEAU FINAL'!B19</f>
        <v>0</v>
      </c>
      <c r="C20" s="125" t="str">
        <f>'[40]TABLEAU FINAL'!C19</f>
        <v>Poly Lura-MSAE-PLIB</v>
      </c>
      <c r="D20" s="155" t="str">
        <f>'[40]TABLEAU FINAL'!D19</f>
        <v>3 et plus</v>
      </c>
      <c r="E20" s="156" t="str">
        <f>'[40]TABLEAU FINAL'!E19</f>
        <v>-</v>
      </c>
      <c r="F20" s="157" t="str">
        <f>'[40]TABLEAU FINAL'!F19</f>
        <v>-</v>
      </c>
      <c r="G20" s="158">
        <f>'[40]TABLEAU FINAL'!G19</f>
        <v>9.8529731216989713E-3</v>
      </c>
      <c r="H20" s="159">
        <f>'[40]TABLEAU FINAL'!H19</f>
        <v>8.9885643102090018E-3</v>
      </c>
    </row>
    <row r="21" spans="2:8" ht="15.75" thickBot="1">
      <c r="B21" s="277" t="str">
        <f>'[40]TABLEAU FINAL'!B20</f>
        <v>Selon le quintile de pension</v>
      </c>
      <c r="C21" s="278">
        <f>'[40]TABLEAU FINAL'!C20</f>
        <v>0</v>
      </c>
      <c r="D21" s="278">
        <f>'[40]TABLEAU FINAL'!D20</f>
        <v>0</v>
      </c>
      <c r="E21" s="278">
        <f>'[40]TABLEAU FINAL'!E20</f>
        <v>0</v>
      </c>
      <c r="F21" s="278">
        <f>'[40]TABLEAU FINAL'!F20</f>
        <v>0</v>
      </c>
      <c r="G21" s="278">
        <f>'[40]TABLEAU FINAL'!G20</f>
        <v>0</v>
      </c>
      <c r="H21" s="279">
        <f>'[40]TABLEAU FINAL'!H20</f>
        <v>0</v>
      </c>
    </row>
    <row r="22" spans="2:8" ht="15">
      <c r="B22" s="280" t="str">
        <f>'[40]TABLEAU FINAL'!B21</f>
        <v>Femmes</v>
      </c>
      <c r="C22" s="124" t="str">
        <f>'[40]TABLEAU FINAL'!C21</f>
        <v>Q1</v>
      </c>
      <c r="D22" s="173" t="str">
        <f>'[40]TABLEAU FINAL'!D21</f>
        <v>3 et plus</v>
      </c>
      <c r="E22" s="120" t="str">
        <f>'[40]TABLEAU FINAL'!E21</f>
        <v>-</v>
      </c>
      <c r="F22" s="121" t="str">
        <f>'[40]TABLEAU FINAL'!F21</f>
        <v>-</v>
      </c>
      <c r="G22" s="169">
        <f>'[40]TABLEAU FINAL'!G21</f>
        <v>1.8806859988251823E-4</v>
      </c>
      <c r="H22" s="172">
        <f>'[40]TABLEAU FINAL'!H21</f>
        <v>9.827015449714871E-5</v>
      </c>
    </row>
    <row r="23" spans="2:8" ht="15">
      <c r="B23" s="282">
        <f>'[40]TABLEAU FINAL'!B22</f>
        <v>0</v>
      </c>
      <c r="C23" s="136" t="str">
        <f>'[40]TABLEAU FINAL'!C22</f>
        <v>Q2</v>
      </c>
      <c r="D23" s="119" t="str">
        <f>'[40]TABLEAU FINAL'!D22</f>
        <v>3 et plus</v>
      </c>
      <c r="E23" s="120" t="str">
        <f>'[40]TABLEAU FINAL'!E22</f>
        <v>-</v>
      </c>
      <c r="F23" s="121" t="str">
        <f>'[40]TABLEAU FINAL'!F22</f>
        <v>-</v>
      </c>
      <c r="G23" s="169">
        <f>'[40]TABLEAU FINAL'!G22</f>
        <v>9.6394192693027847E-5</v>
      </c>
      <c r="H23" s="170">
        <f>'[40]TABLEAU FINAL'!H22</f>
        <v>5.1229756239834501E-5</v>
      </c>
    </row>
    <row r="24" spans="2:8" ht="15">
      <c r="B24" s="282">
        <f>'[40]TABLEAU FINAL'!B23</f>
        <v>0</v>
      </c>
      <c r="C24" s="136" t="str">
        <f>'[40]TABLEAU FINAL'!C23</f>
        <v>Q3</v>
      </c>
      <c r="D24" s="119" t="str">
        <f>'[40]TABLEAU FINAL'!D23</f>
        <v>3 et plus</v>
      </c>
      <c r="E24" s="120" t="str">
        <f>'[40]TABLEAU FINAL'!E23</f>
        <v>-</v>
      </c>
      <c r="F24" s="121" t="str">
        <f>'[40]TABLEAU FINAL'!F23</f>
        <v>-</v>
      </c>
      <c r="G24" s="122">
        <f>'[40]TABLEAU FINAL'!G23</f>
        <v>-1.7997682358731337E-3</v>
      </c>
      <c r="H24" s="123">
        <f>'[40]TABLEAU FINAL'!H23</f>
        <v>-1.9019915413812649E-3</v>
      </c>
    </row>
    <row r="25" spans="2:8" ht="15">
      <c r="B25" s="282">
        <f>'[40]TABLEAU FINAL'!B24</f>
        <v>0</v>
      </c>
      <c r="C25" s="136" t="str">
        <f>'[40]TABLEAU FINAL'!C24</f>
        <v>Q4</v>
      </c>
      <c r="D25" s="119" t="str">
        <f>'[40]TABLEAU FINAL'!D24</f>
        <v>3 et plus</v>
      </c>
      <c r="E25" s="120" t="str">
        <f>'[40]TABLEAU FINAL'!E24</f>
        <v>-</v>
      </c>
      <c r="F25" s="121" t="str">
        <f>'[40]TABLEAU FINAL'!F24</f>
        <v>-</v>
      </c>
      <c r="G25" s="169">
        <f>'[40]TABLEAU FINAL'!G24</f>
        <v>-2.40475330527401E-4</v>
      </c>
      <c r="H25" s="172">
        <f>'[40]TABLEAU FINAL'!H24</f>
        <v>-3.737962076011403E-4</v>
      </c>
    </row>
    <row r="26" spans="2:8" ht="15.75" thickBot="1">
      <c r="B26" s="284">
        <f>'[40]TABLEAU FINAL'!B25</f>
        <v>0</v>
      </c>
      <c r="C26" s="174" t="str">
        <f>'[40]TABLEAU FINAL'!C25</f>
        <v>Q5</v>
      </c>
      <c r="D26" s="107" t="str">
        <f>'[40]TABLEAU FINAL'!D25</f>
        <v>3 et plus</v>
      </c>
      <c r="E26" s="108" t="str">
        <f>'[40]TABLEAU FINAL'!E25</f>
        <v>-</v>
      </c>
      <c r="F26" s="109" t="str">
        <f>'[40]TABLEAU FINAL'!F25</f>
        <v>-</v>
      </c>
      <c r="G26" s="147">
        <f>'[40]TABLEAU FINAL'!G25</f>
        <v>2.4067257256263908E-3</v>
      </c>
      <c r="H26" s="148">
        <f>'[40]TABLEAU FINAL'!H25</f>
        <v>2.1302267754041981E-3</v>
      </c>
    </row>
    <row r="27" spans="2:8" ht="15">
      <c r="B27" s="280" t="str">
        <f>'[40]TABLEAU FINAL'!B26</f>
        <v>Hommes</v>
      </c>
      <c r="C27" s="124" t="str">
        <f>'[40]TABLEAU FINAL'!C26</f>
        <v>Q1</v>
      </c>
      <c r="D27" s="173" t="str">
        <f>'[40]TABLEAU FINAL'!D26</f>
        <v>3 et plus</v>
      </c>
      <c r="E27" s="120" t="str">
        <f>'[40]TABLEAU FINAL'!E26</f>
        <v>-</v>
      </c>
      <c r="F27" s="121" t="str">
        <f>'[40]TABLEAU FINAL'!F26</f>
        <v>-</v>
      </c>
      <c r="G27" s="169">
        <f>'[40]TABLEAU FINAL'!G26</f>
        <v>1.9341876529914703E-3</v>
      </c>
      <c r="H27" s="172">
        <f>'[40]TABLEAU FINAL'!H26</f>
        <v>1.9468270858629122E-3</v>
      </c>
    </row>
    <row r="28" spans="2:8" ht="15">
      <c r="B28" s="282">
        <f>'[40]TABLEAU FINAL'!B27</f>
        <v>0</v>
      </c>
      <c r="C28" s="136" t="str">
        <f>'[40]TABLEAU FINAL'!C27</f>
        <v>Q2</v>
      </c>
      <c r="D28" s="119" t="str">
        <f>'[40]TABLEAU FINAL'!D27</f>
        <v>3 et plus</v>
      </c>
      <c r="E28" s="120" t="str">
        <f>'[40]TABLEAU FINAL'!E27</f>
        <v>-</v>
      </c>
      <c r="F28" s="121" t="str">
        <f>'[40]TABLEAU FINAL'!F27</f>
        <v>-</v>
      </c>
      <c r="G28" s="169">
        <f>'[40]TABLEAU FINAL'!G27</f>
        <v>2.2312886891953099E-3</v>
      </c>
      <c r="H28" s="170">
        <f>'[40]TABLEAU FINAL'!H27</f>
        <v>1.7998799242475716E-3</v>
      </c>
    </row>
    <row r="29" spans="2:8" ht="15">
      <c r="B29" s="282">
        <f>'[40]TABLEAU FINAL'!B28</f>
        <v>0</v>
      </c>
      <c r="C29" s="136" t="str">
        <f>'[40]TABLEAU FINAL'!C28</f>
        <v>Q3</v>
      </c>
      <c r="D29" s="119" t="str">
        <f>'[40]TABLEAU FINAL'!D28</f>
        <v>3 et plus</v>
      </c>
      <c r="E29" s="120" t="str">
        <f>'[40]TABLEAU FINAL'!E28</f>
        <v>-</v>
      </c>
      <c r="F29" s="121" t="str">
        <f>'[40]TABLEAU FINAL'!F28</f>
        <v>-</v>
      </c>
      <c r="G29" s="169">
        <f>'[40]TABLEAU FINAL'!G28</f>
        <v>2.6193557693976466E-4</v>
      </c>
      <c r="H29" s="172">
        <f>'[40]TABLEAU FINAL'!H28</f>
        <v>-8.2040082433620931E-5</v>
      </c>
    </row>
    <row r="30" spans="2:8" ht="15">
      <c r="B30" s="282">
        <f>'[40]TABLEAU FINAL'!B29</f>
        <v>0</v>
      </c>
      <c r="C30" s="136" t="str">
        <f>'[40]TABLEAU FINAL'!C29</f>
        <v>Q4</v>
      </c>
      <c r="D30" s="119" t="str">
        <f>'[40]TABLEAU FINAL'!D29</f>
        <v>3 et plus</v>
      </c>
      <c r="E30" s="120" t="str">
        <f>'[40]TABLEAU FINAL'!E29</f>
        <v>-</v>
      </c>
      <c r="F30" s="121" t="str">
        <f>'[40]TABLEAU FINAL'!F29</f>
        <v>-</v>
      </c>
      <c r="G30" s="169">
        <f>'[40]TABLEAU FINAL'!G29</f>
        <v>5.9705624242556432E-4</v>
      </c>
      <c r="H30" s="172">
        <f>'[40]TABLEAU FINAL'!H29</f>
        <v>3.3175292181164551E-4</v>
      </c>
    </row>
    <row r="31" spans="2:8" ht="15.75" thickBot="1">
      <c r="B31" s="284">
        <f>'[40]TABLEAU FINAL'!B30</f>
        <v>0</v>
      </c>
      <c r="C31" s="174" t="str">
        <f>'[40]TABLEAU FINAL'!C30</f>
        <v>Q5</v>
      </c>
      <c r="D31" s="107" t="str">
        <f>'[40]TABLEAU FINAL'!D30</f>
        <v>3 et plus</v>
      </c>
      <c r="E31" s="108" t="str">
        <f>'[40]TABLEAU FINAL'!E30</f>
        <v>-</v>
      </c>
      <c r="F31" s="109" t="str">
        <f>'[40]TABLEAU FINAL'!F30</f>
        <v>-</v>
      </c>
      <c r="G31" s="175">
        <f>'[40]TABLEAU FINAL'!G30</f>
        <v>-2.5631645213153309E-4</v>
      </c>
      <c r="H31" s="176">
        <f>'[40]TABLEAU FINAL'!H30</f>
        <v>-4.9051360427820878E-4</v>
      </c>
    </row>
    <row r="33" spans="2:2">
      <c r="B33" s="177" t="s">
        <v>35</v>
      </c>
    </row>
  </sheetData>
  <mergeCells count="12">
    <mergeCell ref="B11:B15"/>
    <mergeCell ref="B16:B20"/>
    <mergeCell ref="B21:H21"/>
    <mergeCell ref="B22:B26"/>
    <mergeCell ref="B27:B31"/>
    <mergeCell ref="B9:C9"/>
    <mergeCell ref="B10:H10"/>
    <mergeCell ref="B4:C4"/>
    <mergeCell ref="B5:C5"/>
    <mergeCell ref="B6:C6"/>
    <mergeCell ref="B7:H7"/>
    <mergeCell ref="B8:C8"/>
  </mergeCells>
  <hyperlinks>
    <hyperlink ref="A2" location="SOMMAIRE!A1" display="Retour au sommaire" xr:uid="{213BCEE6-194C-40D0-B717-0D6AEDCC893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5E6F-3D1C-46F1-8F76-FB8FCB669777}">
  <sheetPr>
    <tabColor theme="4"/>
  </sheetPr>
  <dimension ref="A1:AV54"/>
  <sheetViews>
    <sheetView workbookViewId="0"/>
  </sheetViews>
  <sheetFormatPr baseColWidth="10" defaultRowHeight="14.25"/>
  <cols>
    <col min="2" max="2" width="13.25" customWidth="1"/>
    <col min="3" max="3" width="25.875" bestFit="1" customWidth="1"/>
    <col min="4" max="21" width="11.125" bestFit="1" customWidth="1"/>
    <col min="22" max="22" width="11.5" bestFit="1" customWidth="1"/>
    <col min="23" max="25" width="11.125" bestFit="1" customWidth="1"/>
    <col min="26" max="31" width="11.5" bestFit="1" customWidth="1"/>
    <col min="32" max="48" width="11.125" bestFit="1" customWidth="1"/>
  </cols>
  <sheetData>
    <row r="1" spans="1:48" ht="15.75">
      <c r="A1" s="2" t="s">
        <v>108</v>
      </c>
    </row>
    <row r="2" spans="1:48">
      <c r="A2" s="6" t="s">
        <v>2</v>
      </c>
    </row>
    <row r="3" spans="1:48" ht="15" thickBot="1"/>
    <row r="4" spans="1:48" ht="15" thickBot="1">
      <c r="B4" s="301"/>
      <c r="C4" s="302"/>
      <c r="D4" s="198">
        <f>[37]Ecarts_masses!D59</f>
        <v>2026</v>
      </c>
      <c r="E4" s="199">
        <f>[37]Ecarts_masses!E59</f>
        <v>2027</v>
      </c>
      <c r="F4" s="199">
        <f>[37]Ecarts_masses!F59</f>
        <v>2028</v>
      </c>
      <c r="G4" s="199">
        <f>[37]Ecarts_masses!G59</f>
        <v>2029</v>
      </c>
      <c r="H4" s="199">
        <f>[37]Ecarts_masses!H59</f>
        <v>2030</v>
      </c>
      <c r="I4" s="199">
        <f>[37]Ecarts_masses!I59</f>
        <v>2031</v>
      </c>
      <c r="J4" s="199">
        <f>[37]Ecarts_masses!J59</f>
        <v>2032</v>
      </c>
      <c r="K4" s="199">
        <f>[37]Ecarts_masses!K59</f>
        <v>2033</v>
      </c>
      <c r="L4" s="199">
        <f>[37]Ecarts_masses!L59</f>
        <v>2034</v>
      </c>
      <c r="M4" s="199">
        <f>[37]Ecarts_masses!M59</f>
        <v>2035</v>
      </c>
      <c r="N4" s="199">
        <f>[37]Ecarts_masses!N59</f>
        <v>2036</v>
      </c>
      <c r="O4" s="199">
        <f>[37]Ecarts_masses!O59</f>
        <v>2037</v>
      </c>
      <c r="P4" s="199">
        <f>[37]Ecarts_masses!P59</f>
        <v>2038</v>
      </c>
      <c r="Q4" s="199">
        <f>[37]Ecarts_masses!Q59</f>
        <v>2039</v>
      </c>
      <c r="R4" s="199">
        <f>[37]Ecarts_masses!R59</f>
        <v>2040</v>
      </c>
      <c r="S4" s="199">
        <f>[37]Ecarts_masses!S59</f>
        <v>2041</v>
      </c>
      <c r="T4" s="199">
        <f>[37]Ecarts_masses!T59</f>
        <v>2042</v>
      </c>
      <c r="U4" s="199">
        <f>[37]Ecarts_masses!U59</f>
        <v>2043</v>
      </c>
      <c r="V4" s="199">
        <f>[37]Ecarts_masses!V59</f>
        <v>2044</v>
      </c>
      <c r="W4" s="199">
        <f>[37]Ecarts_masses!W59</f>
        <v>2045</v>
      </c>
      <c r="X4" s="199">
        <f>[37]Ecarts_masses!X59</f>
        <v>2046</v>
      </c>
      <c r="Y4" s="199">
        <f>[37]Ecarts_masses!Y59</f>
        <v>2047</v>
      </c>
      <c r="Z4" s="199">
        <f>[37]Ecarts_masses!Z59</f>
        <v>2048</v>
      </c>
      <c r="AA4" s="199">
        <f>[37]Ecarts_masses!AA59</f>
        <v>2049</v>
      </c>
      <c r="AB4" s="199">
        <f>[37]Ecarts_masses!AB59</f>
        <v>2050</v>
      </c>
      <c r="AC4" s="199">
        <f>[37]Ecarts_masses!AC59</f>
        <v>2051</v>
      </c>
      <c r="AD4" s="199">
        <f>[37]Ecarts_masses!AD59</f>
        <v>2052</v>
      </c>
      <c r="AE4" s="199">
        <f>[37]Ecarts_masses!AE59</f>
        <v>2053</v>
      </c>
      <c r="AF4" s="199">
        <f>[37]Ecarts_masses!AF59</f>
        <v>2054</v>
      </c>
      <c r="AG4" s="199">
        <f>[37]Ecarts_masses!AG59</f>
        <v>2055</v>
      </c>
      <c r="AH4" s="199">
        <f>[37]Ecarts_masses!AH59</f>
        <v>2056</v>
      </c>
      <c r="AI4" s="199">
        <f>[37]Ecarts_masses!AI59</f>
        <v>2057</v>
      </c>
      <c r="AJ4" s="199">
        <f>[37]Ecarts_masses!AJ59</f>
        <v>2058</v>
      </c>
      <c r="AK4" s="199">
        <f>[37]Ecarts_masses!AK59</f>
        <v>2059</v>
      </c>
      <c r="AL4" s="199">
        <f>[37]Ecarts_masses!AL59</f>
        <v>2060</v>
      </c>
      <c r="AM4" s="199">
        <f>[37]Ecarts_masses!AM59</f>
        <v>2061</v>
      </c>
      <c r="AN4" s="199">
        <f>[37]Ecarts_masses!AN59</f>
        <v>2062</v>
      </c>
      <c r="AO4" s="199">
        <f>[37]Ecarts_masses!AO59</f>
        <v>2063</v>
      </c>
      <c r="AP4" s="199">
        <f>[37]Ecarts_masses!AP59</f>
        <v>2064</v>
      </c>
      <c r="AQ4" s="199">
        <f>[37]Ecarts_masses!AQ59</f>
        <v>2065</v>
      </c>
      <c r="AR4" s="199">
        <f>[37]Ecarts_masses!AR59</f>
        <v>2066</v>
      </c>
      <c r="AS4" s="199">
        <f>[37]Ecarts_masses!AS59</f>
        <v>2067</v>
      </c>
      <c r="AT4" s="199">
        <f>[37]Ecarts_masses!AT59</f>
        <v>2068</v>
      </c>
      <c r="AU4" s="199">
        <f>[37]Ecarts_masses!AU59</f>
        <v>2069</v>
      </c>
      <c r="AV4" s="200">
        <f>[37]Ecarts_masses!AV59</f>
        <v>2070</v>
      </c>
    </row>
    <row r="5" spans="1:48">
      <c r="B5" s="298" t="s">
        <v>37</v>
      </c>
      <c r="C5" s="201" t="s">
        <v>40</v>
      </c>
      <c r="D5" s="204">
        <f>[37]Ecarts_masses!D60</f>
        <v>0</v>
      </c>
      <c r="E5" s="205">
        <f>[37]Ecarts_masses!E60</f>
        <v>0</v>
      </c>
      <c r="F5" s="205">
        <f>[37]Ecarts_masses!F60</f>
        <v>0</v>
      </c>
      <c r="G5" s="205">
        <f>[37]Ecarts_masses!G60</f>
        <v>0</v>
      </c>
      <c r="H5" s="205">
        <f>[37]Ecarts_masses!H60</f>
        <v>0</v>
      </c>
      <c r="I5" s="205">
        <f>[37]Ecarts_masses!I60</f>
        <v>0</v>
      </c>
      <c r="J5" s="205">
        <f>[37]Ecarts_masses!J60</f>
        <v>0</v>
      </c>
      <c r="K5" s="205">
        <f>[37]Ecarts_masses!K60</f>
        <v>0</v>
      </c>
      <c r="L5" s="205">
        <f>[37]Ecarts_masses!L60</f>
        <v>0</v>
      </c>
      <c r="M5" s="205">
        <f>[37]Ecarts_masses!M60</f>
        <v>0</v>
      </c>
      <c r="N5" s="205">
        <f>[37]Ecarts_masses!N60</f>
        <v>0</v>
      </c>
      <c r="O5" s="205">
        <f>[37]Ecarts_masses!O60</f>
        <v>0</v>
      </c>
      <c r="P5" s="205">
        <f>[37]Ecarts_masses!P60</f>
        <v>0</v>
      </c>
      <c r="Q5" s="205">
        <f>[37]Ecarts_masses!Q60</f>
        <v>0</v>
      </c>
      <c r="R5" s="205">
        <f>[37]Ecarts_masses!R60</f>
        <v>7.8831728922423849E-8</v>
      </c>
      <c r="S5" s="205">
        <f>[37]Ecarts_masses!S60</f>
        <v>1.6159655458203304E-7</v>
      </c>
      <c r="T5" s="205">
        <f>[37]Ecarts_masses!T60</f>
        <v>8.4239573427957737E-7</v>
      </c>
      <c r="U5" s="205">
        <f>[37]Ecarts_masses!U60</f>
        <v>1.7071815126001866E-6</v>
      </c>
      <c r="V5" s="205">
        <f>[37]Ecarts_masses!V60</f>
        <v>4.5575417029208865E-6</v>
      </c>
      <c r="W5" s="205">
        <f>[37]Ecarts_masses!W60</f>
        <v>1.0504919295772908E-5</v>
      </c>
      <c r="X5" s="205">
        <f>[37]Ecarts_masses!X60</f>
        <v>1.6922768165672508E-5</v>
      </c>
      <c r="Y5" s="205">
        <f>[37]Ecarts_masses!Y60</f>
        <v>2.6775335893791663E-5</v>
      </c>
      <c r="Z5" s="205">
        <f>[37]Ecarts_masses!Z60</f>
        <v>3.4697693927832063E-5</v>
      </c>
      <c r="AA5" s="205">
        <f>[37]Ecarts_masses!AA60</f>
        <v>5.8331689896551353E-5</v>
      </c>
      <c r="AB5" s="205">
        <f>[37]Ecarts_masses!AB60</f>
        <v>9.0823693120745119E-5</v>
      </c>
      <c r="AC5" s="205">
        <f>[37]Ecarts_masses!AC60</f>
        <v>1.4281128012183508E-4</v>
      </c>
      <c r="AD5" s="205">
        <f>[37]Ecarts_masses!AD60</f>
        <v>2.129227191769445E-4</v>
      </c>
      <c r="AE5" s="205">
        <f>[37]Ecarts_masses!AE60</f>
        <v>2.9528278721469015E-4</v>
      </c>
      <c r="AF5" s="205">
        <f>[37]Ecarts_masses!AF60</f>
        <v>4.6223813638524014E-4</v>
      </c>
      <c r="AG5" s="205">
        <f>[37]Ecarts_masses!AG60</f>
        <v>5.3570486267351392E-4</v>
      </c>
      <c r="AH5" s="205">
        <f>[37]Ecarts_masses!AH60</f>
        <v>7.1738333997672932E-4</v>
      </c>
      <c r="AI5" s="205">
        <f>[37]Ecarts_masses!AI60</f>
        <v>9.4487777559693065E-4</v>
      </c>
      <c r="AJ5" s="205">
        <f>[37]Ecarts_masses!AJ60</f>
        <v>1.1540219152668119E-3</v>
      </c>
      <c r="AK5" s="205">
        <f>[37]Ecarts_masses!AK60</f>
        <v>1.3081573632558463E-3</v>
      </c>
      <c r="AL5" s="205">
        <f>[37]Ecarts_masses!AL60</f>
        <v>1.6260411026804977E-3</v>
      </c>
      <c r="AM5" s="205">
        <f>[37]Ecarts_masses!AM60</f>
        <v>2.1194312285206518E-3</v>
      </c>
      <c r="AN5" s="205">
        <f>[37]Ecarts_masses!AN60</f>
        <v>2.5144916927277716E-3</v>
      </c>
      <c r="AO5" s="205">
        <f>[37]Ecarts_masses!AO60</f>
        <v>3.0027738130522508E-3</v>
      </c>
      <c r="AP5" s="205">
        <f>[37]Ecarts_masses!AP60</f>
        <v>3.4833319266915908E-3</v>
      </c>
      <c r="AQ5" s="205">
        <f>[37]Ecarts_masses!AQ60</f>
        <v>3.832394140431461E-3</v>
      </c>
      <c r="AR5" s="205">
        <f>[37]Ecarts_masses!AR60</f>
        <v>4.3196776999343545E-3</v>
      </c>
      <c r="AS5" s="205">
        <f>[37]Ecarts_masses!AS60</f>
        <v>4.8482307629142962E-3</v>
      </c>
      <c r="AT5" s="205">
        <f>[37]Ecarts_masses!AT60</f>
        <v>5.3281661814086334E-3</v>
      </c>
      <c r="AU5" s="205">
        <f>[37]Ecarts_masses!AU60</f>
        <v>5.7687290157186766E-3</v>
      </c>
      <c r="AV5" s="206">
        <f>[37]Ecarts_masses!AV60</f>
        <v>6.3119517160115102E-3</v>
      </c>
    </row>
    <row r="6" spans="1:48">
      <c r="B6" s="299"/>
      <c r="C6" s="202" t="s">
        <v>41</v>
      </c>
      <c r="D6" s="207">
        <f>[37]Ecarts_masses!D61</f>
        <v>0</v>
      </c>
      <c r="E6" s="196">
        <f>[37]Ecarts_masses!E61</f>
        <v>0</v>
      </c>
      <c r="F6" s="196">
        <f>[37]Ecarts_masses!F61</f>
        <v>0</v>
      </c>
      <c r="G6" s="196">
        <f>[37]Ecarts_masses!G61</f>
        <v>0</v>
      </c>
      <c r="H6" s="196">
        <f>[37]Ecarts_masses!H61</f>
        <v>0</v>
      </c>
      <c r="I6" s="196">
        <f>[37]Ecarts_masses!I61</f>
        <v>0</v>
      </c>
      <c r="J6" s="196">
        <f>[37]Ecarts_masses!J61</f>
        <v>0</v>
      </c>
      <c r="K6" s="196">
        <f>[37]Ecarts_masses!K61</f>
        <v>0</v>
      </c>
      <c r="L6" s="196">
        <f>[37]Ecarts_masses!L61</f>
        <v>0</v>
      </c>
      <c r="M6" s="196">
        <f>[37]Ecarts_masses!M61</f>
        <v>0</v>
      </c>
      <c r="N6" s="196">
        <f>[37]Ecarts_masses!N61</f>
        <v>0</v>
      </c>
      <c r="O6" s="196">
        <f>[37]Ecarts_masses!O61</f>
        <v>0</v>
      </c>
      <c r="P6" s="196">
        <f>[37]Ecarts_masses!P61</f>
        <v>0</v>
      </c>
      <c r="Q6" s="196">
        <f>[37]Ecarts_masses!Q61</f>
        <v>0</v>
      </c>
      <c r="R6" s="196">
        <f>[37]Ecarts_masses!R61</f>
        <v>9.0840808208980661E-8</v>
      </c>
      <c r="S6" s="196">
        <f>[37]Ecarts_masses!S61</f>
        <v>1.6020031523567013E-7</v>
      </c>
      <c r="T6" s="196">
        <f>[37]Ecarts_masses!T61</f>
        <v>2.0922476351437069E-7</v>
      </c>
      <c r="U6" s="196">
        <f>[37]Ecarts_masses!U61</f>
        <v>7.8721936014325422E-7</v>
      </c>
      <c r="V6" s="196">
        <f>[37]Ecarts_masses!V61</f>
        <v>4.0504944724961689E-6</v>
      </c>
      <c r="W6" s="196">
        <f>[37]Ecarts_masses!W61</f>
        <v>7.8050599818801913E-6</v>
      </c>
      <c r="X6" s="196">
        <f>[37]Ecarts_masses!X61</f>
        <v>1.6568131027128175E-5</v>
      </c>
      <c r="Y6" s="196">
        <f>[37]Ecarts_masses!Y61</f>
        <v>2.365417287997218E-5</v>
      </c>
      <c r="Z6" s="196">
        <f>[37]Ecarts_masses!Z61</f>
        <v>2.801105391037062E-5</v>
      </c>
      <c r="AA6" s="196">
        <f>[37]Ecarts_masses!AA61</f>
        <v>4.1478166926234294E-5</v>
      </c>
      <c r="AB6" s="196">
        <f>[37]Ecarts_masses!AB61</f>
        <v>6.0845193095238059E-5</v>
      </c>
      <c r="AC6" s="196">
        <f>[37]Ecarts_masses!AC61</f>
        <v>1.0416751893305154E-4</v>
      </c>
      <c r="AD6" s="196">
        <f>[37]Ecarts_masses!AD61</f>
        <v>1.5523719658383506E-4</v>
      </c>
      <c r="AE6" s="196">
        <f>[37]Ecarts_masses!AE61</f>
        <v>1.8702337233311717E-4</v>
      </c>
      <c r="AF6" s="196">
        <f>[37]Ecarts_masses!AF61</f>
        <v>3.1095719087326223E-4</v>
      </c>
      <c r="AG6" s="196">
        <f>[37]Ecarts_masses!AG61</f>
        <v>3.6178788846874532E-4</v>
      </c>
      <c r="AH6" s="196">
        <f>[37]Ecarts_masses!AH61</f>
        <v>4.8262584939173792E-4</v>
      </c>
      <c r="AI6" s="196">
        <f>[37]Ecarts_masses!AI61</f>
        <v>6.250520491868361E-4</v>
      </c>
      <c r="AJ6" s="196">
        <f>[37]Ecarts_masses!AJ61</f>
        <v>7.8516023225772003E-4</v>
      </c>
      <c r="AK6" s="196">
        <f>[37]Ecarts_masses!AK61</f>
        <v>9.0803573551911931E-4</v>
      </c>
      <c r="AL6" s="196">
        <f>[37]Ecarts_masses!AL61</f>
        <v>1.0623205163582394E-3</v>
      </c>
      <c r="AM6" s="196">
        <f>[37]Ecarts_masses!AM61</f>
        <v>1.3425690289179393E-3</v>
      </c>
      <c r="AN6" s="196">
        <f>[37]Ecarts_masses!AN61</f>
        <v>1.5998899947688994E-3</v>
      </c>
      <c r="AO6" s="196">
        <f>[37]Ecarts_masses!AO61</f>
        <v>1.9305888627274559E-3</v>
      </c>
      <c r="AP6" s="196">
        <f>[37]Ecarts_masses!AP61</f>
        <v>2.2424376371683596E-3</v>
      </c>
      <c r="AQ6" s="196">
        <f>[37]Ecarts_masses!AQ61</f>
        <v>2.4284239256819884E-3</v>
      </c>
      <c r="AR6" s="196">
        <f>[37]Ecarts_masses!AR61</f>
        <v>2.7152887950745441E-3</v>
      </c>
      <c r="AS6" s="196">
        <f>[37]Ecarts_masses!AS61</f>
        <v>3.0857087915754366E-3</v>
      </c>
      <c r="AT6" s="196">
        <f>[37]Ecarts_masses!AT61</f>
        <v>3.4679173257035067E-3</v>
      </c>
      <c r="AU6" s="196">
        <f>[37]Ecarts_masses!AU61</f>
        <v>3.730606490153221E-3</v>
      </c>
      <c r="AV6" s="208">
        <f>[37]Ecarts_masses!AV61</f>
        <v>4.0883105981210921E-3</v>
      </c>
    </row>
    <row r="7" spans="1:48">
      <c r="B7" s="299"/>
      <c r="C7" s="202" t="s">
        <v>42</v>
      </c>
      <c r="D7" s="207">
        <f>[37]Ecarts_masses!D62</f>
        <v>0</v>
      </c>
      <c r="E7" s="196">
        <f>[37]Ecarts_masses!E62</f>
        <v>0</v>
      </c>
      <c r="F7" s="196">
        <f>[37]Ecarts_masses!F62</f>
        <v>0</v>
      </c>
      <c r="G7" s="196">
        <f>[37]Ecarts_masses!G62</f>
        <v>0</v>
      </c>
      <c r="H7" s="196">
        <f>[37]Ecarts_masses!H62</f>
        <v>0</v>
      </c>
      <c r="I7" s="196">
        <f>[37]Ecarts_masses!I62</f>
        <v>0</v>
      </c>
      <c r="J7" s="196">
        <f>[37]Ecarts_masses!J62</f>
        <v>0</v>
      </c>
      <c r="K7" s="196">
        <f>[37]Ecarts_masses!K62</f>
        <v>0</v>
      </c>
      <c r="L7" s="196">
        <f>[37]Ecarts_masses!L62</f>
        <v>0</v>
      </c>
      <c r="M7" s="196">
        <f>[37]Ecarts_masses!M62</f>
        <v>0</v>
      </c>
      <c r="N7" s="196">
        <f>[37]Ecarts_masses!N62</f>
        <v>0</v>
      </c>
      <c r="O7" s="196">
        <f>[37]Ecarts_masses!O62</f>
        <v>0</v>
      </c>
      <c r="P7" s="196">
        <f>[37]Ecarts_masses!P62</f>
        <v>0</v>
      </c>
      <c r="Q7" s="196">
        <f>[37]Ecarts_masses!Q62</f>
        <v>0</v>
      </c>
      <c r="R7" s="196">
        <f>[37]Ecarts_masses!R62</f>
        <v>0</v>
      </c>
      <c r="S7" s="196">
        <f>[37]Ecarts_masses!S62</f>
        <v>0</v>
      </c>
      <c r="T7" s="196">
        <f>[37]Ecarts_masses!T62</f>
        <v>0</v>
      </c>
      <c r="U7" s="196">
        <f>[37]Ecarts_masses!U62</f>
        <v>0</v>
      </c>
      <c r="V7" s="196">
        <f>[37]Ecarts_masses!V62</f>
        <v>-1.4379527668584302E-7</v>
      </c>
      <c r="W7" s="196">
        <f>[37]Ecarts_masses!W62</f>
        <v>-2.3727039522025706E-7</v>
      </c>
      <c r="X7" s="196">
        <f>[37]Ecarts_masses!X62</f>
        <v>5.6248341429032678E-7</v>
      </c>
      <c r="Y7" s="196">
        <f>[37]Ecarts_masses!Y62</f>
        <v>2.2943821149645771E-6</v>
      </c>
      <c r="Z7" s="196">
        <f>[37]Ecarts_masses!Z62</f>
        <v>-1.245153075868366E-6</v>
      </c>
      <c r="AA7" s="196">
        <f>[37]Ecarts_masses!AA62</f>
        <v>3.2028910812442746E-7</v>
      </c>
      <c r="AB7" s="196">
        <f>[37]Ecarts_masses!AB62</f>
        <v>1.4399349445914922E-5</v>
      </c>
      <c r="AC7" s="196">
        <f>[37]Ecarts_masses!AC62</f>
        <v>2.0033582062595201E-5</v>
      </c>
      <c r="AD7" s="196">
        <f>[37]Ecarts_masses!AD62</f>
        <v>2.173345623024403E-5</v>
      </c>
      <c r="AE7" s="196">
        <f>[37]Ecarts_masses!AE62</f>
        <v>2.5186734945892297E-5</v>
      </c>
      <c r="AF7" s="196">
        <f>[37]Ecarts_masses!AF62</f>
        <v>6.4263721452961775E-5</v>
      </c>
      <c r="AG7" s="196">
        <f>[37]Ecarts_masses!AG62</f>
        <v>7.0927284015587233E-5</v>
      </c>
      <c r="AH7" s="196">
        <f>[37]Ecarts_masses!AH62</f>
        <v>9.5196388162355206E-5</v>
      </c>
      <c r="AI7" s="196">
        <f>[37]Ecarts_masses!AI62</f>
        <v>1.4231464530412019E-4</v>
      </c>
      <c r="AJ7" s="196">
        <f>[37]Ecarts_masses!AJ62</f>
        <v>1.6394576408229611E-4</v>
      </c>
      <c r="AK7" s="196">
        <f>[37]Ecarts_masses!AK62</f>
        <v>1.7208239427612959E-4</v>
      </c>
      <c r="AL7" s="196">
        <f>[37]Ecarts_masses!AL62</f>
        <v>2.000977883023225E-4</v>
      </c>
      <c r="AM7" s="196">
        <f>[37]Ecarts_masses!AM62</f>
        <v>2.4713639185103276E-4</v>
      </c>
      <c r="AN7" s="196">
        <f>[37]Ecarts_masses!AN62</f>
        <v>2.8567034295723381E-4</v>
      </c>
      <c r="AO7" s="196">
        <f>[37]Ecarts_masses!AO62</f>
        <v>3.2221965962908605E-4</v>
      </c>
      <c r="AP7" s="196">
        <f>[37]Ecarts_masses!AP62</f>
        <v>3.7224631441223899E-4</v>
      </c>
      <c r="AQ7" s="196">
        <f>[37]Ecarts_masses!AQ62</f>
        <v>3.2611747348076925E-4</v>
      </c>
      <c r="AR7" s="196">
        <f>[37]Ecarts_masses!AR62</f>
        <v>3.0679096204089262E-4</v>
      </c>
      <c r="AS7" s="196">
        <f>[37]Ecarts_masses!AS62</f>
        <v>3.2155265142108647E-4</v>
      </c>
      <c r="AT7" s="196">
        <f>[37]Ecarts_masses!AT62</f>
        <v>3.2415479221881149E-4</v>
      </c>
      <c r="AU7" s="196">
        <f>[37]Ecarts_masses!AU62</f>
        <v>3.005198045291646E-4</v>
      </c>
      <c r="AV7" s="208">
        <f>[37]Ecarts_masses!AV62</f>
        <v>2.5556661637327061E-4</v>
      </c>
    </row>
    <row r="8" spans="1:48">
      <c r="B8" s="299"/>
      <c r="C8" s="202" t="s">
        <v>3</v>
      </c>
      <c r="D8" s="207">
        <f>[37]Ecarts_masses!D63</f>
        <v>0</v>
      </c>
      <c r="E8" s="196">
        <f>[37]Ecarts_masses!E63</f>
        <v>0</v>
      </c>
      <c r="F8" s="196">
        <f>[37]Ecarts_masses!F63</f>
        <v>0</v>
      </c>
      <c r="G8" s="196">
        <f>[37]Ecarts_masses!G63</f>
        <v>0</v>
      </c>
      <c r="H8" s="196">
        <f>[37]Ecarts_masses!H63</f>
        <v>0</v>
      </c>
      <c r="I8" s="196">
        <f>[37]Ecarts_masses!I63</f>
        <v>0</v>
      </c>
      <c r="J8" s="196">
        <f>[37]Ecarts_masses!J63</f>
        <v>0</v>
      </c>
      <c r="K8" s="196">
        <f>[37]Ecarts_masses!K63</f>
        <v>0</v>
      </c>
      <c r="L8" s="196">
        <f>[37]Ecarts_masses!L63</f>
        <v>0</v>
      </c>
      <c r="M8" s="196">
        <f>[37]Ecarts_masses!M63</f>
        <v>0</v>
      </c>
      <c r="N8" s="196">
        <f>[37]Ecarts_masses!N63</f>
        <v>0</v>
      </c>
      <c r="O8" s="196">
        <f>[37]Ecarts_masses!O63</f>
        <v>0</v>
      </c>
      <c r="P8" s="196">
        <f>[37]Ecarts_masses!P63</f>
        <v>0</v>
      </c>
      <c r="Q8" s="196">
        <f>[37]Ecarts_masses!Q63</f>
        <v>0</v>
      </c>
      <c r="R8" s="196">
        <f>[37]Ecarts_masses!R63</f>
        <v>0</v>
      </c>
      <c r="S8" s="196">
        <f>[37]Ecarts_masses!S63</f>
        <v>0</v>
      </c>
      <c r="T8" s="196">
        <f>[37]Ecarts_masses!T63</f>
        <v>0</v>
      </c>
      <c r="U8" s="196">
        <f>[37]Ecarts_masses!U63</f>
        <v>0</v>
      </c>
      <c r="V8" s="196">
        <f>[37]Ecarts_masses!V63</f>
        <v>0</v>
      </c>
      <c r="W8" s="196">
        <f>[37]Ecarts_masses!W63</f>
        <v>0</v>
      </c>
      <c r="X8" s="196">
        <f>[37]Ecarts_masses!X63</f>
        <v>1.0770822396199975E-6</v>
      </c>
      <c r="Y8" s="196">
        <f>[37]Ecarts_masses!Y63</f>
        <v>5.0120386330121391E-7</v>
      </c>
      <c r="Z8" s="196">
        <f>[37]Ecarts_masses!Z63</f>
        <v>-1.8697129727796025E-6</v>
      </c>
      <c r="AA8" s="196">
        <f>[37]Ecarts_masses!AA63</f>
        <v>1.2309824408696102E-6</v>
      </c>
      <c r="AB8" s="196">
        <f>[37]Ecarts_masses!AB63</f>
        <v>1.135641428762213E-5</v>
      </c>
      <c r="AC8" s="196">
        <f>[37]Ecarts_masses!AC63</f>
        <v>1.278315628105986E-5</v>
      </c>
      <c r="AD8" s="196">
        <f>[37]Ecarts_masses!AD63</f>
        <v>1.0619810336898183E-5</v>
      </c>
      <c r="AE8" s="196">
        <f>[37]Ecarts_masses!AE63</f>
        <v>1.359964282787729E-5</v>
      </c>
      <c r="AF8" s="196">
        <f>[37]Ecarts_masses!AF63</f>
        <v>3.73207720736346E-5</v>
      </c>
      <c r="AG8" s="196">
        <f>[37]Ecarts_masses!AG63</f>
        <v>3.726327130415541E-5</v>
      </c>
      <c r="AH8" s="196">
        <f>[37]Ecarts_masses!AH63</f>
        <v>5.7215726242398901E-5</v>
      </c>
      <c r="AI8" s="196">
        <f>[37]Ecarts_masses!AI63</f>
        <v>7.2439257899681309E-5</v>
      </c>
      <c r="AJ8" s="196">
        <f>[37]Ecarts_masses!AJ63</f>
        <v>7.6397945419914848E-5</v>
      </c>
      <c r="AK8" s="196">
        <f>[37]Ecarts_masses!AK63</f>
        <v>8.4556340931962737E-5</v>
      </c>
      <c r="AL8" s="196">
        <f>[37]Ecarts_masses!AL63</f>
        <v>1.1964494112381985E-4</v>
      </c>
      <c r="AM8" s="196">
        <f>[37]Ecarts_masses!AM63</f>
        <v>1.6237393717477566E-4</v>
      </c>
      <c r="AN8" s="196">
        <f>[37]Ecarts_masses!AN63</f>
        <v>1.6695368597163807E-4</v>
      </c>
      <c r="AO8" s="196">
        <f>[37]Ecarts_masses!AO63</f>
        <v>1.9313348942562314E-4</v>
      </c>
      <c r="AP8" s="196">
        <f>[37]Ecarts_masses!AP63</f>
        <v>2.3616572647844336E-4</v>
      </c>
      <c r="AQ8" s="196">
        <f>[37]Ecarts_masses!AQ63</f>
        <v>2.0416360808672707E-4</v>
      </c>
      <c r="AR8" s="196">
        <f>[37]Ecarts_masses!AR63</f>
        <v>2.1278574118843707E-4</v>
      </c>
      <c r="AS8" s="196">
        <f>[37]Ecarts_masses!AS63</f>
        <v>2.3162716988633925E-4</v>
      </c>
      <c r="AT8" s="196">
        <f>[37]Ecarts_masses!AT63</f>
        <v>2.6120057942691233E-4</v>
      </c>
      <c r="AU8" s="196">
        <f>[37]Ecarts_masses!AU63</f>
        <v>2.7320115625850683E-4</v>
      </c>
      <c r="AV8" s="208">
        <f>[37]Ecarts_masses!AV63</f>
        <v>2.7974932216823234E-4</v>
      </c>
    </row>
    <row r="9" spans="1:48">
      <c r="B9" s="299"/>
      <c r="C9" s="202" t="s">
        <v>43</v>
      </c>
      <c r="D9" s="207">
        <f>[37]Ecarts_masses!D64</f>
        <v>0</v>
      </c>
      <c r="E9" s="196">
        <f>[37]Ecarts_masses!E64</f>
        <v>0</v>
      </c>
      <c r="F9" s="196">
        <f>[37]Ecarts_masses!F64</f>
        <v>0</v>
      </c>
      <c r="G9" s="196">
        <f>[37]Ecarts_masses!G64</f>
        <v>0</v>
      </c>
      <c r="H9" s="196">
        <f>[37]Ecarts_masses!H64</f>
        <v>0</v>
      </c>
      <c r="I9" s="196">
        <f>[37]Ecarts_masses!I64</f>
        <v>0</v>
      </c>
      <c r="J9" s="196">
        <f>[37]Ecarts_masses!J64</f>
        <v>0</v>
      </c>
      <c r="K9" s="196">
        <f>[37]Ecarts_masses!K64</f>
        <v>0</v>
      </c>
      <c r="L9" s="196">
        <f>[37]Ecarts_masses!L64</f>
        <v>0</v>
      </c>
      <c r="M9" s="196">
        <f>[37]Ecarts_masses!M64</f>
        <v>0</v>
      </c>
      <c r="N9" s="196">
        <f>[37]Ecarts_masses!N64</f>
        <v>0</v>
      </c>
      <c r="O9" s="196">
        <f>[37]Ecarts_masses!O64</f>
        <v>0</v>
      </c>
      <c r="P9" s="196">
        <f>[37]Ecarts_masses!P64</f>
        <v>0</v>
      </c>
      <c r="Q9" s="196">
        <f>[37]Ecarts_masses!Q64</f>
        <v>0</v>
      </c>
      <c r="R9" s="196">
        <f>[37]Ecarts_masses!R64</f>
        <v>0</v>
      </c>
      <c r="S9" s="196">
        <f>[37]Ecarts_masses!S64</f>
        <v>0</v>
      </c>
      <c r="T9" s="196">
        <f>[37]Ecarts_masses!T64</f>
        <v>0</v>
      </c>
      <c r="U9" s="196">
        <f>[37]Ecarts_masses!U64</f>
        <v>0</v>
      </c>
      <c r="V9" s="196">
        <f>[37]Ecarts_masses!V64</f>
        <v>0</v>
      </c>
      <c r="W9" s="196">
        <f>[37]Ecarts_masses!W64</f>
        <v>0</v>
      </c>
      <c r="X9" s="196">
        <f>[37]Ecarts_masses!X64</f>
        <v>0</v>
      </c>
      <c r="Y9" s="196">
        <f>[37]Ecarts_masses!Y64</f>
        <v>0</v>
      </c>
      <c r="Z9" s="196">
        <f>[37]Ecarts_masses!Z64</f>
        <v>2.1408179865289867E-5</v>
      </c>
      <c r="AA9" s="196">
        <f>[37]Ecarts_masses!AA64</f>
        <v>4.5500352621186124E-6</v>
      </c>
      <c r="AB9" s="196">
        <f>[37]Ecarts_masses!AB64</f>
        <v>5.0641308532162199E-5</v>
      </c>
      <c r="AC9" s="196">
        <f>[37]Ecarts_masses!AC64</f>
        <v>-7.0115340808918347E-6</v>
      </c>
      <c r="AD9" s="196">
        <f>[37]Ecarts_masses!AD64</f>
        <v>-4.5508130420590653E-5</v>
      </c>
      <c r="AE9" s="196">
        <f>[37]Ecarts_masses!AE64</f>
        <v>-9.6031497086590534E-6</v>
      </c>
      <c r="AF9" s="196">
        <f>[37]Ecarts_masses!AF64</f>
        <v>3.7975950065938235E-5</v>
      </c>
      <c r="AG9" s="196">
        <f>[37]Ecarts_masses!AG64</f>
        <v>3.6011530888391263E-5</v>
      </c>
      <c r="AH9" s="196">
        <f>[37]Ecarts_masses!AH64</f>
        <v>4.6496333361512043E-5</v>
      </c>
      <c r="AI9" s="196">
        <f>[37]Ecarts_masses!AI64</f>
        <v>6.5448459385164526E-5</v>
      </c>
      <c r="AJ9" s="196">
        <f>[37]Ecarts_masses!AJ64</f>
        <v>5.4361547341397198E-5</v>
      </c>
      <c r="AK9" s="196">
        <f>[37]Ecarts_masses!AK64</f>
        <v>5.5083602503946949E-5</v>
      </c>
      <c r="AL9" s="196">
        <f>[37]Ecarts_masses!AL64</f>
        <v>6.9443571737659582E-5</v>
      </c>
      <c r="AM9" s="196">
        <f>[37]Ecarts_masses!AM64</f>
        <v>2.8748173979797897E-4</v>
      </c>
      <c r="AN9" s="196">
        <f>[37]Ecarts_masses!AN64</f>
        <v>2.2979630593544798E-4</v>
      </c>
      <c r="AO9" s="196">
        <f>[37]Ecarts_masses!AO64</f>
        <v>6.6889162027683469E-5</v>
      </c>
      <c r="AP9" s="196">
        <f>[37]Ecarts_masses!AP64</f>
        <v>1.7906529035105478E-4</v>
      </c>
      <c r="AQ9" s="196">
        <f>[37]Ecarts_masses!AQ64</f>
        <v>3.0228743870397423E-4</v>
      </c>
      <c r="AR9" s="196">
        <f>[37]Ecarts_masses!AR64</f>
        <v>3.2149134422865266E-4</v>
      </c>
      <c r="AS9" s="196">
        <f>[37]Ecarts_masses!AS64</f>
        <v>4.3194098155141525E-4</v>
      </c>
      <c r="AT9" s="196">
        <f>[37]Ecarts_masses!AT64</f>
        <v>3.368012531452802E-4</v>
      </c>
      <c r="AU9" s="196">
        <f>[37]Ecarts_masses!AU64</f>
        <v>2.6361155483556331E-4</v>
      </c>
      <c r="AV9" s="208">
        <f>[37]Ecarts_masses!AV64</f>
        <v>2.944827145825446E-4</v>
      </c>
    </row>
    <row r="10" spans="1:48">
      <c r="B10" s="299"/>
      <c r="C10" s="202" t="s">
        <v>31</v>
      </c>
      <c r="D10" s="207">
        <f>[37]Ecarts_masses!D65</f>
        <v>0</v>
      </c>
      <c r="E10" s="196">
        <f>[37]Ecarts_masses!E65</f>
        <v>0</v>
      </c>
      <c r="F10" s="196">
        <f>[37]Ecarts_masses!F65</f>
        <v>0</v>
      </c>
      <c r="G10" s="196">
        <f>[37]Ecarts_masses!G65</f>
        <v>0</v>
      </c>
      <c r="H10" s="196">
        <f>[37]Ecarts_masses!H65</f>
        <v>0</v>
      </c>
      <c r="I10" s="196">
        <f>[37]Ecarts_masses!I65</f>
        <v>0</v>
      </c>
      <c r="J10" s="196">
        <f>[37]Ecarts_masses!J65</f>
        <v>0</v>
      </c>
      <c r="K10" s="196">
        <f>[37]Ecarts_masses!K65</f>
        <v>0</v>
      </c>
      <c r="L10" s="196">
        <f>[37]Ecarts_masses!L65</f>
        <v>0</v>
      </c>
      <c r="M10" s="196">
        <f>[37]Ecarts_masses!M65</f>
        <v>0</v>
      </c>
      <c r="N10" s="196">
        <f>[37]Ecarts_masses!N65</f>
        <v>0</v>
      </c>
      <c r="O10" s="196">
        <f>[37]Ecarts_masses!O65</f>
        <v>0</v>
      </c>
      <c r="P10" s="196">
        <f>[37]Ecarts_masses!P65</f>
        <v>0</v>
      </c>
      <c r="Q10" s="196">
        <f>[37]Ecarts_masses!Q65</f>
        <v>0</v>
      </c>
      <c r="R10" s="196">
        <f>[37]Ecarts_masses!R65</f>
        <v>0</v>
      </c>
      <c r="S10" s="196">
        <f>[37]Ecarts_masses!S65</f>
        <v>0</v>
      </c>
      <c r="T10" s="196">
        <f>[37]Ecarts_masses!T65</f>
        <v>5.3344425983148369E-6</v>
      </c>
      <c r="U10" s="196">
        <f>[37]Ecarts_masses!U65</f>
        <v>7.4491532791043369E-6</v>
      </c>
      <c r="V10" s="196">
        <f>[37]Ecarts_masses!V65</f>
        <v>8.0330366267755693E-6</v>
      </c>
      <c r="W10" s="196">
        <f>[37]Ecarts_masses!W65</f>
        <v>3.1978872598648067E-5</v>
      </c>
      <c r="X10" s="196">
        <f>[37]Ecarts_masses!X65</f>
        <v>1.9945797744780336E-5</v>
      </c>
      <c r="Y10" s="196">
        <f>[37]Ecarts_masses!Y65</f>
        <v>5.2886943561203381E-5</v>
      </c>
      <c r="Z10" s="196">
        <f>[37]Ecarts_masses!Z65</f>
        <v>8.6426042042786477E-5</v>
      </c>
      <c r="AA10" s="196">
        <f>[37]Ecarts_masses!AA65</f>
        <v>1.7449364406552093E-4</v>
      </c>
      <c r="AB10" s="196">
        <f>[37]Ecarts_masses!AB65</f>
        <v>3.3015629891730569E-4</v>
      </c>
      <c r="AC10" s="196">
        <f>[37]Ecarts_masses!AC65</f>
        <v>4.978932631360955E-4</v>
      </c>
      <c r="AD10" s="196">
        <f>[37]Ecarts_masses!AD65</f>
        <v>7.4064523805739135E-4</v>
      </c>
      <c r="AE10" s="196">
        <f>[37]Ecarts_masses!AE65</f>
        <v>1.2784294646657202E-3</v>
      </c>
      <c r="AF10" s="196">
        <f>[37]Ecarts_masses!AF65</f>
        <v>1.8997680782879556E-3</v>
      </c>
      <c r="AG10" s="196">
        <f>[37]Ecarts_masses!AG65</f>
        <v>2.2131664532056838E-3</v>
      </c>
      <c r="AH10" s="196">
        <f>[37]Ecarts_masses!AH65</f>
        <v>3.0307579064501322E-3</v>
      </c>
      <c r="AI10" s="196">
        <f>[37]Ecarts_masses!AI65</f>
        <v>4.1475724880564169E-3</v>
      </c>
      <c r="AJ10" s="196">
        <f>[37]Ecarts_masses!AJ65</f>
        <v>4.8943814115207651E-3</v>
      </c>
      <c r="AK10" s="196">
        <f>[37]Ecarts_masses!AK65</f>
        <v>5.4596221884810614E-3</v>
      </c>
      <c r="AL10" s="196">
        <f>[37]Ecarts_masses!AL65</f>
        <v>7.5189902490611082E-3</v>
      </c>
      <c r="AM10" s="196">
        <f>[37]Ecarts_masses!AM65</f>
        <v>1.0109120420673801E-2</v>
      </c>
      <c r="AN10" s="196">
        <f>[37]Ecarts_masses!AN65</f>
        <v>1.2007588655939427E-2</v>
      </c>
      <c r="AO10" s="196">
        <f>[37]Ecarts_masses!AO65</f>
        <v>1.4170368996104576E-2</v>
      </c>
      <c r="AP10" s="196">
        <f>[37]Ecarts_masses!AP65</f>
        <v>1.65919189190602E-2</v>
      </c>
      <c r="AQ10" s="196">
        <f>[37]Ecarts_masses!AQ65</f>
        <v>1.8550944462828678E-2</v>
      </c>
      <c r="AR10" s="196">
        <f>[37]Ecarts_masses!AR65</f>
        <v>2.1189346578515567E-2</v>
      </c>
      <c r="AS10" s="196">
        <f>[37]Ecarts_masses!AS65</f>
        <v>2.3427538385415225E-2</v>
      </c>
      <c r="AT10" s="196">
        <f>[37]Ecarts_masses!AT65</f>
        <v>2.4983981156119661E-2</v>
      </c>
      <c r="AU10" s="196">
        <f>[37]Ecarts_masses!AU65</f>
        <v>2.7226508357860446E-2</v>
      </c>
      <c r="AV10" s="208">
        <f>[37]Ecarts_masses!AV65</f>
        <v>2.9749310328623046E-2</v>
      </c>
    </row>
    <row r="11" spans="1:48">
      <c r="B11" s="299"/>
      <c r="C11" s="202" t="s">
        <v>38</v>
      </c>
      <c r="D11" s="207">
        <f>[37]Ecarts_masses!D66</f>
        <v>0</v>
      </c>
      <c r="E11" s="196">
        <f>[37]Ecarts_masses!E66</f>
        <v>0</v>
      </c>
      <c r="F11" s="196">
        <f>[37]Ecarts_masses!F66</f>
        <v>0</v>
      </c>
      <c r="G11" s="196">
        <f>[37]Ecarts_masses!G66</f>
        <v>0</v>
      </c>
      <c r="H11" s="196">
        <f>[37]Ecarts_masses!H66</f>
        <v>0</v>
      </c>
      <c r="I11" s="196">
        <f>[37]Ecarts_masses!I66</f>
        <v>0</v>
      </c>
      <c r="J11" s="196">
        <f>[37]Ecarts_masses!J66</f>
        <v>0</v>
      </c>
      <c r="K11" s="196">
        <f>[37]Ecarts_masses!K66</f>
        <v>0</v>
      </c>
      <c r="L11" s="196">
        <f>[37]Ecarts_masses!L66</f>
        <v>0</v>
      </c>
      <c r="M11" s="196">
        <f>[37]Ecarts_masses!M66</f>
        <v>0</v>
      </c>
      <c r="N11" s="196">
        <f>[37]Ecarts_masses!N66</f>
        <v>0</v>
      </c>
      <c r="O11" s="196">
        <f>[37]Ecarts_masses!O66</f>
        <v>0</v>
      </c>
      <c r="P11" s="196">
        <f>[37]Ecarts_masses!P66</f>
        <v>0</v>
      </c>
      <c r="Q11" s="196">
        <f>[37]Ecarts_masses!Q66</f>
        <v>0</v>
      </c>
      <c r="R11" s="196">
        <f>[37]Ecarts_masses!R66</f>
        <v>0</v>
      </c>
      <c r="S11" s="196">
        <f>[37]Ecarts_masses!S66</f>
        <v>0</v>
      </c>
      <c r="T11" s="196">
        <f>[37]Ecarts_masses!T66</f>
        <v>0</v>
      </c>
      <c r="U11" s="196">
        <f>[37]Ecarts_masses!U66</f>
        <v>0</v>
      </c>
      <c r="V11" s="196">
        <f>[37]Ecarts_masses!V66</f>
        <v>0</v>
      </c>
      <c r="W11" s="196">
        <f>[37]Ecarts_masses!W66</f>
        <v>0</v>
      </c>
      <c r="X11" s="196">
        <f>[37]Ecarts_masses!X66</f>
        <v>2.0048330579891527E-5</v>
      </c>
      <c r="Y11" s="196">
        <f>[37]Ecarts_masses!Y66</f>
        <v>1.2589479441826867E-5</v>
      </c>
      <c r="Z11" s="196">
        <f>[37]Ecarts_masses!Z66</f>
        <v>2.8079028926430993E-6</v>
      </c>
      <c r="AA11" s="196">
        <f>[37]Ecarts_masses!AA66</f>
        <v>4.0469088544714538E-6</v>
      </c>
      <c r="AB11" s="196">
        <f>[37]Ecarts_masses!AB66</f>
        <v>2.5553915677489769E-5</v>
      </c>
      <c r="AC11" s="196">
        <f>[37]Ecarts_masses!AC66</f>
        <v>1.0014032199623379E-4</v>
      </c>
      <c r="AD11" s="196">
        <f>[37]Ecarts_masses!AD66</f>
        <v>1.3691201603927006E-4</v>
      </c>
      <c r="AE11" s="196">
        <f>[37]Ecarts_masses!AE66</f>
        <v>1.162455945020735E-4</v>
      </c>
      <c r="AF11" s="196">
        <f>[37]Ecarts_masses!AF66</f>
        <v>3.2287836172284479E-4</v>
      </c>
      <c r="AG11" s="196">
        <f>[37]Ecarts_masses!AG66</f>
        <v>3.4472336621860222E-4</v>
      </c>
      <c r="AH11" s="196">
        <f>[37]Ecarts_masses!AH66</f>
        <v>4.5979366865056548E-4</v>
      </c>
      <c r="AI11" s="196">
        <f>[37]Ecarts_masses!AI66</f>
        <v>5.5979894055524504E-4</v>
      </c>
      <c r="AJ11" s="196">
        <f>[37]Ecarts_masses!AJ66</f>
        <v>6.9919844803290054E-4</v>
      </c>
      <c r="AK11" s="196">
        <f>[37]Ecarts_masses!AK66</f>
        <v>6.1178821685414775E-4</v>
      </c>
      <c r="AL11" s="196">
        <f>[37]Ecarts_masses!AL66</f>
        <v>7.5029782101831977E-4</v>
      </c>
      <c r="AM11" s="196">
        <f>[37]Ecarts_masses!AM66</f>
        <v>1.0146272193913841E-3</v>
      </c>
      <c r="AN11" s="196">
        <f>[37]Ecarts_masses!AN66</f>
        <v>1.4012866258512613E-3</v>
      </c>
      <c r="AO11" s="196">
        <f>[37]Ecarts_masses!AO66</f>
        <v>1.5305067050015442E-3</v>
      </c>
      <c r="AP11" s="196">
        <f>[37]Ecarts_masses!AP66</f>
        <v>1.7997566208718396E-3</v>
      </c>
      <c r="AQ11" s="196">
        <f>[37]Ecarts_masses!AQ66</f>
        <v>1.6704350864555906E-3</v>
      </c>
      <c r="AR11" s="196">
        <f>[37]Ecarts_masses!AR66</f>
        <v>1.88735407351448E-3</v>
      </c>
      <c r="AS11" s="196">
        <f>[37]Ecarts_masses!AS66</f>
        <v>2.2720259380957231E-3</v>
      </c>
      <c r="AT11" s="196">
        <f>[37]Ecarts_masses!AT66</f>
        <v>2.3320090922678283E-3</v>
      </c>
      <c r="AU11" s="196">
        <f>[37]Ecarts_masses!AU66</f>
        <v>2.0877706302109278E-3</v>
      </c>
      <c r="AV11" s="208">
        <f>[37]Ecarts_masses!AV66</f>
        <v>2.2311903586809123E-3</v>
      </c>
    </row>
    <row r="12" spans="1:48">
      <c r="B12" s="299"/>
      <c r="C12" s="202" t="s">
        <v>44</v>
      </c>
      <c r="D12" s="207">
        <f>[37]Ecarts_masses!D67</f>
        <v>0</v>
      </c>
      <c r="E12" s="196">
        <f>[37]Ecarts_masses!E67</f>
        <v>0</v>
      </c>
      <c r="F12" s="196">
        <f>[37]Ecarts_masses!F67</f>
        <v>0</v>
      </c>
      <c r="G12" s="196">
        <f>[37]Ecarts_masses!G67</f>
        <v>0</v>
      </c>
      <c r="H12" s="196">
        <f>[37]Ecarts_masses!H67</f>
        <v>0</v>
      </c>
      <c r="I12" s="196">
        <f>[37]Ecarts_masses!I67</f>
        <v>0</v>
      </c>
      <c r="J12" s="196">
        <f>[37]Ecarts_masses!J67</f>
        <v>0</v>
      </c>
      <c r="K12" s="196">
        <f>[37]Ecarts_masses!K67</f>
        <v>0</v>
      </c>
      <c r="L12" s="196">
        <f>[37]Ecarts_masses!L67</f>
        <v>0</v>
      </c>
      <c r="M12" s="196">
        <f>[37]Ecarts_masses!M67</f>
        <v>0</v>
      </c>
      <c r="N12" s="196">
        <f>[37]Ecarts_masses!N67</f>
        <v>0</v>
      </c>
      <c r="O12" s="196">
        <f>[37]Ecarts_masses!O67</f>
        <v>0</v>
      </c>
      <c r="P12" s="196">
        <f>[37]Ecarts_masses!P67</f>
        <v>0</v>
      </c>
      <c r="Q12" s="196">
        <f>[37]Ecarts_masses!Q67</f>
        <v>0</v>
      </c>
      <c r="R12" s="196">
        <f>[37]Ecarts_masses!R67</f>
        <v>0</v>
      </c>
      <c r="S12" s="196">
        <f>[37]Ecarts_masses!S67</f>
        <v>0</v>
      </c>
      <c r="T12" s="196">
        <f>[37]Ecarts_masses!T67</f>
        <v>0</v>
      </c>
      <c r="U12" s="196">
        <f>[37]Ecarts_masses!U67</f>
        <v>0</v>
      </c>
      <c r="V12" s="196">
        <f>[37]Ecarts_masses!V67</f>
        <v>0</v>
      </c>
      <c r="W12" s="196">
        <f>[37]Ecarts_masses!W67</f>
        <v>0</v>
      </c>
      <c r="X12" s="196">
        <f>[37]Ecarts_masses!X67</f>
        <v>0</v>
      </c>
      <c r="Y12" s="196">
        <f>[37]Ecarts_masses!Y67</f>
        <v>0</v>
      </c>
      <c r="Z12" s="196">
        <f>[37]Ecarts_masses!Z67</f>
        <v>3.5928276576058238E-8</v>
      </c>
      <c r="AA12" s="196">
        <f>[37]Ecarts_masses!AA67</f>
        <v>-4.1565410291433125E-7</v>
      </c>
      <c r="AB12" s="196">
        <f>[37]Ecarts_masses!AB67</f>
        <v>-4.2771934005703116E-7</v>
      </c>
      <c r="AC12" s="196">
        <f>[37]Ecarts_masses!AC67</f>
        <v>1.1853256953742175E-6</v>
      </c>
      <c r="AD12" s="196">
        <f>[37]Ecarts_masses!AD67</f>
        <v>5.4491564815961624E-7</v>
      </c>
      <c r="AE12" s="196">
        <f>[37]Ecarts_masses!AE67</f>
        <v>2.7171469589859498E-6</v>
      </c>
      <c r="AF12" s="196">
        <f>[37]Ecarts_masses!AF67</f>
        <v>1.658362548706549E-5</v>
      </c>
      <c r="AG12" s="196">
        <f>[37]Ecarts_masses!AG67</f>
        <v>5.2802251319539195E-5</v>
      </c>
      <c r="AH12" s="196">
        <f>[37]Ecarts_masses!AH67</f>
        <v>1.099471151222442E-4</v>
      </c>
      <c r="AI12" s="196">
        <f>[37]Ecarts_masses!AI67</f>
        <v>9.666712307310199E-5</v>
      </c>
      <c r="AJ12" s="196">
        <f>[37]Ecarts_masses!AJ67</f>
        <v>8.8867136732950769E-5</v>
      </c>
      <c r="AK12" s="196">
        <f>[37]Ecarts_masses!AK67</f>
        <v>1.2252951243674204E-4</v>
      </c>
      <c r="AL12" s="196">
        <f>[37]Ecarts_masses!AL67</f>
        <v>1.481071031919079E-4</v>
      </c>
      <c r="AM12" s="196">
        <f>[37]Ecarts_masses!AM67</f>
        <v>1.963541151921433E-4</v>
      </c>
      <c r="AN12" s="196">
        <f>[37]Ecarts_masses!AN67</f>
        <v>2.3596510232737344E-4</v>
      </c>
      <c r="AO12" s="196">
        <f>[37]Ecarts_masses!AO67</f>
        <v>2.2677846607854768E-4</v>
      </c>
      <c r="AP12" s="196">
        <f>[37]Ecarts_masses!AP67</f>
        <v>2.3883350252518198E-4</v>
      </c>
      <c r="AQ12" s="196">
        <f>[37]Ecarts_masses!AQ67</f>
        <v>2.0655018881510223E-4</v>
      </c>
      <c r="AR12" s="196">
        <f>[37]Ecarts_masses!AR67</f>
        <v>1.6416820340281468E-4</v>
      </c>
      <c r="AS12" s="196">
        <f>[37]Ecarts_masses!AS67</f>
        <v>1.8361592378113301E-4</v>
      </c>
      <c r="AT12" s="196">
        <f>[37]Ecarts_masses!AT67</f>
        <v>2.4674446463346378E-4</v>
      </c>
      <c r="AU12" s="196">
        <f>[37]Ecarts_masses!AU67</f>
        <v>1.2767085019116386E-4</v>
      </c>
      <c r="AV12" s="208">
        <f>[37]Ecarts_masses!AV67</f>
        <v>1.6866710389962236E-4</v>
      </c>
    </row>
    <row r="13" spans="1:48">
      <c r="B13" s="299"/>
      <c r="C13" s="202" t="s">
        <v>5</v>
      </c>
      <c r="D13" s="207">
        <f>[37]Ecarts_masses!D68</f>
        <v>0</v>
      </c>
      <c r="E13" s="196">
        <f>[37]Ecarts_masses!E68</f>
        <v>0</v>
      </c>
      <c r="F13" s="196">
        <f>[37]Ecarts_masses!F68</f>
        <v>0</v>
      </c>
      <c r="G13" s="196">
        <f>[37]Ecarts_masses!G68</f>
        <v>0</v>
      </c>
      <c r="H13" s="196">
        <f>[37]Ecarts_masses!H68</f>
        <v>0</v>
      </c>
      <c r="I13" s="196">
        <f>[37]Ecarts_masses!I68</f>
        <v>0</v>
      </c>
      <c r="J13" s="196">
        <f>[37]Ecarts_masses!J68</f>
        <v>0</v>
      </c>
      <c r="K13" s="196">
        <f>[37]Ecarts_masses!K68</f>
        <v>0</v>
      </c>
      <c r="L13" s="196">
        <f>[37]Ecarts_masses!L68</f>
        <v>0</v>
      </c>
      <c r="M13" s="196">
        <f>[37]Ecarts_masses!M68</f>
        <v>0</v>
      </c>
      <c r="N13" s="196">
        <f>[37]Ecarts_masses!N68</f>
        <v>0</v>
      </c>
      <c r="O13" s="196">
        <f>[37]Ecarts_masses!O68</f>
        <v>0</v>
      </c>
      <c r="P13" s="196">
        <f>[37]Ecarts_masses!P68</f>
        <v>0</v>
      </c>
      <c r="Q13" s="196">
        <f>[37]Ecarts_masses!Q68</f>
        <v>0</v>
      </c>
      <c r="R13" s="196">
        <f>[37]Ecarts_masses!R68</f>
        <v>9.3999847883274867E-7</v>
      </c>
      <c r="S13" s="196">
        <f>[37]Ecarts_masses!S68</f>
        <v>1.6662767112762822E-6</v>
      </c>
      <c r="T13" s="196">
        <f>[37]Ecarts_masses!T68</f>
        <v>2.1908688312421987E-6</v>
      </c>
      <c r="U13" s="196">
        <f>[37]Ecarts_masses!U68</f>
        <v>8.3091131637402782E-6</v>
      </c>
      <c r="V13" s="196">
        <f>[37]Ecarts_masses!V68</f>
        <v>4.3878297710575609E-5</v>
      </c>
      <c r="W13" s="196">
        <f>[37]Ecarts_masses!W68</f>
        <v>8.5065064920675226E-5</v>
      </c>
      <c r="X13" s="196">
        <f>[37]Ecarts_masses!X68</f>
        <v>1.6972658098968196E-4</v>
      </c>
      <c r="Y13" s="196">
        <f>[37]Ecarts_masses!Y68</f>
        <v>2.4231873947155869E-4</v>
      </c>
      <c r="Z13" s="196">
        <f>[37]Ecarts_masses!Z68</f>
        <v>3.1490369981757027E-4</v>
      </c>
      <c r="AA13" s="196">
        <f>[37]Ecarts_masses!AA68</f>
        <v>4.3705648298897337E-4</v>
      </c>
      <c r="AB13" s="196">
        <f>[37]Ecarts_masses!AB68</f>
        <v>5.4253314845409406E-4</v>
      </c>
      <c r="AC13" s="196">
        <f>[37]Ecarts_masses!AC68</f>
        <v>9.727802314927203E-4</v>
      </c>
      <c r="AD13" s="196">
        <f>[37]Ecarts_masses!AD68</f>
        <v>1.575779091382179E-3</v>
      </c>
      <c r="AE13" s="196">
        <f>[37]Ecarts_masses!AE68</f>
        <v>1.8711865526255256E-3</v>
      </c>
      <c r="AF13" s="196">
        <f>[37]Ecarts_masses!AF68</f>
        <v>2.9102423406346389E-3</v>
      </c>
      <c r="AG13" s="196">
        <f>[37]Ecarts_masses!AG68</f>
        <v>3.5172921075303787E-3</v>
      </c>
      <c r="AH13" s="196">
        <f>[37]Ecarts_masses!AH68</f>
        <v>4.7267035766396237E-3</v>
      </c>
      <c r="AI13" s="196">
        <f>[37]Ecarts_masses!AI68</f>
        <v>6.3037208158880365E-3</v>
      </c>
      <c r="AJ13" s="196">
        <f>[37]Ecarts_masses!AJ68</f>
        <v>8.075496723355613E-3</v>
      </c>
      <c r="AK13" s="196">
        <f>[37]Ecarts_masses!AK68</f>
        <v>9.5938609160906019E-3</v>
      </c>
      <c r="AL13" s="196">
        <f>[37]Ecarts_masses!AL68</f>
        <v>1.1320639822568701E-2</v>
      </c>
      <c r="AM13" s="196">
        <f>[37]Ecarts_masses!AM68</f>
        <v>1.4296618868851807E-2</v>
      </c>
      <c r="AN13" s="196">
        <f>[37]Ecarts_masses!AN68</f>
        <v>1.7392423132353896E-2</v>
      </c>
      <c r="AO13" s="196">
        <f>[37]Ecarts_masses!AO68</f>
        <v>2.1576467227354401E-2</v>
      </c>
      <c r="AP13" s="196">
        <f>[37]Ecarts_masses!AP68</f>
        <v>2.5266731599991044E-2</v>
      </c>
      <c r="AQ13" s="196">
        <f>[37]Ecarts_masses!AQ68</f>
        <v>2.8474698352066286E-2</v>
      </c>
      <c r="AR13" s="196">
        <f>[37]Ecarts_masses!AR68</f>
        <v>3.2654298813279636E-2</v>
      </c>
      <c r="AS13" s="196">
        <f>[37]Ecarts_masses!AS68</f>
        <v>3.7328502803961827E-2</v>
      </c>
      <c r="AT13" s="196">
        <f>[37]Ecarts_masses!AT68</f>
        <v>4.2407095830532704E-2</v>
      </c>
      <c r="AU13" s="196">
        <f>[37]Ecarts_masses!AU68</f>
        <v>4.6778910442836663E-2</v>
      </c>
      <c r="AV13" s="208">
        <f>[37]Ecarts_masses!AV68</f>
        <v>5.2013465679594306E-2</v>
      </c>
    </row>
    <row r="14" spans="1:48">
      <c r="B14" s="299"/>
      <c r="C14" s="202" t="s">
        <v>45</v>
      </c>
      <c r="D14" s="207">
        <f>[37]Ecarts_masses!D69</f>
        <v>0</v>
      </c>
      <c r="E14" s="196">
        <f>[37]Ecarts_masses!E69</f>
        <v>0</v>
      </c>
      <c r="F14" s="196">
        <f>[37]Ecarts_masses!F69</f>
        <v>0</v>
      </c>
      <c r="G14" s="196">
        <f>[37]Ecarts_masses!G69</f>
        <v>0</v>
      </c>
      <c r="H14" s="196">
        <f>[37]Ecarts_masses!H69</f>
        <v>0</v>
      </c>
      <c r="I14" s="196">
        <f>[37]Ecarts_masses!I69</f>
        <v>0</v>
      </c>
      <c r="J14" s="196">
        <f>[37]Ecarts_masses!J69</f>
        <v>0</v>
      </c>
      <c r="K14" s="196">
        <f>[37]Ecarts_masses!K69</f>
        <v>0</v>
      </c>
      <c r="L14" s="196">
        <f>[37]Ecarts_masses!L69</f>
        <v>0</v>
      </c>
      <c r="M14" s="196">
        <f>[37]Ecarts_masses!M69</f>
        <v>0</v>
      </c>
      <c r="N14" s="196">
        <f>[37]Ecarts_masses!N69</f>
        <v>0</v>
      </c>
      <c r="O14" s="196">
        <f>[37]Ecarts_masses!O69</f>
        <v>0</v>
      </c>
      <c r="P14" s="196">
        <f>[37]Ecarts_masses!P69</f>
        <v>0</v>
      </c>
      <c r="Q14" s="196">
        <f>[37]Ecarts_masses!Q69</f>
        <v>0</v>
      </c>
      <c r="R14" s="196">
        <f>[37]Ecarts_masses!R69</f>
        <v>7.0933687812413382E-8</v>
      </c>
      <c r="S14" s="196">
        <f>[37]Ecarts_masses!S69</f>
        <v>8.5788452786061953E-7</v>
      </c>
      <c r="T14" s="196">
        <f>[37]Ecarts_masses!T69</f>
        <v>1.2763643684188253E-6</v>
      </c>
      <c r="U14" s="196">
        <f>[37]Ecarts_masses!U69</f>
        <v>6.0273126081256123E-6</v>
      </c>
      <c r="V14" s="196">
        <f>[37]Ecarts_masses!V69</f>
        <v>6.525946595115073E-6</v>
      </c>
      <c r="W14" s="196">
        <f>[37]Ecarts_masses!W69</f>
        <v>1.0371833059297231E-5</v>
      </c>
      <c r="X14" s="196">
        <f>[37]Ecarts_masses!X69</f>
        <v>1.6867831678535339E-5</v>
      </c>
      <c r="Y14" s="196">
        <f>[37]Ecarts_masses!Y69</f>
        <v>2.6098362216453452E-5</v>
      </c>
      <c r="Z14" s="196">
        <f>[37]Ecarts_masses!Z69</f>
        <v>5.2240177461637671E-5</v>
      </c>
      <c r="AA14" s="196">
        <f>[37]Ecarts_masses!AA69</f>
        <v>1.6455624745259634E-4</v>
      </c>
      <c r="AB14" s="196">
        <f>[37]Ecarts_masses!AB69</f>
        <v>1.8643572448762136E-4</v>
      </c>
      <c r="AC14" s="196">
        <f>[37]Ecarts_masses!AC69</f>
        <v>1.3294744168024231E-4</v>
      </c>
      <c r="AD14" s="196">
        <f>[37]Ecarts_masses!AD69</f>
        <v>2.5854016199211571E-4</v>
      </c>
      <c r="AE14" s="196">
        <f>[37]Ecarts_masses!AE69</f>
        <v>5.0519508784185874E-4</v>
      </c>
      <c r="AF14" s="196">
        <f>[37]Ecarts_masses!AF69</f>
        <v>6.2302216932308419E-4</v>
      </c>
      <c r="AG14" s="196">
        <f>[37]Ecarts_masses!AG69</f>
        <v>7.9923744649468276E-4</v>
      </c>
      <c r="AH14" s="196">
        <f>[37]Ecarts_masses!AH69</f>
        <v>1.0651332550253301E-3</v>
      </c>
      <c r="AI14" s="196">
        <f>[37]Ecarts_masses!AI69</f>
        <v>1.4024332115101235E-3</v>
      </c>
      <c r="AJ14" s="196">
        <f>[37]Ecarts_masses!AJ69</f>
        <v>1.7240760376981967E-3</v>
      </c>
      <c r="AK14" s="196">
        <f>[37]Ecarts_masses!AK69</f>
        <v>1.8073247690792993E-3</v>
      </c>
      <c r="AL14" s="196">
        <f>[37]Ecarts_masses!AL69</f>
        <v>2.398826233285023E-3</v>
      </c>
      <c r="AM14" s="196">
        <f>[37]Ecarts_masses!AM69</f>
        <v>3.8113851930350329E-3</v>
      </c>
      <c r="AN14" s="196">
        <f>[37]Ecarts_masses!AN69</f>
        <v>4.4212950771360671E-3</v>
      </c>
      <c r="AO14" s="196">
        <f>[37]Ecarts_masses!AO69</f>
        <v>5.1981543831229882E-3</v>
      </c>
      <c r="AP14" s="196">
        <f>[37]Ecarts_masses!AP69</f>
        <v>5.6443997350124064E-3</v>
      </c>
      <c r="AQ14" s="196">
        <f>[37]Ecarts_masses!AQ69</f>
        <v>6.9622077190043541E-3</v>
      </c>
      <c r="AR14" s="196">
        <f>[37]Ecarts_masses!AR69</f>
        <v>7.9318656154536704E-3</v>
      </c>
      <c r="AS14" s="196">
        <f>[37]Ecarts_masses!AS69</f>
        <v>8.9622311939885346E-3</v>
      </c>
      <c r="AT14" s="196">
        <f>[37]Ecarts_masses!AT69</f>
        <v>9.870293193533719E-3</v>
      </c>
      <c r="AU14" s="196">
        <f>[37]Ecarts_masses!AU69</f>
        <v>1.1121904492722878E-2</v>
      </c>
      <c r="AV14" s="208">
        <f>[37]Ecarts_masses!AV69</f>
        <v>1.2233000186720799E-2</v>
      </c>
    </row>
    <row r="15" spans="1:48">
      <c r="B15" s="299"/>
      <c r="C15" s="202" t="s">
        <v>46</v>
      </c>
      <c r="D15" s="207">
        <f>[37]Ecarts_masses!D70</f>
        <v>0</v>
      </c>
      <c r="E15" s="196">
        <f>[37]Ecarts_masses!E70</f>
        <v>0</v>
      </c>
      <c r="F15" s="196">
        <f>[37]Ecarts_masses!F70</f>
        <v>0</v>
      </c>
      <c r="G15" s="196">
        <f>[37]Ecarts_masses!G70</f>
        <v>0</v>
      </c>
      <c r="H15" s="196">
        <f>[37]Ecarts_masses!H70</f>
        <v>0</v>
      </c>
      <c r="I15" s="196">
        <f>[37]Ecarts_masses!I70</f>
        <v>0</v>
      </c>
      <c r="J15" s="196">
        <f>[37]Ecarts_masses!J70</f>
        <v>0</v>
      </c>
      <c r="K15" s="196">
        <f>[37]Ecarts_masses!K70</f>
        <v>0</v>
      </c>
      <c r="L15" s="196">
        <f>[37]Ecarts_masses!L70</f>
        <v>0</v>
      </c>
      <c r="M15" s="196">
        <f>[37]Ecarts_masses!M70</f>
        <v>0</v>
      </c>
      <c r="N15" s="196">
        <f>[37]Ecarts_masses!N70</f>
        <v>0</v>
      </c>
      <c r="O15" s="196">
        <f>[37]Ecarts_masses!O70</f>
        <v>0</v>
      </c>
      <c r="P15" s="196">
        <f>[37]Ecarts_masses!P70</f>
        <v>0</v>
      </c>
      <c r="Q15" s="196">
        <f>[37]Ecarts_masses!Q70</f>
        <v>0</v>
      </c>
      <c r="R15" s="196">
        <f>[37]Ecarts_masses!R70</f>
        <v>0</v>
      </c>
      <c r="S15" s="196">
        <f>[37]Ecarts_masses!S70</f>
        <v>0</v>
      </c>
      <c r="T15" s="196">
        <f>[37]Ecarts_masses!T70</f>
        <v>0</v>
      </c>
      <c r="U15" s="196">
        <f>[37]Ecarts_masses!U70</f>
        <v>0</v>
      </c>
      <c r="V15" s="196">
        <f>[37]Ecarts_masses!V70</f>
        <v>0</v>
      </c>
      <c r="W15" s="196">
        <f>[37]Ecarts_masses!W70</f>
        <v>0</v>
      </c>
      <c r="X15" s="196">
        <f>[37]Ecarts_masses!X70</f>
        <v>0</v>
      </c>
      <c r="Y15" s="196">
        <f>[37]Ecarts_masses!Y70</f>
        <v>0</v>
      </c>
      <c r="Z15" s="196">
        <f>[37]Ecarts_masses!Z70</f>
        <v>0</v>
      </c>
      <c r="AA15" s="196">
        <f>[37]Ecarts_masses!AA70</f>
        <v>2.7350187754349164E-5</v>
      </c>
      <c r="AB15" s="196">
        <f>[37]Ecarts_masses!AB70</f>
        <v>1.6662736981976067E-5</v>
      </c>
      <c r="AC15" s="196">
        <f>[37]Ecarts_masses!AC70</f>
        <v>6.0780760672063394E-5</v>
      </c>
      <c r="AD15" s="196">
        <f>[37]Ecarts_masses!AD70</f>
        <v>5.3787262211724141E-5</v>
      </c>
      <c r="AE15" s="196">
        <f>[37]Ecarts_masses!AE70</f>
        <v>1.2415526153852774E-4</v>
      </c>
      <c r="AF15" s="196">
        <f>[37]Ecarts_masses!AF70</f>
        <v>2.0999752562622653E-4</v>
      </c>
      <c r="AG15" s="196">
        <f>[37]Ecarts_masses!AG70</f>
        <v>1.4577107487245833E-4</v>
      </c>
      <c r="AH15" s="196">
        <f>[37]Ecarts_masses!AH70</f>
        <v>1.7767048751271552E-4</v>
      </c>
      <c r="AI15" s="196">
        <f>[37]Ecarts_masses!AI70</f>
        <v>3.1806191088223912E-5</v>
      </c>
      <c r="AJ15" s="196">
        <f>[37]Ecarts_masses!AJ70</f>
        <v>1.7294433378012286E-4</v>
      </c>
      <c r="AK15" s="196">
        <f>[37]Ecarts_masses!AK70</f>
        <v>2.575595824731991E-4</v>
      </c>
      <c r="AL15" s="196">
        <f>[37]Ecarts_masses!AL70</f>
        <v>2.5651057338915706E-4</v>
      </c>
      <c r="AM15" s="196">
        <f>[37]Ecarts_masses!AM70</f>
        <v>4.2928212360604512E-4</v>
      </c>
      <c r="AN15" s="196">
        <f>[37]Ecarts_masses!AN70</f>
        <v>4.2989377940938489E-4</v>
      </c>
      <c r="AO15" s="196">
        <f>[37]Ecarts_masses!AO70</f>
        <v>4.4581264591170289E-4</v>
      </c>
      <c r="AP15" s="196">
        <f>[37]Ecarts_masses!AP70</f>
        <v>4.6422524176525926E-4</v>
      </c>
      <c r="AQ15" s="196">
        <f>[37]Ecarts_masses!AQ70</f>
        <v>3.3711790703461197E-4</v>
      </c>
      <c r="AR15" s="196">
        <f>[37]Ecarts_masses!AR70</f>
        <v>1.754565538019115E-4</v>
      </c>
      <c r="AS15" s="196">
        <f>[37]Ecarts_masses!AS70</f>
        <v>3.3639350519321098E-4</v>
      </c>
      <c r="AT15" s="196">
        <f>[37]Ecarts_masses!AT70</f>
        <v>6.4578397525894005E-4</v>
      </c>
      <c r="AU15" s="196">
        <f>[37]Ecarts_masses!AU70</f>
        <v>3.5501041837293634E-4</v>
      </c>
      <c r="AV15" s="208">
        <f>[37]Ecarts_masses!AV70</f>
        <v>4.9438662539946776E-4</v>
      </c>
    </row>
    <row r="16" spans="1:48" ht="15" thickBot="1">
      <c r="B16" s="300"/>
      <c r="C16" s="203" t="s">
        <v>39</v>
      </c>
      <c r="D16" s="209">
        <f>[37]Ecarts_masses!D71</f>
        <v>0</v>
      </c>
      <c r="E16" s="210">
        <f>[37]Ecarts_masses!E71</f>
        <v>0</v>
      </c>
      <c r="F16" s="210">
        <f>[37]Ecarts_masses!F71</f>
        <v>0</v>
      </c>
      <c r="G16" s="210">
        <f>[37]Ecarts_masses!G71</f>
        <v>0</v>
      </c>
      <c r="H16" s="210">
        <f>[37]Ecarts_masses!H71</f>
        <v>0</v>
      </c>
      <c r="I16" s="210">
        <f>[37]Ecarts_masses!I71</f>
        <v>0</v>
      </c>
      <c r="J16" s="210">
        <f>[37]Ecarts_masses!J71</f>
        <v>0</v>
      </c>
      <c r="K16" s="210">
        <f>[37]Ecarts_masses!K71</f>
        <v>0</v>
      </c>
      <c r="L16" s="210">
        <f>[37]Ecarts_masses!L71</f>
        <v>0</v>
      </c>
      <c r="M16" s="210">
        <f>[37]Ecarts_masses!M71</f>
        <v>0</v>
      </c>
      <c r="N16" s="210">
        <f>[37]Ecarts_masses!N71</f>
        <v>0</v>
      </c>
      <c r="O16" s="210">
        <f>[37]Ecarts_masses!O71</f>
        <v>0</v>
      </c>
      <c r="P16" s="210">
        <f>[37]Ecarts_masses!P71</f>
        <v>0</v>
      </c>
      <c r="Q16" s="210">
        <f>[37]Ecarts_masses!Q71</f>
        <v>0</v>
      </c>
      <c r="R16" s="210">
        <f>[37]Ecarts_masses!R71</f>
        <v>0</v>
      </c>
      <c r="S16" s="210">
        <f>[37]Ecarts_masses!S71</f>
        <v>0</v>
      </c>
      <c r="T16" s="210">
        <f>[37]Ecarts_masses!T71</f>
        <v>0</v>
      </c>
      <c r="U16" s="210">
        <f>[37]Ecarts_masses!U71</f>
        <v>0</v>
      </c>
      <c r="V16" s="210">
        <f>[37]Ecarts_masses!V71</f>
        <v>0</v>
      </c>
      <c r="W16" s="210">
        <f>[37]Ecarts_masses!W71</f>
        <v>0</v>
      </c>
      <c r="X16" s="210">
        <f>[37]Ecarts_masses!X71</f>
        <v>1.2290988718355322E-5</v>
      </c>
      <c r="Y16" s="210">
        <f>[37]Ecarts_masses!Y71</f>
        <v>2.2378963794755791E-5</v>
      </c>
      <c r="Z16" s="210">
        <f>[37]Ecarts_masses!Z71</f>
        <v>3.7865658140567859E-5</v>
      </c>
      <c r="AA16" s="210">
        <f>[37]Ecarts_masses!AA71</f>
        <v>8.2221855995934234E-5</v>
      </c>
      <c r="AB16" s="210">
        <f>[37]Ecarts_masses!AB71</f>
        <v>1.3958274510250668E-4</v>
      </c>
      <c r="AC16" s="210">
        <f>[37]Ecarts_masses!AC71</f>
        <v>2.3149237115105414E-4</v>
      </c>
      <c r="AD16" s="210">
        <f>[37]Ecarts_masses!AD71</f>
        <v>3.4606422875271825E-4</v>
      </c>
      <c r="AE16" s="210">
        <f>[37]Ecarts_masses!AE71</f>
        <v>4.8394560523634667E-4</v>
      </c>
      <c r="AF16" s="210">
        <f>[37]Ecarts_masses!AF71</f>
        <v>1.0114678906301133E-3</v>
      </c>
      <c r="AG16" s="210">
        <f>[37]Ecarts_masses!AG71</f>
        <v>9.8331786509442409E-4</v>
      </c>
      <c r="AH16" s="210">
        <f>[37]Ecarts_masses!AH71</f>
        <v>1.2798931814952397E-3</v>
      </c>
      <c r="AI16" s="210">
        <f>[37]Ecarts_masses!AI71</f>
        <v>1.7912767469201452E-3</v>
      </c>
      <c r="AJ16" s="210">
        <f>[37]Ecarts_masses!AJ71</f>
        <v>1.7855623566562784E-3</v>
      </c>
      <c r="AK16" s="210">
        <f>[37]Ecarts_masses!AK71</f>
        <v>1.7176930264242163E-3</v>
      </c>
      <c r="AL16" s="210">
        <f>[37]Ecarts_masses!AL71</f>
        <v>2.2196045077751414E-3</v>
      </c>
      <c r="AM16" s="210">
        <f>[37]Ecarts_masses!AM71</f>
        <v>3.0028248549396341E-3</v>
      </c>
      <c r="AN16" s="210">
        <f>[37]Ecarts_masses!AN71</f>
        <v>3.5847269501358969E-3</v>
      </c>
      <c r="AO16" s="210">
        <f>[37]Ecarts_masses!AO71</f>
        <v>4.4670334046204019E-3</v>
      </c>
      <c r="AP16" s="210">
        <f>[37]Ecarts_masses!AP71</f>
        <v>5.1552848945888297E-3</v>
      </c>
      <c r="AQ16" s="210">
        <f>[37]Ecarts_masses!AQ71</f>
        <v>5.2991066738006243E-3</v>
      </c>
      <c r="AR16" s="210">
        <f>[37]Ecarts_masses!AR71</f>
        <v>5.4777149084448418E-3</v>
      </c>
      <c r="AS16" s="210">
        <f>[37]Ecarts_masses!AS71</f>
        <v>5.5731226540416401E-3</v>
      </c>
      <c r="AT16" s="210">
        <f>[37]Ecarts_masses!AT71</f>
        <v>5.3400298733294882E-3</v>
      </c>
      <c r="AU16" s="210">
        <f>[37]Ecarts_masses!AU71</f>
        <v>5.3880458707633583E-3</v>
      </c>
      <c r="AV16" s="211">
        <f>[37]Ecarts_masses!AV71</f>
        <v>5.251552997028508E-3</v>
      </c>
    </row>
    <row r="17" spans="2:48">
      <c r="B17" s="298" t="s">
        <v>47</v>
      </c>
      <c r="C17" s="201" t="s">
        <v>40</v>
      </c>
      <c r="D17" s="204">
        <f>[38]Ecarts_masses!D60</f>
        <v>0</v>
      </c>
      <c r="E17" s="205">
        <f>[38]Ecarts_masses!E60</f>
        <v>0</v>
      </c>
      <c r="F17" s="205">
        <f>[38]Ecarts_masses!F60</f>
        <v>0</v>
      </c>
      <c r="G17" s="205">
        <f>[38]Ecarts_masses!G60</f>
        <v>0</v>
      </c>
      <c r="H17" s="205">
        <f>[38]Ecarts_masses!H60</f>
        <v>0</v>
      </c>
      <c r="I17" s="205">
        <f>[38]Ecarts_masses!I60</f>
        <v>0</v>
      </c>
      <c r="J17" s="205">
        <f>[38]Ecarts_masses!J60</f>
        <v>0</v>
      </c>
      <c r="K17" s="205">
        <f>[38]Ecarts_masses!K60</f>
        <v>0</v>
      </c>
      <c r="L17" s="205">
        <f>[38]Ecarts_masses!L60</f>
        <v>0</v>
      </c>
      <c r="M17" s="205">
        <f>[38]Ecarts_masses!M60</f>
        <v>0</v>
      </c>
      <c r="N17" s="205">
        <f>[38]Ecarts_masses!N60</f>
        <v>0</v>
      </c>
      <c r="O17" s="205">
        <f>[38]Ecarts_masses!O60</f>
        <v>0</v>
      </c>
      <c r="P17" s="205">
        <f>[38]Ecarts_masses!P60</f>
        <v>0</v>
      </c>
      <c r="Q17" s="205">
        <f>[38]Ecarts_masses!Q60</f>
        <v>0</v>
      </c>
      <c r="R17" s="205">
        <f>[38]Ecarts_masses!R60</f>
        <v>3.8323512141502647E-8</v>
      </c>
      <c r="S17" s="205">
        <f>[38]Ecarts_masses!S60</f>
        <v>6.7808128445534521E-8</v>
      </c>
      <c r="T17" s="205">
        <f>[38]Ecarts_masses!T60</f>
        <v>3.9571091736689823E-8</v>
      </c>
      <c r="U17" s="205">
        <f>[38]Ecarts_masses!U60</f>
        <v>6.9614914166571396E-7</v>
      </c>
      <c r="V17" s="205">
        <f>[38]Ecarts_masses!V60</f>
        <v>1.3238795051329078E-6</v>
      </c>
      <c r="W17" s="205">
        <f>[38]Ecarts_masses!W60</f>
        <v>4.0344222598243107E-6</v>
      </c>
      <c r="X17" s="205">
        <f>[38]Ecarts_masses!X60</f>
        <v>5.6685055145333507E-6</v>
      </c>
      <c r="Y17" s="205">
        <f>[38]Ecarts_masses!Y60</f>
        <v>5.1029226786347692E-6</v>
      </c>
      <c r="Z17" s="205">
        <f>[38]Ecarts_masses!Z60</f>
        <v>-6.2120113607511129E-6</v>
      </c>
      <c r="AA17" s="205">
        <f>[38]Ecarts_masses!AA60</f>
        <v>-2.6545135336508707E-6</v>
      </c>
      <c r="AB17" s="205">
        <f>[38]Ecarts_masses!AB60</f>
        <v>3.0487599298467671E-6</v>
      </c>
      <c r="AC17" s="205">
        <f>[38]Ecarts_masses!AC60</f>
        <v>-8.2367581631936915E-6</v>
      </c>
      <c r="AD17" s="205">
        <f>[38]Ecarts_masses!AD60</f>
        <v>-3.0029134426845516E-5</v>
      </c>
      <c r="AE17" s="205">
        <f>[38]Ecarts_masses!AE60</f>
        <v>-6.1118769123513772E-5</v>
      </c>
      <c r="AF17" s="205">
        <f>[38]Ecarts_masses!AF60</f>
        <v>-5.7956757801513881E-5</v>
      </c>
      <c r="AG17" s="205">
        <f>[38]Ecarts_masses!AG60</f>
        <v>-8.9328832571955452E-5</v>
      </c>
      <c r="AH17" s="205">
        <f>[38]Ecarts_masses!AH60</f>
        <v>-1.4216256598487131E-4</v>
      </c>
      <c r="AI17" s="205">
        <f>[38]Ecarts_masses!AI60</f>
        <v>-1.4873132296511216E-4</v>
      </c>
      <c r="AJ17" s="205">
        <f>[38]Ecarts_masses!AJ60</f>
        <v>-1.5256502328786503E-4</v>
      </c>
      <c r="AK17" s="205">
        <f>[38]Ecarts_masses!AK60</f>
        <v>-3.0070458125508459E-4</v>
      </c>
      <c r="AL17" s="205">
        <f>[38]Ecarts_masses!AL60</f>
        <v>-3.2798675203626892E-4</v>
      </c>
      <c r="AM17" s="205">
        <f>[38]Ecarts_masses!AM60</f>
        <v>-3.8584815869413536E-4</v>
      </c>
      <c r="AN17" s="205">
        <f>[38]Ecarts_masses!AN60</f>
        <v>-3.6303799401604664E-4</v>
      </c>
      <c r="AO17" s="205">
        <f>[38]Ecarts_masses!AO60</f>
        <v>-4.8387207334965598E-4</v>
      </c>
      <c r="AP17" s="205">
        <f>[38]Ecarts_masses!AP60</f>
        <v>-6.2707064577005589E-4</v>
      </c>
      <c r="AQ17" s="205">
        <f>[38]Ecarts_masses!AQ60</f>
        <v>-7.5401144577091905E-4</v>
      </c>
      <c r="AR17" s="205">
        <f>[38]Ecarts_masses!AR60</f>
        <v>-8.231158750693357E-4</v>
      </c>
      <c r="AS17" s="205">
        <f>[38]Ecarts_masses!AS60</f>
        <v>-8.3835512422592018E-4</v>
      </c>
      <c r="AT17" s="205">
        <f>[38]Ecarts_masses!AT60</f>
        <v>-9.4084661492521704E-4</v>
      </c>
      <c r="AU17" s="205">
        <f>[38]Ecarts_masses!AU60</f>
        <v>-1.0027806443194676E-3</v>
      </c>
      <c r="AV17" s="206">
        <f>[38]Ecarts_masses!AV60</f>
        <v>-1.0916421234439255E-3</v>
      </c>
    </row>
    <row r="18" spans="2:48">
      <c r="B18" s="299"/>
      <c r="C18" s="202" t="s">
        <v>41</v>
      </c>
      <c r="D18" s="207">
        <f>[38]Ecarts_masses!D61</f>
        <v>0</v>
      </c>
      <c r="E18" s="196">
        <f>[38]Ecarts_masses!E61</f>
        <v>0</v>
      </c>
      <c r="F18" s="196">
        <f>[38]Ecarts_masses!F61</f>
        <v>0</v>
      </c>
      <c r="G18" s="196">
        <f>[38]Ecarts_masses!G61</f>
        <v>0</v>
      </c>
      <c r="H18" s="196">
        <f>[38]Ecarts_masses!H61</f>
        <v>0</v>
      </c>
      <c r="I18" s="196">
        <f>[38]Ecarts_masses!I61</f>
        <v>0</v>
      </c>
      <c r="J18" s="196">
        <f>[38]Ecarts_masses!J61</f>
        <v>0</v>
      </c>
      <c r="K18" s="196">
        <f>[38]Ecarts_masses!K61</f>
        <v>0</v>
      </c>
      <c r="L18" s="196">
        <f>[38]Ecarts_masses!L61</f>
        <v>0</v>
      </c>
      <c r="M18" s="196">
        <f>[38]Ecarts_masses!M61</f>
        <v>0</v>
      </c>
      <c r="N18" s="196">
        <f>[38]Ecarts_masses!N61</f>
        <v>0</v>
      </c>
      <c r="O18" s="196">
        <f>[38]Ecarts_masses!O61</f>
        <v>0</v>
      </c>
      <c r="P18" s="196">
        <f>[38]Ecarts_masses!P61</f>
        <v>0</v>
      </c>
      <c r="Q18" s="196">
        <f>[38]Ecarts_masses!Q61</f>
        <v>0</v>
      </c>
      <c r="R18" s="196">
        <f>[38]Ecarts_masses!R61</f>
        <v>4.5420402994267306E-8</v>
      </c>
      <c r="S18" s="196">
        <f>[38]Ecarts_masses!S61</f>
        <v>8.0100157617835066E-8</v>
      </c>
      <c r="T18" s="196">
        <f>[38]Ecarts_masses!T61</f>
        <v>4.6595002078930747E-8</v>
      </c>
      <c r="U18" s="196">
        <f>[38]Ecarts_masses!U61</f>
        <v>1.8461480300047128E-7</v>
      </c>
      <c r="V18" s="196">
        <f>[38]Ecarts_masses!V61</f>
        <v>1.2120966528250676E-6</v>
      </c>
      <c r="W18" s="196">
        <f>[38]Ecarts_masses!W61</f>
        <v>2.6311947409762837E-6</v>
      </c>
      <c r="X18" s="196">
        <f>[38]Ecarts_masses!X61</f>
        <v>5.3725267230575469E-6</v>
      </c>
      <c r="Y18" s="196">
        <f>[38]Ecarts_masses!Y61</f>
        <v>3.1738540939851845E-6</v>
      </c>
      <c r="Z18" s="196">
        <f>[38]Ecarts_masses!Z61</f>
        <v>-1.1777792011113952E-5</v>
      </c>
      <c r="AA18" s="196">
        <f>[38]Ecarts_masses!AA61</f>
        <v>-8.7245952139491934E-6</v>
      </c>
      <c r="AB18" s="196">
        <f>[38]Ecarts_masses!AB61</f>
        <v>-1.3283163401323073E-5</v>
      </c>
      <c r="AC18" s="196">
        <f>[38]Ecarts_masses!AC61</f>
        <v>-3.5000579320376701E-5</v>
      </c>
      <c r="AD18" s="196">
        <f>[38]Ecarts_masses!AD61</f>
        <v>-6.5860247834947927E-5</v>
      </c>
      <c r="AE18" s="196">
        <f>[38]Ecarts_masses!AE61</f>
        <v>-1.2162143015981286E-4</v>
      </c>
      <c r="AF18" s="196">
        <f>[38]Ecarts_masses!AF61</f>
        <v>-1.4608232028734403E-4</v>
      </c>
      <c r="AG18" s="196">
        <f>[38]Ecarts_masses!AG61</f>
        <v>-2.0548227944872099E-4</v>
      </c>
      <c r="AH18" s="196">
        <f>[38]Ecarts_masses!AH61</f>
        <v>-2.7030953468076824E-4</v>
      </c>
      <c r="AI18" s="196">
        <f>[38]Ecarts_masses!AI61</f>
        <v>-3.4242179792021155E-4</v>
      </c>
      <c r="AJ18" s="196">
        <f>[38]Ecarts_masses!AJ61</f>
        <v>-3.8761302770895512E-4</v>
      </c>
      <c r="AK18" s="196">
        <f>[38]Ecarts_masses!AK61</f>
        <v>-5.6471391627699319E-4</v>
      </c>
      <c r="AL18" s="196">
        <f>[38]Ecarts_masses!AL61</f>
        <v>-6.6884581773907215E-4</v>
      </c>
      <c r="AM18" s="196">
        <f>[38]Ecarts_masses!AM61</f>
        <v>-8.3430270246731553E-4</v>
      </c>
      <c r="AN18" s="196">
        <f>[38]Ecarts_masses!AN61</f>
        <v>-9.143385395768977E-4</v>
      </c>
      <c r="AO18" s="196">
        <f>[38]Ecarts_masses!AO61</f>
        <v>-1.1328896269450217E-3</v>
      </c>
      <c r="AP18" s="196">
        <f>[38]Ecarts_masses!AP61</f>
        <v>-1.4202905886022688E-3</v>
      </c>
      <c r="AQ18" s="196">
        <f>[38]Ecarts_masses!AQ61</f>
        <v>-1.6329796869524182E-3</v>
      </c>
      <c r="AR18" s="196">
        <f>[38]Ecarts_masses!AR61</f>
        <v>-1.8469689676924306E-3</v>
      </c>
      <c r="AS18" s="196">
        <f>[38]Ecarts_masses!AS61</f>
        <v>-2.0096391347180775E-3</v>
      </c>
      <c r="AT18" s="196">
        <f>[38]Ecarts_masses!AT61</f>
        <v>-2.1663029875219619E-3</v>
      </c>
      <c r="AU18" s="196">
        <f>[38]Ecarts_masses!AU61</f>
        <v>-2.3609492519882647E-3</v>
      </c>
      <c r="AV18" s="208">
        <f>[38]Ecarts_masses!AV61</f>
        <v>-2.5677810916068244E-3</v>
      </c>
    </row>
    <row r="19" spans="2:48">
      <c r="B19" s="299"/>
      <c r="C19" s="202" t="s">
        <v>42</v>
      </c>
      <c r="D19" s="207">
        <f>[38]Ecarts_masses!D62</f>
        <v>0</v>
      </c>
      <c r="E19" s="196">
        <f>[38]Ecarts_masses!E62</f>
        <v>0</v>
      </c>
      <c r="F19" s="196">
        <f>[38]Ecarts_masses!F62</f>
        <v>0</v>
      </c>
      <c r="G19" s="196">
        <f>[38]Ecarts_masses!G62</f>
        <v>0</v>
      </c>
      <c r="H19" s="196">
        <f>[38]Ecarts_masses!H62</f>
        <v>0</v>
      </c>
      <c r="I19" s="196">
        <f>[38]Ecarts_masses!I62</f>
        <v>0</v>
      </c>
      <c r="J19" s="196">
        <f>[38]Ecarts_masses!J62</f>
        <v>0</v>
      </c>
      <c r="K19" s="196">
        <f>[38]Ecarts_masses!K62</f>
        <v>0</v>
      </c>
      <c r="L19" s="196">
        <f>[38]Ecarts_masses!L62</f>
        <v>0</v>
      </c>
      <c r="M19" s="196">
        <f>[38]Ecarts_masses!M62</f>
        <v>0</v>
      </c>
      <c r="N19" s="196">
        <f>[38]Ecarts_masses!N62</f>
        <v>0</v>
      </c>
      <c r="O19" s="196">
        <f>[38]Ecarts_masses!O62</f>
        <v>0</v>
      </c>
      <c r="P19" s="196">
        <f>[38]Ecarts_masses!P62</f>
        <v>0</v>
      </c>
      <c r="Q19" s="196">
        <f>[38]Ecarts_masses!Q62</f>
        <v>0</v>
      </c>
      <c r="R19" s="196">
        <f>[38]Ecarts_masses!R62</f>
        <v>0</v>
      </c>
      <c r="S19" s="196">
        <f>[38]Ecarts_masses!S62</f>
        <v>0</v>
      </c>
      <c r="T19" s="196">
        <f>[38]Ecarts_masses!T62</f>
        <v>-8.6165499402213186E-8</v>
      </c>
      <c r="U19" s="196">
        <f>[38]Ecarts_masses!U62</f>
        <v>-2.4015150223988257E-7</v>
      </c>
      <c r="V19" s="196">
        <f>[38]Ecarts_masses!V62</f>
        <v>-4.9850109962168432E-7</v>
      </c>
      <c r="W19" s="196">
        <f>[38]Ecarts_masses!W62</f>
        <v>-6.9531415980428335E-7</v>
      </c>
      <c r="X19" s="196">
        <f>[38]Ecarts_masses!X62</f>
        <v>-2.2206607186436855E-6</v>
      </c>
      <c r="Y19" s="196">
        <f>[38]Ecarts_masses!Y62</f>
        <v>-6.7228511663186552E-6</v>
      </c>
      <c r="Z19" s="196">
        <f>[38]Ecarts_masses!Z62</f>
        <v>-3.1961263602275913E-5</v>
      </c>
      <c r="AA19" s="196">
        <f>[38]Ecarts_masses!AA62</f>
        <v>-3.7872763494428696E-5</v>
      </c>
      <c r="AB19" s="196">
        <f>[38]Ecarts_masses!AB62</f>
        <v>-5.6315935607953449E-5</v>
      </c>
      <c r="AC19" s="196">
        <f>[38]Ecarts_masses!AC62</f>
        <v>-9.7054352637959695E-5</v>
      </c>
      <c r="AD19" s="196">
        <f>[38]Ecarts_masses!AD62</f>
        <v>-1.5235287784076679E-4</v>
      </c>
      <c r="AE19" s="196">
        <f>[38]Ecarts_masses!AE62</f>
        <v>-2.5610670830145121E-4</v>
      </c>
      <c r="AF19" s="196">
        <f>[38]Ecarts_masses!AF62</f>
        <v>-3.4122559445093348E-4</v>
      </c>
      <c r="AG19" s="196">
        <f>[38]Ecarts_masses!AG62</f>
        <v>-4.3447416303932229E-4</v>
      </c>
      <c r="AH19" s="196">
        <f>[38]Ecarts_masses!AH62</f>
        <v>-5.6703324573181835E-4</v>
      </c>
      <c r="AI19" s="196">
        <f>[38]Ecarts_masses!AI62</f>
        <v>-7.1732465008200741E-4</v>
      </c>
      <c r="AJ19" s="196">
        <f>[38]Ecarts_masses!AJ62</f>
        <v>-8.8695045108322379E-4</v>
      </c>
      <c r="AK19" s="196">
        <f>[38]Ecarts_masses!AK62</f>
        <v>-1.2343957311080622E-3</v>
      </c>
      <c r="AL19" s="196">
        <f>[38]Ecarts_masses!AL62</f>
        <v>-1.5532211876873037E-3</v>
      </c>
      <c r="AM19" s="196">
        <f>[38]Ecarts_masses!AM62</f>
        <v>-1.9686975258342843E-3</v>
      </c>
      <c r="AN19" s="196">
        <f>[38]Ecarts_masses!AN62</f>
        <v>-2.2834731251039075E-3</v>
      </c>
      <c r="AO19" s="196">
        <f>[38]Ecarts_masses!AO62</f>
        <v>-2.7214002219907441E-3</v>
      </c>
      <c r="AP19" s="196">
        <f>[38]Ecarts_masses!AP62</f>
        <v>-3.2921901360911665E-3</v>
      </c>
      <c r="AQ19" s="196">
        <f>[38]Ecarts_masses!AQ62</f>
        <v>-3.7826355729354555E-3</v>
      </c>
      <c r="AR19" s="196">
        <f>[38]Ecarts_masses!AR62</f>
        <v>-4.237383086147406E-3</v>
      </c>
      <c r="AS19" s="196">
        <f>[38]Ecarts_masses!AS62</f>
        <v>-4.709142703325786E-3</v>
      </c>
      <c r="AT19" s="196">
        <f>[38]Ecarts_masses!AT62</f>
        <v>-5.2666968695768146E-3</v>
      </c>
      <c r="AU19" s="196">
        <f>[38]Ecarts_masses!AU62</f>
        <v>-5.7787091973445781E-3</v>
      </c>
      <c r="AV19" s="208">
        <f>[38]Ecarts_masses!AV62</f>
        <v>-6.2528579075301627E-3</v>
      </c>
    </row>
    <row r="20" spans="2:48">
      <c r="B20" s="299"/>
      <c r="C20" s="202" t="s">
        <v>3</v>
      </c>
      <c r="D20" s="207">
        <f>[38]Ecarts_masses!D63</f>
        <v>0</v>
      </c>
      <c r="E20" s="196">
        <f>[38]Ecarts_masses!E63</f>
        <v>0</v>
      </c>
      <c r="F20" s="196">
        <f>[38]Ecarts_masses!F63</f>
        <v>0</v>
      </c>
      <c r="G20" s="196">
        <f>[38]Ecarts_masses!G63</f>
        <v>0</v>
      </c>
      <c r="H20" s="196">
        <f>[38]Ecarts_masses!H63</f>
        <v>0</v>
      </c>
      <c r="I20" s="196">
        <f>[38]Ecarts_masses!I63</f>
        <v>0</v>
      </c>
      <c r="J20" s="196">
        <f>[38]Ecarts_masses!J63</f>
        <v>0</v>
      </c>
      <c r="K20" s="196">
        <f>[38]Ecarts_masses!K63</f>
        <v>0</v>
      </c>
      <c r="L20" s="196">
        <f>[38]Ecarts_masses!L63</f>
        <v>0</v>
      </c>
      <c r="M20" s="196">
        <f>[38]Ecarts_masses!M63</f>
        <v>0</v>
      </c>
      <c r="N20" s="196">
        <f>[38]Ecarts_masses!N63</f>
        <v>0</v>
      </c>
      <c r="O20" s="196">
        <f>[38]Ecarts_masses!O63</f>
        <v>0</v>
      </c>
      <c r="P20" s="196">
        <f>[38]Ecarts_masses!P63</f>
        <v>0</v>
      </c>
      <c r="Q20" s="196">
        <f>[38]Ecarts_masses!Q63</f>
        <v>0</v>
      </c>
      <c r="R20" s="196">
        <f>[38]Ecarts_masses!R63</f>
        <v>0</v>
      </c>
      <c r="S20" s="196">
        <f>[38]Ecarts_masses!S63</f>
        <v>0</v>
      </c>
      <c r="T20" s="196">
        <f>[38]Ecarts_masses!T63</f>
        <v>0</v>
      </c>
      <c r="U20" s="196">
        <f>[38]Ecarts_masses!U63</f>
        <v>0</v>
      </c>
      <c r="V20" s="196">
        <f>[38]Ecarts_masses!V63</f>
        <v>0</v>
      </c>
      <c r="W20" s="196">
        <f>[38]Ecarts_masses!W63</f>
        <v>0</v>
      </c>
      <c r="X20" s="196">
        <f>[38]Ecarts_masses!X63</f>
        <v>-6.2873582573619302E-7</v>
      </c>
      <c r="Y20" s="196">
        <f>[38]Ecarts_masses!Y63</f>
        <v>-7.7382115726276623E-7</v>
      </c>
      <c r="Z20" s="196">
        <f>[38]Ecarts_masses!Z63</f>
        <v>-1.9088730710992152E-5</v>
      </c>
      <c r="AA20" s="196">
        <f>[38]Ecarts_masses!AA63</f>
        <v>-1.8059068914055842E-5</v>
      </c>
      <c r="AB20" s="196">
        <f>[38]Ecarts_masses!AB63</f>
        <v>-2.020241733302619E-5</v>
      </c>
      <c r="AC20" s="196">
        <f>[38]Ecarts_masses!AC63</f>
        <v>-4.3489888242209673E-5</v>
      </c>
      <c r="AD20" s="196">
        <f>[38]Ecarts_masses!AD63</f>
        <v>-6.4435972779608441E-5</v>
      </c>
      <c r="AE20" s="196">
        <f>[38]Ecarts_masses!AE63</f>
        <v>-1.0572106960693439E-4</v>
      </c>
      <c r="AF20" s="196">
        <f>[38]Ecarts_masses!AF63</f>
        <v>-1.3300845084185386E-4</v>
      </c>
      <c r="AG20" s="196">
        <f>[38]Ecarts_masses!AG63</f>
        <v>-1.8308816307699427E-4</v>
      </c>
      <c r="AH20" s="196">
        <f>[38]Ecarts_masses!AH63</f>
        <v>-2.0754127412370149E-4</v>
      </c>
      <c r="AI20" s="196">
        <f>[38]Ecarts_masses!AI63</f>
        <v>-2.5480132596289451E-4</v>
      </c>
      <c r="AJ20" s="196">
        <f>[38]Ecarts_masses!AJ63</f>
        <v>-3.0395636734981135E-4</v>
      </c>
      <c r="AK20" s="196">
        <f>[38]Ecarts_masses!AK63</f>
        <v>-4.3037046227534237E-4</v>
      </c>
      <c r="AL20" s="196">
        <f>[38]Ecarts_masses!AL63</f>
        <v>-5.115134410927924E-4</v>
      </c>
      <c r="AM20" s="196">
        <f>[38]Ecarts_masses!AM63</f>
        <v>-6.4268814938228669E-4</v>
      </c>
      <c r="AN20" s="196">
        <f>[38]Ecarts_masses!AN63</f>
        <v>-7.6207523433580171E-4</v>
      </c>
      <c r="AO20" s="196">
        <f>[38]Ecarts_masses!AO63</f>
        <v>-9.179636097024213E-4</v>
      </c>
      <c r="AP20" s="196">
        <f>[38]Ecarts_masses!AP63</f>
        <v>-1.1071072210875332E-3</v>
      </c>
      <c r="AQ20" s="196">
        <f>[38]Ecarts_masses!AQ63</f>
        <v>-1.2126743367975035E-3</v>
      </c>
      <c r="AR20" s="196">
        <f>[38]Ecarts_masses!AR63</f>
        <v>-1.3224079440858905E-3</v>
      </c>
      <c r="AS20" s="196">
        <f>[38]Ecarts_masses!AS63</f>
        <v>-1.3749954980517565E-3</v>
      </c>
      <c r="AT20" s="196">
        <f>[38]Ecarts_masses!AT63</f>
        <v>-1.4577338839623089E-3</v>
      </c>
      <c r="AU20" s="196">
        <f>[38]Ecarts_masses!AU63</f>
        <v>-1.5586820222495135E-3</v>
      </c>
      <c r="AV20" s="208">
        <f>[38]Ecarts_masses!AV63</f>
        <v>-1.673277948901708E-3</v>
      </c>
    </row>
    <row r="21" spans="2:48">
      <c r="B21" s="299"/>
      <c r="C21" s="202" t="s">
        <v>43</v>
      </c>
      <c r="D21" s="207">
        <f>[38]Ecarts_masses!D64</f>
        <v>0</v>
      </c>
      <c r="E21" s="196">
        <f>[38]Ecarts_masses!E64</f>
        <v>0</v>
      </c>
      <c r="F21" s="196">
        <f>[38]Ecarts_masses!F64</f>
        <v>0</v>
      </c>
      <c r="G21" s="196">
        <f>[38]Ecarts_masses!G64</f>
        <v>0</v>
      </c>
      <c r="H21" s="196">
        <f>[38]Ecarts_masses!H64</f>
        <v>0</v>
      </c>
      <c r="I21" s="196">
        <f>[38]Ecarts_masses!I64</f>
        <v>0</v>
      </c>
      <c r="J21" s="196">
        <f>[38]Ecarts_masses!J64</f>
        <v>0</v>
      </c>
      <c r="K21" s="196">
        <f>[38]Ecarts_masses!K64</f>
        <v>0</v>
      </c>
      <c r="L21" s="196">
        <f>[38]Ecarts_masses!L64</f>
        <v>0</v>
      </c>
      <c r="M21" s="196">
        <f>[38]Ecarts_masses!M64</f>
        <v>0</v>
      </c>
      <c r="N21" s="196">
        <f>[38]Ecarts_masses!N64</f>
        <v>0</v>
      </c>
      <c r="O21" s="196">
        <f>[38]Ecarts_masses!O64</f>
        <v>0</v>
      </c>
      <c r="P21" s="196">
        <f>[38]Ecarts_masses!P64</f>
        <v>0</v>
      </c>
      <c r="Q21" s="196">
        <f>[38]Ecarts_masses!Q64</f>
        <v>0</v>
      </c>
      <c r="R21" s="196">
        <f>[38]Ecarts_masses!R64</f>
        <v>0</v>
      </c>
      <c r="S21" s="196">
        <f>[38]Ecarts_masses!S64</f>
        <v>0</v>
      </c>
      <c r="T21" s="196">
        <f>[38]Ecarts_masses!T64</f>
        <v>0</v>
      </c>
      <c r="U21" s="196">
        <f>[38]Ecarts_masses!U64</f>
        <v>0</v>
      </c>
      <c r="V21" s="196">
        <f>[38]Ecarts_masses!V64</f>
        <v>0</v>
      </c>
      <c r="W21" s="196">
        <f>[38]Ecarts_masses!W64</f>
        <v>-7.2303232800940975E-7</v>
      </c>
      <c r="X21" s="196">
        <f>[38]Ecarts_masses!X64</f>
        <v>-2.0817435960607256E-6</v>
      </c>
      <c r="Y21" s="196">
        <f>[38]Ecarts_masses!Y64</f>
        <v>-4.5752453327052578E-6</v>
      </c>
      <c r="Z21" s="196">
        <f>[38]Ecarts_masses!Z64</f>
        <v>-5.3728022031407363E-10</v>
      </c>
      <c r="AA21" s="196">
        <f>[38]Ecarts_masses!AA64</f>
        <v>-7.7177201703859666E-6</v>
      </c>
      <c r="AB21" s="196">
        <f>[38]Ecarts_masses!AB64</f>
        <v>-1.4340951217550746E-5</v>
      </c>
      <c r="AC21" s="196">
        <f>[38]Ecarts_masses!AC64</f>
        <v>-7.7284758561946276E-5</v>
      </c>
      <c r="AD21" s="196">
        <f>[38]Ecarts_masses!AD64</f>
        <v>-9.4025094205973936E-5</v>
      </c>
      <c r="AE21" s="196">
        <f>[38]Ecarts_masses!AE64</f>
        <v>-2.995840989413745E-4</v>
      </c>
      <c r="AF21" s="196">
        <f>[38]Ecarts_masses!AF64</f>
        <v>-4.7647395412153681E-4</v>
      </c>
      <c r="AG21" s="196">
        <f>[38]Ecarts_masses!AG64</f>
        <v>-5.1758423196623937E-4</v>
      </c>
      <c r="AH21" s="196">
        <f>[38]Ecarts_masses!AH64</f>
        <v>-4.3843076158178729E-4</v>
      </c>
      <c r="AI21" s="196">
        <f>[38]Ecarts_masses!AI64</f>
        <v>-9.6906453603406995E-4</v>
      </c>
      <c r="AJ21" s="196">
        <f>[38]Ecarts_masses!AJ64</f>
        <v>-1.183655443541265E-3</v>
      </c>
      <c r="AK21" s="196">
        <f>[38]Ecarts_masses!AK64</f>
        <v>-1.3560291740004615E-3</v>
      </c>
      <c r="AL21" s="196">
        <f>[38]Ecarts_masses!AL64</f>
        <v>-1.838544293051636E-3</v>
      </c>
      <c r="AM21" s="196">
        <f>[38]Ecarts_masses!AM64</f>
        <v>-1.7418586687616422E-3</v>
      </c>
      <c r="AN21" s="196">
        <f>[38]Ecarts_masses!AN64</f>
        <v>-2.1230573188724122E-3</v>
      </c>
      <c r="AO21" s="196">
        <f>[38]Ecarts_masses!AO64</f>
        <v>-2.1955586790373127E-3</v>
      </c>
      <c r="AP21" s="196">
        <f>[38]Ecarts_masses!AP64</f>
        <v>-3.1269792445861588E-3</v>
      </c>
      <c r="AQ21" s="196">
        <f>[38]Ecarts_masses!AQ64</f>
        <v>-3.8082431933617045E-3</v>
      </c>
      <c r="AR21" s="196">
        <f>[38]Ecarts_masses!AR64</f>
        <v>-4.2587962550154623E-3</v>
      </c>
      <c r="AS21" s="196">
        <f>[38]Ecarts_masses!AS64</f>
        <v>-5.0412690320545961E-3</v>
      </c>
      <c r="AT21" s="196">
        <f>[38]Ecarts_masses!AT64</f>
        <v>-5.9104066108142117E-3</v>
      </c>
      <c r="AU21" s="196">
        <f>[38]Ecarts_masses!AU64</f>
        <v>-6.1877798718605881E-3</v>
      </c>
      <c r="AV21" s="208">
        <f>[38]Ecarts_masses!AV64</f>
        <v>-6.4898859347600757E-3</v>
      </c>
    </row>
    <row r="22" spans="2:48">
      <c r="B22" s="299"/>
      <c r="C22" s="202" t="s">
        <v>31</v>
      </c>
      <c r="D22" s="207">
        <f>[38]Ecarts_masses!D65</f>
        <v>0</v>
      </c>
      <c r="E22" s="196">
        <f>[38]Ecarts_masses!E65</f>
        <v>0</v>
      </c>
      <c r="F22" s="196">
        <f>[38]Ecarts_masses!F65</f>
        <v>0</v>
      </c>
      <c r="G22" s="196">
        <f>[38]Ecarts_masses!G65</f>
        <v>0</v>
      </c>
      <c r="H22" s="196">
        <f>[38]Ecarts_masses!H65</f>
        <v>0</v>
      </c>
      <c r="I22" s="196">
        <f>[38]Ecarts_masses!I65</f>
        <v>0</v>
      </c>
      <c r="J22" s="196">
        <f>[38]Ecarts_masses!J65</f>
        <v>0</v>
      </c>
      <c r="K22" s="196">
        <f>[38]Ecarts_masses!K65</f>
        <v>0</v>
      </c>
      <c r="L22" s="196">
        <f>[38]Ecarts_masses!L65</f>
        <v>0</v>
      </c>
      <c r="M22" s="196">
        <f>[38]Ecarts_masses!M65</f>
        <v>0</v>
      </c>
      <c r="N22" s="196">
        <f>[38]Ecarts_masses!N65</f>
        <v>0</v>
      </c>
      <c r="O22" s="196">
        <f>[38]Ecarts_masses!O65</f>
        <v>0</v>
      </c>
      <c r="P22" s="196">
        <f>[38]Ecarts_masses!P65</f>
        <v>0</v>
      </c>
      <c r="Q22" s="196">
        <f>[38]Ecarts_masses!Q65</f>
        <v>0</v>
      </c>
      <c r="R22" s="196">
        <f>[38]Ecarts_masses!R65</f>
        <v>0</v>
      </c>
      <c r="S22" s="196">
        <f>[38]Ecarts_masses!S65</f>
        <v>0</v>
      </c>
      <c r="T22" s="196">
        <f>[38]Ecarts_masses!T65</f>
        <v>0</v>
      </c>
      <c r="U22" s="196">
        <f>[38]Ecarts_masses!U65</f>
        <v>4.6846084456042547E-6</v>
      </c>
      <c r="V22" s="196">
        <f>[38]Ecarts_masses!V65</f>
        <v>2.5618001744387442E-6</v>
      </c>
      <c r="W22" s="196">
        <f>[38]Ecarts_masses!W65</f>
        <v>1.6202390765496233E-5</v>
      </c>
      <c r="X22" s="196">
        <f>[38]Ecarts_masses!X65</f>
        <v>9.2818000032579562E-6</v>
      </c>
      <c r="Y22" s="196">
        <f>[38]Ecarts_masses!Y65</f>
        <v>2.1993085875360308E-5</v>
      </c>
      <c r="Z22" s="196">
        <f>[38]Ecarts_masses!Z65</f>
        <v>3.7985023653153149E-5</v>
      </c>
      <c r="AA22" s="196">
        <f>[38]Ecarts_masses!AA65</f>
        <v>4.615764074955564E-5</v>
      </c>
      <c r="AB22" s="196">
        <f>[38]Ecarts_masses!AB65</f>
        <v>1.4303060609832663E-4</v>
      </c>
      <c r="AC22" s="196">
        <f>[38]Ecarts_masses!AC65</f>
        <v>2.2664351530776727E-4</v>
      </c>
      <c r="AD22" s="196">
        <f>[38]Ecarts_masses!AD65</f>
        <v>2.8130004408688514E-4</v>
      </c>
      <c r="AE22" s="196">
        <f>[38]Ecarts_masses!AE65</f>
        <v>4.7989571774298412E-4</v>
      </c>
      <c r="AF22" s="196">
        <f>[38]Ecarts_masses!AF65</f>
        <v>7.5406161381996739E-4</v>
      </c>
      <c r="AG22" s="196">
        <f>[38]Ecarts_masses!AG65</f>
        <v>9.9942093392457743E-4</v>
      </c>
      <c r="AH22" s="196">
        <f>[38]Ecarts_masses!AH65</f>
        <v>1.0608032048597948E-3</v>
      </c>
      <c r="AI22" s="196">
        <f>[38]Ecarts_masses!AI65</f>
        <v>1.744618177441426E-3</v>
      </c>
      <c r="AJ22" s="196">
        <f>[38]Ecarts_masses!AJ65</f>
        <v>2.168025750423741E-3</v>
      </c>
      <c r="AK22" s="196">
        <f>[38]Ecarts_masses!AK65</f>
        <v>2.304319389642151E-3</v>
      </c>
      <c r="AL22" s="196">
        <f>[38]Ecarts_masses!AL65</f>
        <v>3.1215009387859372E-3</v>
      </c>
      <c r="AM22" s="196">
        <f>[38]Ecarts_masses!AM65</f>
        <v>4.1698994405579004E-3</v>
      </c>
      <c r="AN22" s="196">
        <f>[38]Ecarts_masses!AN65</f>
        <v>5.2625276391760067E-3</v>
      </c>
      <c r="AO22" s="196">
        <f>[38]Ecarts_masses!AO65</f>
        <v>6.1300688336889397E-3</v>
      </c>
      <c r="AP22" s="196">
        <f>[38]Ecarts_masses!AP65</f>
        <v>7.5752992243147688E-3</v>
      </c>
      <c r="AQ22" s="196">
        <f>[38]Ecarts_masses!AQ65</f>
        <v>8.2675586801064238E-3</v>
      </c>
      <c r="AR22" s="196">
        <f>[38]Ecarts_masses!AR65</f>
        <v>9.7750966173100196E-3</v>
      </c>
      <c r="AS22" s="196">
        <f>[38]Ecarts_masses!AS65</f>
        <v>1.125196360128955E-2</v>
      </c>
      <c r="AT22" s="196">
        <f>[38]Ecarts_masses!AT65</f>
        <v>1.1992159375514122E-2</v>
      </c>
      <c r="AU22" s="196">
        <f>[38]Ecarts_masses!AU65</f>
        <v>1.3183803394965832E-2</v>
      </c>
      <c r="AV22" s="208">
        <f>[38]Ecarts_masses!AV65</f>
        <v>1.4324183341580143E-2</v>
      </c>
    </row>
    <row r="23" spans="2:48">
      <c r="B23" s="299"/>
      <c r="C23" s="202" t="s">
        <v>38</v>
      </c>
      <c r="D23" s="207">
        <f>[38]Ecarts_masses!D66</f>
        <v>0</v>
      </c>
      <c r="E23" s="196">
        <f>[38]Ecarts_masses!E66</f>
        <v>0</v>
      </c>
      <c r="F23" s="196">
        <f>[38]Ecarts_masses!F66</f>
        <v>0</v>
      </c>
      <c r="G23" s="196">
        <f>[38]Ecarts_masses!G66</f>
        <v>0</v>
      </c>
      <c r="H23" s="196">
        <f>[38]Ecarts_masses!H66</f>
        <v>0</v>
      </c>
      <c r="I23" s="196">
        <f>[38]Ecarts_masses!I66</f>
        <v>0</v>
      </c>
      <c r="J23" s="196">
        <f>[38]Ecarts_masses!J66</f>
        <v>0</v>
      </c>
      <c r="K23" s="196">
        <f>[38]Ecarts_masses!K66</f>
        <v>0</v>
      </c>
      <c r="L23" s="196">
        <f>[38]Ecarts_masses!L66</f>
        <v>0</v>
      </c>
      <c r="M23" s="196">
        <f>[38]Ecarts_masses!M66</f>
        <v>0</v>
      </c>
      <c r="N23" s="196">
        <f>[38]Ecarts_masses!N66</f>
        <v>0</v>
      </c>
      <c r="O23" s="196">
        <f>[38]Ecarts_masses!O66</f>
        <v>0</v>
      </c>
      <c r="P23" s="196">
        <f>[38]Ecarts_masses!P66</f>
        <v>0</v>
      </c>
      <c r="Q23" s="196">
        <f>[38]Ecarts_masses!Q66</f>
        <v>0</v>
      </c>
      <c r="R23" s="196">
        <f>[38]Ecarts_masses!R66</f>
        <v>0</v>
      </c>
      <c r="S23" s="196">
        <f>[38]Ecarts_masses!S66</f>
        <v>0</v>
      </c>
      <c r="T23" s="196">
        <f>[38]Ecarts_masses!T66</f>
        <v>0</v>
      </c>
      <c r="U23" s="196">
        <f>[38]Ecarts_masses!U66</f>
        <v>0</v>
      </c>
      <c r="V23" s="196">
        <f>[38]Ecarts_masses!V66</f>
        <v>0</v>
      </c>
      <c r="W23" s="196">
        <f>[38]Ecarts_masses!W66</f>
        <v>0</v>
      </c>
      <c r="X23" s="196">
        <f>[38]Ecarts_masses!X66</f>
        <v>6.4976847422570927E-6</v>
      </c>
      <c r="Y23" s="196">
        <f>[38]Ecarts_masses!Y66</f>
        <v>7.6123833314678535E-6</v>
      </c>
      <c r="Z23" s="196">
        <f>[38]Ecarts_masses!Z66</f>
        <v>-2.0314996398096419E-5</v>
      </c>
      <c r="AA23" s="196">
        <f>[38]Ecarts_masses!AA66</f>
        <v>5.9133822780665923E-6</v>
      </c>
      <c r="AB23" s="196">
        <f>[38]Ecarts_masses!AB66</f>
        <v>-2.697769162074426E-5</v>
      </c>
      <c r="AC23" s="196">
        <f>[38]Ecarts_masses!AC66</f>
        <v>-6.5822667258630396E-5</v>
      </c>
      <c r="AD23" s="196">
        <f>[38]Ecarts_masses!AD66</f>
        <v>-9.1800664276719957E-5</v>
      </c>
      <c r="AE23" s="196">
        <f>[38]Ecarts_masses!AE66</f>
        <v>-1.5012698281924308E-4</v>
      </c>
      <c r="AF23" s="196">
        <f>[38]Ecarts_masses!AF66</f>
        <v>-6.280222882271147E-5</v>
      </c>
      <c r="AG23" s="196">
        <f>[38]Ecarts_masses!AG66</f>
        <v>-9.8296845209899786E-5</v>
      </c>
      <c r="AH23" s="196">
        <f>[38]Ecarts_masses!AH66</f>
        <v>-1.6144845524879159E-4</v>
      </c>
      <c r="AI23" s="196">
        <f>[38]Ecarts_masses!AI66</f>
        <v>-4.194418175308412E-4</v>
      </c>
      <c r="AJ23" s="196">
        <f>[38]Ecarts_masses!AJ66</f>
        <v>-6.5476903386429974E-5</v>
      </c>
      <c r="AK23" s="196">
        <f>[38]Ecarts_masses!AK66</f>
        <v>-6.660399343931811E-4</v>
      </c>
      <c r="AL23" s="196">
        <f>[38]Ecarts_masses!AL66</f>
        <v>-5.8240638297424319E-4</v>
      </c>
      <c r="AM23" s="196">
        <f>[38]Ecarts_masses!AM66</f>
        <v>-1.0048109477795997E-3</v>
      </c>
      <c r="AN23" s="196">
        <f>[38]Ecarts_masses!AN66</f>
        <v>-1.4683196132203591E-4</v>
      </c>
      <c r="AO23" s="196">
        <f>[38]Ecarts_masses!AO66</f>
        <v>-8.2091287071561769E-4</v>
      </c>
      <c r="AP23" s="196">
        <f>[38]Ecarts_masses!AP66</f>
        <v>-1.0111258448113336E-3</v>
      </c>
      <c r="AQ23" s="196">
        <f>[38]Ecarts_masses!AQ66</f>
        <v>-1.0146603584789693E-3</v>
      </c>
      <c r="AR23" s="196">
        <f>[38]Ecarts_masses!AR66</f>
        <v>-1.5346026316379602E-3</v>
      </c>
      <c r="AS23" s="196">
        <f>[38]Ecarts_masses!AS66</f>
        <v>-1.8170850611729517E-3</v>
      </c>
      <c r="AT23" s="196">
        <f>[38]Ecarts_masses!AT66</f>
        <v>-1.669320911889649E-3</v>
      </c>
      <c r="AU23" s="196">
        <f>[38]Ecarts_masses!AU66</f>
        <v>-2.1653003048670572E-3</v>
      </c>
      <c r="AV23" s="208">
        <f>[38]Ecarts_masses!AV66</f>
        <v>-1.7804189378898272E-3</v>
      </c>
    </row>
    <row r="24" spans="2:48">
      <c r="B24" s="299"/>
      <c r="C24" s="202" t="s">
        <v>44</v>
      </c>
      <c r="D24" s="207">
        <f>[38]Ecarts_masses!D67</f>
        <v>0</v>
      </c>
      <c r="E24" s="196">
        <f>[38]Ecarts_masses!E67</f>
        <v>0</v>
      </c>
      <c r="F24" s="196">
        <f>[38]Ecarts_masses!F67</f>
        <v>0</v>
      </c>
      <c r="G24" s="196">
        <f>[38]Ecarts_masses!G67</f>
        <v>0</v>
      </c>
      <c r="H24" s="196">
        <f>[38]Ecarts_masses!H67</f>
        <v>0</v>
      </c>
      <c r="I24" s="196">
        <f>[38]Ecarts_masses!I67</f>
        <v>0</v>
      </c>
      <c r="J24" s="196">
        <f>[38]Ecarts_masses!J67</f>
        <v>0</v>
      </c>
      <c r="K24" s="196">
        <f>[38]Ecarts_masses!K67</f>
        <v>0</v>
      </c>
      <c r="L24" s="196">
        <f>[38]Ecarts_masses!L67</f>
        <v>0</v>
      </c>
      <c r="M24" s="196">
        <f>[38]Ecarts_masses!M67</f>
        <v>0</v>
      </c>
      <c r="N24" s="196">
        <f>[38]Ecarts_masses!N67</f>
        <v>0</v>
      </c>
      <c r="O24" s="196">
        <f>[38]Ecarts_masses!O67</f>
        <v>0</v>
      </c>
      <c r="P24" s="196">
        <f>[38]Ecarts_masses!P67</f>
        <v>0</v>
      </c>
      <c r="Q24" s="196">
        <f>[38]Ecarts_masses!Q67</f>
        <v>0</v>
      </c>
      <c r="R24" s="196">
        <f>[38]Ecarts_masses!R67</f>
        <v>0</v>
      </c>
      <c r="S24" s="196">
        <f>[38]Ecarts_masses!S67</f>
        <v>0</v>
      </c>
      <c r="T24" s="196">
        <f>[38]Ecarts_masses!T67</f>
        <v>0</v>
      </c>
      <c r="U24" s="196">
        <f>[38]Ecarts_masses!U67</f>
        <v>0</v>
      </c>
      <c r="V24" s="196">
        <f>[38]Ecarts_masses!V67</f>
        <v>-1.8907830523495761E-8</v>
      </c>
      <c r="W24" s="196">
        <f>[38]Ecarts_masses!W67</f>
        <v>-2.8373547877880156E-7</v>
      </c>
      <c r="X24" s="196">
        <f>[38]Ecarts_masses!X67</f>
        <v>-1.5521019717246176E-6</v>
      </c>
      <c r="Y24" s="196">
        <f>[38]Ecarts_masses!Y67</f>
        <v>-2.0714216829587073E-6</v>
      </c>
      <c r="Z24" s="196">
        <f>[38]Ecarts_masses!Z67</f>
        <v>-3.8081118577393269E-6</v>
      </c>
      <c r="AA24" s="196">
        <f>[38]Ecarts_masses!AA67</f>
        <v>-7.5133351620237931E-6</v>
      </c>
      <c r="AB24" s="196">
        <f>[38]Ecarts_masses!AB67</f>
        <v>-5.5573477166559471E-5</v>
      </c>
      <c r="AC24" s="196">
        <f>[38]Ecarts_masses!AC67</f>
        <v>-8.4730427058254953E-5</v>
      </c>
      <c r="AD24" s="196">
        <f>[38]Ecarts_masses!AD67</f>
        <v>-1.4969645091778006E-4</v>
      </c>
      <c r="AE24" s="196">
        <f>[38]Ecarts_masses!AE67</f>
        <v>-1.4907752426673859E-4</v>
      </c>
      <c r="AF24" s="196">
        <f>[38]Ecarts_masses!AF67</f>
        <v>-1.591073254233466E-4</v>
      </c>
      <c r="AG24" s="196">
        <f>[38]Ecarts_masses!AG67</f>
        <v>-5.0465332655758033E-4</v>
      </c>
      <c r="AH24" s="196">
        <f>[38]Ecarts_masses!AH67</f>
        <v>-5.0461519752609263E-4</v>
      </c>
      <c r="AI24" s="196">
        <f>[38]Ecarts_masses!AI67</f>
        <v>-6.7955619681314694E-4</v>
      </c>
      <c r="AJ24" s="196">
        <f>[38]Ecarts_masses!AJ67</f>
        <v>-8.6466830738340938E-4</v>
      </c>
      <c r="AK24" s="196">
        <f>[38]Ecarts_masses!AK67</f>
        <v>-6.5178946656330172E-4</v>
      </c>
      <c r="AL24" s="196">
        <f>[38]Ecarts_masses!AL67</f>
        <v>-8.3532969879795971E-4</v>
      </c>
      <c r="AM24" s="196">
        <f>[38]Ecarts_masses!AM67</f>
        <v>-1.2137963884110148E-3</v>
      </c>
      <c r="AN24" s="196">
        <f>[38]Ecarts_masses!AN67</f>
        <v>-1.4935228844835668E-3</v>
      </c>
      <c r="AO24" s="196">
        <f>[38]Ecarts_masses!AO67</f>
        <v>-1.9236156354954792E-3</v>
      </c>
      <c r="AP24" s="196">
        <f>[38]Ecarts_masses!AP67</f>
        <v>-2.3678227893625392E-3</v>
      </c>
      <c r="AQ24" s="196">
        <f>[38]Ecarts_masses!AQ67</f>
        <v>-2.6829199358544553E-3</v>
      </c>
      <c r="AR24" s="196">
        <f>[38]Ecarts_masses!AR67</f>
        <v>-3.0514190452632928E-3</v>
      </c>
      <c r="AS24" s="196">
        <f>[38]Ecarts_masses!AS67</f>
        <v>-3.1228062697210568E-3</v>
      </c>
      <c r="AT24" s="196">
        <f>[38]Ecarts_masses!AT67</f>
        <v>-3.3857745861668453E-3</v>
      </c>
      <c r="AU24" s="196">
        <f>[38]Ecarts_masses!AU67</f>
        <v>-4.0081427758611454E-3</v>
      </c>
      <c r="AV24" s="208">
        <f>[38]Ecarts_masses!AV67</f>
        <v>-5.1086219949222356E-3</v>
      </c>
    </row>
    <row r="25" spans="2:48">
      <c r="B25" s="299"/>
      <c r="C25" s="202" t="s">
        <v>5</v>
      </c>
      <c r="D25" s="207">
        <f>[38]Ecarts_masses!D68</f>
        <v>0</v>
      </c>
      <c r="E25" s="196">
        <f>[38]Ecarts_masses!E68</f>
        <v>0</v>
      </c>
      <c r="F25" s="196">
        <f>[38]Ecarts_masses!F68</f>
        <v>0</v>
      </c>
      <c r="G25" s="196">
        <f>[38]Ecarts_masses!G68</f>
        <v>0</v>
      </c>
      <c r="H25" s="196">
        <f>[38]Ecarts_masses!H68</f>
        <v>0</v>
      </c>
      <c r="I25" s="196">
        <f>[38]Ecarts_masses!I68</f>
        <v>0</v>
      </c>
      <c r="J25" s="196">
        <f>[38]Ecarts_masses!J68</f>
        <v>0</v>
      </c>
      <c r="K25" s="196">
        <f>[38]Ecarts_masses!K68</f>
        <v>0</v>
      </c>
      <c r="L25" s="196">
        <f>[38]Ecarts_masses!L68</f>
        <v>0</v>
      </c>
      <c r="M25" s="196">
        <f>[38]Ecarts_masses!M68</f>
        <v>0</v>
      </c>
      <c r="N25" s="196">
        <f>[38]Ecarts_masses!N68</f>
        <v>0</v>
      </c>
      <c r="O25" s="196">
        <f>[38]Ecarts_masses!O68</f>
        <v>0</v>
      </c>
      <c r="P25" s="196">
        <f>[38]Ecarts_masses!P68</f>
        <v>0</v>
      </c>
      <c r="Q25" s="196">
        <f>[38]Ecarts_masses!Q68</f>
        <v>0</v>
      </c>
      <c r="R25" s="196">
        <f>[38]Ecarts_masses!R68</f>
        <v>4.6999923930535203E-7</v>
      </c>
      <c r="S25" s="196">
        <f>[38]Ecarts_masses!S68</f>
        <v>8.3313835452791807E-7</v>
      </c>
      <c r="T25" s="196">
        <f>[38]Ecarts_masses!T68</f>
        <v>9.3760812513998815E-7</v>
      </c>
      <c r="U25" s="196">
        <f>[38]Ecarts_masses!U68</f>
        <v>3.2164727088446199E-6</v>
      </c>
      <c r="V25" s="196">
        <f>[38]Ecarts_masses!V68</f>
        <v>1.5572189736134945E-5</v>
      </c>
      <c r="W25" s="196">
        <f>[38]Ecarts_masses!W68</f>
        <v>3.2327495349537827E-5</v>
      </c>
      <c r="X25" s="196">
        <f>[38]Ecarts_masses!X68</f>
        <v>7.2098803616471585E-5</v>
      </c>
      <c r="Y25" s="196">
        <f>[38]Ecarts_masses!Y68</f>
        <v>7.486335726114568E-5</v>
      </c>
      <c r="Z25" s="196">
        <f>[38]Ecarts_masses!Z68</f>
        <v>1.1871322179590749E-4</v>
      </c>
      <c r="AA25" s="196">
        <f>[38]Ecarts_masses!AA68</f>
        <v>1.7030786912153317E-4</v>
      </c>
      <c r="AB25" s="196">
        <f>[38]Ecarts_masses!AB68</f>
        <v>2.6918032345535359E-4</v>
      </c>
      <c r="AC25" s="196">
        <f>[38]Ecarts_masses!AC68</f>
        <v>3.6403415173258402E-4</v>
      </c>
      <c r="AD25" s="196">
        <f>[38]Ecarts_masses!AD68</f>
        <v>5.2025956437939946E-4</v>
      </c>
      <c r="AE25" s="196">
        <f>[38]Ecarts_masses!AE68</f>
        <v>7.5504009630456004E-4</v>
      </c>
      <c r="AF25" s="196">
        <f>[38]Ecarts_masses!AF68</f>
        <v>1.1141199205380037E-3</v>
      </c>
      <c r="AG25" s="196">
        <f>[38]Ecarts_masses!AG68</f>
        <v>1.3775890583365147E-3</v>
      </c>
      <c r="AH25" s="196">
        <f>[38]Ecarts_masses!AH68</f>
        <v>1.7771087597751034E-3</v>
      </c>
      <c r="AI25" s="196">
        <f>[38]Ecarts_masses!AI68</f>
        <v>2.5746963858694905E-3</v>
      </c>
      <c r="AJ25" s="196">
        <f>[38]Ecarts_masses!AJ68</f>
        <v>3.0149935922256788E-3</v>
      </c>
      <c r="AK25" s="196">
        <f>[38]Ecarts_masses!AK68</f>
        <v>3.6569979893152915E-3</v>
      </c>
      <c r="AL25" s="196">
        <f>[38]Ecarts_masses!AL68</f>
        <v>5.0012099910148322E-3</v>
      </c>
      <c r="AM25" s="196">
        <f>[38]Ecarts_masses!AM68</f>
        <v>6.3196449244147246E-3</v>
      </c>
      <c r="AN25" s="196">
        <f>[38]Ecarts_masses!AN68</f>
        <v>7.9367044421883026E-3</v>
      </c>
      <c r="AO25" s="196">
        <f>[38]Ecarts_masses!AO68</f>
        <v>9.3192851583963066E-3</v>
      </c>
      <c r="AP25" s="196">
        <f>[38]Ecarts_masses!AP68</f>
        <v>1.1117001405986482E-2</v>
      </c>
      <c r="AQ25" s="196">
        <f>[38]Ecarts_masses!AQ68</f>
        <v>1.2861655496525071E-2</v>
      </c>
      <c r="AR25" s="196">
        <f>[38]Ecarts_masses!AR68</f>
        <v>1.4282395315354579E-2</v>
      </c>
      <c r="AS25" s="196">
        <f>[38]Ecarts_masses!AS68</f>
        <v>1.6575541036901287E-2</v>
      </c>
      <c r="AT25" s="196">
        <f>[38]Ecarts_masses!AT68</f>
        <v>1.9088935914544525E-2</v>
      </c>
      <c r="AU25" s="196">
        <f>[38]Ecarts_masses!AU68</f>
        <v>2.127296710575588E-2</v>
      </c>
      <c r="AV25" s="208">
        <f>[38]Ecarts_masses!AV68</f>
        <v>2.3955581481792665E-2</v>
      </c>
    </row>
    <row r="26" spans="2:48">
      <c r="B26" s="299"/>
      <c r="C26" s="202" t="s">
        <v>45</v>
      </c>
      <c r="D26" s="207">
        <f>[38]Ecarts_masses!D69</f>
        <v>0</v>
      </c>
      <c r="E26" s="196">
        <f>[38]Ecarts_masses!E69</f>
        <v>0</v>
      </c>
      <c r="F26" s="196">
        <f>[38]Ecarts_masses!F69</f>
        <v>0</v>
      </c>
      <c r="G26" s="196">
        <f>[38]Ecarts_masses!G69</f>
        <v>0</v>
      </c>
      <c r="H26" s="196">
        <f>[38]Ecarts_masses!H69</f>
        <v>0</v>
      </c>
      <c r="I26" s="196">
        <f>[38]Ecarts_masses!I69</f>
        <v>0</v>
      </c>
      <c r="J26" s="196">
        <f>[38]Ecarts_masses!J69</f>
        <v>0</v>
      </c>
      <c r="K26" s="196">
        <f>[38]Ecarts_masses!K69</f>
        <v>0</v>
      </c>
      <c r="L26" s="196">
        <f>[38]Ecarts_masses!L69</f>
        <v>0</v>
      </c>
      <c r="M26" s="196">
        <f>[38]Ecarts_masses!M69</f>
        <v>0</v>
      </c>
      <c r="N26" s="196">
        <f>[38]Ecarts_masses!N69</f>
        <v>0</v>
      </c>
      <c r="O26" s="196">
        <f>[38]Ecarts_masses!O69</f>
        <v>0</v>
      </c>
      <c r="P26" s="196">
        <f>[38]Ecarts_masses!P69</f>
        <v>0</v>
      </c>
      <c r="Q26" s="196">
        <f>[38]Ecarts_masses!Q69</f>
        <v>0</v>
      </c>
      <c r="R26" s="196">
        <f>[38]Ecarts_masses!R69</f>
        <v>0</v>
      </c>
      <c r="S26" s="196">
        <f>[38]Ecarts_masses!S69</f>
        <v>0</v>
      </c>
      <c r="T26" s="196">
        <f>[38]Ecarts_masses!T69</f>
        <v>0</v>
      </c>
      <c r="U26" s="196">
        <f>[38]Ecarts_masses!U69</f>
        <v>0</v>
      </c>
      <c r="V26" s="196">
        <f>[38]Ecarts_masses!V69</f>
        <v>0</v>
      </c>
      <c r="W26" s="196">
        <f>[38]Ecarts_masses!W69</f>
        <v>0</v>
      </c>
      <c r="X26" s="196">
        <f>[38]Ecarts_masses!X69</f>
        <v>8.3035604725445467E-7</v>
      </c>
      <c r="Y26" s="196">
        <f>[38]Ecarts_masses!Y69</f>
        <v>1.6111406027086161E-6</v>
      </c>
      <c r="Z26" s="196">
        <f>[38]Ecarts_masses!Z69</f>
        <v>2.0595479484075696E-6</v>
      </c>
      <c r="AA26" s="196">
        <f>[38]Ecarts_masses!AA69</f>
        <v>9.6645544624962554E-6</v>
      </c>
      <c r="AB26" s="196">
        <f>[38]Ecarts_masses!AB69</f>
        <v>1.5323574131143047E-5</v>
      </c>
      <c r="AC26" s="196">
        <f>[38]Ecarts_masses!AC69</f>
        <v>1.6788636766129628E-5</v>
      </c>
      <c r="AD26" s="196">
        <f>[38]Ecarts_masses!AD69</f>
        <v>4.2877642871363975E-5</v>
      </c>
      <c r="AE26" s="196">
        <f>[38]Ecarts_masses!AE69</f>
        <v>6.9000412855180215E-5</v>
      </c>
      <c r="AF26" s="196">
        <f>[38]Ecarts_masses!AF69</f>
        <v>1.0383190868390457E-4</v>
      </c>
      <c r="AG26" s="196">
        <f>[38]Ecarts_masses!AG69</f>
        <v>1.4628719219267339E-4</v>
      </c>
      <c r="AH26" s="196">
        <f>[38]Ecarts_masses!AH69</f>
        <v>2.0615797208933806E-4</v>
      </c>
      <c r="AI26" s="196">
        <f>[38]Ecarts_masses!AI69</f>
        <v>2.1975682622232817E-4</v>
      </c>
      <c r="AJ26" s="196">
        <f>[38]Ecarts_masses!AJ69</f>
        <v>3.2636704362265512E-4</v>
      </c>
      <c r="AK26" s="196">
        <f>[38]Ecarts_masses!AK69</f>
        <v>3.5634721777211276E-4</v>
      </c>
      <c r="AL26" s="196">
        <f>[38]Ecarts_masses!AL69</f>
        <v>3.4548325956373915E-4</v>
      </c>
      <c r="AM26" s="196">
        <f>[38]Ecarts_masses!AM69</f>
        <v>5.7931229129892792E-4</v>
      </c>
      <c r="AN26" s="196">
        <f>[38]Ecarts_masses!AN69</f>
        <v>8.4885340587947944E-4</v>
      </c>
      <c r="AO26" s="196">
        <f>[38]Ecarts_masses!AO69</f>
        <v>1.0602565095378935E-3</v>
      </c>
      <c r="AP26" s="196">
        <f>[38]Ecarts_masses!AP69</f>
        <v>1.0045841995816041E-3</v>
      </c>
      <c r="AQ26" s="196">
        <f>[38]Ecarts_masses!AQ69</f>
        <v>1.4402178122328024E-3</v>
      </c>
      <c r="AR26" s="196">
        <f>[38]Ecarts_masses!AR69</f>
        <v>1.5723197734933692E-3</v>
      </c>
      <c r="AS26" s="196">
        <f>[38]Ecarts_masses!AS69</f>
        <v>2.1664283067566181E-3</v>
      </c>
      <c r="AT26" s="196">
        <f>[38]Ecarts_masses!AT69</f>
        <v>1.4882100299566936E-3</v>
      </c>
      <c r="AU26" s="196">
        <f>[38]Ecarts_masses!AU69</f>
        <v>2.2262690913688044E-3</v>
      </c>
      <c r="AV26" s="208">
        <f>[38]Ecarts_masses!AV69</f>
        <v>2.5114203202323271E-3</v>
      </c>
    </row>
    <row r="27" spans="2:48">
      <c r="B27" s="299"/>
      <c r="C27" s="202" t="s">
        <v>46</v>
      </c>
      <c r="D27" s="207">
        <f>[38]Ecarts_masses!D70</f>
        <v>0</v>
      </c>
      <c r="E27" s="196">
        <f>[38]Ecarts_masses!E70</f>
        <v>0</v>
      </c>
      <c r="F27" s="196">
        <f>[38]Ecarts_masses!F70</f>
        <v>0</v>
      </c>
      <c r="G27" s="196">
        <f>[38]Ecarts_masses!G70</f>
        <v>0</v>
      </c>
      <c r="H27" s="196">
        <f>[38]Ecarts_masses!H70</f>
        <v>0</v>
      </c>
      <c r="I27" s="196">
        <f>[38]Ecarts_masses!I70</f>
        <v>0</v>
      </c>
      <c r="J27" s="196">
        <f>[38]Ecarts_masses!J70</f>
        <v>0</v>
      </c>
      <c r="K27" s="196">
        <f>[38]Ecarts_masses!K70</f>
        <v>0</v>
      </c>
      <c r="L27" s="196">
        <f>[38]Ecarts_masses!L70</f>
        <v>0</v>
      </c>
      <c r="M27" s="196">
        <f>[38]Ecarts_masses!M70</f>
        <v>0</v>
      </c>
      <c r="N27" s="196">
        <f>[38]Ecarts_masses!N70</f>
        <v>0</v>
      </c>
      <c r="O27" s="196">
        <f>[38]Ecarts_masses!O70</f>
        <v>0</v>
      </c>
      <c r="P27" s="196">
        <f>[38]Ecarts_masses!P70</f>
        <v>0</v>
      </c>
      <c r="Q27" s="196">
        <f>[38]Ecarts_masses!Q70</f>
        <v>0</v>
      </c>
      <c r="R27" s="196">
        <f>[38]Ecarts_masses!R70</f>
        <v>0</v>
      </c>
      <c r="S27" s="196">
        <f>[38]Ecarts_masses!S70</f>
        <v>0</v>
      </c>
      <c r="T27" s="196">
        <f>[38]Ecarts_masses!T70</f>
        <v>0</v>
      </c>
      <c r="U27" s="196">
        <f>[38]Ecarts_masses!U70</f>
        <v>0</v>
      </c>
      <c r="V27" s="196">
        <f>[38]Ecarts_masses!V70</f>
        <v>0</v>
      </c>
      <c r="W27" s="196">
        <f>[38]Ecarts_masses!W70</f>
        <v>0</v>
      </c>
      <c r="X27" s="196">
        <f>[38]Ecarts_masses!X70</f>
        <v>0</v>
      </c>
      <c r="Y27" s="196">
        <f>[38]Ecarts_masses!Y70</f>
        <v>-6.5525531667276482E-9</v>
      </c>
      <c r="Z27" s="196">
        <f>[38]Ecarts_masses!Z70</f>
        <v>-1.837431840756576E-5</v>
      </c>
      <c r="AA27" s="196">
        <f>[38]Ecarts_masses!AA70</f>
        <v>1.5311980825494231E-6</v>
      </c>
      <c r="AB27" s="196">
        <f>[38]Ecarts_masses!AB70</f>
        <v>-3.156760429834371E-6</v>
      </c>
      <c r="AC27" s="196">
        <f>[38]Ecarts_masses!AC70</f>
        <v>2.4117834444226105E-5</v>
      </c>
      <c r="AD27" s="196">
        <f>[38]Ecarts_masses!AD70</f>
        <v>-1.025235934885016E-4</v>
      </c>
      <c r="AE27" s="196">
        <f>[38]Ecarts_masses!AE70</f>
        <v>-1.8255843735581756E-4</v>
      </c>
      <c r="AF27" s="196">
        <f>[38]Ecarts_masses!AF70</f>
        <v>-1.8384032014140406E-4</v>
      </c>
      <c r="AG27" s="196">
        <f>[38]Ecarts_masses!AG70</f>
        <v>-1.980432544942401E-4</v>
      </c>
      <c r="AH27" s="196">
        <f>[38]Ecarts_masses!AH70</f>
        <v>-5.3683316971508965E-4</v>
      </c>
      <c r="AI27" s="196">
        <f>[38]Ecarts_masses!AI70</f>
        <v>-7.8728425449270389E-4</v>
      </c>
      <c r="AJ27" s="196">
        <f>[38]Ecarts_masses!AJ70</f>
        <v>-3.1670951196627328E-4</v>
      </c>
      <c r="AK27" s="196">
        <f>[38]Ecarts_masses!AK70</f>
        <v>-3.3249651125011326E-4</v>
      </c>
      <c r="AL27" s="196">
        <f>[38]Ecarts_masses!AL70</f>
        <v>-2.8994045389607592E-4</v>
      </c>
      <c r="AM27" s="196">
        <f>[38]Ecarts_masses!AM70</f>
        <v>-1.3932801501326253E-4</v>
      </c>
      <c r="AN27" s="196">
        <f>[38]Ecarts_masses!AN70</f>
        <v>-4.4105444383712999E-5</v>
      </c>
      <c r="AO27" s="196">
        <f>[38]Ecarts_masses!AO70</f>
        <v>-2.0635128044033113E-4</v>
      </c>
      <c r="AP27" s="196">
        <f>[38]Ecarts_masses!AP70</f>
        <v>-3.6722716783799125E-4</v>
      </c>
      <c r="AQ27" s="196">
        <f>[38]Ecarts_masses!AQ70</f>
        <v>-4.6722616667249639E-4</v>
      </c>
      <c r="AR27" s="196">
        <f>[38]Ecarts_masses!AR70</f>
        <v>-3.6904658520586775E-4</v>
      </c>
      <c r="AS27" s="196">
        <f>[38]Ecarts_masses!AS70</f>
        <v>-6.9222603061369625E-4</v>
      </c>
      <c r="AT27" s="196">
        <f>[38]Ecarts_masses!AT70</f>
        <v>-1.4990503996459292E-4</v>
      </c>
      <c r="AU27" s="196">
        <f>[38]Ecarts_masses!AU70</f>
        <v>7.8672090218390167E-5</v>
      </c>
      <c r="AV27" s="208">
        <f>[38]Ecarts_masses!AV70</f>
        <v>-5.9851426365309379E-4</v>
      </c>
    </row>
    <row r="28" spans="2:48" ht="15" thickBot="1">
      <c r="B28" s="300"/>
      <c r="C28" s="203" t="s">
        <v>39</v>
      </c>
      <c r="D28" s="209">
        <f>[38]Ecarts_masses!D71</f>
        <v>0</v>
      </c>
      <c r="E28" s="210">
        <f>[38]Ecarts_masses!E71</f>
        <v>0</v>
      </c>
      <c r="F28" s="210">
        <f>[38]Ecarts_masses!F71</f>
        <v>0</v>
      </c>
      <c r="G28" s="210">
        <f>[38]Ecarts_masses!G71</f>
        <v>0</v>
      </c>
      <c r="H28" s="210">
        <f>[38]Ecarts_masses!H71</f>
        <v>0</v>
      </c>
      <c r="I28" s="210">
        <f>[38]Ecarts_masses!I71</f>
        <v>0</v>
      </c>
      <c r="J28" s="210">
        <f>[38]Ecarts_masses!J71</f>
        <v>0</v>
      </c>
      <c r="K28" s="210">
        <f>[38]Ecarts_masses!K71</f>
        <v>0</v>
      </c>
      <c r="L28" s="210">
        <f>[38]Ecarts_masses!L71</f>
        <v>0</v>
      </c>
      <c r="M28" s="210">
        <f>[38]Ecarts_masses!M71</f>
        <v>0</v>
      </c>
      <c r="N28" s="210">
        <f>[38]Ecarts_masses!N71</f>
        <v>0</v>
      </c>
      <c r="O28" s="210">
        <f>[38]Ecarts_masses!O71</f>
        <v>0</v>
      </c>
      <c r="P28" s="210">
        <f>[38]Ecarts_masses!P71</f>
        <v>0</v>
      </c>
      <c r="Q28" s="210">
        <f>[38]Ecarts_masses!Q71</f>
        <v>0</v>
      </c>
      <c r="R28" s="210">
        <f>[38]Ecarts_masses!R71</f>
        <v>0</v>
      </c>
      <c r="S28" s="210">
        <f>[38]Ecarts_masses!S71</f>
        <v>0</v>
      </c>
      <c r="T28" s="210">
        <f>[38]Ecarts_masses!T71</f>
        <v>0</v>
      </c>
      <c r="U28" s="210">
        <f>[38]Ecarts_masses!U71</f>
        <v>0</v>
      </c>
      <c r="V28" s="210">
        <f>[38]Ecarts_masses!V71</f>
        <v>0</v>
      </c>
      <c r="W28" s="210">
        <f>[38]Ecarts_masses!W71</f>
        <v>0</v>
      </c>
      <c r="X28" s="210">
        <f>[38]Ecarts_masses!X71</f>
        <v>7.6362033931687279E-6</v>
      </c>
      <c r="Y28" s="210">
        <f>[38]Ecarts_masses!Y71</f>
        <v>4.7465108592437133E-6</v>
      </c>
      <c r="Z28" s="210">
        <f>[38]Ecarts_masses!Z71</f>
        <v>1.2778017804970787E-5</v>
      </c>
      <c r="AA28" s="210">
        <f>[38]Ecarts_masses!AA71</f>
        <v>1.3618624389311051E-5</v>
      </c>
      <c r="AB28" s="210">
        <f>[38]Ecarts_masses!AB71</f>
        <v>7.3554723573954206E-5</v>
      </c>
      <c r="AC28" s="210">
        <f>[38]Ecarts_masses!AC71</f>
        <v>9.6141142764238907E-5</v>
      </c>
      <c r="AD28" s="210">
        <f>[38]Ecarts_masses!AD71</f>
        <v>1.2995939989779437E-4</v>
      </c>
      <c r="AE28" s="210">
        <f>[38]Ecarts_masses!AE71</f>
        <v>1.4771746497532767E-4</v>
      </c>
      <c r="AF28" s="210">
        <f>[38]Ecarts_masses!AF71</f>
        <v>3.6317215845649287E-4</v>
      </c>
      <c r="AG28" s="210">
        <f>[38]Ecarts_masses!AG71</f>
        <v>4.8935642214065211E-4</v>
      </c>
      <c r="AH28" s="210">
        <f>[38]Ecarts_masses!AH71</f>
        <v>3.8230413210227354E-4</v>
      </c>
      <c r="AI28" s="210">
        <f>[38]Ecarts_masses!AI71</f>
        <v>7.2476110739039257E-4</v>
      </c>
      <c r="AJ28" s="210">
        <f>[38]Ecarts_masses!AJ71</f>
        <v>7.913867139353048E-4</v>
      </c>
      <c r="AK28" s="210">
        <f>[38]Ecarts_masses!AK71</f>
        <v>6.0103713616332932E-4</v>
      </c>
      <c r="AL28" s="210">
        <f>[38]Ecarts_masses!AL71</f>
        <v>9.9424951249704741E-4</v>
      </c>
      <c r="AM28" s="210">
        <f>[38]Ecarts_masses!AM71</f>
        <v>1.2994514028807913E-3</v>
      </c>
      <c r="AN28" s="210">
        <f>[38]Ecarts_masses!AN71</f>
        <v>1.7750182456786057E-3</v>
      </c>
      <c r="AO28" s="210">
        <f>[38]Ecarts_masses!AO71</f>
        <v>1.9191333583474801E-3</v>
      </c>
      <c r="AP28" s="210">
        <f>[38]Ecarts_masses!AP71</f>
        <v>2.3324065413705686E-3</v>
      </c>
      <c r="AQ28" s="210">
        <f>[38]Ecarts_masses!AQ71</f>
        <v>2.439036078563328E-3</v>
      </c>
      <c r="AR28" s="210">
        <f>[38]Ecarts_masses!AR71</f>
        <v>2.5498406857851208E-3</v>
      </c>
      <c r="AS28" s="210">
        <f>[38]Ecarts_masses!AS71</f>
        <v>2.868681613867885E-3</v>
      </c>
      <c r="AT28" s="210">
        <f>[38]Ecarts_masses!AT71</f>
        <v>2.7046659142475615E-3</v>
      </c>
      <c r="AU28" s="210">
        <f>[38]Ecarts_masses!AU71</f>
        <v>2.859159763356045E-3</v>
      </c>
      <c r="AV28" s="211">
        <f>[38]Ecarts_masses!AV71</f>
        <v>2.80825306328647E-3</v>
      </c>
    </row>
    <row r="29" spans="2:48">
      <c r="B29" s="298" t="s">
        <v>48</v>
      </c>
      <c r="C29" s="201" t="s">
        <v>40</v>
      </c>
      <c r="D29" s="204">
        <f>[39]Ecarts_masses!D60</f>
        <v>0</v>
      </c>
      <c r="E29" s="205">
        <f>[39]Ecarts_masses!E60</f>
        <v>0</v>
      </c>
      <c r="F29" s="205">
        <f>[39]Ecarts_masses!F60</f>
        <v>0</v>
      </c>
      <c r="G29" s="205">
        <f>[39]Ecarts_masses!G60</f>
        <v>0</v>
      </c>
      <c r="H29" s="205">
        <f>[39]Ecarts_masses!H60</f>
        <v>0</v>
      </c>
      <c r="I29" s="205">
        <f>[39]Ecarts_masses!I60</f>
        <v>0</v>
      </c>
      <c r="J29" s="205">
        <f>[39]Ecarts_masses!J60</f>
        <v>0</v>
      </c>
      <c r="K29" s="205">
        <f>[39]Ecarts_masses!K60</f>
        <v>0</v>
      </c>
      <c r="L29" s="205">
        <f>[39]Ecarts_masses!L60</f>
        <v>0</v>
      </c>
      <c r="M29" s="205">
        <f>[39]Ecarts_masses!M60</f>
        <v>0</v>
      </c>
      <c r="N29" s="205">
        <f>[39]Ecarts_masses!N60</f>
        <v>0</v>
      </c>
      <c r="O29" s="205">
        <f>[39]Ecarts_masses!O60</f>
        <v>0</v>
      </c>
      <c r="P29" s="205">
        <f>[39]Ecarts_masses!P60</f>
        <v>0</v>
      </c>
      <c r="Q29" s="205">
        <f>[39]Ecarts_masses!Q60</f>
        <v>0</v>
      </c>
      <c r="R29" s="205">
        <f>[39]Ecarts_masses!R60</f>
        <v>1.8069404195131256E-8</v>
      </c>
      <c r="S29" s="205">
        <f>[39]Ecarts_masses!S60</f>
        <v>2.0913914378084542E-8</v>
      </c>
      <c r="T29" s="205">
        <f>[39]Ecarts_masses!T60</f>
        <v>-3.5860442393342851E-8</v>
      </c>
      <c r="U29" s="205">
        <f>[39]Ecarts_masses!U60</f>
        <v>-9.6323052423130662E-8</v>
      </c>
      <c r="V29" s="205">
        <f>[39]Ecarts_masses!V60</f>
        <v>-5.0695035280767797E-8</v>
      </c>
      <c r="W29" s="205">
        <f>[39]Ecarts_masses!W60</f>
        <v>4.2317800597047039E-8</v>
      </c>
      <c r="X29" s="205">
        <f>[39]Ecarts_masses!X60</f>
        <v>-1.192934590887873E-6</v>
      </c>
      <c r="Y29" s="205">
        <f>[39]Ecarts_masses!Y60</f>
        <v>-5.2672278534338091E-6</v>
      </c>
      <c r="Z29" s="205">
        <f>[39]Ecarts_masses!Z60</f>
        <v>-2.1664414539546151E-5</v>
      </c>
      <c r="AA29" s="205">
        <f>[39]Ecarts_masses!AA60</f>
        <v>-2.7269771972981971E-5</v>
      </c>
      <c r="AB29" s="205">
        <f>[39]Ecarts_masses!AB60</f>
        <v>-5.1887294918007143E-5</v>
      </c>
      <c r="AC29" s="205">
        <f>[39]Ecarts_masses!AC60</f>
        <v>-9.1178362331856277E-5</v>
      </c>
      <c r="AD29" s="205">
        <f>[39]Ecarts_masses!AD60</f>
        <v>-1.5397460867705437E-4</v>
      </c>
      <c r="AE29" s="205">
        <f>[39]Ecarts_masses!AE60</f>
        <v>-2.3878858401948921E-4</v>
      </c>
      <c r="AF29" s="205">
        <f>[39]Ecarts_masses!AF60</f>
        <v>-3.2898044530493831E-4</v>
      </c>
      <c r="AG29" s="205">
        <f>[39]Ecarts_masses!AG60</f>
        <v>-4.4980294742447136E-4</v>
      </c>
      <c r="AH29" s="205">
        <f>[39]Ecarts_masses!AH60</f>
        <v>-5.6822920161458956E-4</v>
      </c>
      <c r="AI29" s="205">
        <f>[39]Ecarts_masses!AI60</f>
        <v>-7.3173627280209708E-4</v>
      </c>
      <c r="AJ29" s="205">
        <f>[39]Ecarts_masses!AJ60</f>
        <v>-9.0520948092254194E-4</v>
      </c>
      <c r="AK29" s="205">
        <f>[39]Ecarts_masses!AK60</f>
        <v>-1.1047686245125865E-3</v>
      </c>
      <c r="AL29" s="205">
        <f>[39]Ecarts_masses!AL60</f>
        <v>-1.4007528375756806E-3</v>
      </c>
      <c r="AM29" s="205">
        <f>[39]Ecarts_masses!AM60</f>
        <v>-1.7502059120354518E-3</v>
      </c>
      <c r="AN29" s="205">
        <f>[39]Ecarts_masses!AN60</f>
        <v>-2.1281908556765039E-3</v>
      </c>
      <c r="AO29" s="205">
        <f>[39]Ecarts_masses!AO60</f>
        <v>-2.5690901232413577E-3</v>
      </c>
      <c r="AP29" s="205">
        <f>[39]Ecarts_masses!AP60</f>
        <v>-3.0803902456731924E-3</v>
      </c>
      <c r="AQ29" s="205">
        <f>[39]Ecarts_masses!AQ60</f>
        <v>-3.6008194750644096E-3</v>
      </c>
      <c r="AR29" s="205">
        <f>[39]Ecarts_masses!AR60</f>
        <v>-3.931315972493743E-3</v>
      </c>
      <c r="AS29" s="205">
        <f>[39]Ecarts_masses!AS60</f>
        <v>-4.3390796558486766E-3</v>
      </c>
      <c r="AT29" s="205">
        <f>[39]Ecarts_masses!AT60</f>
        <v>-4.8165138501572446E-3</v>
      </c>
      <c r="AU29" s="205">
        <f>[39]Ecarts_masses!AU60</f>
        <v>-5.3463167006402301E-3</v>
      </c>
      <c r="AV29" s="206">
        <f>[39]Ecarts_masses!AV60</f>
        <v>-5.7217930097930303E-3</v>
      </c>
    </row>
    <row r="30" spans="2:48">
      <c r="B30" s="299"/>
      <c r="C30" s="202" t="s">
        <v>41</v>
      </c>
      <c r="D30" s="207">
        <f>[39]Ecarts_masses!D61</f>
        <v>0</v>
      </c>
      <c r="E30" s="196">
        <f>[39]Ecarts_masses!E61</f>
        <v>0</v>
      </c>
      <c r="F30" s="196">
        <f>[39]Ecarts_masses!F61</f>
        <v>0</v>
      </c>
      <c r="G30" s="196">
        <f>[39]Ecarts_masses!G61</f>
        <v>0</v>
      </c>
      <c r="H30" s="196">
        <f>[39]Ecarts_masses!H61</f>
        <v>0</v>
      </c>
      <c r="I30" s="196">
        <f>[39]Ecarts_masses!I61</f>
        <v>0</v>
      </c>
      <c r="J30" s="196">
        <f>[39]Ecarts_masses!J61</f>
        <v>0</v>
      </c>
      <c r="K30" s="196">
        <f>[39]Ecarts_masses!K61</f>
        <v>0</v>
      </c>
      <c r="L30" s="196">
        <f>[39]Ecarts_masses!L61</f>
        <v>0</v>
      </c>
      <c r="M30" s="196">
        <f>[39]Ecarts_masses!M61</f>
        <v>0</v>
      </c>
      <c r="N30" s="196">
        <f>[39]Ecarts_masses!N61</f>
        <v>0</v>
      </c>
      <c r="O30" s="196">
        <f>[39]Ecarts_masses!O61</f>
        <v>0</v>
      </c>
      <c r="P30" s="196">
        <f>[39]Ecarts_masses!P61</f>
        <v>0</v>
      </c>
      <c r="Q30" s="196">
        <f>[39]Ecarts_masses!Q61</f>
        <v>0</v>
      </c>
      <c r="R30" s="196">
        <f>[39]Ecarts_masses!R61</f>
        <v>2.2710201497133653E-8</v>
      </c>
      <c r="S30" s="196">
        <f>[39]Ecarts_masses!S61</f>
        <v>4.0050078808917533E-8</v>
      </c>
      <c r="T30" s="196">
        <f>[39]Ecarts_masses!T61</f>
        <v>-1.9647698135116798E-8</v>
      </c>
      <c r="U30" s="196">
        <f>[39]Ecarts_masses!U61</f>
        <v>-8.0526203816155828E-8</v>
      </c>
      <c r="V30" s="196">
        <f>[39]Ecarts_masses!V61</f>
        <v>-1.1132382959910814E-7</v>
      </c>
      <c r="W30" s="196">
        <f>[39]Ecarts_masses!W61</f>
        <v>-6.0697117110208865E-8</v>
      </c>
      <c r="X30" s="196">
        <f>[39]Ecarts_masses!X61</f>
        <v>-1.6763190989754762E-6</v>
      </c>
      <c r="Y30" s="196">
        <f>[39]Ecarts_masses!Y61</f>
        <v>-6.7706694215630137E-6</v>
      </c>
      <c r="Z30" s="196">
        <f>[39]Ecarts_masses!Z61</f>
        <v>-2.5304866170472451E-5</v>
      </c>
      <c r="AA30" s="196">
        <f>[39]Ecarts_masses!AA61</f>
        <v>-3.2665791889097129E-5</v>
      </c>
      <c r="AB30" s="196">
        <f>[39]Ecarts_masses!AB61</f>
        <v>-6.1637670447756143E-5</v>
      </c>
      <c r="AC30" s="196">
        <f>[39]Ecarts_masses!AC61</f>
        <v>-1.0837772690230896E-4</v>
      </c>
      <c r="AD30" s="196">
        <f>[39]Ecarts_masses!AD61</f>
        <v>-1.8031004680651996E-4</v>
      </c>
      <c r="AE30" s="196">
        <f>[39]Ecarts_masses!AE61</f>
        <v>-2.7575679126334851E-4</v>
      </c>
      <c r="AF30" s="196">
        <f>[39]Ecarts_masses!AF61</f>
        <v>-3.8054972581491597E-4</v>
      </c>
      <c r="AG30" s="196">
        <f>[39]Ecarts_masses!AG61</f>
        <v>-5.2215245408837596E-4</v>
      </c>
      <c r="AH30" s="196">
        <f>[39]Ecarts_masses!AH61</f>
        <v>-6.6065873633691652E-4</v>
      </c>
      <c r="AI30" s="196">
        <f>[39]Ecarts_masses!AI61</f>
        <v>-8.528145756924177E-4</v>
      </c>
      <c r="AJ30" s="196">
        <f>[39]Ecarts_masses!AJ61</f>
        <v>-1.0588182978306104E-3</v>
      </c>
      <c r="AK30" s="196">
        <f>[39]Ecarts_masses!AK61</f>
        <v>-1.2980654083494247E-3</v>
      </c>
      <c r="AL30" s="196">
        <f>[39]Ecarts_masses!AL61</f>
        <v>-1.6375227286901106E-3</v>
      </c>
      <c r="AM30" s="196">
        <f>[39]Ecarts_masses!AM61</f>
        <v>-2.0520043387937115E-3</v>
      </c>
      <c r="AN30" s="196">
        <f>[39]Ecarts_masses!AN61</f>
        <v>-2.4888596330416846E-3</v>
      </c>
      <c r="AO30" s="196">
        <f>[39]Ecarts_masses!AO61</f>
        <v>-3.0083139456827945E-3</v>
      </c>
      <c r="AP30" s="196">
        <f>[39]Ecarts_masses!AP61</f>
        <v>-3.6107417655800722E-3</v>
      </c>
      <c r="AQ30" s="196">
        <f>[39]Ecarts_masses!AQ61</f>
        <v>-4.2201287842414947E-3</v>
      </c>
      <c r="AR30" s="196">
        <f>[39]Ecarts_masses!AR61</f>
        <v>-4.6219872933587203E-3</v>
      </c>
      <c r="AS30" s="196">
        <f>[39]Ecarts_masses!AS61</f>
        <v>-5.1168853910167345E-3</v>
      </c>
      <c r="AT30" s="196">
        <f>[39]Ecarts_masses!AT61</f>
        <v>-5.6781570502391077E-3</v>
      </c>
      <c r="AU30" s="196">
        <f>[39]Ecarts_masses!AU61</f>
        <v>-6.3208902068729866E-3</v>
      </c>
      <c r="AV30" s="208">
        <f>[39]Ecarts_masses!AV61</f>
        <v>-6.7759572725738515E-3</v>
      </c>
    </row>
    <row r="31" spans="2:48">
      <c r="B31" s="299"/>
      <c r="C31" s="202" t="s">
        <v>42</v>
      </c>
      <c r="D31" s="207">
        <f>[39]Ecarts_masses!D62</f>
        <v>0</v>
      </c>
      <c r="E31" s="196">
        <f>[39]Ecarts_masses!E62</f>
        <v>0</v>
      </c>
      <c r="F31" s="196">
        <f>[39]Ecarts_masses!F62</f>
        <v>0</v>
      </c>
      <c r="G31" s="196">
        <f>[39]Ecarts_masses!G62</f>
        <v>0</v>
      </c>
      <c r="H31" s="196">
        <f>[39]Ecarts_masses!H62</f>
        <v>0</v>
      </c>
      <c r="I31" s="196">
        <f>[39]Ecarts_masses!I62</f>
        <v>0</v>
      </c>
      <c r="J31" s="196">
        <f>[39]Ecarts_masses!J62</f>
        <v>0</v>
      </c>
      <c r="K31" s="196">
        <f>[39]Ecarts_masses!K62</f>
        <v>0</v>
      </c>
      <c r="L31" s="196">
        <f>[39]Ecarts_masses!L62</f>
        <v>0</v>
      </c>
      <c r="M31" s="196">
        <f>[39]Ecarts_masses!M62</f>
        <v>0</v>
      </c>
      <c r="N31" s="196">
        <f>[39]Ecarts_masses!N62</f>
        <v>0</v>
      </c>
      <c r="O31" s="196">
        <f>[39]Ecarts_masses!O62</f>
        <v>0</v>
      </c>
      <c r="P31" s="196">
        <f>[39]Ecarts_masses!P62</f>
        <v>0</v>
      </c>
      <c r="Q31" s="196">
        <f>[39]Ecarts_masses!Q62</f>
        <v>0</v>
      </c>
      <c r="R31" s="196">
        <f>[39]Ecarts_masses!R62</f>
        <v>0</v>
      </c>
      <c r="S31" s="196">
        <f>[39]Ecarts_masses!S62</f>
        <v>0</v>
      </c>
      <c r="T31" s="196">
        <f>[39]Ecarts_masses!T62</f>
        <v>-1.2924825110172122E-7</v>
      </c>
      <c r="U31" s="196">
        <f>[39]Ecarts_masses!U62</f>
        <v>-3.7645037376243806E-7</v>
      </c>
      <c r="V31" s="196">
        <f>[39]Ecarts_masses!V62</f>
        <v>-7.0404922170030915E-7</v>
      </c>
      <c r="W31" s="196">
        <f>[39]Ecarts_masses!W62</f>
        <v>-9.7905783835727789E-7</v>
      </c>
      <c r="X31" s="196">
        <f>[39]Ecarts_masses!X62</f>
        <v>-4.0783710473224488E-6</v>
      </c>
      <c r="Y31" s="196">
        <f>[39]Ecarts_masses!Y62</f>
        <v>-1.2796885565768967E-5</v>
      </c>
      <c r="Z31" s="196">
        <f>[39]Ecarts_masses!Z62</f>
        <v>-4.1139302034531866E-5</v>
      </c>
      <c r="AA31" s="196">
        <f>[39]Ecarts_masses!AA62</f>
        <v>-5.7770034673332304E-5</v>
      </c>
      <c r="AB31" s="196">
        <f>[39]Ecarts_masses!AB62</f>
        <v>-1.0310992804407615E-4</v>
      </c>
      <c r="AC31" s="196">
        <f>[39]Ecarts_masses!AC62</f>
        <v>-1.6755203327945001E-4</v>
      </c>
      <c r="AD31" s="196">
        <f>[39]Ecarts_masses!AD62</f>
        <v>-2.5570070708091919E-4</v>
      </c>
      <c r="AE31" s="196">
        <f>[39]Ecarts_masses!AE62</f>
        <v>-3.8994192044561338E-4</v>
      </c>
      <c r="AF31" s="196">
        <f>[39]Ecarts_masses!AF62</f>
        <v>-5.7540254841836891E-4</v>
      </c>
      <c r="AG31" s="196">
        <f>[39]Ecarts_masses!AG62</f>
        <v>-7.7188588190046925E-4</v>
      </c>
      <c r="AH31" s="196">
        <f>[39]Ecarts_masses!AH62</f>
        <v>-9.6032241779997474E-4</v>
      </c>
      <c r="AI31" s="196">
        <f>[39]Ecarts_masses!AI62</f>
        <v>-1.2455624354482664E-3</v>
      </c>
      <c r="AJ31" s="196">
        <f>[39]Ecarts_masses!AJ62</f>
        <v>-1.6111297736820518E-3</v>
      </c>
      <c r="AK31" s="196">
        <f>[39]Ecarts_masses!AK62</f>
        <v>-2.0172383192700316E-3</v>
      </c>
      <c r="AL31" s="196">
        <f>[39]Ecarts_masses!AL62</f>
        <v>-2.5517663218183051E-3</v>
      </c>
      <c r="AM31" s="196">
        <f>[39]Ecarts_masses!AM62</f>
        <v>-3.2325040390384085E-3</v>
      </c>
      <c r="AN31" s="196">
        <f>[39]Ecarts_masses!AN62</f>
        <v>-3.9235435718504297E-3</v>
      </c>
      <c r="AO31" s="196">
        <f>[39]Ecarts_masses!AO62</f>
        <v>-4.7123011818349658E-3</v>
      </c>
      <c r="AP31" s="196">
        <f>[39]Ecarts_masses!AP62</f>
        <v>-5.6314034936859603E-3</v>
      </c>
      <c r="AQ31" s="196">
        <f>[39]Ecarts_masses!AQ62</f>
        <v>-6.5678470406035361E-3</v>
      </c>
      <c r="AR31" s="196">
        <f>[39]Ecarts_masses!AR62</f>
        <v>-7.1966850940623495E-3</v>
      </c>
      <c r="AS31" s="196">
        <f>[39]Ecarts_masses!AS62</f>
        <v>-8.0182363044419835E-3</v>
      </c>
      <c r="AT31" s="196">
        <f>[39]Ecarts_masses!AT62</f>
        <v>-8.975122203105701E-3</v>
      </c>
      <c r="AU31" s="196">
        <f>[39]Ecarts_masses!AU62</f>
        <v>-1.00052856350622E-2</v>
      </c>
      <c r="AV31" s="208">
        <f>[39]Ecarts_masses!AV62</f>
        <v>-1.0684712817147335E-2</v>
      </c>
    </row>
    <row r="32" spans="2:48">
      <c r="B32" s="299"/>
      <c r="C32" s="202" t="s">
        <v>3</v>
      </c>
      <c r="D32" s="207">
        <f>[39]Ecarts_masses!D63</f>
        <v>0</v>
      </c>
      <c r="E32" s="196">
        <f>[39]Ecarts_masses!E63</f>
        <v>0</v>
      </c>
      <c r="F32" s="196">
        <f>[39]Ecarts_masses!F63</f>
        <v>0</v>
      </c>
      <c r="G32" s="196">
        <f>[39]Ecarts_masses!G63</f>
        <v>0</v>
      </c>
      <c r="H32" s="196">
        <f>[39]Ecarts_masses!H63</f>
        <v>0</v>
      </c>
      <c r="I32" s="196">
        <f>[39]Ecarts_masses!I63</f>
        <v>0</v>
      </c>
      <c r="J32" s="196">
        <f>[39]Ecarts_masses!J63</f>
        <v>0</v>
      </c>
      <c r="K32" s="196">
        <f>[39]Ecarts_masses!K63</f>
        <v>0</v>
      </c>
      <c r="L32" s="196">
        <f>[39]Ecarts_masses!L63</f>
        <v>0</v>
      </c>
      <c r="M32" s="196">
        <f>[39]Ecarts_masses!M63</f>
        <v>0</v>
      </c>
      <c r="N32" s="196">
        <f>[39]Ecarts_masses!N63</f>
        <v>0</v>
      </c>
      <c r="O32" s="196">
        <f>[39]Ecarts_masses!O63</f>
        <v>0</v>
      </c>
      <c r="P32" s="196">
        <f>[39]Ecarts_masses!P63</f>
        <v>0</v>
      </c>
      <c r="Q32" s="196">
        <f>[39]Ecarts_masses!Q63</f>
        <v>0</v>
      </c>
      <c r="R32" s="196">
        <f>[39]Ecarts_masses!R63</f>
        <v>0</v>
      </c>
      <c r="S32" s="196">
        <f>[39]Ecarts_masses!S63</f>
        <v>0</v>
      </c>
      <c r="T32" s="196">
        <f>[39]Ecarts_masses!T63</f>
        <v>0</v>
      </c>
      <c r="U32" s="196">
        <f>[39]Ecarts_masses!U63</f>
        <v>0</v>
      </c>
      <c r="V32" s="196">
        <f>[39]Ecarts_masses!V63</f>
        <v>0</v>
      </c>
      <c r="W32" s="196">
        <f>[39]Ecarts_masses!W63</f>
        <v>0</v>
      </c>
      <c r="X32" s="196">
        <f>[39]Ecarts_masses!X63</f>
        <v>-1.0664746835642447E-6</v>
      </c>
      <c r="Y32" s="196">
        <f>[39]Ecarts_masses!Y63</f>
        <v>-4.7637382727394595E-6</v>
      </c>
      <c r="Z32" s="196">
        <f>[39]Ecarts_masses!Z63</f>
        <v>-2.0362056470379919E-5</v>
      </c>
      <c r="AA32" s="196">
        <f>[39]Ecarts_masses!AA63</f>
        <v>-2.5763518095578419E-5</v>
      </c>
      <c r="AB32" s="196">
        <f>[39]Ecarts_masses!AB63</f>
        <v>-4.284527167530694E-5</v>
      </c>
      <c r="AC32" s="196">
        <f>[39]Ecarts_masses!AC63</f>
        <v>-7.7722916853928403E-5</v>
      </c>
      <c r="AD32" s="196">
        <f>[39]Ecarts_masses!AD63</f>
        <v>-1.1088708061812724E-4</v>
      </c>
      <c r="AE32" s="196">
        <f>[39]Ecarts_masses!AE63</f>
        <v>-1.7342532542130584E-4</v>
      </c>
      <c r="AF32" s="196">
        <f>[39]Ecarts_masses!AF63</f>
        <v>-2.3068677555304617E-4</v>
      </c>
      <c r="AG32" s="196">
        <f>[39]Ecarts_masses!AG63</f>
        <v>-3.2798847429649225E-4</v>
      </c>
      <c r="AH32" s="196">
        <f>[39]Ecarts_masses!AH63</f>
        <v>-4.2595676538104144E-4</v>
      </c>
      <c r="AI32" s="196">
        <f>[39]Ecarts_masses!AI63</f>
        <v>-4.9530636619465884E-4</v>
      </c>
      <c r="AJ32" s="196">
        <f>[39]Ecarts_masses!AJ63</f>
        <v>-6.1226522944490824E-4</v>
      </c>
      <c r="AK32" s="196">
        <f>[39]Ecarts_masses!AK63</f>
        <v>-7.2269820408932262E-4</v>
      </c>
      <c r="AL32" s="196">
        <f>[39]Ecarts_masses!AL63</f>
        <v>-8.7707331710062952E-4</v>
      </c>
      <c r="AM32" s="196">
        <f>[39]Ecarts_masses!AM63</f>
        <v>-1.1340477896089052E-3</v>
      </c>
      <c r="AN32" s="196">
        <f>[39]Ecarts_masses!AN63</f>
        <v>-1.4077449908057593E-3</v>
      </c>
      <c r="AO32" s="196">
        <f>[39]Ecarts_masses!AO63</f>
        <v>-1.7240068561708011E-3</v>
      </c>
      <c r="AP32" s="196">
        <f>[39]Ecarts_masses!AP63</f>
        <v>-2.0733694832276717E-3</v>
      </c>
      <c r="AQ32" s="196">
        <f>[39]Ecarts_masses!AQ63</f>
        <v>-2.3304448443179915E-3</v>
      </c>
      <c r="AR32" s="196">
        <f>[39]Ecarts_masses!AR63</f>
        <v>-2.4416130127400404E-3</v>
      </c>
      <c r="AS32" s="196">
        <f>[39]Ecarts_masses!AS63</f>
        <v>-2.6102777875722794E-3</v>
      </c>
      <c r="AT32" s="196">
        <f>[39]Ecarts_masses!AT63</f>
        <v>-2.8009925325779284E-3</v>
      </c>
      <c r="AU32" s="196">
        <f>[39]Ecarts_masses!AU63</f>
        <v>-3.1383661742986346E-3</v>
      </c>
      <c r="AV32" s="208">
        <f>[39]Ecarts_masses!AV63</f>
        <v>-3.117203511421196E-3</v>
      </c>
    </row>
    <row r="33" spans="2:48">
      <c r="B33" s="299"/>
      <c r="C33" s="202" t="s">
        <v>43</v>
      </c>
      <c r="D33" s="207">
        <f>[39]Ecarts_masses!D64</f>
        <v>0</v>
      </c>
      <c r="E33" s="196">
        <f>[39]Ecarts_masses!E64</f>
        <v>0</v>
      </c>
      <c r="F33" s="196">
        <f>[39]Ecarts_masses!F64</f>
        <v>0</v>
      </c>
      <c r="G33" s="196">
        <f>[39]Ecarts_masses!G64</f>
        <v>0</v>
      </c>
      <c r="H33" s="196">
        <f>[39]Ecarts_masses!H64</f>
        <v>0</v>
      </c>
      <c r="I33" s="196">
        <f>[39]Ecarts_masses!I64</f>
        <v>0</v>
      </c>
      <c r="J33" s="196">
        <f>[39]Ecarts_masses!J64</f>
        <v>0</v>
      </c>
      <c r="K33" s="196">
        <f>[39]Ecarts_masses!K64</f>
        <v>0</v>
      </c>
      <c r="L33" s="196">
        <f>[39]Ecarts_masses!L64</f>
        <v>0</v>
      </c>
      <c r="M33" s="196">
        <f>[39]Ecarts_masses!M64</f>
        <v>0</v>
      </c>
      <c r="N33" s="196">
        <f>[39]Ecarts_masses!N64</f>
        <v>0</v>
      </c>
      <c r="O33" s="196">
        <f>[39]Ecarts_masses!O64</f>
        <v>0</v>
      </c>
      <c r="P33" s="196">
        <f>[39]Ecarts_masses!P64</f>
        <v>0</v>
      </c>
      <c r="Q33" s="196">
        <f>[39]Ecarts_masses!Q64</f>
        <v>0</v>
      </c>
      <c r="R33" s="196">
        <f>[39]Ecarts_masses!R64</f>
        <v>0</v>
      </c>
      <c r="S33" s="196">
        <f>[39]Ecarts_masses!S64</f>
        <v>0</v>
      </c>
      <c r="T33" s="196">
        <f>[39]Ecarts_masses!T64</f>
        <v>0</v>
      </c>
      <c r="U33" s="196">
        <f>[39]Ecarts_masses!U64</f>
        <v>0</v>
      </c>
      <c r="V33" s="196">
        <f>[39]Ecarts_masses!V64</f>
        <v>0</v>
      </c>
      <c r="W33" s="196">
        <f>[39]Ecarts_masses!W64</f>
        <v>-1.084548488128334E-6</v>
      </c>
      <c r="X33" s="196">
        <f>[39]Ecarts_masses!X64</f>
        <v>-3.1226153869301498E-6</v>
      </c>
      <c r="Y33" s="196">
        <f>[39]Ecarts_masses!Y64</f>
        <v>-6.863107759991216E-6</v>
      </c>
      <c r="Z33" s="196">
        <f>[39]Ecarts_masses!Z64</f>
        <v>-1.0775328106560345E-5</v>
      </c>
      <c r="AA33" s="196">
        <f>[39]Ecarts_masses!AA64</f>
        <v>-1.8597740890080594E-5</v>
      </c>
      <c r="AB33" s="196">
        <f>[39]Ecarts_masses!AB64</f>
        <v>-2.0684655640756944E-5</v>
      </c>
      <c r="AC33" s="196">
        <f>[39]Ecarts_masses!AC64</f>
        <v>-9.5654291112690082E-5</v>
      </c>
      <c r="AD33" s="196">
        <f>[39]Ecarts_masses!AD64</f>
        <v>-2.3968189228451564E-4</v>
      </c>
      <c r="AE33" s="196">
        <f>[39]Ecarts_masses!AE64</f>
        <v>-5.2955225863726696E-4</v>
      </c>
      <c r="AF33" s="196">
        <f>[39]Ecarts_masses!AF64</f>
        <v>-7.3124456659234838E-4</v>
      </c>
      <c r="AG33" s="196">
        <f>[39]Ecarts_masses!AG64</f>
        <v>-7.3272435770344035E-4</v>
      </c>
      <c r="AH33" s="196">
        <f>[39]Ecarts_masses!AH64</f>
        <v>-9.6416073252014733E-4</v>
      </c>
      <c r="AI33" s="196">
        <f>[39]Ecarts_masses!AI64</f>
        <v>-1.414305193605192E-3</v>
      </c>
      <c r="AJ33" s="196">
        <f>[39]Ecarts_masses!AJ64</f>
        <v>-1.6474085203507238E-3</v>
      </c>
      <c r="AK33" s="196">
        <f>[39]Ecarts_masses!AK64</f>
        <v>-1.7906286554292272E-3</v>
      </c>
      <c r="AL33" s="196">
        <f>[39]Ecarts_masses!AL64</f>
        <v>-2.7009169335220351E-3</v>
      </c>
      <c r="AM33" s="196">
        <f>[39]Ecarts_masses!AM64</f>
        <v>-2.8145041301701479E-3</v>
      </c>
      <c r="AN33" s="196">
        <f>[39]Ecarts_masses!AN64</f>
        <v>-3.5707049243892675E-3</v>
      </c>
      <c r="AO33" s="196">
        <f>[39]Ecarts_masses!AO64</f>
        <v>-3.9723666740616448E-3</v>
      </c>
      <c r="AP33" s="196">
        <f>[39]Ecarts_masses!AP64</f>
        <v>-4.8109059766451301E-3</v>
      </c>
      <c r="AQ33" s="196">
        <f>[39]Ecarts_masses!AQ64</f>
        <v>-6.1614298998079464E-3</v>
      </c>
      <c r="AR33" s="196">
        <f>[39]Ecarts_masses!AR64</f>
        <v>-6.9126323494866915E-3</v>
      </c>
      <c r="AS33" s="196">
        <f>[39]Ecarts_masses!AS64</f>
        <v>-8.3105552395402738E-3</v>
      </c>
      <c r="AT33" s="196">
        <f>[39]Ecarts_masses!AT64</f>
        <v>-9.779613251023056E-3</v>
      </c>
      <c r="AU33" s="196">
        <f>[39]Ecarts_masses!AU64</f>
        <v>-1.0488531046689675E-2</v>
      </c>
      <c r="AV33" s="208">
        <f>[39]Ecarts_masses!AV64</f>
        <v>-1.1227072991406684E-2</v>
      </c>
    </row>
    <row r="34" spans="2:48">
      <c r="B34" s="299"/>
      <c r="C34" s="202" t="s">
        <v>31</v>
      </c>
      <c r="D34" s="207">
        <f>[39]Ecarts_masses!D65</f>
        <v>0</v>
      </c>
      <c r="E34" s="196">
        <f>[39]Ecarts_masses!E65</f>
        <v>0</v>
      </c>
      <c r="F34" s="196">
        <f>[39]Ecarts_masses!F65</f>
        <v>0</v>
      </c>
      <c r="G34" s="196">
        <f>[39]Ecarts_masses!G65</f>
        <v>0</v>
      </c>
      <c r="H34" s="196">
        <f>[39]Ecarts_masses!H65</f>
        <v>0</v>
      </c>
      <c r="I34" s="196">
        <f>[39]Ecarts_masses!I65</f>
        <v>0</v>
      </c>
      <c r="J34" s="196">
        <f>[39]Ecarts_masses!J65</f>
        <v>0</v>
      </c>
      <c r="K34" s="196">
        <f>[39]Ecarts_masses!K65</f>
        <v>0</v>
      </c>
      <c r="L34" s="196">
        <f>[39]Ecarts_masses!L65</f>
        <v>0</v>
      </c>
      <c r="M34" s="196">
        <f>[39]Ecarts_masses!M65</f>
        <v>0</v>
      </c>
      <c r="N34" s="196">
        <f>[39]Ecarts_masses!N65</f>
        <v>0</v>
      </c>
      <c r="O34" s="196">
        <f>[39]Ecarts_masses!O65</f>
        <v>0</v>
      </c>
      <c r="P34" s="196">
        <f>[39]Ecarts_masses!P65</f>
        <v>0</v>
      </c>
      <c r="Q34" s="196">
        <f>[39]Ecarts_masses!Q65</f>
        <v>0</v>
      </c>
      <c r="R34" s="196">
        <f>[39]Ecarts_masses!R65</f>
        <v>0</v>
      </c>
      <c r="S34" s="196">
        <f>[39]Ecarts_masses!S65</f>
        <v>0</v>
      </c>
      <c r="T34" s="196">
        <f>[39]Ecarts_masses!T65</f>
        <v>0</v>
      </c>
      <c r="U34" s="196">
        <f>[39]Ecarts_masses!U65</f>
        <v>5.4011793415575937E-7</v>
      </c>
      <c r="V34" s="196">
        <f>[39]Ecarts_masses!V65</f>
        <v>1.2522194041686419E-6</v>
      </c>
      <c r="W34" s="196">
        <f>[39]Ecarts_masses!W65</f>
        <v>2.2377039843313185E-6</v>
      </c>
      <c r="X34" s="196">
        <f>[39]Ecarts_masses!X65</f>
        <v>4.2754695861457748E-6</v>
      </c>
      <c r="Y34" s="196">
        <f>[39]Ecarts_masses!Y65</f>
        <v>7.8408777139937769E-6</v>
      </c>
      <c r="Z34" s="196">
        <f>[39]Ecarts_masses!Z65</f>
        <v>1.2352161284034935E-5</v>
      </c>
      <c r="AA34" s="196">
        <f>[39]Ecarts_masses!AA65</f>
        <v>1.9510690079105331E-5</v>
      </c>
      <c r="AB34" s="196">
        <f>[39]Ecarts_masses!AB65</f>
        <v>3.1034611922331479E-5</v>
      </c>
      <c r="AC34" s="196">
        <f>[39]Ecarts_masses!AC65</f>
        <v>5.1377540646546649E-5</v>
      </c>
      <c r="AD34" s="196">
        <f>[39]Ecarts_masses!AD65</f>
        <v>7.6584377683763805E-5</v>
      </c>
      <c r="AE34" s="196">
        <f>[39]Ecarts_masses!AE65</f>
        <v>1.1567422663238958E-4</v>
      </c>
      <c r="AF34" s="196">
        <f>[39]Ecarts_masses!AF65</f>
        <v>1.7419872233759293E-4</v>
      </c>
      <c r="AG34" s="196">
        <f>[39]Ecarts_masses!AG65</f>
        <v>2.4237437751239987E-4</v>
      </c>
      <c r="AH34" s="196">
        <f>[39]Ecarts_masses!AH65</f>
        <v>3.2001854184371403E-4</v>
      </c>
      <c r="AI34" s="196">
        <f>[39]Ecarts_masses!AI65</f>
        <v>4.443519639873994E-4</v>
      </c>
      <c r="AJ34" s="196">
        <f>[39]Ecarts_masses!AJ65</f>
        <v>6.0743293612564031E-4</v>
      </c>
      <c r="AK34" s="196">
        <f>[39]Ecarts_masses!AK65</f>
        <v>8.007668994989281E-4</v>
      </c>
      <c r="AL34" s="196">
        <f>[39]Ecarts_masses!AL65</f>
        <v>1.0316945948254386E-3</v>
      </c>
      <c r="AM34" s="196">
        <f>[39]Ecarts_masses!AM65</f>
        <v>1.2498982274518067E-3</v>
      </c>
      <c r="AN34" s="196">
        <f>[39]Ecarts_masses!AN65</f>
        <v>1.5222643118091295E-3</v>
      </c>
      <c r="AO34" s="196">
        <f>[39]Ecarts_masses!AO65</f>
        <v>1.8538352804662317E-3</v>
      </c>
      <c r="AP34" s="196">
        <f>[39]Ecarts_masses!AP65</f>
        <v>2.202928152054362E-3</v>
      </c>
      <c r="AQ34" s="196">
        <f>[39]Ecarts_masses!AQ65</f>
        <v>2.6469481999882305E-3</v>
      </c>
      <c r="AR34" s="196">
        <f>[39]Ecarts_masses!AR65</f>
        <v>3.1063734508338658E-3</v>
      </c>
      <c r="AS34" s="196">
        <f>[39]Ecarts_masses!AS65</f>
        <v>3.6285631629637827E-3</v>
      </c>
      <c r="AT34" s="196">
        <f>[39]Ecarts_masses!AT65</f>
        <v>4.1421311785752035E-3</v>
      </c>
      <c r="AU34" s="196">
        <f>[39]Ecarts_masses!AU65</f>
        <v>4.668808458410556E-3</v>
      </c>
      <c r="AV34" s="208">
        <f>[39]Ecarts_masses!AV65</f>
        <v>5.1703264548501604E-3</v>
      </c>
    </row>
    <row r="35" spans="2:48">
      <c r="B35" s="299"/>
      <c r="C35" s="202" t="s">
        <v>38</v>
      </c>
      <c r="D35" s="207">
        <f>[39]Ecarts_masses!D66</f>
        <v>0</v>
      </c>
      <c r="E35" s="196">
        <f>[39]Ecarts_masses!E66</f>
        <v>0</v>
      </c>
      <c r="F35" s="196">
        <f>[39]Ecarts_masses!F66</f>
        <v>0</v>
      </c>
      <c r="G35" s="196">
        <f>[39]Ecarts_masses!G66</f>
        <v>0</v>
      </c>
      <c r="H35" s="196">
        <f>[39]Ecarts_masses!H66</f>
        <v>0</v>
      </c>
      <c r="I35" s="196">
        <f>[39]Ecarts_masses!I66</f>
        <v>0</v>
      </c>
      <c r="J35" s="196">
        <f>[39]Ecarts_masses!J66</f>
        <v>0</v>
      </c>
      <c r="K35" s="196">
        <f>[39]Ecarts_masses!K66</f>
        <v>0</v>
      </c>
      <c r="L35" s="196">
        <f>[39]Ecarts_masses!L66</f>
        <v>0</v>
      </c>
      <c r="M35" s="196">
        <f>[39]Ecarts_masses!M66</f>
        <v>0</v>
      </c>
      <c r="N35" s="196">
        <f>[39]Ecarts_masses!N66</f>
        <v>0</v>
      </c>
      <c r="O35" s="196">
        <f>[39]Ecarts_masses!O66</f>
        <v>0</v>
      </c>
      <c r="P35" s="196">
        <f>[39]Ecarts_masses!P66</f>
        <v>0</v>
      </c>
      <c r="Q35" s="196">
        <f>[39]Ecarts_masses!Q66</f>
        <v>0</v>
      </c>
      <c r="R35" s="196">
        <f>[39]Ecarts_masses!R66</f>
        <v>0</v>
      </c>
      <c r="S35" s="196">
        <f>[39]Ecarts_masses!S66</f>
        <v>0</v>
      </c>
      <c r="T35" s="196">
        <f>[39]Ecarts_masses!T66</f>
        <v>0</v>
      </c>
      <c r="U35" s="196">
        <f>[39]Ecarts_masses!U66</f>
        <v>0</v>
      </c>
      <c r="V35" s="196">
        <f>[39]Ecarts_masses!V66</f>
        <v>0</v>
      </c>
      <c r="W35" s="196">
        <f>[39]Ecarts_masses!W66</f>
        <v>0</v>
      </c>
      <c r="X35" s="196">
        <f>[39]Ecarts_masses!X66</f>
        <v>-1.3271105354650814E-6</v>
      </c>
      <c r="Y35" s="196">
        <f>[39]Ecarts_masses!Y66</f>
        <v>-5.8971828099663171E-6</v>
      </c>
      <c r="Z35" s="196">
        <f>[39]Ecarts_masses!Z66</f>
        <v>-2.9239259882740676E-5</v>
      </c>
      <c r="AA35" s="196">
        <f>[39]Ecarts_masses!AA66</f>
        <v>-8.0651660552266691E-6</v>
      </c>
      <c r="AB35" s="196">
        <f>[39]Ecarts_masses!AB66</f>
        <v>-4.1590832857263393E-5</v>
      </c>
      <c r="AC35" s="196">
        <f>[39]Ecarts_masses!AC66</f>
        <v>-1.1267038778284277E-4</v>
      </c>
      <c r="AD35" s="196">
        <f>[39]Ecarts_masses!AD66</f>
        <v>-2.9835379384268723E-4</v>
      </c>
      <c r="AE35" s="196">
        <f>[39]Ecarts_masses!AE66</f>
        <v>-2.2527418314111092E-4</v>
      </c>
      <c r="AF35" s="196">
        <f>[39]Ecarts_masses!AF66</f>
        <v>-4.4041190296184585E-4</v>
      </c>
      <c r="AG35" s="196">
        <f>[39]Ecarts_masses!AG66</f>
        <v>-5.1652151374914634E-4</v>
      </c>
      <c r="AH35" s="196">
        <f>[39]Ecarts_masses!AH66</f>
        <v>-4.6903848094426159E-4</v>
      </c>
      <c r="AI35" s="196">
        <f>[39]Ecarts_masses!AI66</f>
        <v>-7.9700848256669676E-4</v>
      </c>
      <c r="AJ35" s="196">
        <f>[39]Ecarts_masses!AJ66</f>
        <v>-9.0111874369569467E-4</v>
      </c>
      <c r="AK35" s="196">
        <f>[39]Ecarts_masses!AK66</f>
        <v>-1.2336036582065724E-3</v>
      </c>
      <c r="AL35" s="196">
        <f>[39]Ecarts_masses!AL66</f>
        <v>-1.5662414790317269E-3</v>
      </c>
      <c r="AM35" s="196">
        <f>[39]Ecarts_masses!AM66</f>
        <v>-1.9507342804583327E-3</v>
      </c>
      <c r="AN35" s="196">
        <f>[39]Ecarts_masses!AN66</f>
        <v>-2.0052752003595353E-3</v>
      </c>
      <c r="AO35" s="196">
        <f>[39]Ecarts_masses!AO66</f>
        <v>-2.219811272034411E-3</v>
      </c>
      <c r="AP35" s="196">
        <f>[39]Ecarts_masses!AP66</f>
        <v>-2.7373546636835222E-3</v>
      </c>
      <c r="AQ35" s="196">
        <f>[39]Ecarts_masses!AQ66</f>
        <v>-3.0632537776108526E-3</v>
      </c>
      <c r="AR35" s="196">
        <f>[39]Ecarts_masses!AR66</f>
        <v>-3.4425628117600304E-3</v>
      </c>
      <c r="AS35" s="196">
        <f>[39]Ecarts_masses!AS66</f>
        <v>-4.4347134851695502E-3</v>
      </c>
      <c r="AT35" s="196">
        <f>[39]Ecarts_masses!AT66</f>
        <v>-4.6107762780239758E-3</v>
      </c>
      <c r="AU35" s="196">
        <f>[39]Ecarts_masses!AU66</f>
        <v>-5.2072580848632199E-3</v>
      </c>
      <c r="AV35" s="208">
        <f>[39]Ecarts_masses!AV66</f>
        <v>-5.2026299887775185E-3</v>
      </c>
    </row>
    <row r="36" spans="2:48">
      <c r="B36" s="299"/>
      <c r="C36" s="202" t="s">
        <v>44</v>
      </c>
      <c r="D36" s="207">
        <f>[39]Ecarts_masses!D67</f>
        <v>0</v>
      </c>
      <c r="E36" s="196">
        <f>[39]Ecarts_masses!E67</f>
        <v>0</v>
      </c>
      <c r="F36" s="196">
        <f>[39]Ecarts_masses!F67</f>
        <v>0</v>
      </c>
      <c r="G36" s="196">
        <f>[39]Ecarts_masses!G67</f>
        <v>0</v>
      </c>
      <c r="H36" s="196">
        <f>[39]Ecarts_masses!H67</f>
        <v>0</v>
      </c>
      <c r="I36" s="196">
        <f>[39]Ecarts_masses!I67</f>
        <v>0</v>
      </c>
      <c r="J36" s="196">
        <f>[39]Ecarts_masses!J67</f>
        <v>0</v>
      </c>
      <c r="K36" s="196">
        <f>[39]Ecarts_masses!K67</f>
        <v>0</v>
      </c>
      <c r="L36" s="196">
        <f>[39]Ecarts_masses!L67</f>
        <v>0</v>
      </c>
      <c r="M36" s="196">
        <f>[39]Ecarts_masses!M67</f>
        <v>0</v>
      </c>
      <c r="N36" s="196">
        <f>[39]Ecarts_masses!N67</f>
        <v>0</v>
      </c>
      <c r="O36" s="196">
        <f>[39]Ecarts_masses!O67</f>
        <v>0</v>
      </c>
      <c r="P36" s="196">
        <f>[39]Ecarts_masses!P67</f>
        <v>0</v>
      </c>
      <c r="Q36" s="196">
        <f>[39]Ecarts_masses!Q67</f>
        <v>0</v>
      </c>
      <c r="R36" s="196">
        <f>[39]Ecarts_masses!R67</f>
        <v>0</v>
      </c>
      <c r="S36" s="196">
        <f>[39]Ecarts_masses!S67</f>
        <v>0</v>
      </c>
      <c r="T36" s="196">
        <f>[39]Ecarts_masses!T67</f>
        <v>0</v>
      </c>
      <c r="U36" s="196">
        <f>[39]Ecarts_masses!U67</f>
        <v>0</v>
      </c>
      <c r="V36" s="196">
        <f>[39]Ecarts_masses!V67</f>
        <v>-2.8361745951777095E-8</v>
      </c>
      <c r="W36" s="196">
        <f>[39]Ecarts_masses!W67</f>
        <v>-4.2560321600326745E-7</v>
      </c>
      <c r="X36" s="196">
        <f>[39]Ecarts_masses!X67</f>
        <v>-2.3281529556440361E-6</v>
      </c>
      <c r="Y36" s="196">
        <f>[39]Ecarts_masses!Y67</f>
        <v>-3.1914741791538859E-6</v>
      </c>
      <c r="Z36" s="196">
        <f>[39]Ecarts_masses!Z67</f>
        <v>-3.6389781706835933E-6</v>
      </c>
      <c r="AA36" s="196">
        <f>[39]Ecarts_masses!AA67</f>
        <v>-1.372007110234108E-5</v>
      </c>
      <c r="AB36" s="196">
        <f>[39]Ecarts_masses!AB67</f>
        <v>-6.4734054137094432E-5</v>
      </c>
      <c r="AC36" s="196">
        <f>[39]Ecarts_masses!AC67</f>
        <v>-9.9865173422641895E-5</v>
      </c>
      <c r="AD36" s="196">
        <f>[39]Ecarts_masses!AD67</f>
        <v>-2.0638781298554232E-4</v>
      </c>
      <c r="AE36" s="196">
        <f>[39]Ecarts_masses!AE67</f>
        <v>-2.7719315896945762E-4</v>
      </c>
      <c r="AF36" s="196">
        <f>[39]Ecarts_masses!AF67</f>
        <v>-2.3546817766639805E-4</v>
      </c>
      <c r="AG36" s="196">
        <f>[39]Ecarts_masses!AG67</f>
        <v>-5.625843727736779E-4</v>
      </c>
      <c r="AH36" s="196">
        <f>[39]Ecarts_masses!AH67</f>
        <v>-7.3844090924468642E-4</v>
      </c>
      <c r="AI36" s="196">
        <f>[39]Ecarts_masses!AI67</f>
        <v>-9.2025871250323021E-4</v>
      </c>
      <c r="AJ36" s="196">
        <f>[39]Ecarts_masses!AJ67</f>
        <v>-1.2598156283049056E-3</v>
      </c>
      <c r="AK36" s="196">
        <f>[39]Ecarts_masses!AK67</f>
        <v>-1.3732131336002817E-3</v>
      </c>
      <c r="AL36" s="196">
        <f>[39]Ecarts_masses!AL67</f>
        <v>-1.5339472632673878E-3</v>
      </c>
      <c r="AM36" s="196">
        <f>[39]Ecarts_masses!AM67</f>
        <v>-2.2689541578611028E-3</v>
      </c>
      <c r="AN36" s="196">
        <f>[39]Ecarts_masses!AN67</f>
        <v>-2.7551087693167275E-3</v>
      </c>
      <c r="AO36" s="196">
        <f>[39]Ecarts_masses!AO67</f>
        <v>-3.1285598797486935E-3</v>
      </c>
      <c r="AP36" s="196">
        <f>[39]Ecarts_masses!AP67</f>
        <v>-3.8253751148767945E-3</v>
      </c>
      <c r="AQ36" s="196">
        <f>[39]Ecarts_masses!AQ67</f>
        <v>-4.3703059032356162E-3</v>
      </c>
      <c r="AR36" s="196">
        <f>[39]Ecarts_masses!AR67</f>
        <v>-4.915040622678557E-3</v>
      </c>
      <c r="AS36" s="196">
        <f>[39]Ecarts_masses!AS67</f>
        <v>-5.0737285446632585E-3</v>
      </c>
      <c r="AT36" s="196">
        <f>[39]Ecarts_masses!AT67</f>
        <v>-5.4962190909632058E-3</v>
      </c>
      <c r="AU36" s="196">
        <f>[39]Ecarts_masses!AU67</f>
        <v>-6.4661686057235768E-3</v>
      </c>
      <c r="AV36" s="208">
        <f>[39]Ecarts_masses!AV67</f>
        <v>-7.6865168575334097E-3</v>
      </c>
    </row>
    <row r="37" spans="2:48">
      <c r="B37" s="299"/>
      <c r="C37" s="202" t="s">
        <v>5</v>
      </c>
      <c r="D37" s="207">
        <f>[39]Ecarts_masses!D68</f>
        <v>0</v>
      </c>
      <c r="E37" s="196">
        <f>[39]Ecarts_masses!E68</f>
        <v>0</v>
      </c>
      <c r="F37" s="196">
        <f>[39]Ecarts_masses!F68</f>
        <v>0</v>
      </c>
      <c r="G37" s="196">
        <f>[39]Ecarts_masses!G68</f>
        <v>0</v>
      </c>
      <c r="H37" s="196">
        <f>[39]Ecarts_masses!H68</f>
        <v>0</v>
      </c>
      <c r="I37" s="196">
        <f>[39]Ecarts_masses!I68</f>
        <v>0</v>
      </c>
      <c r="J37" s="196">
        <f>[39]Ecarts_masses!J68</f>
        <v>0</v>
      </c>
      <c r="K37" s="196">
        <f>[39]Ecarts_masses!K68</f>
        <v>0</v>
      </c>
      <c r="L37" s="196">
        <f>[39]Ecarts_masses!L68</f>
        <v>0</v>
      </c>
      <c r="M37" s="196">
        <f>[39]Ecarts_masses!M68</f>
        <v>0</v>
      </c>
      <c r="N37" s="196">
        <f>[39]Ecarts_masses!N68</f>
        <v>0</v>
      </c>
      <c r="O37" s="196">
        <f>[39]Ecarts_masses!O68</f>
        <v>0</v>
      </c>
      <c r="P37" s="196">
        <f>[39]Ecarts_masses!P68</f>
        <v>0</v>
      </c>
      <c r="Q37" s="196">
        <f>[39]Ecarts_masses!Q68</f>
        <v>0</v>
      </c>
      <c r="R37" s="196">
        <f>[39]Ecarts_masses!R68</f>
        <v>2.349996186534753E-7</v>
      </c>
      <c r="S37" s="196">
        <f>[39]Ecarts_masses!S68</f>
        <v>4.1656917737498134E-7</v>
      </c>
      <c r="T37" s="196">
        <f>[39]Ecarts_masses!T68</f>
        <v>4.6880406157079335E-7</v>
      </c>
      <c r="U37" s="196">
        <f>[39]Ecarts_masses!U68</f>
        <v>1.1374839503641709E-6</v>
      </c>
      <c r="V37" s="196">
        <f>[39]Ecarts_masses!V68</f>
        <v>2.5891358874652326E-6</v>
      </c>
      <c r="W37" s="196">
        <f>[39]Ecarts_masses!W68</f>
        <v>5.1278837926993504E-6</v>
      </c>
      <c r="X37" s="196">
        <f>[39]Ecarts_masses!X68</f>
        <v>9.2127543291908864E-6</v>
      </c>
      <c r="Y37" s="196">
        <f>[39]Ecarts_masses!Y68</f>
        <v>1.5433607974957297E-5</v>
      </c>
      <c r="Z37" s="196">
        <f>[39]Ecarts_masses!Z68</f>
        <v>3.0073104323458111E-5</v>
      </c>
      <c r="AA37" s="196">
        <f>[39]Ecarts_masses!AA68</f>
        <v>5.5453377476810672E-5</v>
      </c>
      <c r="AB37" s="196">
        <f>[39]Ecarts_masses!AB68</f>
        <v>7.6171632429566927E-5</v>
      </c>
      <c r="AC37" s="196">
        <f>[39]Ecarts_masses!AC68</f>
        <v>1.0935080482044057E-4</v>
      </c>
      <c r="AD37" s="196">
        <f>[39]Ecarts_masses!AD68</f>
        <v>1.5074087919009216E-4</v>
      </c>
      <c r="AE37" s="196">
        <f>[39]Ecarts_masses!AE68</f>
        <v>2.2722812478725984E-4</v>
      </c>
      <c r="AF37" s="196">
        <f>[39]Ecarts_masses!AF68</f>
        <v>3.2763143921710203E-4</v>
      </c>
      <c r="AG37" s="196">
        <f>[39]Ecarts_masses!AG68</f>
        <v>4.743507933178126E-4</v>
      </c>
      <c r="AH37" s="196">
        <f>[39]Ecarts_masses!AH68</f>
        <v>6.2337523982813892E-4</v>
      </c>
      <c r="AI37" s="196">
        <f>[39]Ecarts_masses!AI68</f>
        <v>7.9949414008995134E-4</v>
      </c>
      <c r="AJ37" s="196">
        <f>[39]Ecarts_masses!AJ68</f>
        <v>1.029859406777911E-3</v>
      </c>
      <c r="AK37" s="196">
        <f>[39]Ecarts_masses!AK68</f>
        <v>1.3402033727201168E-3</v>
      </c>
      <c r="AL37" s="196">
        <f>[39]Ecarts_masses!AL68</f>
        <v>1.7186568035147953E-3</v>
      </c>
      <c r="AM37" s="196">
        <f>[39]Ecarts_masses!AM68</f>
        <v>2.1756072651792913E-3</v>
      </c>
      <c r="AN37" s="196">
        <f>[39]Ecarts_masses!AN68</f>
        <v>2.6814857567349915E-3</v>
      </c>
      <c r="AO37" s="196">
        <f>[39]Ecarts_masses!AO68</f>
        <v>3.2309177427487512E-3</v>
      </c>
      <c r="AP37" s="196">
        <f>[39]Ecarts_masses!AP68</f>
        <v>3.8558351179744932E-3</v>
      </c>
      <c r="AQ37" s="196">
        <f>[39]Ecarts_masses!AQ68</f>
        <v>4.6112897442049938E-3</v>
      </c>
      <c r="AR37" s="196">
        <f>[39]Ecarts_masses!AR68</f>
        <v>5.4220368940671726E-3</v>
      </c>
      <c r="AS37" s="196">
        <f>[39]Ecarts_masses!AS68</f>
        <v>6.2987514083208129E-3</v>
      </c>
      <c r="AT37" s="196">
        <f>[39]Ecarts_masses!AT68</f>
        <v>7.3303291285824468E-3</v>
      </c>
      <c r="AU37" s="196">
        <f>[39]Ecarts_masses!AU68</f>
        <v>8.4236820575924742E-3</v>
      </c>
      <c r="AV37" s="208">
        <f>[39]Ecarts_masses!AV68</f>
        <v>9.4667578518972118E-3</v>
      </c>
    </row>
    <row r="38" spans="2:48">
      <c r="B38" s="299"/>
      <c r="C38" s="202" t="s">
        <v>45</v>
      </c>
      <c r="D38" s="207">
        <f>[39]Ecarts_masses!D69</f>
        <v>0</v>
      </c>
      <c r="E38" s="196">
        <f>[39]Ecarts_masses!E69</f>
        <v>0</v>
      </c>
      <c r="F38" s="196">
        <f>[39]Ecarts_masses!F69</f>
        <v>0</v>
      </c>
      <c r="G38" s="196">
        <f>[39]Ecarts_masses!G69</f>
        <v>0</v>
      </c>
      <c r="H38" s="196">
        <f>[39]Ecarts_masses!H69</f>
        <v>0</v>
      </c>
      <c r="I38" s="196">
        <f>[39]Ecarts_masses!I69</f>
        <v>0</v>
      </c>
      <c r="J38" s="196">
        <f>[39]Ecarts_masses!J69</f>
        <v>0</v>
      </c>
      <c r="K38" s="196">
        <f>[39]Ecarts_masses!K69</f>
        <v>0</v>
      </c>
      <c r="L38" s="196">
        <f>[39]Ecarts_masses!L69</f>
        <v>0</v>
      </c>
      <c r="M38" s="196">
        <f>[39]Ecarts_masses!M69</f>
        <v>0</v>
      </c>
      <c r="N38" s="196">
        <f>[39]Ecarts_masses!N69</f>
        <v>0</v>
      </c>
      <c r="O38" s="196">
        <f>[39]Ecarts_masses!O69</f>
        <v>0</v>
      </c>
      <c r="P38" s="196">
        <f>[39]Ecarts_masses!P69</f>
        <v>0</v>
      </c>
      <c r="Q38" s="196">
        <f>[39]Ecarts_masses!Q69</f>
        <v>0</v>
      </c>
      <c r="R38" s="196">
        <f>[39]Ecarts_masses!R69</f>
        <v>-3.5466846903808857E-8</v>
      </c>
      <c r="S38" s="196">
        <f>[39]Ecarts_masses!S69</f>
        <v>-4.2894226370826516E-7</v>
      </c>
      <c r="T38" s="196">
        <f>[39]Ecarts_masses!T69</f>
        <v>-6.381821870959925E-7</v>
      </c>
      <c r="U38" s="196">
        <f>[39]Ecarts_masses!U69</f>
        <v>-3.0136563097249436E-6</v>
      </c>
      <c r="V38" s="196">
        <f>[39]Ecarts_masses!V69</f>
        <v>-3.2629732975575365E-6</v>
      </c>
      <c r="W38" s="196">
        <f>[39]Ecarts_masses!W69</f>
        <v>-5.1859165325351952E-6</v>
      </c>
      <c r="X38" s="196">
        <f>[39]Ecarts_masses!X69</f>
        <v>-7.2298680402482773E-6</v>
      </c>
      <c r="Y38" s="196">
        <f>[39]Ecarts_masses!Y69</f>
        <v>-8.5145885696524815E-6</v>
      </c>
      <c r="Z38" s="196">
        <f>[39]Ecarts_masses!Z69</f>
        <v>-3.5981995991307691E-5</v>
      </c>
      <c r="AA38" s="196">
        <f>[39]Ecarts_masses!AA69</f>
        <v>-3.0194711784115036E-5</v>
      </c>
      <c r="AB38" s="196">
        <f>[39]Ecarts_masses!AB69</f>
        <v>-4.3696171453833088E-5</v>
      </c>
      <c r="AC38" s="196">
        <f>[39]Ecarts_masses!AC69</f>
        <v>-4.9738138114152619E-5</v>
      </c>
      <c r="AD38" s="196">
        <f>[39]Ecarts_masses!AD69</f>
        <v>-1.1165993894846071E-4</v>
      </c>
      <c r="AE38" s="196">
        <f>[39]Ecarts_masses!AE69</f>
        <v>-2.5556941298421343E-4</v>
      </c>
      <c r="AF38" s="196">
        <f>[39]Ecarts_masses!AF69</f>
        <v>-3.3961326507747636E-4</v>
      </c>
      <c r="AG38" s="196">
        <f>[39]Ecarts_masses!AG69</f>
        <v>-3.6667186782302075E-4</v>
      </c>
      <c r="AH38" s="196">
        <f>[39]Ecarts_masses!AH69</f>
        <v>-4.174117903473773E-4</v>
      </c>
      <c r="AI38" s="196">
        <f>[39]Ecarts_masses!AI69</f>
        <v>-5.1327441132831275E-4</v>
      </c>
      <c r="AJ38" s="196">
        <f>[39]Ecarts_masses!AJ69</f>
        <v>-6.3434239227710965E-4</v>
      </c>
      <c r="AK38" s="196">
        <f>[39]Ecarts_masses!AK69</f>
        <v>-7.0128105852040878E-4</v>
      </c>
      <c r="AL38" s="196">
        <f>[39]Ecarts_masses!AL69</f>
        <v>-1.1433070218225261E-3</v>
      </c>
      <c r="AM38" s="196">
        <f>[39]Ecarts_masses!AM69</f>
        <v>-1.0125977387240859E-3</v>
      </c>
      <c r="AN38" s="196">
        <f>[39]Ecarts_masses!AN69</f>
        <v>-1.3842269513770766E-3</v>
      </c>
      <c r="AO38" s="196">
        <f>[39]Ecarts_masses!AO69</f>
        <v>-1.5396457121906737E-3</v>
      </c>
      <c r="AP38" s="196">
        <f>[39]Ecarts_masses!AP69</f>
        <v>-1.5675872240845656E-3</v>
      </c>
      <c r="AQ38" s="196">
        <f>[39]Ecarts_masses!AQ69</f>
        <v>-1.9745932577617253E-3</v>
      </c>
      <c r="AR38" s="196">
        <f>[39]Ecarts_masses!AR69</f>
        <v>-2.2846677941767979E-3</v>
      </c>
      <c r="AS38" s="196">
        <f>[39]Ecarts_masses!AS69</f>
        <v>-2.5220375873755696E-3</v>
      </c>
      <c r="AT38" s="196">
        <f>[39]Ecarts_masses!AT69</f>
        <v>-3.1296059403048693E-3</v>
      </c>
      <c r="AU38" s="196">
        <f>[39]Ecarts_masses!AU69</f>
        <v>-3.019072890643959E-3</v>
      </c>
      <c r="AV38" s="208">
        <f>[39]Ecarts_masses!AV69</f>
        <v>-3.3617328243347178E-3</v>
      </c>
    </row>
    <row r="39" spans="2:48">
      <c r="B39" s="299"/>
      <c r="C39" s="202" t="s">
        <v>46</v>
      </c>
      <c r="D39" s="207">
        <f>[39]Ecarts_masses!D70</f>
        <v>0</v>
      </c>
      <c r="E39" s="196">
        <f>[39]Ecarts_masses!E70</f>
        <v>0</v>
      </c>
      <c r="F39" s="196">
        <f>[39]Ecarts_masses!F70</f>
        <v>0</v>
      </c>
      <c r="G39" s="196">
        <f>[39]Ecarts_masses!G70</f>
        <v>0</v>
      </c>
      <c r="H39" s="196">
        <f>[39]Ecarts_masses!H70</f>
        <v>0</v>
      </c>
      <c r="I39" s="196">
        <f>[39]Ecarts_masses!I70</f>
        <v>0</v>
      </c>
      <c r="J39" s="196">
        <f>[39]Ecarts_masses!J70</f>
        <v>0</v>
      </c>
      <c r="K39" s="196">
        <f>[39]Ecarts_masses!K70</f>
        <v>0</v>
      </c>
      <c r="L39" s="196">
        <f>[39]Ecarts_masses!L70</f>
        <v>0</v>
      </c>
      <c r="M39" s="196">
        <f>[39]Ecarts_masses!M70</f>
        <v>0</v>
      </c>
      <c r="N39" s="196">
        <f>[39]Ecarts_masses!N70</f>
        <v>0</v>
      </c>
      <c r="O39" s="196">
        <f>[39]Ecarts_masses!O70</f>
        <v>0</v>
      </c>
      <c r="P39" s="196">
        <f>[39]Ecarts_masses!P70</f>
        <v>0</v>
      </c>
      <c r="Q39" s="196">
        <f>[39]Ecarts_masses!Q70</f>
        <v>0</v>
      </c>
      <c r="R39" s="196">
        <f>[39]Ecarts_masses!R70</f>
        <v>0</v>
      </c>
      <c r="S39" s="196">
        <f>[39]Ecarts_masses!S70</f>
        <v>0</v>
      </c>
      <c r="T39" s="196">
        <f>[39]Ecarts_masses!T70</f>
        <v>0</v>
      </c>
      <c r="U39" s="196">
        <f>[39]Ecarts_masses!U70</f>
        <v>0</v>
      </c>
      <c r="V39" s="196">
        <f>[39]Ecarts_masses!V70</f>
        <v>0</v>
      </c>
      <c r="W39" s="196">
        <f>[39]Ecarts_masses!W70</f>
        <v>0</v>
      </c>
      <c r="X39" s="196">
        <f>[39]Ecarts_masses!X70</f>
        <v>0</v>
      </c>
      <c r="Y39" s="196">
        <f>[39]Ecarts_masses!Y70</f>
        <v>-1.8523142158999306E-6</v>
      </c>
      <c r="Z39" s="196">
        <f>[39]Ecarts_masses!Z70</f>
        <v>-2.0014290913805688E-5</v>
      </c>
      <c r="AA39" s="196">
        <f>[39]Ecarts_masses!AA70</f>
        <v>-1.208212413772447E-5</v>
      </c>
      <c r="AB39" s="196">
        <f>[39]Ecarts_masses!AB70</f>
        <v>-2.0027186216409198E-5</v>
      </c>
      <c r="AC39" s="196">
        <f>[39]Ecarts_masses!AC70</f>
        <v>-4.7626492690300282E-5</v>
      </c>
      <c r="AD39" s="196">
        <f>[39]Ecarts_masses!AD70</f>
        <v>-2.049375658459418E-4</v>
      </c>
      <c r="AE39" s="196">
        <f>[39]Ecarts_masses!AE70</f>
        <v>-3.4981890124385906E-4</v>
      </c>
      <c r="AF39" s="196">
        <f>[39]Ecarts_masses!AF70</f>
        <v>-2.8140940574572504E-4</v>
      </c>
      <c r="AG39" s="196">
        <f>[39]Ecarts_masses!AG70</f>
        <v>-4.2802557435273059E-4</v>
      </c>
      <c r="AH39" s="196">
        <f>[39]Ecarts_masses!AH70</f>
        <v>-6.2261814932695891E-4</v>
      </c>
      <c r="AI39" s="196">
        <f>[39]Ecarts_masses!AI70</f>
        <v>-7.876316733772537E-4</v>
      </c>
      <c r="AJ39" s="196">
        <f>[39]Ecarts_masses!AJ70</f>
        <v>-4.9284782233227631E-4</v>
      </c>
      <c r="AK39" s="196">
        <f>[39]Ecarts_masses!AK70</f>
        <v>-5.1744312137380621E-4</v>
      </c>
      <c r="AL39" s="196">
        <f>[39]Ecarts_masses!AL70</f>
        <v>-6.2152717136609859E-4</v>
      </c>
      <c r="AM39" s="196">
        <f>[39]Ecarts_masses!AM70</f>
        <v>-3.4500704923101644E-4</v>
      </c>
      <c r="AN39" s="196">
        <f>[39]Ecarts_masses!AN70</f>
        <v>-2.9237528075709562E-4</v>
      </c>
      <c r="AO39" s="196">
        <f>[39]Ecarts_masses!AO70</f>
        <v>-6.8854574743115737E-4</v>
      </c>
      <c r="AP39" s="196">
        <f>[39]Ecarts_masses!AP70</f>
        <v>-6.7768626142195032E-4</v>
      </c>
      <c r="AQ39" s="196">
        <f>[39]Ecarts_masses!AQ70</f>
        <v>-9.5597488896426164E-4</v>
      </c>
      <c r="AR39" s="196">
        <f>[39]Ecarts_masses!AR70</f>
        <v>-1.2541587162214762E-3</v>
      </c>
      <c r="AS39" s="196">
        <f>[39]Ecarts_masses!AS70</f>
        <v>-1.1042362442372777E-3</v>
      </c>
      <c r="AT39" s="196">
        <f>[39]Ecarts_masses!AT70</f>
        <v>-9.8163703870468577E-4</v>
      </c>
      <c r="AU39" s="196">
        <f>[39]Ecarts_masses!AU70</f>
        <v>-8.2731960220339129E-4</v>
      </c>
      <c r="AV39" s="208">
        <f>[39]Ecarts_masses!AV70</f>
        <v>-1.6625457706134217E-3</v>
      </c>
    </row>
    <row r="40" spans="2:48" ht="15" thickBot="1">
      <c r="B40" s="300"/>
      <c r="C40" s="203" t="s">
        <v>39</v>
      </c>
      <c r="D40" s="209">
        <f>[39]Ecarts_masses!D71</f>
        <v>0</v>
      </c>
      <c r="E40" s="210">
        <f>[39]Ecarts_masses!E71</f>
        <v>0</v>
      </c>
      <c r="F40" s="210">
        <f>[39]Ecarts_masses!F71</f>
        <v>0</v>
      </c>
      <c r="G40" s="210">
        <f>[39]Ecarts_masses!G71</f>
        <v>0</v>
      </c>
      <c r="H40" s="210">
        <f>[39]Ecarts_masses!H71</f>
        <v>0</v>
      </c>
      <c r="I40" s="210">
        <f>[39]Ecarts_masses!I71</f>
        <v>0</v>
      </c>
      <c r="J40" s="210">
        <f>[39]Ecarts_masses!J71</f>
        <v>0</v>
      </c>
      <c r="K40" s="210">
        <f>[39]Ecarts_masses!K71</f>
        <v>0</v>
      </c>
      <c r="L40" s="210">
        <f>[39]Ecarts_masses!L71</f>
        <v>0</v>
      </c>
      <c r="M40" s="210">
        <f>[39]Ecarts_masses!M71</f>
        <v>0</v>
      </c>
      <c r="N40" s="210">
        <f>[39]Ecarts_masses!N71</f>
        <v>0</v>
      </c>
      <c r="O40" s="210">
        <f>[39]Ecarts_masses!O71</f>
        <v>0</v>
      </c>
      <c r="P40" s="210">
        <f>[39]Ecarts_masses!P71</f>
        <v>0</v>
      </c>
      <c r="Q40" s="210">
        <f>[39]Ecarts_masses!Q71</f>
        <v>0</v>
      </c>
      <c r="R40" s="210">
        <f>[39]Ecarts_masses!R71</f>
        <v>0</v>
      </c>
      <c r="S40" s="210">
        <f>[39]Ecarts_masses!S71</f>
        <v>0</v>
      </c>
      <c r="T40" s="210">
        <f>[39]Ecarts_masses!T71</f>
        <v>0</v>
      </c>
      <c r="U40" s="210">
        <f>[39]Ecarts_masses!U71</f>
        <v>0</v>
      </c>
      <c r="V40" s="210">
        <f>[39]Ecarts_masses!V71</f>
        <v>0</v>
      </c>
      <c r="W40" s="210">
        <f>[39]Ecarts_masses!W71</f>
        <v>0</v>
      </c>
      <c r="X40" s="210">
        <f>[39]Ecarts_masses!X71</f>
        <v>0</v>
      </c>
      <c r="Y40" s="210">
        <f>[39]Ecarts_masses!Y71</f>
        <v>0</v>
      </c>
      <c r="Z40" s="210">
        <f>[39]Ecarts_masses!Z71</f>
        <v>0</v>
      </c>
      <c r="AA40" s="210">
        <f>[39]Ecarts_masses!AA71</f>
        <v>1.3087996153515746E-7</v>
      </c>
      <c r="AB40" s="210">
        <f>[39]Ecarts_masses!AB71</f>
        <v>2.3972771368008239E-7</v>
      </c>
      <c r="AC40" s="210">
        <f>[39]Ecarts_masses!AC71</f>
        <v>4.0604662920884493E-7</v>
      </c>
      <c r="AD40" s="210">
        <f>[39]Ecarts_masses!AD71</f>
        <v>4.9723238371157663E-7</v>
      </c>
      <c r="AE40" s="210">
        <f>[39]Ecarts_masses!AE71</f>
        <v>1.5416599368212047E-6</v>
      </c>
      <c r="AF40" s="210">
        <f>[39]Ecarts_masses!AF71</f>
        <v>7.1204256204548955E-6</v>
      </c>
      <c r="AG40" s="210">
        <f>[39]Ecarts_masses!AG71</f>
        <v>3.1053438061867666E-5</v>
      </c>
      <c r="AH40" s="210">
        <f>[39]Ecarts_masses!AH71</f>
        <v>3.293094386735973E-5</v>
      </c>
      <c r="AI40" s="210">
        <f>[39]Ecarts_masses!AI71</f>
        <v>4.3097759875321273E-5</v>
      </c>
      <c r="AJ40" s="210">
        <f>[39]Ecarts_masses!AJ71</f>
        <v>5.6147549196250424E-5</v>
      </c>
      <c r="AK40" s="210">
        <f>[39]Ecarts_masses!AK71</f>
        <v>7.6052522121949906E-5</v>
      </c>
      <c r="AL40" s="210">
        <f>[39]Ecarts_masses!AL71</f>
        <v>1.0870839466825544E-4</v>
      </c>
      <c r="AM40" s="210">
        <f>[39]Ecarts_masses!AM71</f>
        <v>1.2855897201458077E-4</v>
      </c>
      <c r="AN40" s="210">
        <f>[39]Ecarts_masses!AN71</f>
        <v>1.4934624853402134E-4</v>
      </c>
      <c r="AO40" s="210">
        <f>[39]Ecarts_masses!AO71</f>
        <v>1.7670842426675826E-4</v>
      </c>
      <c r="AP40" s="210">
        <f>[39]Ecarts_masses!AP71</f>
        <v>2.1024133206148932E-4</v>
      </c>
      <c r="AQ40" s="210">
        <f>[39]Ecarts_masses!AQ71</f>
        <v>2.4079753458794428E-4</v>
      </c>
      <c r="AR40" s="210">
        <f>[39]Ecarts_masses!AR71</f>
        <v>2.7861714018673212E-4</v>
      </c>
      <c r="AS40" s="210">
        <f>[39]Ecarts_masses!AS71</f>
        <v>3.3884203699563464E-4</v>
      </c>
      <c r="AT40" s="210">
        <f>[39]Ecarts_masses!AT71</f>
        <v>4.0301402242937101E-4</v>
      </c>
      <c r="AU40" s="210">
        <f>[39]Ecarts_masses!AU71</f>
        <v>4.4655543780747209E-4</v>
      </c>
      <c r="AV40" s="211">
        <f>[39]Ecarts_masses!AV71</f>
        <v>5.0528130350357969E-4</v>
      </c>
    </row>
    <row r="41" spans="2:48">
      <c r="B41" s="298" t="s">
        <v>49</v>
      </c>
      <c r="C41" s="201" t="s">
        <v>40</v>
      </c>
      <c r="D41" s="204">
        <f>[40]Ecarts_masses!D60</f>
        <v>1.4144766231183326E-5</v>
      </c>
      <c r="E41" s="205">
        <f>[40]Ecarts_masses!E60</f>
        <v>4.0774325415826596E-5</v>
      </c>
      <c r="F41" s="205">
        <f>[40]Ecarts_masses!F60</f>
        <v>6.0290018304653969E-5</v>
      </c>
      <c r="G41" s="205">
        <f>[40]Ecarts_masses!G60</f>
        <v>8.6565986429976149E-5</v>
      </c>
      <c r="H41" s="205">
        <f>[40]Ecarts_masses!H60</f>
        <v>1.1404895591571318E-4</v>
      </c>
      <c r="I41" s="205">
        <f>[40]Ecarts_masses!I60</f>
        <v>1.4693507647889348E-4</v>
      </c>
      <c r="J41" s="205">
        <f>[40]Ecarts_masses!J60</f>
        <v>1.8204685343636839E-4</v>
      </c>
      <c r="K41" s="205">
        <f>[40]Ecarts_masses!K60</f>
        <v>2.1370934041020639E-4</v>
      </c>
      <c r="L41" s="205">
        <f>[40]Ecarts_masses!L60</f>
        <v>2.4473869422370065E-4</v>
      </c>
      <c r="M41" s="205">
        <f>[40]Ecarts_masses!M60</f>
        <v>2.7257925905521674E-4</v>
      </c>
      <c r="N41" s="205">
        <f>[40]Ecarts_masses!N60</f>
        <v>2.9731393567877795E-4</v>
      </c>
      <c r="O41" s="205">
        <f>[40]Ecarts_masses!O60</f>
        <v>3.2585045116251266E-4</v>
      </c>
      <c r="P41" s="205">
        <f>[40]Ecarts_masses!P60</f>
        <v>3.5424380197057737E-4</v>
      </c>
      <c r="Q41" s="205">
        <f>[40]Ecarts_masses!Q60</f>
        <v>3.8188536035899112E-4</v>
      </c>
      <c r="R41" s="205">
        <f>[40]Ecarts_masses!R60</f>
        <v>4.0812111791410643E-4</v>
      </c>
      <c r="S41" s="205">
        <f>[40]Ecarts_masses!S60</f>
        <v>4.281391381479871E-4</v>
      </c>
      <c r="T41" s="205">
        <f>[40]Ecarts_masses!T60</f>
        <v>4.4634352693018187E-4</v>
      </c>
      <c r="U41" s="205">
        <f>[40]Ecarts_masses!U60</f>
        <v>4.6433067514262127E-4</v>
      </c>
      <c r="V41" s="205">
        <f>[40]Ecarts_masses!V60</f>
        <v>4.8553239213999788E-4</v>
      </c>
      <c r="W41" s="205">
        <f>[40]Ecarts_masses!W60</f>
        <v>5.0322445902195589E-4</v>
      </c>
      <c r="X41" s="205">
        <f>[40]Ecarts_masses!X60</f>
        <v>5.1470702360556508E-4</v>
      </c>
      <c r="Y41" s="205">
        <f>[40]Ecarts_masses!Y60</f>
        <v>5.3039271951993427E-4</v>
      </c>
      <c r="Z41" s="205">
        <f>[40]Ecarts_masses!Z60</f>
        <v>5.364765234678881E-4</v>
      </c>
      <c r="AA41" s="205">
        <f>[40]Ecarts_masses!AA60</f>
        <v>5.4209687796413775E-4</v>
      </c>
      <c r="AB41" s="205">
        <f>[40]Ecarts_masses!AB60</f>
        <v>5.4910296418930749E-4</v>
      </c>
      <c r="AC41" s="205">
        <f>[40]Ecarts_masses!AC60</f>
        <v>5.4940441927353589E-4</v>
      </c>
      <c r="AD41" s="205">
        <f>[40]Ecarts_masses!AD60</f>
        <v>5.444431718173437E-4</v>
      </c>
      <c r="AE41" s="205">
        <f>[40]Ecarts_masses!AE60</f>
        <v>5.3826342401053218E-4</v>
      </c>
      <c r="AF41" s="205">
        <f>[40]Ecarts_masses!AF60</f>
        <v>5.334346814229729E-4</v>
      </c>
      <c r="AG41" s="205">
        <f>[40]Ecarts_masses!AG60</f>
        <v>5.2517124240525348E-4</v>
      </c>
      <c r="AH41" s="205">
        <f>[40]Ecarts_masses!AH60</f>
        <v>5.19723620449275E-4</v>
      </c>
      <c r="AI41" s="205">
        <f>[40]Ecarts_masses!AI60</f>
        <v>5.1316083706365312E-4</v>
      </c>
      <c r="AJ41" s="205">
        <f>[40]Ecarts_masses!AJ60</f>
        <v>4.9978458662724989E-4</v>
      </c>
      <c r="AK41" s="205">
        <f>[40]Ecarts_masses!AK60</f>
        <v>4.8348596972380697E-4</v>
      </c>
      <c r="AL41" s="205">
        <f>[40]Ecarts_masses!AL60</f>
        <v>4.6380617316410522E-4</v>
      </c>
      <c r="AM41" s="205">
        <f>[40]Ecarts_masses!AM60</f>
        <v>4.4539336021509612E-4</v>
      </c>
      <c r="AN41" s="205">
        <f>[40]Ecarts_masses!AN60</f>
        <v>4.2832812132709286E-4</v>
      </c>
      <c r="AO41" s="205">
        <f>[40]Ecarts_masses!AO60</f>
        <v>4.07826457704763E-4</v>
      </c>
      <c r="AP41" s="205">
        <f>[40]Ecarts_masses!AP60</f>
        <v>3.863135498984871E-4</v>
      </c>
      <c r="AQ41" s="205">
        <f>[40]Ecarts_masses!AQ60</f>
        <v>3.6138887843417677E-4</v>
      </c>
      <c r="AR41" s="205">
        <f>[40]Ecarts_masses!AR60</f>
        <v>3.3490770973676476E-4</v>
      </c>
      <c r="AS41" s="205">
        <f>[40]Ecarts_masses!AS60</f>
        <v>3.102651006823276E-4</v>
      </c>
      <c r="AT41" s="205">
        <f>[40]Ecarts_masses!AT60</f>
        <v>2.8236343893905946E-4</v>
      </c>
      <c r="AU41" s="205">
        <f>[40]Ecarts_masses!AU60</f>
        <v>2.56263934941936E-4</v>
      </c>
      <c r="AV41" s="206">
        <f>[40]Ecarts_masses!AV60</f>
        <v>2.3081063939511814E-4</v>
      </c>
    </row>
    <row r="42" spans="2:48">
      <c r="B42" s="299"/>
      <c r="C42" s="202" t="s">
        <v>41</v>
      </c>
      <c r="D42" s="207">
        <f>[40]Ecarts_masses!D61</f>
        <v>3.019056182074209E-5</v>
      </c>
      <c r="E42" s="196">
        <f>[40]Ecarts_masses!E61</f>
        <v>7.7530080339505147E-5</v>
      </c>
      <c r="F42" s="196">
        <f>[40]Ecarts_masses!F61</f>
        <v>1.1831988782007308E-4</v>
      </c>
      <c r="G42" s="196">
        <f>[40]Ecarts_masses!G61</f>
        <v>1.6860909131133361E-4</v>
      </c>
      <c r="H42" s="196">
        <f>[40]Ecarts_masses!H61</f>
        <v>2.1729058635355791E-4</v>
      </c>
      <c r="I42" s="196">
        <f>[40]Ecarts_masses!I61</f>
        <v>2.6837729128792454E-4</v>
      </c>
      <c r="J42" s="196">
        <f>[40]Ecarts_masses!J61</f>
        <v>3.1918657177598675E-4</v>
      </c>
      <c r="K42" s="196">
        <f>[40]Ecarts_masses!K61</f>
        <v>3.6471628245804411E-4</v>
      </c>
      <c r="L42" s="196">
        <f>[40]Ecarts_masses!L61</f>
        <v>4.1087686517093935E-4</v>
      </c>
      <c r="M42" s="196">
        <f>[40]Ecarts_masses!M61</f>
        <v>4.5367013722441563E-4</v>
      </c>
      <c r="N42" s="196">
        <f>[40]Ecarts_masses!N61</f>
        <v>4.9310861351603563E-4</v>
      </c>
      <c r="O42" s="196">
        <f>[40]Ecarts_masses!O61</f>
        <v>5.3704377340224596E-4</v>
      </c>
      <c r="P42" s="196">
        <f>[40]Ecarts_masses!P61</f>
        <v>5.7800182586453808E-4</v>
      </c>
      <c r="Q42" s="196">
        <f>[40]Ecarts_masses!Q61</f>
        <v>6.1662455648558989E-4</v>
      </c>
      <c r="R42" s="196">
        <f>[40]Ecarts_masses!R61</f>
        <v>6.5582527265450885E-4</v>
      </c>
      <c r="S42" s="196">
        <f>[40]Ecarts_masses!S61</f>
        <v>6.8881466988268691E-4</v>
      </c>
      <c r="T42" s="196">
        <f>[40]Ecarts_masses!T61</f>
        <v>7.1837859303069962E-4</v>
      </c>
      <c r="U42" s="196">
        <f>[40]Ecarts_masses!U61</f>
        <v>7.4844754183267526E-4</v>
      </c>
      <c r="V42" s="196">
        <f>[40]Ecarts_masses!V61</f>
        <v>7.7661146791840885E-4</v>
      </c>
      <c r="W42" s="196">
        <f>[40]Ecarts_masses!W61</f>
        <v>8.0235691062613412E-4</v>
      </c>
      <c r="X42" s="196">
        <f>[40]Ecarts_masses!X61</f>
        <v>8.2237569350218642E-4</v>
      </c>
      <c r="Y42" s="196">
        <f>[40]Ecarts_masses!Y61</f>
        <v>8.4430877716301644E-4</v>
      </c>
      <c r="Z42" s="196">
        <f>[40]Ecarts_masses!Z61</f>
        <v>8.5659630744605586E-4</v>
      </c>
      <c r="AA42" s="196">
        <f>[40]Ecarts_masses!AA61</f>
        <v>8.655332796640991E-4</v>
      </c>
      <c r="AB42" s="196">
        <f>[40]Ecarts_masses!AB61</f>
        <v>8.743266500725877E-4</v>
      </c>
      <c r="AC42" s="196">
        <f>[40]Ecarts_masses!AC61</f>
        <v>8.7673096165108433E-4</v>
      </c>
      <c r="AD42" s="196">
        <f>[40]Ecarts_masses!AD61</f>
        <v>8.7221819277671919E-4</v>
      </c>
      <c r="AE42" s="196">
        <f>[40]Ecarts_masses!AE61</f>
        <v>8.6456269926382667E-4</v>
      </c>
      <c r="AF42" s="196">
        <f>[40]Ecarts_masses!AF61</f>
        <v>8.5483531923102873E-4</v>
      </c>
      <c r="AG42" s="196">
        <f>[40]Ecarts_masses!AG61</f>
        <v>8.4147149976310232E-4</v>
      </c>
      <c r="AH42" s="196">
        <f>[40]Ecarts_masses!AH61</f>
        <v>8.3021553096074285E-4</v>
      </c>
      <c r="AI42" s="196">
        <f>[40]Ecarts_masses!AI61</f>
        <v>8.2069816216656655E-4</v>
      </c>
      <c r="AJ42" s="196">
        <f>[40]Ecarts_masses!AJ61</f>
        <v>8.0674851757933652E-4</v>
      </c>
      <c r="AK42" s="196">
        <f>[40]Ecarts_masses!AK61</f>
        <v>7.8932155157396267E-4</v>
      </c>
      <c r="AL42" s="196">
        <f>[40]Ecarts_masses!AL61</f>
        <v>7.671153325756741E-4</v>
      </c>
      <c r="AM42" s="196">
        <f>[40]Ecarts_masses!AM61</f>
        <v>7.4434528539346623E-4</v>
      </c>
      <c r="AN42" s="196">
        <f>[40]Ecarts_masses!AN61</f>
        <v>7.2253996147475519E-4</v>
      </c>
      <c r="AO42" s="196">
        <f>[40]Ecarts_masses!AO61</f>
        <v>6.9993750574925961E-4</v>
      </c>
      <c r="AP42" s="196">
        <f>[40]Ecarts_masses!AP61</f>
        <v>6.7261535074836232E-4</v>
      </c>
      <c r="AQ42" s="196">
        <f>[40]Ecarts_masses!AQ61</f>
        <v>6.4550762082427049E-4</v>
      </c>
      <c r="AR42" s="196">
        <f>[40]Ecarts_masses!AR61</f>
        <v>6.1498444838736788E-4</v>
      </c>
      <c r="AS42" s="196">
        <f>[40]Ecarts_masses!AS61</f>
        <v>5.842520722365574E-4</v>
      </c>
      <c r="AT42" s="196">
        <f>[40]Ecarts_masses!AT61</f>
        <v>5.5158560036150384E-4</v>
      </c>
      <c r="AU42" s="196">
        <f>[40]Ecarts_masses!AU61</f>
        <v>5.1915187663054141E-4</v>
      </c>
      <c r="AV42" s="208">
        <f>[40]Ecarts_masses!AV61</f>
        <v>4.8926542417615515E-4</v>
      </c>
    </row>
    <row r="43" spans="2:48">
      <c r="B43" s="299"/>
      <c r="C43" s="202" t="s">
        <v>42</v>
      </c>
      <c r="D43" s="207">
        <f>[40]Ecarts_masses!D62</f>
        <v>0</v>
      </c>
      <c r="E43" s="196">
        <f>[40]Ecarts_masses!E62</f>
        <v>0</v>
      </c>
      <c r="F43" s="196">
        <f>[40]Ecarts_masses!F62</f>
        <v>0</v>
      </c>
      <c r="G43" s="196">
        <f>[40]Ecarts_masses!G62</f>
        <v>0</v>
      </c>
      <c r="H43" s="196">
        <f>[40]Ecarts_masses!H62</f>
        <v>0</v>
      </c>
      <c r="I43" s="196">
        <f>[40]Ecarts_masses!I62</f>
        <v>0</v>
      </c>
      <c r="J43" s="196">
        <f>[40]Ecarts_masses!J62</f>
        <v>0</v>
      </c>
      <c r="K43" s="196">
        <f>[40]Ecarts_masses!K62</f>
        <v>0</v>
      </c>
      <c r="L43" s="196">
        <f>[40]Ecarts_masses!L62</f>
        <v>5.3290705182007514E-15</v>
      </c>
      <c r="M43" s="196">
        <f>[40]Ecarts_masses!M62</f>
        <v>0</v>
      </c>
      <c r="N43" s="196">
        <f>[40]Ecarts_masses!N62</f>
        <v>0</v>
      </c>
      <c r="O43" s="196">
        <f>[40]Ecarts_masses!O62</f>
        <v>-4.7739590058881731E-15</v>
      </c>
      <c r="P43" s="196">
        <f>[40]Ecarts_masses!P62</f>
        <v>0</v>
      </c>
      <c r="Q43" s="196">
        <f>[40]Ecarts_masses!Q62</f>
        <v>0</v>
      </c>
      <c r="R43" s="196">
        <f>[40]Ecarts_masses!R62</f>
        <v>0</v>
      </c>
      <c r="S43" s="196">
        <f>[40]Ecarts_masses!S62</f>
        <v>0</v>
      </c>
      <c r="T43" s="196">
        <f>[40]Ecarts_masses!T62</f>
        <v>0</v>
      </c>
      <c r="U43" s="196">
        <f>[40]Ecarts_masses!U62</f>
        <v>0</v>
      </c>
      <c r="V43" s="196">
        <f>[40]Ecarts_masses!V62</f>
        <v>0</v>
      </c>
      <c r="W43" s="196">
        <f>[40]Ecarts_masses!W62</f>
        <v>0</v>
      </c>
      <c r="X43" s="196">
        <f>[40]Ecarts_masses!X62</f>
        <v>0</v>
      </c>
      <c r="Y43" s="196">
        <f>[40]Ecarts_masses!Y62</f>
        <v>0</v>
      </c>
      <c r="Z43" s="196">
        <f>[40]Ecarts_masses!Z62</f>
        <v>0</v>
      </c>
      <c r="AA43" s="196">
        <f>[40]Ecarts_masses!AA62</f>
        <v>3.3306690738754696E-15</v>
      </c>
      <c r="AB43" s="196">
        <f>[40]Ecarts_masses!AB62</f>
        <v>0</v>
      </c>
      <c r="AC43" s="196">
        <f>[40]Ecarts_masses!AC62</f>
        <v>0</v>
      </c>
      <c r="AD43" s="196">
        <f>[40]Ecarts_masses!AD62</f>
        <v>0</v>
      </c>
      <c r="AE43" s="196">
        <f>[40]Ecarts_masses!AE62</f>
        <v>0</v>
      </c>
      <c r="AF43" s="196">
        <f>[40]Ecarts_masses!AF62</f>
        <v>0</v>
      </c>
      <c r="AG43" s="196">
        <f>[40]Ecarts_masses!AG62</f>
        <v>2.886579864025407E-15</v>
      </c>
      <c r="AH43" s="196">
        <f>[40]Ecarts_masses!AH62</f>
        <v>0</v>
      </c>
      <c r="AI43" s="196">
        <f>[40]Ecarts_masses!AI62</f>
        <v>0</v>
      </c>
      <c r="AJ43" s="196">
        <f>[40]Ecarts_masses!AJ62</f>
        <v>0</v>
      </c>
      <c r="AK43" s="196">
        <f>[40]Ecarts_masses!AK62</f>
        <v>0</v>
      </c>
      <c r="AL43" s="196">
        <f>[40]Ecarts_masses!AL62</f>
        <v>0</v>
      </c>
      <c r="AM43" s="196">
        <f>[40]Ecarts_masses!AM62</f>
        <v>0</v>
      </c>
      <c r="AN43" s="196">
        <f>[40]Ecarts_masses!AN62</f>
        <v>0</v>
      </c>
      <c r="AO43" s="196">
        <f>[40]Ecarts_masses!AO62</f>
        <v>0</v>
      </c>
      <c r="AP43" s="196">
        <f>[40]Ecarts_masses!AP62</f>
        <v>0</v>
      </c>
      <c r="AQ43" s="196">
        <f>[40]Ecarts_masses!AQ62</f>
        <v>0</v>
      </c>
      <c r="AR43" s="196">
        <f>[40]Ecarts_masses!AR62</f>
        <v>0</v>
      </c>
      <c r="AS43" s="196">
        <f>[40]Ecarts_masses!AS62</f>
        <v>0</v>
      </c>
      <c r="AT43" s="196">
        <f>[40]Ecarts_masses!AT62</f>
        <v>0</v>
      </c>
      <c r="AU43" s="196">
        <f>[40]Ecarts_masses!AU62</f>
        <v>0</v>
      </c>
      <c r="AV43" s="208">
        <f>[40]Ecarts_masses!AV62</f>
        <v>0</v>
      </c>
    </row>
    <row r="44" spans="2:48">
      <c r="B44" s="299"/>
      <c r="C44" s="202" t="s">
        <v>3</v>
      </c>
      <c r="D44" s="207">
        <f>[40]Ecarts_masses!D63</f>
        <v>8.8436164249250382E-5</v>
      </c>
      <c r="E44" s="196">
        <f>[40]Ecarts_masses!E63</f>
        <v>2.2156624999913888E-4</v>
      </c>
      <c r="F44" s="196">
        <f>[40]Ecarts_masses!F63</f>
        <v>3.6112386907594107E-4</v>
      </c>
      <c r="G44" s="196">
        <f>[40]Ecarts_masses!G63</f>
        <v>5.1087975473884661E-4</v>
      </c>
      <c r="H44" s="196">
        <f>[40]Ecarts_masses!H63</f>
        <v>6.595777869438102E-4</v>
      </c>
      <c r="I44" s="196">
        <f>[40]Ecarts_masses!I63</f>
        <v>8.1885520384150645E-4</v>
      </c>
      <c r="J44" s="196">
        <f>[40]Ecarts_masses!J63</f>
        <v>9.6955195707337793E-4</v>
      </c>
      <c r="K44" s="196">
        <f>[40]Ecarts_masses!K63</f>
        <v>1.1114587563072487E-3</v>
      </c>
      <c r="L44" s="196">
        <f>[40]Ecarts_masses!L63</f>
        <v>1.2589597527112861E-3</v>
      </c>
      <c r="M44" s="196">
        <f>[40]Ecarts_masses!M63</f>
        <v>1.4029698199087282E-3</v>
      </c>
      <c r="N44" s="196">
        <f>[40]Ecarts_masses!N63</f>
        <v>1.5382700805521843E-3</v>
      </c>
      <c r="O44" s="196">
        <f>[40]Ecarts_masses!O63</f>
        <v>1.6683441549316669E-3</v>
      </c>
      <c r="P44" s="196">
        <f>[40]Ecarts_masses!P63</f>
        <v>1.7955951422912175E-3</v>
      </c>
      <c r="Q44" s="196">
        <f>[40]Ecarts_masses!Q63</f>
        <v>1.9139106002852291E-3</v>
      </c>
      <c r="R44" s="196">
        <f>[40]Ecarts_masses!R63</f>
        <v>2.0368070412113415E-3</v>
      </c>
      <c r="S44" s="196">
        <f>[40]Ecarts_masses!S63</f>
        <v>2.143905180538086E-3</v>
      </c>
      <c r="T44" s="196">
        <f>[40]Ecarts_masses!T63</f>
        <v>2.2432060107127061E-3</v>
      </c>
      <c r="U44" s="196">
        <f>[40]Ecarts_masses!U63</f>
        <v>2.3398224299604475E-3</v>
      </c>
      <c r="V44" s="196">
        <f>[40]Ecarts_masses!V63</f>
        <v>2.4312106283603807E-3</v>
      </c>
      <c r="W44" s="196">
        <f>[40]Ecarts_masses!W63</f>
        <v>2.5036506802482705E-3</v>
      </c>
      <c r="X44" s="196">
        <f>[40]Ecarts_masses!X63</f>
        <v>2.5517497712121973E-3</v>
      </c>
      <c r="Y44" s="196">
        <f>[40]Ecarts_masses!Y63</f>
        <v>2.5948551667320796E-3</v>
      </c>
      <c r="Z44" s="196">
        <f>[40]Ecarts_masses!Z63</f>
        <v>2.618536012086059E-3</v>
      </c>
      <c r="AA44" s="196">
        <f>[40]Ecarts_masses!AA63</f>
        <v>2.6316143774895995E-3</v>
      </c>
      <c r="AB44" s="196">
        <f>[40]Ecarts_masses!AB63</f>
        <v>2.6218285796919538E-3</v>
      </c>
      <c r="AC44" s="196">
        <f>[40]Ecarts_masses!AC63</f>
        <v>2.603875134774114E-3</v>
      </c>
      <c r="AD44" s="196">
        <f>[40]Ecarts_masses!AD63</f>
        <v>2.5647690943262358E-3</v>
      </c>
      <c r="AE44" s="196">
        <f>[40]Ecarts_masses!AE63</f>
        <v>2.5174053170162747E-3</v>
      </c>
      <c r="AF44" s="196">
        <f>[40]Ecarts_masses!AF63</f>
        <v>2.4598852747406141E-3</v>
      </c>
      <c r="AG44" s="196">
        <f>[40]Ecarts_masses!AG63</f>
        <v>2.3930457330518795E-3</v>
      </c>
      <c r="AH44" s="196">
        <f>[40]Ecarts_masses!AH63</f>
        <v>2.3245480265379204E-3</v>
      </c>
      <c r="AI44" s="196">
        <f>[40]Ecarts_masses!AI63</f>
        <v>2.2376897729430301E-3</v>
      </c>
      <c r="AJ44" s="196">
        <f>[40]Ecarts_masses!AJ63</f>
        <v>2.1483159573205679E-3</v>
      </c>
      <c r="AK44" s="196">
        <f>[40]Ecarts_masses!AK63</f>
        <v>2.0517856318329475E-3</v>
      </c>
      <c r="AL44" s="196">
        <f>[40]Ecarts_masses!AL63</f>
        <v>1.9498200421483869E-3</v>
      </c>
      <c r="AM44" s="196">
        <f>[40]Ecarts_masses!AM63</f>
        <v>1.8430107301794507E-3</v>
      </c>
      <c r="AN44" s="196">
        <f>[40]Ecarts_masses!AN63</f>
        <v>1.7318234010799127E-3</v>
      </c>
      <c r="AO44" s="196">
        <f>[40]Ecarts_masses!AO63</f>
        <v>1.623318879193647E-3</v>
      </c>
      <c r="AP44" s="196">
        <f>[40]Ecarts_masses!AP63</f>
        <v>1.5100651614463612E-3</v>
      </c>
      <c r="AQ44" s="196">
        <f>[40]Ecarts_masses!AQ63</f>
        <v>1.4012593929735306E-3</v>
      </c>
      <c r="AR44" s="196">
        <f>[40]Ecarts_masses!AR63</f>
        <v>1.2906234360052782E-3</v>
      </c>
      <c r="AS44" s="196">
        <f>[40]Ecarts_masses!AS63</f>
        <v>1.1811599363267256E-3</v>
      </c>
      <c r="AT44" s="196">
        <f>[40]Ecarts_masses!AT63</f>
        <v>1.0740996497971E-3</v>
      </c>
      <c r="AU44" s="196">
        <f>[40]Ecarts_masses!AU63</f>
        <v>9.6920683012680087E-4</v>
      </c>
      <c r="AV44" s="208">
        <f>[40]Ecarts_masses!AV63</f>
        <v>8.7235434140664481E-4</v>
      </c>
    </row>
    <row r="45" spans="2:48">
      <c r="B45" s="299"/>
      <c r="C45" s="202" t="s">
        <v>43</v>
      </c>
      <c r="D45" s="207">
        <f>[40]Ecarts_masses!D64</f>
        <v>0</v>
      </c>
      <c r="E45" s="196">
        <f>[40]Ecarts_masses!E64</f>
        <v>0</v>
      </c>
      <c r="F45" s="196">
        <f>[40]Ecarts_masses!F64</f>
        <v>0</v>
      </c>
      <c r="G45" s="196">
        <f>[40]Ecarts_masses!G64</f>
        <v>0</v>
      </c>
      <c r="H45" s="196">
        <f>[40]Ecarts_masses!H64</f>
        <v>0</v>
      </c>
      <c r="I45" s="196">
        <f>[40]Ecarts_masses!I64</f>
        <v>0</v>
      </c>
      <c r="J45" s="196">
        <f>[40]Ecarts_masses!J64</f>
        <v>0</v>
      </c>
      <c r="K45" s="196">
        <f>[40]Ecarts_masses!K64</f>
        <v>0</v>
      </c>
      <c r="L45" s="196">
        <f>[40]Ecarts_masses!L64</f>
        <v>0</v>
      </c>
      <c r="M45" s="196">
        <f>[40]Ecarts_masses!M64</f>
        <v>0</v>
      </c>
      <c r="N45" s="196">
        <f>[40]Ecarts_masses!N64</f>
        <v>0</v>
      </c>
      <c r="O45" s="196">
        <f>[40]Ecarts_masses!O64</f>
        <v>0</v>
      </c>
      <c r="P45" s="196">
        <f>[40]Ecarts_masses!P64</f>
        <v>0</v>
      </c>
      <c r="Q45" s="196">
        <f>[40]Ecarts_masses!Q64</f>
        <v>0</v>
      </c>
      <c r="R45" s="196">
        <f>[40]Ecarts_masses!R64</f>
        <v>0</v>
      </c>
      <c r="S45" s="196">
        <f>[40]Ecarts_masses!S64</f>
        <v>0</v>
      </c>
      <c r="T45" s="196">
        <f>[40]Ecarts_masses!T64</f>
        <v>0</v>
      </c>
      <c r="U45" s="196">
        <f>[40]Ecarts_masses!U64</f>
        <v>0</v>
      </c>
      <c r="V45" s="196">
        <f>[40]Ecarts_masses!V64</f>
        <v>0</v>
      </c>
      <c r="W45" s="196">
        <f>[40]Ecarts_masses!W64</f>
        <v>0</v>
      </c>
      <c r="X45" s="196">
        <f>[40]Ecarts_masses!X64</f>
        <v>0</v>
      </c>
      <c r="Y45" s="196">
        <f>[40]Ecarts_masses!Y64</f>
        <v>0</v>
      </c>
      <c r="Z45" s="196">
        <f>[40]Ecarts_masses!Z64</f>
        <v>-6.9944050551384862E-15</v>
      </c>
      <c r="AA45" s="196">
        <f>[40]Ecarts_masses!AA64</f>
        <v>0</v>
      </c>
      <c r="AB45" s="196">
        <f>[40]Ecarts_masses!AB64</f>
        <v>0</v>
      </c>
      <c r="AC45" s="196">
        <f>[40]Ecarts_masses!AC64</f>
        <v>0</v>
      </c>
      <c r="AD45" s="196">
        <f>[40]Ecarts_masses!AD64</f>
        <v>0</v>
      </c>
      <c r="AE45" s="196">
        <f>[40]Ecarts_masses!AE64</f>
        <v>0</v>
      </c>
      <c r="AF45" s="196">
        <f>[40]Ecarts_masses!AF64</f>
        <v>0</v>
      </c>
      <c r="AG45" s="196">
        <f>[40]Ecarts_masses!AG64</f>
        <v>0</v>
      </c>
      <c r="AH45" s="196">
        <f>[40]Ecarts_masses!AH64</f>
        <v>0</v>
      </c>
      <c r="AI45" s="196">
        <f>[40]Ecarts_masses!AI64</f>
        <v>0</v>
      </c>
      <c r="AJ45" s="196">
        <f>[40]Ecarts_masses!AJ64</f>
        <v>0</v>
      </c>
      <c r="AK45" s="196">
        <f>[40]Ecarts_masses!AK64</f>
        <v>0</v>
      </c>
      <c r="AL45" s="196">
        <f>[40]Ecarts_masses!AL64</f>
        <v>0</v>
      </c>
      <c r="AM45" s="196">
        <f>[40]Ecarts_masses!AM64</f>
        <v>0</v>
      </c>
      <c r="AN45" s="196">
        <f>[40]Ecarts_masses!AN64</f>
        <v>0</v>
      </c>
      <c r="AO45" s="196">
        <f>[40]Ecarts_masses!AO64</f>
        <v>0</v>
      </c>
      <c r="AP45" s="196">
        <f>[40]Ecarts_masses!AP64</f>
        <v>0</v>
      </c>
      <c r="AQ45" s="196">
        <f>[40]Ecarts_masses!AQ64</f>
        <v>0</v>
      </c>
      <c r="AR45" s="196">
        <f>[40]Ecarts_masses!AR64</f>
        <v>0</v>
      </c>
      <c r="AS45" s="196">
        <f>[40]Ecarts_masses!AS64</f>
        <v>0</v>
      </c>
      <c r="AT45" s="196">
        <f>[40]Ecarts_masses!AT64</f>
        <v>0</v>
      </c>
      <c r="AU45" s="196">
        <f>[40]Ecarts_masses!AU64</f>
        <v>0</v>
      </c>
      <c r="AV45" s="208">
        <f>[40]Ecarts_masses!AV64</f>
        <v>0</v>
      </c>
    </row>
    <row r="46" spans="2:48">
      <c r="B46" s="299"/>
      <c r="C46" s="202" t="s">
        <v>31</v>
      </c>
      <c r="D46" s="207">
        <f>[40]Ecarts_masses!D65</f>
        <v>-6.2642098858756157E-5</v>
      </c>
      <c r="E46" s="196">
        <f>[40]Ecarts_masses!E65</f>
        <v>-1.4146219661703707E-4</v>
      </c>
      <c r="F46" s="196">
        <f>[40]Ecarts_masses!F65</f>
        <v>-2.3764079329235965E-4</v>
      </c>
      <c r="G46" s="196">
        <f>[40]Ecarts_masses!G65</f>
        <v>-3.395357765181295E-4</v>
      </c>
      <c r="H46" s="196">
        <f>[40]Ecarts_masses!H65</f>
        <v>-4.2468038309029232E-4</v>
      </c>
      <c r="I46" s="196">
        <f>[40]Ecarts_masses!I65</f>
        <v>-4.9614034835843146E-4</v>
      </c>
      <c r="J46" s="196">
        <f>[40]Ecarts_masses!J65</f>
        <v>-5.5706976551161969E-4</v>
      </c>
      <c r="K46" s="196">
        <f>[40]Ecarts_masses!K65</f>
        <v>-6.3385755292932888E-4</v>
      </c>
      <c r="L46" s="196">
        <f>[40]Ecarts_masses!L65</f>
        <v>-7.2789950839491357E-4</v>
      </c>
      <c r="M46" s="196">
        <f>[40]Ecarts_masses!M65</f>
        <v>-8.1521589580069165E-4</v>
      </c>
      <c r="N46" s="196">
        <f>[40]Ecarts_masses!N65</f>
        <v>-9.071743536014365E-4</v>
      </c>
      <c r="O46" s="196">
        <f>[40]Ecarts_masses!O65</f>
        <v>-1.0058537874171325E-3</v>
      </c>
      <c r="P46" s="196">
        <f>[40]Ecarts_masses!P65</f>
        <v>-1.0947720437231023E-3</v>
      </c>
      <c r="Q46" s="196">
        <f>[40]Ecarts_masses!Q65</f>
        <v>-1.1819659354416201E-3</v>
      </c>
      <c r="R46" s="196">
        <f>[40]Ecarts_masses!R65</f>
        <v>-1.2953514544457034E-3</v>
      </c>
      <c r="S46" s="196">
        <f>[40]Ecarts_masses!S65</f>
        <v>-1.4121978156069748E-3</v>
      </c>
      <c r="T46" s="196">
        <f>[40]Ecarts_masses!T65</f>
        <v>-1.5110467710029996E-3</v>
      </c>
      <c r="U46" s="196">
        <f>[40]Ecarts_masses!U65</f>
        <v>-1.6359854785792383E-3</v>
      </c>
      <c r="V46" s="196">
        <f>[40]Ecarts_masses!V65</f>
        <v>-1.7209796848399739E-3</v>
      </c>
      <c r="W46" s="196">
        <f>[40]Ecarts_masses!W65</f>
        <v>-1.8342990354145439E-3</v>
      </c>
      <c r="X46" s="196">
        <f>[40]Ecarts_masses!X65</f>
        <v>-1.9486205008326651E-3</v>
      </c>
      <c r="Y46" s="196">
        <f>[40]Ecarts_masses!Y65</f>
        <v>-2.0557910861465079E-3</v>
      </c>
      <c r="Z46" s="196">
        <f>[40]Ecarts_masses!Z65</f>
        <v>-2.1626756097220534E-3</v>
      </c>
      <c r="AA46" s="196">
        <f>[40]Ecarts_masses!AA65</f>
        <v>-2.2599772545174313E-3</v>
      </c>
      <c r="AB46" s="196">
        <f>[40]Ecarts_masses!AB65</f>
        <v>-2.3518568021524411E-3</v>
      </c>
      <c r="AC46" s="196">
        <f>[40]Ecarts_masses!AC65</f>
        <v>-2.455314924961649E-3</v>
      </c>
      <c r="AD46" s="196">
        <f>[40]Ecarts_masses!AD65</f>
        <v>-2.5511223370952019E-3</v>
      </c>
      <c r="AE46" s="196">
        <f>[40]Ecarts_masses!AE65</f>
        <v>-2.633743903924235E-3</v>
      </c>
      <c r="AF46" s="196">
        <f>[40]Ecarts_masses!AF65</f>
        <v>-2.6850606097359453E-3</v>
      </c>
      <c r="AG46" s="196">
        <f>[40]Ecarts_masses!AG65</f>
        <v>-2.7288192350916063E-3</v>
      </c>
      <c r="AH46" s="196">
        <f>[40]Ecarts_masses!AH65</f>
        <v>-2.746048555065439E-3</v>
      </c>
      <c r="AI46" s="196">
        <f>[40]Ecarts_masses!AI65</f>
        <v>-2.7970943148644123E-3</v>
      </c>
      <c r="AJ46" s="196">
        <f>[40]Ecarts_masses!AJ65</f>
        <v>-2.8431665353392255E-3</v>
      </c>
      <c r="AK46" s="196">
        <f>[40]Ecarts_masses!AK65</f>
        <v>-2.8879285943667066E-3</v>
      </c>
      <c r="AL46" s="196">
        <f>[40]Ecarts_masses!AL65</f>
        <v>-2.9306081784334914E-3</v>
      </c>
      <c r="AM46" s="196">
        <f>[40]Ecarts_masses!AM65</f>
        <v>-2.9787676843346933E-3</v>
      </c>
      <c r="AN46" s="196">
        <f>[40]Ecarts_masses!AN65</f>
        <v>-3.0120948934245773E-3</v>
      </c>
      <c r="AO46" s="196">
        <f>[40]Ecarts_masses!AO65</f>
        <v>-3.0419990325272206E-3</v>
      </c>
      <c r="AP46" s="196">
        <f>[40]Ecarts_masses!AP65</f>
        <v>-3.0229822589610267E-3</v>
      </c>
      <c r="AQ46" s="196">
        <f>[40]Ecarts_masses!AQ65</f>
        <v>-3.0328891644121336E-3</v>
      </c>
      <c r="AR46" s="196">
        <f>[40]Ecarts_masses!AR65</f>
        <v>-3.0309224667144363E-3</v>
      </c>
      <c r="AS46" s="196">
        <f>[40]Ecarts_masses!AS65</f>
        <v>-3.0278292307874821E-3</v>
      </c>
      <c r="AT46" s="196">
        <f>[40]Ecarts_masses!AT65</f>
        <v>-3.0273907184008575E-3</v>
      </c>
      <c r="AU46" s="196">
        <f>[40]Ecarts_masses!AU65</f>
        <v>-2.996322055287326E-3</v>
      </c>
      <c r="AV46" s="208">
        <f>[40]Ecarts_masses!AV65</f>
        <v>-2.9765034579116723E-3</v>
      </c>
    </row>
    <row r="47" spans="2:48">
      <c r="B47" s="299"/>
      <c r="C47" s="202" t="s">
        <v>38</v>
      </c>
      <c r="D47" s="207">
        <f>[40]Ecarts_masses!D66</f>
        <v>-2.41727804186187E-4</v>
      </c>
      <c r="E47" s="196">
        <f>[40]Ecarts_masses!E66</f>
        <v>-4.7381197132279063E-4</v>
      </c>
      <c r="F47" s="196">
        <f>[40]Ecarts_masses!F66</f>
        <v>-8.1533638362085714E-4</v>
      </c>
      <c r="G47" s="196">
        <f>[40]Ecarts_masses!G66</f>
        <v>-1.0400857934088625E-3</v>
      </c>
      <c r="H47" s="196">
        <f>[40]Ecarts_masses!H66</f>
        <v>-1.2488780956577683E-3</v>
      </c>
      <c r="I47" s="196">
        <f>[40]Ecarts_masses!I66</f>
        <v>-1.4485343481510649E-3</v>
      </c>
      <c r="J47" s="196">
        <f>[40]Ecarts_masses!J66</f>
        <v>-1.6685780518193027E-3</v>
      </c>
      <c r="K47" s="196">
        <f>[40]Ecarts_masses!K66</f>
        <v>-1.8662082482583386E-3</v>
      </c>
      <c r="L47" s="196">
        <f>[40]Ecarts_masses!L66</f>
        <v>-2.1503818541711572E-3</v>
      </c>
      <c r="M47" s="196">
        <f>[40]Ecarts_masses!M66</f>
        <v>-2.2947329002623862E-3</v>
      </c>
      <c r="N47" s="196">
        <f>[40]Ecarts_masses!N66</f>
        <v>-2.5327096805408678E-3</v>
      </c>
      <c r="O47" s="196">
        <f>[40]Ecarts_masses!O66</f>
        <v>-2.7143428644497147E-3</v>
      </c>
      <c r="P47" s="196">
        <f>[40]Ecarts_masses!P66</f>
        <v>-2.889311532800698E-3</v>
      </c>
      <c r="Q47" s="196">
        <f>[40]Ecarts_masses!Q66</f>
        <v>-3.0631676424830445E-3</v>
      </c>
      <c r="R47" s="196">
        <f>[40]Ecarts_masses!R66</f>
        <v>-3.2223396560548956E-3</v>
      </c>
      <c r="S47" s="196">
        <f>[40]Ecarts_masses!S66</f>
        <v>-3.305203215646535E-3</v>
      </c>
      <c r="T47" s="196">
        <f>[40]Ecarts_masses!T66</f>
        <v>-3.5187576100045304E-3</v>
      </c>
      <c r="U47" s="196">
        <f>[40]Ecarts_masses!U66</f>
        <v>-3.6004754791973959E-3</v>
      </c>
      <c r="V47" s="196">
        <f>[40]Ecarts_masses!V66</f>
        <v>-3.8212625264942846E-3</v>
      </c>
      <c r="W47" s="196">
        <f>[40]Ecarts_masses!W66</f>
        <v>-3.8404305946100337E-3</v>
      </c>
      <c r="X47" s="196">
        <f>[40]Ecarts_masses!X66</f>
        <v>-4.0341884500791902E-3</v>
      </c>
      <c r="Y47" s="196">
        <f>[40]Ecarts_masses!Y66</f>
        <v>-4.1195838590661893E-3</v>
      </c>
      <c r="Z47" s="196">
        <f>[40]Ecarts_masses!Z66</f>
        <v>-4.2335022331860817E-3</v>
      </c>
      <c r="AA47" s="196">
        <f>[40]Ecarts_masses!AA66</f>
        <v>-4.4459516982829905E-3</v>
      </c>
      <c r="AB47" s="196">
        <f>[40]Ecarts_masses!AB66</f>
        <v>-4.5745450541766486E-3</v>
      </c>
      <c r="AC47" s="196">
        <f>[40]Ecarts_masses!AC66</f>
        <v>-4.7015830757808352E-3</v>
      </c>
      <c r="AD47" s="196">
        <f>[40]Ecarts_masses!AD66</f>
        <v>-4.7999943528495015E-3</v>
      </c>
      <c r="AE47" s="196">
        <f>[40]Ecarts_masses!AE66</f>
        <v>-4.9081648512039333E-3</v>
      </c>
      <c r="AF47" s="196">
        <f>[40]Ecarts_masses!AF66</f>
        <v>-4.9885144667014547E-3</v>
      </c>
      <c r="AG47" s="196">
        <f>[40]Ecarts_masses!AG66</f>
        <v>-5.0431161155443105E-3</v>
      </c>
      <c r="AH47" s="196">
        <f>[40]Ecarts_masses!AH66</f>
        <v>-5.0758261713275132E-3</v>
      </c>
      <c r="AI47" s="196">
        <f>[40]Ecarts_masses!AI66</f>
        <v>-5.0452736678924248E-3</v>
      </c>
      <c r="AJ47" s="196">
        <f>[40]Ecarts_masses!AJ66</f>
        <v>-5.0134781802595452E-3</v>
      </c>
      <c r="AK47" s="196">
        <f>[40]Ecarts_masses!AK66</f>
        <v>-5.041465148276969E-3</v>
      </c>
      <c r="AL47" s="196">
        <f>[40]Ecarts_masses!AL66</f>
        <v>-5.1171564169082417E-3</v>
      </c>
      <c r="AM47" s="196">
        <f>[40]Ecarts_masses!AM66</f>
        <v>-5.0905563692122957E-3</v>
      </c>
      <c r="AN47" s="196">
        <f>[40]Ecarts_masses!AN66</f>
        <v>-5.008052968529797E-3</v>
      </c>
      <c r="AO47" s="196">
        <f>[40]Ecarts_masses!AO66</f>
        <v>-4.9905672053696115E-3</v>
      </c>
      <c r="AP47" s="196">
        <f>[40]Ecarts_masses!AP66</f>
        <v>-4.9592266306512922E-3</v>
      </c>
      <c r="AQ47" s="196">
        <f>[40]Ecarts_masses!AQ66</f>
        <v>-4.9763141440951619E-3</v>
      </c>
      <c r="AR47" s="196">
        <f>[40]Ecarts_masses!AR66</f>
        <v>-4.9412152814070076E-3</v>
      </c>
      <c r="AS47" s="196">
        <f>[40]Ecarts_masses!AS66</f>
        <v>-4.9296857555839457E-3</v>
      </c>
      <c r="AT47" s="196">
        <f>[40]Ecarts_masses!AT66</f>
        <v>-4.9174374916921559E-3</v>
      </c>
      <c r="AU47" s="196">
        <f>[40]Ecarts_masses!AU66</f>
        <v>-4.9598920137510216E-3</v>
      </c>
      <c r="AV47" s="208">
        <f>[40]Ecarts_masses!AV66</f>
        <v>-4.9402655661482386E-3</v>
      </c>
    </row>
    <row r="48" spans="2:48">
      <c r="B48" s="299"/>
      <c r="C48" s="202" t="s">
        <v>44</v>
      </c>
      <c r="D48" s="207">
        <f>[40]Ecarts_masses!D67</f>
        <v>1.9357794851182497E-4</v>
      </c>
      <c r="E48" s="196">
        <f>[40]Ecarts_masses!E67</f>
        <v>5.020018136221438E-4</v>
      </c>
      <c r="F48" s="196">
        <f>[40]Ecarts_masses!F67</f>
        <v>8.0692903670120941E-4</v>
      </c>
      <c r="G48" s="196">
        <f>[40]Ecarts_masses!G67</f>
        <v>1.1258784562238056E-3</v>
      </c>
      <c r="H48" s="196">
        <f>[40]Ecarts_masses!H67</f>
        <v>1.4312795368780495E-3</v>
      </c>
      <c r="I48" s="196">
        <f>[40]Ecarts_masses!I67</f>
        <v>1.7412368169935633E-3</v>
      </c>
      <c r="J48" s="196">
        <f>[40]Ecarts_masses!J67</f>
        <v>2.0239053397559381E-3</v>
      </c>
      <c r="K48" s="196">
        <f>[40]Ecarts_masses!K67</f>
        <v>2.2995528585656455E-3</v>
      </c>
      <c r="L48" s="196">
        <f>[40]Ecarts_masses!L67</f>
        <v>2.5573195010741845E-3</v>
      </c>
      <c r="M48" s="196">
        <f>[40]Ecarts_masses!M67</f>
        <v>2.786931890101263E-3</v>
      </c>
      <c r="N48" s="196">
        <f>[40]Ecarts_masses!N67</f>
        <v>3.003551396820292E-3</v>
      </c>
      <c r="O48" s="196">
        <f>[40]Ecarts_masses!O67</f>
        <v>3.268931818818821E-3</v>
      </c>
      <c r="P48" s="196">
        <f>[40]Ecarts_masses!P67</f>
        <v>3.5182830645470453E-3</v>
      </c>
      <c r="Q48" s="196">
        <f>[40]Ecarts_masses!Q67</f>
        <v>3.7717240361951898E-3</v>
      </c>
      <c r="R48" s="196">
        <f>[40]Ecarts_masses!R67</f>
        <v>4.014085692625402E-3</v>
      </c>
      <c r="S48" s="196">
        <f>[40]Ecarts_masses!S67</f>
        <v>4.2165551443971161E-3</v>
      </c>
      <c r="T48" s="196">
        <f>[40]Ecarts_masses!T67</f>
        <v>4.398288857283994E-3</v>
      </c>
      <c r="U48" s="196">
        <f>[40]Ecarts_masses!U67</f>
        <v>4.5884718572553052E-3</v>
      </c>
      <c r="V48" s="196">
        <f>[40]Ecarts_masses!V67</f>
        <v>4.7336397465744806E-3</v>
      </c>
      <c r="W48" s="196">
        <f>[40]Ecarts_masses!W67</f>
        <v>4.9004687303251249E-3</v>
      </c>
      <c r="X48" s="196">
        <f>[40]Ecarts_masses!X67</f>
        <v>5.0642784749570513E-3</v>
      </c>
      <c r="Y48" s="196">
        <f>[40]Ecarts_masses!Y67</f>
        <v>5.2176323668264857E-3</v>
      </c>
      <c r="Z48" s="196">
        <f>[40]Ecarts_masses!Z67</f>
        <v>5.3557613477395183E-3</v>
      </c>
      <c r="AA48" s="196">
        <f>[40]Ecarts_masses!AA67</f>
        <v>5.4757173413739757E-3</v>
      </c>
      <c r="AB48" s="196">
        <f>[40]Ecarts_masses!AB67</f>
        <v>5.6285967106859403E-3</v>
      </c>
      <c r="AC48" s="196">
        <f>[40]Ecarts_masses!AC67</f>
        <v>5.740888545950007E-3</v>
      </c>
      <c r="AD48" s="196">
        <f>[40]Ecarts_masses!AD67</f>
        <v>5.8343686139219475E-3</v>
      </c>
      <c r="AE48" s="196">
        <f>[40]Ecarts_masses!AE67</f>
        <v>5.905954927861945E-3</v>
      </c>
      <c r="AF48" s="196">
        <f>[40]Ecarts_masses!AF67</f>
        <v>5.9842504720208911E-3</v>
      </c>
      <c r="AG48" s="196">
        <f>[40]Ecarts_masses!AG67</f>
        <v>6.0382986207219158E-3</v>
      </c>
      <c r="AH48" s="196">
        <f>[40]Ecarts_masses!AH67</f>
        <v>6.0881658053089094E-3</v>
      </c>
      <c r="AI48" s="196">
        <f>[40]Ecarts_masses!AI67</f>
        <v>6.1169714452664614E-3</v>
      </c>
      <c r="AJ48" s="196">
        <f>[40]Ecarts_masses!AJ67</f>
        <v>6.1362908954127882E-3</v>
      </c>
      <c r="AK48" s="196">
        <f>[40]Ecarts_masses!AK67</f>
        <v>6.1490459956849985E-3</v>
      </c>
      <c r="AL48" s="196">
        <f>[40]Ecarts_masses!AL67</f>
        <v>6.1466004859618284E-3</v>
      </c>
      <c r="AM48" s="196">
        <f>[40]Ecarts_masses!AM67</f>
        <v>6.1459321820247492E-3</v>
      </c>
      <c r="AN48" s="196">
        <f>[40]Ecarts_masses!AN67</f>
        <v>6.1654649832219022E-3</v>
      </c>
      <c r="AO48" s="196">
        <f>[40]Ecarts_masses!AO67</f>
        <v>6.1555402981972041E-3</v>
      </c>
      <c r="AP48" s="196">
        <f>[40]Ecarts_masses!AP67</f>
        <v>6.144391059953902E-3</v>
      </c>
      <c r="AQ48" s="196">
        <f>[40]Ecarts_masses!AQ67</f>
        <v>6.10622957667184E-3</v>
      </c>
      <c r="AR48" s="196">
        <f>[40]Ecarts_masses!AR67</f>
        <v>6.0518959421043128E-3</v>
      </c>
      <c r="AS48" s="196">
        <f>[40]Ecarts_masses!AS67</f>
        <v>5.9981305858742839E-3</v>
      </c>
      <c r="AT48" s="196">
        <f>[40]Ecarts_masses!AT67</f>
        <v>5.9601251249006282E-3</v>
      </c>
      <c r="AU48" s="196">
        <f>[40]Ecarts_masses!AU67</f>
        <v>5.9171401095863274E-3</v>
      </c>
      <c r="AV48" s="208">
        <f>[40]Ecarts_masses!AV67</f>
        <v>5.8679226665772077E-3</v>
      </c>
    </row>
    <row r="49" spans="2:48">
      <c r="B49" s="299"/>
      <c r="C49" s="202" t="s">
        <v>5</v>
      </c>
      <c r="D49" s="207">
        <f>[40]Ecarts_masses!D68</f>
        <v>-1.4714832238593711E-4</v>
      </c>
      <c r="E49" s="196">
        <f>[40]Ecarts_masses!E68</f>
        <v>-3.3096619314931797E-4</v>
      </c>
      <c r="F49" s="196">
        <f>[40]Ecarts_masses!F68</f>
        <v>-5.5985313544015813E-4</v>
      </c>
      <c r="G49" s="196">
        <f>[40]Ecarts_masses!G68</f>
        <v>-7.4379158591120209E-4</v>
      </c>
      <c r="H49" s="196">
        <f>[40]Ecarts_masses!H68</f>
        <v>-9.1836543579182361E-4</v>
      </c>
      <c r="I49" s="196">
        <f>[40]Ecarts_masses!I68</f>
        <v>-1.081187949325435E-3</v>
      </c>
      <c r="J49" s="196">
        <f>[40]Ecarts_masses!J68</f>
        <v>-1.2237529979767237E-3</v>
      </c>
      <c r="K49" s="196">
        <f>[40]Ecarts_masses!K68</f>
        <v>-1.3834459506617547E-3</v>
      </c>
      <c r="L49" s="196">
        <f>[40]Ecarts_masses!L68</f>
        <v>-1.5044141234192843E-3</v>
      </c>
      <c r="M49" s="196">
        <f>[40]Ecarts_masses!M68</f>
        <v>-1.6479173480256071E-3</v>
      </c>
      <c r="N49" s="196">
        <f>[40]Ecarts_masses!N68</f>
        <v>-1.7816136239248159E-3</v>
      </c>
      <c r="O49" s="196">
        <f>[40]Ecarts_masses!O68</f>
        <v>-1.9085311874814659E-3</v>
      </c>
      <c r="P49" s="196">
        <f>[40]Ecarts_masses!P68</f>
        <v>-2.0371030642357679E-3</v>
      </c>
      <c r="Q49" s="196">
        <f>[40]Ecarts_masses!Q68</f>
        <v>-2.1562675284720889E-3</v>
      </c>
      <c r="R49" s="196">
        <f>[40]Ecarts_masses!R68</f>
        <v>-2.294036853675796E-3</v>
      </c>
      <c r="S49" s="196">
        <f>[40]Ecarts_masses!S68</f>
        <v>-2.4237000453394275E-3</v>
      </c>
      <c r="T49" s="196">
        <f>[40]Ecarts_masses!T68</f>
        <v>-2.558124027379316E-3</v>
      </c>
      <c r="U49" s="196">
        <f>[40]Ecarts_masses!U68</f>
        <v>-2.6991396757438668E-3</v>
      </c>
      <c r="V49" s="196">
        <f>[40]Ecarts_masses!V68</f>
        <v>-2.8225995842910967E-3</v>
      </c>
      <c r="W49" s="196">
        <f>[40]Ecarts_masses!W68</f>
        <v>-2.9476259629399593E-3</v>
      </c>
      <c r="X49" s="196">
        <f>[40]Ecarts_masses!X68</f>
        <v>-3.0579473652334599E-3</v>
      </c>
      <c r="Y49" s="196">
        <f>[40]Ecarts_masses!Y68</f>
        <v>-3.1453615446140892E-3</v>
      </c>
      <c r="Z49" s="196">
        <f>[40]Ecarts_masses!Z68</f>
        <v>-3.2647697352534699E-3</v>
      </c>
      <c r="AA49" s="196">
        <f>[40]Ecarts_masses!AA68</f>
        <v>-3.3701259313183574E-3</v>
      </c>
      <c r="AB49" s="196">
        <f>[40]Ecarts_masses!AB68</f>
        <v>-3.4542423969409208E-3</v>
      </c>
      <c r="AC49" s="196">
        <f>[40]Ecarts_masses!AC68</f>
        <v>-3.5385801443743592E-3</v>
      </c>
      <c r="AD49" s="196">
        <f>[40]Ecarts_masses!AD68</f>
        <v>-3.6376456464650708E-3</v>
      </c>
      <c r="AE49" s="196">
        <f>[40]Ecarts_masses!AE68</f>
        <v>-3.7250794342801319E-3</v>
      </c>
      <c r="AF49" s="196">
        <f>[40]Ecarts_masses!AF68</f>
        <v>-3.8112191091456138E-3</v>
      </c>
      <c r="AG49" s="196">
        <f>[40]Ecarts_masses!AG68</f>
        <v>-3.9107679711750665E-3</v>
      </c>
      <c r="AH49" s="196">
        <f>[40]Ecarts_masses!AH68</f>
        <v>-3.9912709563981741E-3</v>
      </c>
      <c r="AI49" s="196">
        <f>[40]Ecarts_masses!AI68</f>
        <v>-4.0143910266895455E-3</v>
      </c>
      <c r="AJ49" s="196">
        <f>[40]Ecarts_masses!AJ68</f>
        <v>-4.033163441291121E-3</v>
      </c>
      <c r="AK49" s="196">
        <f>[40]Ecarts_masses!AK68</f>
        <v>-4.0354060158703797E-3</v>
      </c>
      <c r="AL49" s="196">
        <f>[40]Ecarts_masses!AL68</f>
        <v>-4.0489153977321113E-3</v>
      </c>
      <c r="AM49" s="196">
        <f>[40]Ecarts_masses!AM68</f>
        <v>-4.0668388312397052E-3</v>
      </c>
      <c r="AN49" s="196">
        <f>[40]Ecarts_masses!AN68</f>
        <v>-4.0691895686759683E-3</v>
      </c>
      <c r="AO49" s="196">
        <f>[40]Ecarts_masses!AO68</f>
        <v>-4.0585765326575096E-3</v>
      </c>
      <c r="AP49" s="196">
        <f>[40]Ecarts_masses!AP68</f>
        <v>-4.0493586065432075E-3</v>
      </c>
      <c r="AQ49" s="196">
        <f>[40]Ecarts_masses!AQ68</f>
        <v>-4.0314442680735585E-3</v>
      </c>
      <c r="AR49" s="196">
        <f>[40]Ecarts_masses!AR68</f>
        <v>-4.0389745716601366E-3</v>
      </c>
      <c r="AS49" s="196">
        <f>[40]Ecarts_masses!AS68</f>
        <v>-4.0219660630192999E-3</v>
      </c>
      <c r="AT49" s="196">
        <f>[40]Ecarts_masses!AT68</f>
        <v>-4.0093604712289066E-3</v>
      </c>
      <c r="AU49" s="196">
        <f>[40]Ecarts_masses!AU68</f>
        <v>-3.9811613880518237E-3</v>
      </c>
      <c r="AV49" s="208">
        <f>[40]Ecarts_masses!AV68</f>
        <v>-3.9600243343029806E-3</v>
      </c>
    </row>
    <row r="50" spans="2:48">
      <c r="B50" s="299"/>
      <c r="C50" s="202" t="s">
        <v>45</v>
      </c>
      <c r="D50" s="207">
        <f>[40]Ecarts_masses!D69</f>
        <v>-6.036799677322513E-5</v>
      </c>
      <c r="E50" s="196">
        <f>[40]Ecarts_masses!E69</f>
        <v>-1.3581876688739669E-4</v>
      </c>
      <c r="F50" s="196">
        <f>[40]Ecarts_masses!F69</f>
        <v>-2.0634763923266242E-4</v>
      </c>
      <c r="G50" s="196">
        <f>[40]Ecarts_masses!G69</f>
        <v>-3.0085436598048521E-4</v>
      </c>
      <c r="H50" s="196">
        <f>[40]Ecarts_masses!H69</f>
        <v>-4.2404801995421515E-4</v>
      </c>
      <c r="I50" s="196">
        <f>[40]Ecarts_masses!I69</f>
        <v>-5.367672453040484E-4</v>
      </c>
      <c r="J50" s="196">
        <f>[40]Ecarts_masses!J69</f>
        <v>-6.4875925856855421E-4</v>
      </c>
      <c r="K50" s="196">
        <f>[40]Ecarts_masses!K69</f>
        <v>-7.1898411270598928E-4</v>
      </c>
      <c r="L50" s="196">
        <f>[40]Ecarts_masses!L69</f>
        <v>-7.7557006489881175E-4</v>
      </c>
      <c r="M50" s="196">
        <f>[40]Ecarts_masses!M69</f>
        <v>-9.0083965655884946E-4</v>
      </c>
      <c r="N50" s="196">
        <f>[40]Ecarts_masses!N69</f>
        <v>-1.0461866825931532E-3</v>
      </c>
      <c r="O50" s="196">
        <f>[40]Ecarts_masses!O69</f>
        <v>-1.1598754701467318E-3</v>
      </c>
      <c r="P50" s="196">
        <f>[40]Ecarts_masses!P69</f>
        <v>-1.2693588411762935E-3</v>
      </c>
      <c r="Q50" s="196">
        <f>[40]Ecarts_masses!Q69</f>
        <v>-1.3637427839240379E-3</v>
      </c>
      <c r="R50" s="196">
        <f>[40]Ecarts_masses!R69</f>
        <v>-1.4444374447423192E-3</v>
      </c>
      <c r="S50" s="196">
        <f>[40]Ecarts_masses!S69</f>
        <v>-1.57062214776027E-3</v>
      </c>
      <c r="T50" s="196">
        <f>[40]Ecarts_masses!T69</f>
        <v>-1.755079854338093E-3</v>
      </c>
      <c r="U50" s="196">
        <f>[40]Ecarts_masses!U69</f>
        <v>-1.8710449196219781E-3</v>
      </c>
      <c r="V50" s="196">
        <f>[40]Ecarts_masses!V69</f>
        <v>-2.0184291231016838E-3</v>
      </c>
      <c r="W50" s="196">
        <f>[40]Ecarts_masses!W69</f>
        <v>-2.1543376777264367E-3</v>
      </c>
      <c r="X50" s="196">
        <f>[40]Ecarts_masses!X69</f>
        <v>-2.3455088054736839E-3</v>
      </c>
      <c r="Y50" s="196">
        <f>[40]Ecarts_masses!Y69</f>
        <v>-2.4840626329476478E-3</v>
      </c>
      <c r="Z50" s="196">
        <f>[40]Ecarts_masses!Z69</f>
        <v>-2.6481942066697295E-3</v>
      </c>
      <c r="AA50" s="196">
        <f>[40]Ecarts_masses!AA69</f>
        <v>-2.7812364660487754E-3</v>
      </c>
      <c r="AB50" s="196">
        <f>[40]Ecarts_masses!AB69</f>
        <v>-2.886147745571721E-3</v>
      </c>
      <c r="AC50" s="196">
        <f>[40]Ecarts_masses!AC69</f>
        <v>-2.9917053114514314E-3</v>
      </c>
      <c r="AD50" s="196">
        <f>[40]Ecarts_masses!AD69</f>
        <v>-3.1237093102662872E-3</v>
      </c>
      <c r="AE50" s="196">
        <f>[40]Ecarts_masses!AE69</f>
        <v>-3.2151406523749371E-3</v>
      </c>
      <c r="AF50" s="196">
        <f>[40]Ecarts_masses!AF69</f>
        <v>-3.2658212668924547E-3</v>
      </c>
      <c r="AG50" s="196">
        <f>[40]Ecarts_masses!AG69</f>
        <v>-3.3338256642810871E-3</v>
      </c>
      <c r="AH50" s="196">
        <f>[40]Ecarts_masses!AH69</f>
        <v>-3.4016115224270171E-3</v>
      </c>
      <c r="AI50" s="196">
        <f>[40]Ecarts_masses!AI69</f>
        <v>-3.4154404582821263E-3</v>
      </c>
      <c r="AJ50" s="196">
        <f>[40]Ecarts_masses!AJ69</f>
        <v>-3.5035199760556912E-3</v>
      </c>
      <c r="AK50" s="196">
        <f>[40]Ecarts_masses!AK69</f>
        <v>-3.5478175291214775E-3</v>
      </c>
      <c r="AL50" s="196">
        <f>[40]Ecarts_masses!AL69</f>
        <v>-3.5634981796927034E-3</v>
      </c>
      <c r="AM50" s="196">
        <f>[40]Ecarts_masses!AM69</f>
        <v>-3.4832241866077363E-3</v>
      </c>
      <c r="AN50" s="196">
        <f>[40]Ecarts_masses!AN69</f>
        <v>-3.3847644082737327E-3</v>
      </c>
      <c r="AO50" s="196">
        <f>[40]Ecarts_masses!AO69</f>
        <v>-3.3747823433186719E-3</v>
      </c>
      <c r="AP50" s="196">
        <f>[40]Ecarts_masses!AP69</f>
        <v>-3.3925528084234324E-3</v>
      </c>
      <c r="AQ50" s="196">
        <f>[40]Ecarts_masses!AQ69</f>
        <v>-3.4624884142469003E-3</v>
      </c>
      <c r="AR50" s="196">
        <f>[40]Ecarts_masses!AR69</f>
        <v>-3.4649689546699669E-3</v>
      </c>
      <c r="AS50" s="196">
        <f>[40]Ecarts_masses!AS69</f>
        <v>-3.4111881325877835E-3</v>
      </c>
      <c r="AT50" s="196">
        <f>[40]Ecarts_masses!AT69</f>
        <v>-3.3940992661255498E-3</v>
      </c>
      <c r="AU50" s="196">
        <f>[40]Ecarts_masses!AU69</f>
        <v>-3.3781941444672725E-3</v>
      </c>
      <c r="AV50" s="208">
        <f>[40]Ecarts_masses!AV69</f>
        <v>-3.3956007590096871E-3</v>
      </c>
    </row>
    <row r="51" spans="2:48">
      <c r="B51" s="299"/>
      <c r="C51" s="202" t="s">
        <v>46</v>
      </c>
      <c r="D51" s="207">
        <f>[40]Ecarts_masses!D70</f>
        <v>3.7446697450205235E-4</v>
      </c>
      <c r="E51" s="196">
        <f>[40]Ecarts_masses!E70</f>
        <v>8.114631718467713E-4</v>
      </c>
      <c r="F51" s="196">
        <f>[40]Ecarts_masses!F70</f>
        <v>1.1985281679822712E-3</v>
      </c>
      <c r="G51" s="196">
        <f>[40]Ecarts_masses!G70</f>
        <v>1.5724548520121839E-3</v>
      </c>
      <c r="H51" s="196">
        <f>[40]Ecarts_masses!H70</f>
        <v>1.9127548406103756E-3</v>
      </c>
      <c r="I51" s="196">
        <f>[40]Ecarts_masses!I70</f>
        <v>2.2031927788381811E-3</v>
      </c>
      <c r="J51" s="196">
        <f>[40]Ecarts_masses!J70</f>
        <v>2.5196336834651945E-3</v>
      </c>
      <c r="K51" s="196">
        <f>[40]Ecarts_masses!K70</f>
        <v>2.8196993976916662E-3</v>
      </c>
      <c r="L51" s="196">
        <f>[40]Ecarts_masses!L70</f>
        <v>3.0618271572753208E-3</v>
      </c>
      <c r="M51" s="196">
        <f>[40]Ecarts_masses!M70</f>
        <v>3.2755654607814488E-3</v>
      </c>
      <c r="N51" s="196">
        <f>[40]Ecarts_masses!N70</f>
        <v>3.4934739576577556E-3</v>
      </c>
      <c r="O51" s="196">
        <f>[40]Ecarts_masses!O70</f>
        <v>3.7352183329510957E-3</v>
      </c>
      <c r="P51" s="196">
        <f>[40]Ecarts_masses!P70</f>
        <v>3.9290953984241206E-3</v>
      </c>
      <c r="Q51" s="196">
        <f>[40]Ecarts_masses!Q70</f>
        <v>4.1033713320797194E-3</v>
      </c>
      <c r="R51" s="196">
        <f>[40]Ecarts_masses!R70</f>
        <v>4.3074580882562774E-3</v>
      </c>
      <c r="S51" s="196">
        <f>[40]Ecarts_masses!S70</f>
        <v>4.464482818226756E-3</v>
      </c>
      <c r="T51" s="196">
        <f>[40]Ecarts_masses!T70</f>
        <v>4.6513296605790178E-3</v>
      </c>
      <c r="U51" s="196">
        <f>[40]Ecarts_masses!U70</f>
        <v>4.8264228821310873E-3</v>
      </c>
      <c r="V51" s="196">
        <f>[40]Ecarts_masses!V70</f>
        <v>5.0253834938480679E-3</v>
      </c>
      <c r="W51" s="196">
        <f>[40]Ecarts_masses!W70</f>
        <v>5.1949053775217635E-3</v>
      </c>
      <c r="X51" s="196">
        <f>[40]Ecarts_masses!X70</f>
        <v>5.3800974959570258E-3</v>
      </c>
      <c r="Y51" s="196">
        <f>[40]Ecarts_masses!Y70</f>
        <v>5.5463936631650057E-3</v>
      </c>
      <c r="Z51" s="196">
        <f>[40]Ecarts_masses!Z70</f>
        <v>5.7002547015772009E-3</v>
      </c>
      <c r="AA51" s="196">
        <f>[40]Ecarts_masses!AA70</f>
        <v>5.853536553447114E-3</v>
      </c>
      <c r="AB51" s="196">
        <f>[40]Ecarts_masses!AB70</f>
        <v>5.9953628346063326E-3</v>
      </c>
      <c r="AC51" s="196">
        <f>[40]Ecarts_masses!AC70</f>
        <v>6.101977768472544E-3</v>
      </c>
      <c r="AD51" s="196">
        <f>[40]Ecarts_masses!AD70</f>
        <v>6.1838457237985978E-3</v>
      </c>
      <c r="AE51" s="196">
        <f>[40]Ecarts_masses!AE70</f>
        <v>6.246599473652914E-3</v>
      </c>
      <c r="AF51" s="196">
        <f>[40]Ecarts_masses!AF70</f>
        <v>6.2965769530793914E-3</v>
      </c>
      <c r="AG51" s="196">
        <f>[40]Ecarts_masses!AG70</f>
        <v>6.344324280916469E-3</v>
      </c>
      <c r="AH51" s="196">
        <f>[40]Ecarts_masses!AH70</f>
        <v>6.3821831907799886E-3</v>
      </c>
      <c r="AI51" s="196">
        <f>[40]Ecarts_masses!AI70</f>
        <v>6.4146465308416722E-3</v>
      </c>
      <c r="AJ51" s="196">
        <f>[40]Ecarts_masses!AJ70</f>
        <v>6.4295975077808265E-3</v>
      </c>
      <c r="AK51" s="196">
        <f>[40]Ecarts_masses!AK70</f>
        <v>6.4313061207774691E-3</v>
      </c>
      <c r="AL51" s="196">
        <f>[40]Ecarts_masses!AL70</f>
        <v>6.4435270618214968E-3</v>
      </c>
      <c r="AM51" s="196">
        <f>[40]Ecarts_masses!AM70</f>
        <v>6.4521602524072463E-3</v>
      </c>
      <c r="AN51" s="196">
        <f>[40]Ecarts_masses!AN70</f>
        <v>6.4727869807530425E-3</v>
      </c>
      <c r="AO51" s="196">
        <f>[40]Ecarts_masses!AO70</f>
        <v>6.4981612491163965E-3</v>
      </c>
      <c r="AP51" s="196">
        <f>[40]Ecarts_masses!AP70</f>
        <v>6.5077603574790199E-3</v>
      </c>
      <c r="AQ51" s="196">
        <f>[40]Ecarts_masses!AQ70</f>
        <v>6.5254323775567613E-3</v>
      </c>
      <c r="AR51" s="196">
        <f>[40]Ecarts_masses!AR70</f>
        <v>6.538212617857031E-3</v>
      </c>
      <c r="AS51" s="196">
        <f>[40]Ecarts_masses!AS70</f>
        <v>6.5467671662564619E-3</v>
      </c>
      <c r="AT51" s="196">
        <f>[40]Ecarts_masses!AT70</f>
        <v>6.5032086257323929E-3</v>
      </c>
      <c r="AU51" s="196">
        <f>[40]Ecarts_masses!AU70</f>
        <v>6.4621845947325784E-3</v>
      </c>
      <c r="AV51" s="208">
        <f>[40]Ecarts_masses!AV70</f>
        <v>6.4146424036255478E-3</v>
      </c>
    </row>
    <row r="52" spans="2:48" ht="15" thickBot="1">
      <c r="B52" s="300"/>
      <c r="C52" s="203" t="s">
        <v>39</v>
      </c>
      <c r="D52" s="209">
        <f>[40]Ecarts_masses!D71</f>
        <v>1.618042372940165E-3</v>
      </c>
      <c r="E52" s="210">
        <f>[40]Ecarts_masses!E71</f>
        <v>3.8399165340312624E-3</v>
      </c>
      <c r="F52" s="210">
        <f>[40]Ecarts_masses!F71</f>
        <v>5.7937232133526972E-3</v>
      </c>
      <c r="G52" s="210">
        <f>[40]Ecarts_masses!G71</f>
        <v>7.4973951048975529E-3</v>
      </c>
      <c r="H52" s="210">
        <f>[40]Ecarts_masses!H71</f>
        <v>9.024356289583757E-3</v>
      </c>
      <c r="I52" s="210">
        <f>[40]Ecarts_masses!I71</f>
        <v>1.0396209268757506E-2</v>
      </c>
      <c r="J52" s="210">
        <f>[40]Ecarts_masses!J71</f>
        <v>1.1548422278866211E-2</v>
      </c>
      <c r="K52" s="210">
        <f>[40]Ecarts_masses!K71</f>
        <v>1.2804557343554013E-2</v>
      </c>
      <c r="L52" s="210">
        <f>[40]Ecarts_masses!L71</f>
        <v>1.3938431888249836E-2</v>
      </c>
      <c r="M52" s="210">
        <f>[40]Ecarts_masses!M71</f>
        <v>1.5010536665905461E-2</v>
      </c>
      <c r="N52" s="210">
        <f>[40]Ecarts_masses!N71</f>
        <v>1.596981552126886E-2</v>
      </c>
      <c r="O52" s="210">
        <f>[40]Ecarts_masses!O71</f>
        <v>1.6766484729431541E-2</v>
      </c>
      <c r="P52" s="210">
        <f>[40]Ecarts_masses!P71</f>
        <v>1.7499699036469751E-2</v>
      </c>
      <c r="Q52" s="210">
        <f>[40]Ecarts_masses!Q71</f>
        <v>1.8179006521578112E-2</v>
      </c>
      <c r="R52" s="210">
        <f>[40]Ecarts_masses!R71</f>
        <v>1.8924651388022129E-2</v>
      </c>
      <c r="S52" s="210">
        <f>[40]Ecarts_masses!S71</f>
        <v>1.9585476547598235E-2</v>
      </c>
      <c r="T52" s="210">
        <f>[40]Ecarts_masses!T71</f>
        <v>2.0247747410475636E-2</v>
      </c>
      <c r="U52" s="210">
        <f>[40]Ecarts_masses!U71</f>
        <v>2.0917733900145397E-2</v>
      </c>
      <c r="V52" s="210">
        <f>[40]Ecarts_masses!V71</f>
        <v>2.157655809913761E-2</v>
      </c>
      <c r="W52" s="210">
        <f>[40]Ecarts_masses!W71</f>
        <v>2.2183803001225133E-2</v>
      </c>
      <c r="X52" s="210">
        <f>[40]Ecarts_masses!X71</f>
        <v>2.2752878113108332E-2</v>
      </c>
      <c r="Y52" s="210">
        <f>[40]Ecarts_masses!Y71</f>
        <v>2.3276649394468718E-2</v>
      </c>
      <c r="Z52" s="210">
        <f>[40]Ecarts_masses!Z71</f>
        <v>2.372732217865603E-2</v>
      </c>
      <c r="AA52" s="210">
        <f>[40]Ecarts_masses!AA71</f>
        <v>2.4165870827278724E-2</v>
      </c>
      <c r="AB52" s="210">
        <f>[40]Ecarts_masses!AB71</f>
        <v>2.4646561425131219E-2</v>
      </c>
      <c r="AC52" s="210">
        <f>[40]Ecarts_masses!AC71</f>
        <v>2.5052729756836589E-2</v>
      </c>
      <c r="AD52" s="210">
        <f>[40]Ecarts_masses!AD71</f>
        <v>2.5401828709522123E-2</v>
      </c>
      <c r="AE52" s="210">
        <f>[40]Ecarts_masses!AE71</f>
        <v>2.5767349476173873E-2</v>
      </c>
      <c r="AF52" s="210">
        <f>[40]Ecarts_masses!AF71</f>
        <v>2.6047465668507463E-2</v>
      </c>
      <c r="AG52" s="210">
        <f>[40]Ecarts_masses!AG71</f>
        <v>2.6284438095299345E-2</v>
      </c>
      <c r="AH52" s="210">
        <f>[40]Ecarts_masses!AH71</f>
        <v>2.6500050145057186E-2</v>
      </c>
      <c r="AI52" s="210">
        <f>[40]Ecarts_masses!AI71</f>
        <v>2.6743858718605074E-2</v>
      </c>
      <c r="AJ52" s="210">
        <f>[40]Ecarts_masses!AJ71</f>
        <v>2.6860333376925061E-2</v>
      </c>
      <c r="AK52" s="210">
        <f>[40]Ecarts_masses!AK71</f>
        <v>2.6973187098504603E-2</v>
      </c>
      <c r="AL52" s="210">
        <f>[40]Ecarts_masses!AL71</f>
        <v>2.7028224073316398E-2</v>
      </c>
      <c r="AM52" s="210">
        <f>[40]Ecarts_masses!AM71</f>
        <v>2.7162334939983657E-2</v>
      </c>
      <c r="AN52" s="210">
        <f>[40]Ecarts_masses!AN71</f>
        <v>2.7171118084897472E-2</v>
      </c>
      <c r="AO52" s="210">
        <f>[40]Ecarts_masses!AO71</f>
        <v>2.7186478155393212E-2</v>
      </c>
      <c r="AP52" s="210">
        <f>[40]Ecarts_masses!AP71</f>
        <v>2.717487971703636E-2</v>
      </c>
      <c r="AQ52" s="210">
        <f>[40]Ecarts_masses!AQ71</f>
        <v>2.7098652916641042E-2</v>
      </c>
      <c r="AR52" s="210">
        <f>[40]Ecarts_masses!AR71</f>
        <v>2.7077145201089614E-2</v>
      </c>
      <c r="AS52" s="210">
        <f>[40]Ecarts_masses!AS71</f>
        <v>2.7070133391686069E-2</v>
      </c>
      <c r="AT52" s="210">
        <f>[40]Ecarts_masses!AT71</f>
        <v>2.6962026607185052E-2</v>
      </c>
      <c r="AU52" s="210">
        <f>[40]Ecarts_masses!AU71</f>
        <v>2.6875521649958545E-2</v>
      </c>
      <c r="AV52" s="211">
        <f>[40]Ecarts_masses!AV71</f>
        <v>2.6766122894767541E-2</v>
      </c>
    </row>
    <row r="54" spans="2:48">
      <c r="B54" s="177" t="s">
        <v>35</v>
      </c>
    </row>
  </sheetData>
  <mergeCells count="5">
    <mergeCell ref="B5:B16"/>
    <mergeCell ref="B4:C4"/>
    <mergeCell ref="B17:B28"/>
    <mergeCell ref="B29:B40"/>
    <mergeCell ref="B41:B52"/>
  </mergeCells>
  <hyperlinks>
    <hyperlink ref="A2" location="SOMMAIRE!A1" display="Retour au sommaire" xr:uid="{57A4DEF3-48BE-456B-B6AB-9895CAAFEFE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7385-D0D7-4056-9E64-DA4FA64F59CA}">
  <sheetPr>
    <tabColor theme="4"/>
  </sheetPr>
  <dimension ref="A1:H21"/>
  <sheetViews>
    <sheetView zoomScaleNormal="100" workbookViewId="0"/>
  </sheetViews>
  <sheetFormatPr baseColWidth="10" defaultRowHeight="14.25"/>
  <cols>
    <col min="2" max="2" width="37.375" customWidth="1"/>
    <col min="3" max="3" width="6.25" bestFit="1" customWidth="1"/>
    <col min="4" max="4" width="18.25" bestFit="1" customWidth="1"/>
    <col min="5" max="6" width="16" bestFit="1" customWidth="1"/>
    <col min="7" max="7" width="17.75" bestFit="1" customWidth="1"/>
    <col min="8" max="8" width="10.625" bestFit="1" customWidth="1"/>
  </cols>
  <sheetData>
    <row r="1" spans="1:8" ht="15.75">
      <c r="A1" s="2" t="s">
        <v>109</v>
      </c>
    </row>
    <row r="2" spans="1:8">
      <c r="A2" s="6" t="s">
        <v>2</v>
      </c>
    </row>
    <row r="3" spans="1:8" ht="15" thickBot="1"/>
    <row r="4" spans="1:8" ht="15.75" thickBot="1">
      <c r="B4" s="345"/>
      <c r="C4" s="351" t="str">
        <f>[41]Gagnants_perdants_2000!N3</f>
        <v>-100 %</v>
      </c>
      <c r="D4" s="352" t="str">
        <f>[41]Gagnants_perdants_2000!O3</f>
        <v xml:space="preserve">Entre -100 % et -20 % </v>
      </c>
      <c r="E4" s="352" t="str">
        <f>[41]Gagnants_perdants_2000!P3</f>
        <v>Entre- 20 % à - 1 %</v>
      </c>
      <c r="F4" s="352" t="str">
        <f>[41]Gagnants_perdants_2000!Q3</f>
        <v>Entre - 1 % et + 1%</v>
      </c>
      <c r="G4" s="352" t="str">
        <f>[41]Gagnants_perdants_2000!R3</f>
        <v>Entre + 1 % et + 20 %</v>
      </c>
      <c r="H4" s="353" t="str">
        <f>[41]Gagnants_perdants_2000!S3</f>
        <v>Plus de 20 %</v>
      </c>
    </row>
    <row r="5" spans="1:8" ht="15">
      <c r="B5" s="365" t="s">
        <v>77</v>
      </c>
      <c r="C5" s="362">
        <f>[41]Gagnants_perdants_2000!N4</f>
        <v>0</v>
      </c>
      <c r="D5" s="357">
        <f>[41]Gagnants_perdants_2000!O4</f>
        <v>0</v>
      </c>
      <c r="E5" s="357">
        <f>[41]Gagnants_perdants_2000!P4</f>
        <v>0</v>
      </c>
      <c r="F5" s="357">
        <f>[41]Gagnants_perdants_2000!Q4</f>
        <v>0.97119341563785999</v>
      </c>
      <c r="G5" s="357">
        <f>[41]Gagnants_perdants_2000!R4</f>
        <v>4.11522633744856E-3</v>
      </c>
      <c r="H5" s="358">
        <f>[41]Gagnants_perdants_2000!S4</f>
        <v>2.4691358024691402E-2</v>
      </c>
    </row>
    <row r="6" spans="1:8" ht="15">
      <c r="B6" s="366" t="s">
        <v>76</v>
      </c>
      <c r="C6" s="363">
        <f>[41]Gagnants_perdants_2000!N5</f>
        <v>0</v>
      </c>
      <c r="D6" s="349">
        <f>[41]Gagnants_perdants_2000!O5</f>
        <v>0</v>
      </c>
      <c r="E6" s="349">
        <f>[41]Gagnants_perdants_2000!P5</f>
        <v>0</v>
      </c>
      <c r="F6" s="349">
        <f>[41]Gagnants_perdants_2000!Q5</f>
        <v>0.952380952380952</v>
      </c>
      <c r="G6" s="349">
        <f>[41]Gagnants_perdants_2000!R5</f>
        <v>1.8315018315018302E-2</v>
      </c>
      <c r="H6" s="350">
        <f>[41]Gagnants_perdants_2000!S5</f>
        <v>2.9304029304029301E-2</v>
      </c>
    </row>
    <row r="7" spans="1:8" ht="15">
      <c r="B7" s="366" t="s">
        <v>78</v>
      </c>
      <c r="C7" s="363">
        <f>[41]Gagnants_perdants_2000!N6</f>
        <v>0</v>
      </c>
      <c r="D7" s="349">
        <f>[41]Gagnants_perdants_2000!O6</f>
        <v>0</v>
      </c>
      <c r="E7" s="349">
        <f>[41]Gagnants_perdants_2000!P6</f>
        <v>0</v>
      </c>
      <c r="F7" s="349">
        <f>[41]Gagnants_perdants_2000!Q6</f>
        <v>0.81578947368421095</v>
      </c>
      <c r="G7" s="349">
        <f>[41]Gagnants_perdants_2000!R6</f>
        <v>0.10526315789473699</v>
      </c>
      <c r="H7" s="350">
        <f>[41]Gagnants_perdants_2000!S6</f>
        <v>7.8947368421052599E-2</v>
      </c>
    </row>
    <row r="8" spans="1:8" ht="15">
      <c r="B8" s="366" t="s">
        <v>79</v>
      </c>
      <c r="C8" s="363">
        <f>[41]Gagnants_perdants_2000!N7</f>
        <v>0</v>
      </c>
      <c r="D8" s="349">
        <f>[41]Gagnants_perdants_2000!O7</f>
        <v>0</v>
      </c>
      <c r="E8" s="349">
        <f>[41]Gagnants_perdants_2000!P7</f>
        <v>0</v>
      </c>
      <c r="F8" s="349">
        <f>[41]Gagnants_perdants_2000!Q7</f>
        <v>0.30597014925373101</v>
      </c>
      <c r="G8" s="349">
        <f>[41]Gagnants_perdants_2000!R7</f>
        <v>0.19029850746268701</v>
      </c>
      <c r="H8" s="350">
        <f>[41]Gagnants_perdants_2000!S7</f>
        <v>0.50373134328358193</v>
      </c>
    </row>
    <row r="9" spans="1:8" ht="15.75" thickBot="1">
      <c r="B9" s="367" t="s">
        <v>80</v>
      </c>
      <c r="C9" s="364">
        <f>[41]Gagnants_perdants_2000!N8</f>
        <v>0</v>
      </c>
      <c r="D9" s="354">
        <f>[41]Gagnants_perdants_2000!O8</f>
        <v>0</v>
      </c>
      <c r="E9" s="354">
        <f>[41]Gagnants_perdants_2000!P8</f>
        <v>0</v>
      </c>
      <c r="F9" s="354">
        <f>[41]Gagnants_perdants_2000!Q8</f>
        <v>3.3898305084745804E-2</v>
      </c>
      <c r="G9" s="354">
        <f>[41]Gagnants_perdants_2000!R8</f>
        <v>0</v>
      </c>
      <c r="H9" s="355">
        <f>[41]Gagnants_perdants_2000!S8</f>
        <v>0.96610169491525399</v>
      </c>
    </row>
    <row r="10" spans="1:8" ht="15" thickBot="1">
      <c r="B10" s="356"/>
      <c r="C10" s="356"/>
      <c r="D10" s="356"/>
      <c r="E10" s="356"/>
      <c r="F10" s="356"/>
      <c r="G10" s="356"/>
      <c r="H10" s="356"/>
    </row>
    <row r="11" spans="1:8" ht="15">
      <c r="B11" s="365" t="s">
        <v>89</v>
      </c>
      <c r="C11" s="362">
        <f>[41]Gagnants_perdants_2000!N10</f>
        <v>0</v>
      </c>
      <c r="D11" s="357">
        <f>[41]Gagnants_perdants_2000!O10</f>
        <v>0</v>
      </c>
      <c r="E11" s="357">
        <f>[41]Gagnants_perdants_2000!P10</f>
        <v>0</v>
      </c>
      <c r="F11" s="357">
        <f>[41]Gagnants_perdants_2000!Q10</f>
        <v>0.97727272727272707</v>
      </c>
      <c r="G11" s="357">
        <f>[41]Gagnants_perdants_2000!R10</f>
        <v>0</v>
      </c>
      <c r="H11" s="358">
        <f>[41]Gagnants_perdants_2000!S10</f>
        <v>2.2727272727272697E-2</v>
      </c>
    </row>
    <row r="12" spans="1:8" ht="15">
      <c r="B12" s="366" t="s">
        <v>90</v>
      </c>
      <c r="C12" s="363">
        <f>[41]Gagnants_perdants_2000!N11</f>
        <v>0</v>
      </c>
      <c r="D12" s="349">
        <f>[41]Gagnants_perdants_2000!O11</f>
        <v>0</v>
      </c>
      <c r="E12" s="349">
        <f>[41]Gagnants_perdants_2000!P11</f>
        <v>0</v>
      </c>
      <c r="F12" s="349">
        <f>[41]Gagnants_perdants_2000!Q11</f>
        <v>0.87272727272727291</v>
      </c>
      <c r="G12" s="349">
        <f>[41]Gagnants_perdants_2000!R11</f>
        <v>0.10909090909090899</v>
      </c>
      <c r="H12" s="350">
        <f>[41]Gagnants_perdants_2000!S11</f>
        <v>1.8181818181818198E-2</v>
      </c>
    </row>
    <row r="13" spans="1:8" ht="15">
      <c r="B13" s="366" t="s">
        <v>91</v>
      </c>
      <c r="C13" s="363">
        <f>[41]Gagnants_perdants_2000!N12</f>
        <v>0</v>
      </c>
      <c r="D13" s="349">
        <f>[41]Gagnants_perdants_2000!O12</f>
        <v>0</v>
      </c>
      <c r="E13" s="349">
        <f>[41]Gagnants_perdants_2000!P12</f>
        <v>0</v>
      </c>
      <c r="F13" s="349">
        <f>[41]Gagnants_perdants_2000!Q12</f>
        <v>0.63636363636363602</v>
      </c>
      <c r="G13" s="349">
        <f>[41]Gagnants_perdants_2000!R12</f>
        <v>0.24242424242424199</v>
      </c>
      <c r="H13" s="350">
        <f>[41]Gagnants_perdants_2000!S12</f>
        <v>0.12121212121212099</v>
      </c>
    </row>
    <row r="14" spans="1:8" ht="15">
      <c r="B14" s="366" t="s">
        <v>92</v>
      </c>
      <c r="C14" s="363">
        <f>[41]Gagnants_perdants_2000!N13</f>
        <v>0</v>
      </c>
      <c r="D14" s="349">
        <f>[41]Gagnants_perdants_2000!O13</f>
        <v>0</v>
      </c>
      <c r="E14" s="349">
        <f>[41]Gagnants_perdants_2000!P13</f>
        <v>0</v>
      </c>
      <c r="F14" s="349">
        <f>[41]Gagnants_perdants_2000!Q13</f>
        <v>0.20689655172413801</v>
      </c>
      <c r="G14" s="349">
        <f>[41]Gagnants_perdants_2000!R13</f>
        <v>0.27586206896551702</v>
      </c>
      <c r="H14" s="350">
        <f>[41]Gagnants_perdants_2000!S13</f>
        <v>0.51724137931034497</v>
      </c>
    </row>
    <row r="15" spans="1:8" ht="15.75" thickBot="1">
      <c r="B15" s="367" t="s">
        <v>93</v>
      </c>
      <c r="C15" s="364">
        <f>[41]Gagnants_perdants_2000!N14</f>
        <v>0</v>
      </c>
      <c r="D15" s="354">
        <f>[41]Gagnants_perdants_2000!O14</f>
        <v>0</v>
      </c>
      <c r="E15" s="354">
        <f>[41]Gagnants_perdants_2000!P14</f>
        <v>0</v>
      </c>
      <c r="F15" s="354">
        <f>[41]Gagnants_perdants_2000!Q14</f>
        <v>3.2258064516128997E-2</v>
      </c>
      <c r="G15" s="354">
        <f>[41]Gagnants_perdants_2000!R14</f>
        <v>0.225806451612903</v>
      </c>
      <c r="H15" s="355">
        <f>[41]Gagnants_perdants_2000!S14</f>
        <v>0.74193548387096797</v>
      </c>
    </row>
    <row r="16" spans="1:8" ht="15" customHeight="1" thickBot="1">
      <c r="B16" s="356"/>
      <c r="C16" s="356"/>
      <c r="D16" s="356"/>
      <c r="E16" s="356"/>
      <c r="F16" s="356"/>
      <c r="G16" s="356"/>
      <c r="H16" s="356"/>
    </row>
    <row r="17" spans="2:8" ht="15">
      <c r="B17" s="365" t="str">
        <f>[41]Gagnants_perdants_2000!M16</f>
        <v xml:space="preserve">Femmes </v>
      </c>
      <c r="C17" s="362">
        <f>[41]Gagnants_perdants_2000!N16</f>
        <v>0</v>
      </c>
      <c r="D17" s="357">
        <f>[41]Gagnants_perdants_2000!O16</f>
        <v>0</v>
      </c>
      <c r="E17" s="357">
        <f>[41]Gagnants_perdants_2000!P16</f>
        <v>0</v>
      </c>
      <c r="F17" s="357">
        <f>[41]Gagnants_perdants_2000!Q16</f>
        <v>0.60823754789272</v>
      </c>
      <c r="G17" s="357">
        <f>[41]Gagnants_perdants_2000!R16</f>
        <v>9.0038314176245193E-2</v>
      </c>
      <c r="H17" s="358">
        <f>[41]Gagnants_perdants_2000!S16</f>
        <v>0.30172413793103398</v>
      </c>
    </row>
    <row r="18" spans="2:8" ht="15">
      <c r="B18" s="366" t="str">
        <f>[41]Gagnants_perdants_2000!M17</f>
        <v>Hommes</v>
      </c>
      <c r="C18" s="363">
        <f>[41]Gagnants_perdants_2000!N17</f>
        <v>0</v>
      </c>
      <c r="D18" s="349">
        <f>[41]Gagnants_perdants_2000!O17</f>
        <v>0</v>
      </c>
      <c r="E18" s="349">
        <f>[41]Gagnants_perdants_2000!P17</f>
        <v>0</v>
      </c>
      <c r="F18" s="349">
        <f>[41]Gagnants_perdants_2000!Q17</f>
        <v>0.56168831168831201</v>
      </c>
      <c r="G18" s="349">
        <f>[41]Gagnants_perdants_2000!R17</f>
        <v>8.2792207792207806E-2</v>
      </c>
      <c r="H18" s="350">
        <f>[41]Gagnants_perdants_2000!S17</f>
        <v>0.35551948051948101</v>
      </c>
    </row>
    <row r="19" spans="2:8" ht="15.75" thickBot="1">
      <c r="B19" s="367" t="str">
        <f>[41]Gagnants_perdants_2000!M18</f>
        <v>Ensemble</v>
      </c>
      <c r="C19" s="364">
        <f>[41]Gagnants_perdants_2000!N18</f>
        <v>0</v>
      </c>
      <c r="D19" s="354">
        <f>[41]Gagnants_perdants_2000!O18</f>
        <v>0</v>
      </c>
      <c r="E19" s="354">
        <f>[41]Gagnants_perdants_2000!P18</f>
        <v>0</v>
      </c>
      <c r="F19" s="354">
        <f>[41]Gagnants_perdants_2000!Q18</f>
        <v>0.59096385542168695</v>
      </c>
      <c r="G19" s="354">
        <f>[41]Gagnants_perdants_2000!R18</f>
        <v>8.7349397590361394E-2</v>
      </c>
      <c r="H19" s="355">
        <f>[41]Gagnants_perdants_2000!S18</f>
        <v>0.32168674698795202</v>
      </c>
    </row>
    <row r="21" spans="2:8">
      <c r="B21" s="177" t="s">
        <v>63</v>
      </c>
    </row>
  </sheetData>
  <hyperlinks>
    <hyperlink ref="A2" location="SOMMAIRE!A1" display="Retour au sommaire" xr:uid="{82725542-CD2F-4BA5-A7F4-DC5EFA0A4C01}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F60C-3F76-4F01-A937-4455AF469B2F}">
  <sheetPr>
    <tabColor theme="4"/>
  </sheetPr>
  <dimension ref="A1:H33"/>
  <sheetViews>
    <sheetView workbookViewId="0"/>
  </sheetViews>
  <sheetFormatPr baseColWidth="10" defaultRowHeight="14.25"/>
  <cols>
    <col min="2" max="2" width="35.625" customWidth="1"/>
    <col min="3" max="3" width="6.875" bestFit="1" customWidth="1"/>
    <col min="4" max="4" width="20.25" bestFit="1" customWidth="1"/>
    <col min="5" max="5" width="17.5" bestFit="1" customWidth="1"/>
    <col min="6" max="6" width="17.75" bestFit="1" customWidth="1"/>
    <col min="7" max="7" width="19.75" bestFit="1" customWidth="1"/>
    <col min="8" max="8" width="11.75" bestFit="1" customWidth="1"/>
  </cols>
  <sheetData>
    <row r="1" spans="1:8" ht="15.75">
      <c r="A1" s="2" t="s">
        <v>110</v>
      </c>
    </row>
    <row r="2" spans="1:8">
      <c r="A2" s="6" t="s">
        <v>2</v>
      </c>
    </row>
    <row r="3" spans="1:8" ht="15" thickBot="1"/>
    <row r="4" spans="1:8" ht="15.75" thickBot="1">
      <c r="B4" s="361"/>
      <c r="C4" s="346" t="str">
        <f>[42]Gagnants_perdants_2000!N3</f>
        <v>-100 %</v>
      </c>
      <c r="D4" s="347" t="str">
        <f>[42]Gagnants_perdants_2000!O3</f>
        <v xml:space="preserve">Entre -100 % et -20 % </v>
      </c>
      <c r="E4" s="347" t="str">
        <f>[42]Gagnants_perdants_2000!P3</f>
        <v>Entre- 20 % à - 1 %</v>
      </c>
      <c r="F4" s="347" t="str">
        <f>[42]Gagnants_perdants_2000!Q3</f>
        <v>Entre - 1 % et + 1%</v>
      </c>
      <c r="G4" s="347" t="str">
        <f>[42]Gagnants_perdants_2000!R3</f>
        <v>Entre + 1 % et + 20 %</v>
      </c>
      <c r="H4" s="348" t="str">
        <f>[42]Gagnants_perdants_2000!S3</f>
        <v>Plus de 20 %</v>
      </c>
    </row>
    <row r="5" spans="1:8" ht="15">
      <c r="B5" s="368" t="str">
        <f>[42]Gagnants_perdants_2000!M4</f>
        <v>Q1</v>
      </c>
      <c r="C5" s="374">
        <f>[42]Gagnants_perdants_2000!N4</f>
        <v>1.0273972602739701E-2</v>
      </c>
      <c r="D5" s="375">
        <f>[42]Gagnants_perdants_2000!O4</f>
        <v>1.0273972602739701E-2</v>
      </c>
      <c r="E5" s="375">
        <f>[42]Gagnants_perdants_2000!P4</f>
        <v>4.7945205479452108E-2</v>
      </c>
      <c r="F5" s="375">
        <f>[42]Gagnants_perdants_2000!Q4</f>
        <v>0.931506849315068</v>
      </c>
      <c r="G5" s="375">
        <f>[42]Gagnants_perdants_2000!R4</f>
        <v>0</v>
      </c>
      <c r="H5" s="376">
        <f>[42]Gagnants_perdants_2000!S4</f>
        <v>0</v>
      </c>
    </row>
    <row r="6" spans="1:8" ht="15">
      <c r="B6" s="369" t="str">
        <f>[42]Gagnants_perdants_2000!M5</f>
        <v>Q2</v>
      </c>
      <c r="C6" s="377">
        <f>[42]Gagnants_perdants_2000!N5</f>
        <v>0</v>
      </c>
      <c r="D6" s="378">
        <f>[42]Gagnants_perdants_2000!O5</f>
        <v>9.0634441087613302E-3</v>
      </c>
      <c r="E6" s="378">
        <f>[42]Gagnants_perdants_2000!P5</f>
        <v>7.5528700906344393E-2</v>
      </c>
      <c r="F6" s="378">
        <f>[42]Gagnants_perdants_2000!Q5</f>
        <v>0.91540785498489396</v>
      </c>
      <c r="G6" s="378">
        <f>[42]Gagnants_perdants_2000!R5</f>
        <v>0</v>
      </c>
      <c r="H6" s="379">
        <f>[42]Gagnants_perdants_2000!S5</f>
        <v>0</v>
      </c>
    </row>
    <row r="7" spans="1:8" ht="15">
      <c r="B7" s="369" t="str">
        <f>[42]Gagnants_perdants_2000!M6</f>
        <v>Q3</v>
      </c>
      <c r="C7" s="377">
        <f>[42]Gagnants_perdants_2000!N6</f>
        <v>0</v>
      </c>
      <c r="D7" s="378">
        <f>[42]Gagnants_perdants_2000!O6</f>
        <v>4.9275362318840603E-2</v>
      </c>
      <c r="E7" s="378">
        <f>[42]Gagnants_perdants_2000!P6</f>
        <v>9.8550724637681206E-2</v>
      </c>
      <c r="F7" s="378">
        <f>[42]Gagnants_perdants_2000!Q6</f>
        <v>0.84927536231884104</v>
      </c>
      <c r="G7" s="378">
        <f>[42]Gagnants_perdants_2000!R6</f>
        <v>2.8985507246376803E-3</v>
      </c>
      <c r="H7" s="379">
        <f>[42]Gagnants_perdants_2000!S6</f>
        <v>0</v>
      </c>
    </row>
    <row r="8" spans="1:8" ht="15">
      <c r="B8" s="369" t="str">
        <f>[42]Gagnants_perdants_2000!M7</f>
        <v>Q4</v>
      </c>
      <c r="C8" s="377">
        <f>[42]Gagnants_perdants_2000!N7</f>
        <v>2.0895522388059699E-2</v>
      </c>
      <c r="D8" s="378">
        <f>[42]Gagnants_perdants_2000!O7</f>
        <v>0.13731343283582101</v>
      </c>
      <c r="E8" s="378">
        <f>[42]Gagnants_perdants_2000!P7</f>
        <v>0.119402985074627</v>
      </c>
      <c r="F8" s="378">
        <f>[42]Gagnants_perdants_2000!Q7</f>
        <v>0.62686567164179108</v>
      </c>
      <c r="G8" s="378">
        <f>[42]Gagnants_perdants_2000!R7</f>
        <v>9.2537313432835791E-2</v>
      </c>
      <c r="H8" s="379">
        <f>[42]Gagnants_perdants_2000!S7</f>
        <v>2.9850746268656704E-3</v>
      </c>
    </row>
    <row r="9" spans="1:8" ht="15.75" thickBot="1">
      <c r="B9" s="370" t="str">
        <f>[42]Gagnants_perdants_2000!M8</f>
        <v>Q5</v>
      </c>
      <c r="C9" s="380">
        <f>[42]Gagnants_perdants_2000!N8</f>
        <v>0.58466453674121399</v>
      </c>
      <c r="D9" s="381">
        <f>[42]Gagnants_perdants_2000!O8</f>
        <v>0.194888178913738</v>
      </c>
      <c r="E9" s="381">
        <f>[42]Gagnants_perdants_2000!P8</f>
        <v>5.4313099041533502E-2</v>
      </c>
      <c r="F9" s="381">
        <f>[42]Gagnants_perdants_2000!Q8</f>
        <v>0.11501597444089499</v>
      </c>
      <c r="G9" s="381">
        <f>[42]Gagnants_perdants_2000!R8</f>
        <v>5.1118210862619799E-2</v>
      </c>
      <c r="H9" s="382">
        <f>[42]Gagnants_perdants_2000!S8</f>
        <v>0</v>
      </c>
    </row>
    <row r="10" spans="1:8" ht="15.75" thickBot="1">
      <c r="B10" s="359"/>
      <c r="C10" s="360"/>
      <c r="D10" s="360"/>
      <c r="E10" s="360"/>
      <c r="F10" s="360"/>
      <c r="G10" s="360"/>
      <c r="H10" s="360"/>
    </row>
    <row r="11" spans="1:8" ht="15">
      <c r="B11" s="368" t="s">
        <v>77</v>
      </c>
      <c r="C11" s="374">
        <f>[42]Gagnants_perdants_2000!N10</f>
        <v>4.11522633744856E-3</v>
      </c>
      <c r="D11" s="375">
        <f>[42]Gagnants_perdants_2000!O10</f>
        <v>4.11522633744856E-3</v>
      </c>
      <c r="E11" s="375">
        <f>[42]Gagnants_perdants_2000!P10</f>
        <v>3.7037037037037E-2</v>
      </c>
      <c r="F11" s="375">
        <f>[42]Gagnants_perdants_2000!Q10</f>
        <v>0.95473251028806605</v>
      </c>
      <c r="G11" s="375">
        <f>[42]Gagnants_perdants_2000!R10</f>
        <v>0</v>
      </c>
      <c r="H11" s="376">
        <f>[42]Gagnants_perdants_2000!S10</f>
        <v>0</v>
      </c>
    </row>
    <row r="12" spans="1:8" ht="15">
      <c r="B12" s="369" t="s">
        <v>76</v>
      </c>
      <c r="C12" s="377">
        <f>[42]Gagnants_perdants_2000!N11</f>
        <v>0</v>
      </c>
      <c r="D12" s="378">
        <f>[42]Gagnants_perdants_2000!O11</f>
        <v>0</v>
      </c>
      <c r="E12" s="378">
        <f>[42]Gagnants_perdants_2000!P11</f>
        <v>6.22710622710623E-2</v>
      </c>
      <c r="F12" s="378">
        <f>[42]Gagnants_perdants_2000!Q11</f>
        <v>0.93772893772893795</v>
      </c>
      <c r="G12" s="378">
        <f>[42]Gagnants_perdants_2000!R11</f>
        <v>0</v>
      </c>
      <c r="H12" s="379">
        <f>[42]Gagnants_perdants_2000!S11</f>
        <v>0</v>
      </c>
    </row>
    <row r="13" spans="1:8" ht="15">
      <c r="B13" s="369" t="s">
        <v>78</v>
      </c>
      <c r="C13" s="377">
        <f>[42]Gagnants_perdants_2000!N12</f>
        <v>0</v>
      </c>
      <c r="D13" s="378">
        <f>[42]Gagnants_perdants_2000!O12</f>
        <v>3.7593984962406E-3</v>
      </c>
      <c r="E13" s="378">
        <f>[42]Gagnants_perdants_2000!P12</f>
        <v>8.2706766917293215E-2</v>
      </c>
      <c r="F13" s="378">
        <f>[42]Gagnants_perdants_2000!Q12</f>
        <v>0.90977443609022601</v>
      </c>
      <c r="G13" s="378">
        <f>[42]Gagnants_perdants_2000!R12</f>
        <v>3.7593984962406E-3</v>
      </c>
      <c r="H13" s="379">
        <f>[42]Gagnants_perdants_2000!S12</f>
        <v>0</v>
      </c>
    </row>
    <row r="14" spans="1:8" ht="15">
      <c r="B14" s="369" t="s">
        <v>79</v>
      </c>
      <c r="C14" s="377">
        <f>[42]Gagnants_perdants_2000!N13</f>
        <v>2.2388059701492501E-2</v>
      </c>
      <c r="D14" s="378">
        <f>[42]Gagnants_perdants_2000!O13</f>
        <v>3.7313432835820899E-2</v>
      </c>
      <c r="E14" s="378">
        <f>[42]Gagnants_perdants_2000!P13</f>
        <v>0.119402985074627</v>
      </c>
      <c r="F14" s="378">
        <f>[42]Gagnants_perdants_2000!Q13</f>
        <v>0.72761194029850695</v>
      </c>
      <c r="G14" s="378">
        <f>[42]Gagnants_perdants_2000!R13</f>
        <v>8.9552238805970102E-2</v>
      </c>
      <c r="H14" s="379">
        <f>[42]Gagnants_perdants_2000!S13</f>
        <v>3.7313432835820899E-3</v>
      </c>
    </row>
    <row r="15" spans="1:8" ht="15.75" thickBot="1">
      <c r="B15" s="370" t="s">
        <v>80</v>
      </c>
      <c r="C15" s="380">
        <f>[42]Gagnants_perdants_2000!N14</f>
        <v>0.53389830508474601</v>
      </c>
      <c r="D15" s="381">
        <f>[42]Gagnants_perdants_2000!O14</f>
        <v>0.186440677966102</v>
      </c>
      <c r="E15" s="381">
        <f>[42]Gagnants_perdants_2000!P14</f>
        <v>6.7796610169491497E-2</v>
      </c>
      <c r="F15" s="381">
        <f>[42]Gagnants_perdants_2000!Q14</f>
        <v>0.144067796610169</v>
      </c>
      <c r="G15" s="381">
        <f>[42]Gagnants_perdants_2000!R14</f>
        <v>6.7796610169491497E-2</v>
      </c>
      <c r="H15" s="382">
        <f>[42]Gagnants_perdants_2000!S14</f>
        <v>0</v>
      </c>
    </row>
    <row r="16" spans="1:8" ht="15.75" thickBot="1">
      <c r="B16" s="359"/>
      <c r="C16" s="360"/>
      <c r="D16" s="360"/>
      <c r="E16" s="360"/>
      <c r="F16" s="360"/>
      <c r="G16" s="360"/>
      <c r="H16" s="360"/>
    </row>
    <row r="17" spans="2:8" ht="15">
      <c r="B17" s="368" t="s">
        <v>84</v>
      </c>
      <c r="C17" s="374">
        <f>[42]Gagnants_perdants_2000!N16</f>
        <v>0.2</v>
      </c>
      <c r="D17" s="375">
        <f>[42]Gagnants_perdants_2000!O16</f>
        <v>0.2</v>
      </c>
      <c r="E17" s="375">
        <f>[42]Gagnants_perdants_2000!P16</f>
        <v>0.2</v>
      </c>
      <c r="F17" s="375">
        <f>[42]Gagnants_perdants_2000!Q16</f>
        <v>0.4</v>
      </c>
      <c r="G17" s="375">
        <f>[42]Gagnants_perdants_2000!R16</f>
        <v>0</v>
      </c>
      <c r="H17" s="376">
        <f>[42]Gagnants_perdants_2000!S16</f>
        <v>0</v>
      </c>
    </row>
    <row r="18" spans="2:8" ht="15">
      <c r="B18" s="369" t="s">
        <v>85</v>
      </c>
      <c r="C18" s="377">
        <f>[42]Gagnants_perdants_2000!N17</f>
        <v>0</v>
      </c>
      <c r="D18" s="378">
        <f>[42]Gagnants_perdants_2000!O17</f>
        <v>0.33333333333333298</v>
      </c>
      <c r="E18" s="378">
        <f>[42]Gagnants_perdants_2000!P17</f>
        <v>0</v>
      </c>
      <c r="F18" s="378">
        <f>[42]Gagnants_perdants_2000!Q17</f>
        <v>0.66666666666666696</v>
      </c>
      <c r="G18" s="378">
        <f>[42]Gagnants_perdants_2000!R17</f>
        <v>0</v>
      </c>
      <c r="H18" s="379">
        <f>[42]Gagnants_perdants_2000!S17</f>
        <v>0</v>
      </c>
    </row>
    <row r="19" spans="2:8" ht="15">
      <c r="B19" s="369" t="s">
        <v>86</v>
      </c>
      <c r="C19" s="377">
        <f>[42]Gagnants_perdants_2000!N18</f>
        <v>0</v>
      </c>
      <c r="D19" s="378">
        <f>[42]Gagnants_perdants_2000!O18</f>
        <v>0.46153846153846201</v>
      </c>
      <c r="E19" s="378">
        <f>[42]Gagnants_perdants_2000!P18</f>
        <v>0.15384615384615399</v>
      </c>
      <c r="F19" s="378">
        <f>[42]Gagnants_perdants_2000!Q18</f>
        <v>0.38461538461538503</v>
      </c>
      <c r="G19" s="378">
        <f>[42]Gagnants_perdants_2000!R18</f>
        <v>0</v>
      </c>
      <c r="H19" s="379">
        <f>[42]Gagnants_perdants_2000!S18</f>
        <v>0</v>
      </c>
    </row>
    <row r="20" spans="2:8" ht="15">
      <c r="B20" s="369" t="s">
        <v>87</v>
      </c>
      <c r="C20" s="377">
        <f>[42]Gagnants_perdants_2000!N19</f>
        <v>0</v>
      </c>
      <c r="D20" s="378">
        <f>[42]Gagnants_perdants_2000!O19</f>
        <v>0.88888888888888895</v>
      </c>
      <c r="E20" s="378">
        <f>[42]Gagnants_perdants_2000!P19</f>
        <v>0.11111111111111099</v>
      </c>
      <c r="F20" s="378">
        <f>[42]Gagnants_perdants_2000!Q19</f>
        <v>0</v>
      </c>
      <c r="G20" s="378">
        <f>[42]Gagnants_perdants_2000!R19</f>
        <v>0</v>
      </c>
      <c r="H20" s="379">
        <f>[42]Gagnants_perdants_2000!S19</f>
        <v>0</v>
      </c>
    </row>
    <row r="21" spans="2:8" ht="15.75" thickBot="1">
      <c r="B21" s="370" t="s">
        <v>88</v>
      </c>
      <c r="C21" s="380">
        <f>[42]Gagnants_perdants_2000!N20</f>
        <v>0.73333333333333295</v>
      </c>
      <c r="D21" s="381">
        <f>[42]Gagnants_perdants_2000!O20</f>
        <v>0.2</v>
      </c>
      <c r="E21" s="381">
        <f>[42]Gagnants_perdants_2000!P20</f>
        <v>6.6666666666666693E-2</v>
      </c>
      <c r="F21" s="381">
        <f>[42]Gagnants_perdants_2000!Q20</f>
        <v>0</v>
      </c>
      <c r="G21" s="381">
        <f>[42]Gagnants_perdants_2000!R20</f>
        <v>0</v>
      </c>
      <c r="H21" s="382">
        <f>[42]Gagnants_perdants_2000!S20</f>
        <v>0</v>
      </c>
    </row>
    <row r="22" spans="2:8" ht="15.75" thickBot="1">
      <c r="B22" s="359"/>
      <c r="C22" s="360"/>
      <c r="D22" s="360"/>
      <c r="E22" s="360"/>
      <c r="F22" s="360"/>
      <c r="G22" s="360"/>
      <c r="H22" s="360"/>
    </row>
    <row r="23" spans="2:8" ht="15">
      <c r="B23" s="371" t="s">
        <v>89</v>
      </c>
      <c r="C23" s="374">
        <f>[42]Gagnants_perdants_2000!N22</f>
        <v>2.2727272727272697E-2</v>
      </c>
      <c r="D23" s="375">
        <f>[42]Gagnants_perdants_2000!O22</f>
        <v>2.2727272727272697E-2</v>
      </c>
      <c r="E23" s="375">
        <f>[42]Gagnants_perdants_2000!P22</f>
        <v>9.0909090909090898E-2</v>
      </c>
      <c r="F23" s="375">
        <f>[42]Gagnants_perdants_2000!Q22</f>
        <v>0.86363636363636398</v>
      </c>
      <c r="G23" s="375">
        <f>[42]Gagnants_perdants_2000!R22</f>
        <v>0</v>
      </c>
      <c r="H23" s="376">
        <f>[42]Gagnants_perdants_2000!S22</f>
        <v>0</v>
      </c>
    </row>
    <row r="24" spans="2:8" ht="15">
      <c r="B24" s="372" t="s">
        <v>90</v>
      </c>
      <c r="C24" s="377">
        <f>[42]Gagnants_perdants_2000!N23</f>
        <v>0</v>
      </c>
      <c r="D24" s="378">
        <f>[42]Gagnants_perdants_2000!O23</f>
        <v>3.6363636363636397E-2</v>
      </c>
      <c r="E24" s="378">
        <f>[42]Gagnants_perdants_2000!P23</f>
        <v>0.145454545454545</v>
      </c>
      <c r="F24" s="378">
        <f>[42]Gagnants_perdants_2000!Q23</f>
        <v>0.81818181818181801</v>
      </c>
      <c r="G24" s="378">
        <f>[42]Gagnants_perdants_2000!R23</f>
        <v>0</v>
      </c>
      <c r="H24" s="379">
        <f>[42]Gagnants_perdants_2000!S23</f>
        <v>0</v>
      </c>
    </row>
    <row r="25" spans="2:8" ht="15">
      <c r="B25" s="372" t="s">
        <v>91</v>
      </c>
      <c r="C25" s="377">
        <f>[42]Gagnants_perdants_2000!N24</f>
        <v>0</v>
      </c>
      <c r="D25" s="378">
        <f>[42]Gagnants_perdants_2000!O24</f>
        <v>0.15151515151515199</v>
      </c>
      <c r="E25" s="378">
        <f>[42]Gagnants_perdants_2000!P24</f>
        <v>0.15151515151515199</v>
      </c>
      <c r="F25" s="378">
        <f>[42]Gagnants_perdants_2000!Q24</f>
        <v>0.69696969696969702</v>
      </c>
      <c r="G25" s="378">
        <f>[42]Gagnants_perdants_2000!R24</f>
        <v>0</v>
      </c>
      <c r="H25" s="379">
        <f>[42]Gagnants_perdants_2000!S24</f>
        <v>0</v>
      </c>
    </row>
    <row r="26" spans="2:8" ht="15">
      <c r="B26" s="372" t="s">
        <v>92</v>
      </c>
      <c r="C26" s="377">
        <f>[42]Gagnants_perdants_2000!N25</f>
        <v>1.72413793103448E-2</v>
      </c>
      <c r="D26" s="378">
        <f>[42]Gagnants_perdants_2000!O25</f>
        <v>0.48275862068965503</v>
      </c>
      <c r="E26" s="378">
        <f>[42]Gagnants_perdants_2000!P25</f>
        <v>0.12068965517241401</v>
      </c>
      <c r="F26" s="378">
        <f>[42]Gagnants_perdants_2000!Q25</f>
        <v>0.25862068965517199</v>
      </c>
      <c r="G26" s="378">
        <f>[42]Gagnants_perdants_2000!R25</f>
        <v>0.12068965517241401</v>
      </c>
      <c r="H26" s="379">
        <f>[42]Gagnants_perdants_2000!S25</f>
        <v>0</v>
      </c>
    </row>
    <row r="27" spans="2:8" ht="15.75" thickBot="1">
      <c r="B27" s="373" t="s">
        <v>93</v>
      </c>
      <c r="C27" s="380">
        <f>[42]Gagnants_perdants_2000!N26</f>
        <v>0.74193548387096797</v>
      </c>
      <c r="D27" s="381">
        <f>[42]Gagnants_perdants_2000!O26</f>
        <v>0.225806451612903</v>
      </c>
      <c r="E27" s="381">
        <f>[42]Gagnants_perdants_2000!P26</f>
        <v>0</v>
      </c>
      <c r="F27" s="381">
        <f>[42]Gagnants_perdants_2000!Q26</f>
        <v>3.2258064516128997E-2</v>
      </c>
      <c r="G27" s="381">
        <f>[42]Gagnants_perdants_2000!R26</f>
        <v>0</v>
      </c>
      <c r="H27" s="382">
        <f>[42]Gagnants_perdants_2000!S26</f>
        <v>0</v>
      </c>
    </row>
    <row r="28" spans="2:8" ht="15.75" thickBot="1">
      <c r="B28" s="359"/>
      <c r="C28" s="360"/>
      <c r="D28" s="360"/>
      <c r="E28" s="360"/>
      <c r="F28" s="360"/>
      <c r="G28" s="360"/>
      <c r="H28" s="360"/>
    </row>
    <row r="29" spans="2:8" ht="15">
      <c r="B29" s="368" t="str">
        <f>[42]Gagnants_perdants_2000!M28</f>
        <v>Femmes</v>
      </c>
      <c r="C29" s="374">
        <f>[42]Gagnants_perdants_2000!N28</f>
        <v>9.6993210475266697E-2</v>
      </c>
      <c r="D29" s="375">
        <f>[42]Gagnants_perdants_2000!O28</f>
        <v>6.8865179437439403E-2</v>
      </c>
      <c r="E29" s="375">
        <f>[42]Gagnants_perdants_2000!P28</f>
        <v>9.5053346265761396E-2</v>
      </c>
      <c r="F29" s="375">
        <f>[42]Gagnants_perdants_2000!Q28</f>
        <v>0.70417070805043702</v>
      </c>
      <c r="G29" s="375">
        <f>[42]Gagnants_perdants_2000!R28</f>
        <v>3.39476236663434E-2</v>
      </c>
      <c r="H29" s="376">
        <f>[42]Gagnants_perdants_2000!S28</f>
        <v>9.69932104752667E-4</v>
      </c>
    </row>
    <row r="30" spans="2:8" ht="15">
      <c r="B30" s="369" t="str">
        <f>[42]Gagnants_perdants_2000!M29</f>
        <v xml:space="preserve">Hommes </v>
      </c>
      <c r="C30" s="377">
        <f>[42]Gagnants_perdants_2000!N29</f>
        <v>0.15897435897435899</v>
      </c>
      <c r="D30" s="378">
        <f>[42]Gagnants_perdants_2000!O29</f>
        <v>0.100854700854701</v>
      </c>
      <c r="E30" s="378">
        <f>[42]Gagnants_perdants_2000!P29</f>
        <v>5.4700854700854701E-2</v>
      </c>
      <c r="F30" s="378">
        <f>[42]Gagnants_perdants_2000!Q29</f>
        <v>0.663247863247863</v>
      </c>
      <c r="G30" s="378">
        <f>[42]Gagnants_perdants_2000!R29</f>
        <v>2.2222222222222202E-2</v>
      </c>
      <c r="H30" s="379">
        <f>[42]Gagnants_perdants_2000!S29</f>
        <v>0</v>
      </c>
    </row>
    <row r="31" spans="2:8" ht="15.75" thickBot="1">
      <c r="B31" s="370" t="str">
        <f>[42]Gagnants_perdants_2000!M30</f>
        <v>Ensemble</v>
      </c>
      <c r="C31" s="380">
        <f>[42]Gagnants_perdants_2000!N30</f>
        <v>0.11943069306930701</v>
      </c>
      <c r="D31" s="381">
        <f>[42]Gagnants_perdants_2000!O30</f>
        <v>8.0445544554455406E-2</v>
      </c>
      <c r="E31" s="381">
        <f>[42]Gagnants_perdants_2000!P30</f>
        <v>8.0445544554455406E-2</v>
      </c>
      <c r="F31" s="381">
        <f>[42]Gagnants_perdants_2000!Q30</f>
        <v>0.68935643564356397</v>
      </c>
      <c r="G31" s="381">
        <f>[42]Gagnants_perdants_2000!R30</f>
        <v>2.9702970297029698E-2</v>
      </c>
      <c r="H31" s="382">
        <f>[42]Gagnants_perdants_2000!S30</f>
        <v>6.1881188118811904E-4</v>
      </c>
    </row>
    <row r="33" spans="2:2">
      <c r="B33" s="177" t="s">
        <v>63</v>
      </c>
    </row>
  </sheetData>
  <hyperlinks>
    <hyperlink ref="A2" location="SOMMAIRE!A1" display="Retour au sommaire" xr:uid="{E67545EC-3EE6-43E5-B329-0C31809E94A1}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6A1B-A25A-4054-88C8-C310570D2564}">
  <sheetPr>
    <tabColor theme="4"/>
  </sheetPr>
  <dimension ref="A1:AU11"/>
  <sheetViews>
    <sheetView zoomScaleNormal="100" workbookViewId="0">
      <selection activeCell="A2" sqref="A2"/>
    </sheetView>
  </sheetViews>
  <sheetFormatPr baseColWidth="10" defaultRowHeight="14.25"/>
  <cols>
    <col min="2" max="2" width="16.125" bestFit="1" customWidth="1"/>
  </cols>
  <sheetData>
    <row r="1" spans="1:47" ht="15.75">
      <c r="A1" s="2" t="s">
        <v>111</v>
      </c>
    </row>
    <row r="2" spans="1:47">
      <c r="A2" s="6" t="s">
        <v>2</v>
      </c>
    </row>
    <row r="3" spans="1:47" ht="15" thickBot="1"/>
    <row r="4" spans="1:47" ht="15" thickBot="1">
      <c r="B4" s="383"/>
      <c r="C4" s="387">
        <f>'[43]Masses prestations'!D3</f>
        <v>2026</v>
      </c>
      <c r="D4" s="388">
        <f>'[43]Masses prestations'!E3</f>
        <v>2027</v>
      </c>
      <c r="E4" s="388">
        <f>'[43]Masses prestations'!F3</f>
        <v>2028</v>
      </c>
      <c r="F4" s="388">
        <f>'[43]Masses prestations'!G3</f>
        <v>2029</v>
      </c>
      <c r="G4" s="388">
        <f>'[43]Masses prestations'!H3</f>
        <v>2030</v>
      </c>
      <c r="H4" s="388">
        <f>'[43]Masses prestations'!I3</f>
        <v>2031</v>
      </c>
      <c r="I4" s="388">
        <f>'[43]Masses prestations'!J3</f>
        <v>2032</v>
      </c>
      <c r="J4" s="388">
        <f>'[43]Masses prestations'!K3</f>
        <v>2033</v>
      </c>
      <c r="K4" s="388">
        <f>'[43]Masses prestations'!L3</f>
        <v>2034</v>
      </c>
      <c r="L4" s="388">
        <f>'[43]Masses prestations'!M3</f>
        <v>2035</v>
      </c>
      <c r="M4" s="388">
        <f>'[43]Masses prestations'!N3</f>
        <v>2036</v>
      </c>
      <c r="N4" s="388">
        <f>'[43]Masses prestations'!O3</f>
        <v>2037</v>
      </c>
      <c r="O4" s="388">
        <f>'[43]Masses prestations'!P3</f>
        <v>2038</v>
      </c>
      <c r="P4" s="388">
        <f>'[43]Masses prestations'!Q3</f>
        <v>2039</v>
      </c>
      <c r="Q4" s="388">
        <f>'[43]Masses prestations'!R3</f>
        <v>2040</v>
      </c>
      <c r="R4" s="388">
        <f>'[43]Masses prestations'!S3</f>
        <v>2041</v>
      </c>
      <c r="S4" s="388">
        <f>'[43]Masses prestations'!T3</f>
        <v>2042</v>
      </c>
      <c r="T4" s="388">
        <f>'[43]Masses prestations'!U3</f>
        <v>2043</v>
      </c>
      <c r="U4" s="388">
        <f>'[43]Masses prestations'!V3</f>
        <v>2044</v>
      </c>
      <c r="V4" s="388">
        <f>'[43]Masses prestations'!W3</f>
        <v>2045</v>
      </c>
      <c r="W4" s="388">
        <f>'[43]Masses prestations'!X3</f>
        <v>2046</v>
      </c>
      <c r="X4" s="388">
        <f>'[43]Masses prestations'!Y3</f>
        <v>2047</v>
      </c>
      <c r="Y4" s="388">
        <f>'[43]Masses prestations'!Z3</f>
        <v>2048</v>
      </c>
      <c r="Z4" s="388">
        <f>'[43]Masses prestations'!AA3</f>
        <v>2049</v>
      </c>
      <c r="AA4" s="388">
        <f>'[43]Masses prestations'!AB3</f>
        <v>2050</v>
      </c>
      <c r="AB4" s="388">
        <f>'[43]Masses prestations'!AC3</f>
        <v>2051</v>
      </c>
      <c r="AC4" s="388">
        <f>'[43]Masses prestations'!AD3</f>
        <v>2052</v>
      </c>
      <c r="AD4" s="388">
        <f>'[43]Masses prestations'!AE3</f>
        <v>2053</v>
      </c>
      <c r="AE4" s="388">
        <f>'[43]Masses prestations'!AF3</f>
        <v>2054</v>
      </c>
      <c r="AF4" s="388">
        <f>'[43]Masses prestations'!AG3</f>
        <v>2055</v>
      </c>
      <c r="AG4" s="388">
        <f>'[43]Masses prestations'!AH3</f>
        <v>2056</v>
      </c>
      <c r="AH4" s="388">
        <f>'[43]Masses prestations'!AI3</f>
        <v>2057</v>
      </c>
      <c r="AI4" s="388">
        <f>'[43]Masses prestations'!AJ3</f>
        <v>2058</v>
      </c>
      <c r="AJ4" s="388">
        <f>'[43]Masses prestations'!AK3</f>
        <v>2059</v>
      </c>
      <c r="AK4" s="388">
        <f>'[43]Masses prestations'!AL3</f>
        <v>2060</v>
      </c>
      <c r="AL4" s="388">
        <f>'[43]Masses prestations'!AM3</f>
        <v>2061</v>
      </c>
      <c r="AM4" s="388">
        <f>'[43]Masses prestations'!AN3</f>
        <v>2062</v>
      </c>
      <c r="AN4" s="388">
        <f>'[43]Masses prestations'!AO3</f>
        <v>2063</v>
      </c>
      <c r="AO4" s="388">
        <f>'[43]Masses prestations'!AP3</f>
        <v>2064</v>
      </c>
      <c r="AP4" s="388">
        <f>'[43]Masses prestations'!AQ3</f>
        <v>2065</v>
      </c>
      <c r="AQ4" s="388">
        <f>'[43]Masses prestations'!AR3</f>
        <v>2066</v>
      </c>
      <c r="AR4" s="388">
        <f>'[43]Masses prestations'!AS3</f>
        <v>2067</v>
      </c>
      <c r="AS4" s="388">
        <f>'[43]Masses prestations'!AT3</f>
        <v>2068</v>
      </c>
      <c r="AT4" s="388">
        <f>'[43]Masses prestations'!AU3</f>
        <v>2069</v>
      </c>
      <c r="AU4" s="389">
        <f>'[43]Masses prestations'!AV3</f>
        <v>2070</v>
      </c>
    </row>
    <row r="5" spans="1:47" ht="15">
      <c r="B5" s="384" t="str">
        <f>'[43]Masses prestations'!C19</f>
        <v>Ensemble</v>
      </c>
      <c r="C5" s="390">
        <f>'[43]Masses prestations'!D19</f>
        <v>-3.0704571642165657E-2</v>
      </c>
      <c r="D5" s="391">
        <f>'[43]Masses prestations'!E19</f>
        <v>-4.3378502115974271E-2</v>
      </c>
      <c r="E5" s="391">
        <f>'[43]Masses prestations'!F19</f>
        <v>-5.6836076464906363E-2</v>
      </c>
      <c r="F5" s="391">
        <f>'[43]Masses prestations'!G19</f>
        <v>-6.9268475987201553E-2</v>
      </c>
      <c r="G5" s="391">
        <f>'[43]Masses prestations'!H19</f>
        <v>-8.083134598610682E-2</v>
      </c>
      <c r="H5" s="391">
        <f>'[43]Masses prestations'!I19</f>
        <v>-9.1794981464646791E-2</v>
      </c>
      <c r="I5" s="391">
        <f>'[43]Masses prestations'!J19</f>
        <v>-0.10038709771774162</v>
      </c>
      <c r="J5" s="391">
        <f>'[43]Masses prestations'!K19</f>
        <v>-0.11063169944406413</v>
      </c>
      <c r="K5" s="391">
        <f>'[43]Masses prestations'!L19</f>
        <v>-0.12044700853506948</v>
      </c>
      <c r="L5" s="391">
        <f>'[43]Masses prestations'!M19</f>
        <v>-0.12735655606064031</v>
      </c>
      <c r="M5" s="391">
        <f>'[43]Masses prestations'!N19</f>
        <v>-0.1331586030870632</v>
      </c>
      <c r="N5" s="391">
        <f>'[43]Masses prestations'!O19</f>
        <v>-0.14005503553796281</v>
      </c>
      <c r="O5" s="391">
        <f>'[43]Masses prestations'!P19</f>
        <v>-0.14404584411712237</v>
      </c>
      <c r="P5" s="391">
        <f>'[43]Masses prestations'!Q19</f>
        <v>-0.14954959496058029</v>
      </c>
      <c r="Q5" s="391">
        <f>'[43]Masses prestations'!R19</f>
        <v>-0.15285530097390548</v>
      </c>
      <c r="R5" s="391">
        <f>'[43]Masses prestations'!S19</f>
        <v>-0.15624922942124897</v>
      </c>
      <c r="S5" s="391">
        <f>'[43]Masses prestations'!T19</f>
        <v>-0.16043923947508631</v>
      </c>
      <c r="T5" s="391">
        <f>'[43]Masses prestations'!U19</f>
        <v>-0.16056072829654866</v>
      </c>
      <c r="U5" s="391">
        <f>'[43]Masses prestations'!V19</f>
        <v>-0.15945185485343205</v>
      </c>
      <c r="V5" s="391">
        <f>'[43]Masses prestations'!W19</f>
        <v>-0.16077371099503382</v>
      </c>
      <c r="W5" s="391">
        <f>'[43]Masses prestations'!X19</f>
        <v>-0.16329570651836628</v>
      </c>
      <c r="X5" s="391">
        <f>'[43]Masses prestations'!Y19</f>
        <v>-0.16513269893262081</v>
      </c>
      <c r="Y5" s="391">
        <f>'[43]Masses prestations'!Z19</f>
        <v>-0.16673142452837145</v>
      </c>
      <c r="Z5" s="391">
        <f>'[43]Masses prestations'!AA19</f>
        <v>-0.16895408382439045</v>
      </c>
      <c r="AA5" s="391">
        <f>'[43]Masses prestations'!AB19</f>
        <v>-0.17026226153990928</v>
      </c>
      <c r="AB5" s="391">
        <f>'[43]Masses prestations'!AC19</f>
        <v>-0.17078790236496999</v>
      </c>
      <c r="AC5" s="391">
        <f>'[43]Masses prestations'!AD19</f>
        <v>-0.17158463062900337</v>
      </c>
      <c r="AD5" s="391">
        <f>'[43]Masses prestations'!AE19</f>
        <v>-0.16823044851007948</v>
      </c>
      <c r="AE5" s="391">
        <f>'[43]Masses prestations'!AF19</f>
        <v>-0.167788958959778</v>
      </c>
      <c r="AF5" s="391">
        <f>'[43]Masses prestations'!AG19</f>
        <v>-0.16672204358291803</v>
      </c>
      <c r="AG5" s="391">
        <f>'[43]Masses prestations'!AH19</f>
        <v>-0.16778706632079032</v>
      </c>
      <c r="AH5" s="391">
        <f>'[43]Masses prestations'!AI19</f>
        <v>-0.16680140027761006</v>
      </c>
      <c r="AI5" s="391">
        <f>'[43]Masses prestations'!AJ19</f>
        <v>-0.16610076357014245</v>
      </c>
      <c r="AJ5" s="391">
        <f>'[43]Masses prestations'!AK19</f>
        <v>-0.16304922328342103</v>
      </c>
      <c r="AK5" s="391">
        <f>'[43]Masses prestations'!AL19</f>
        <v>-0.16366807837218803</v>
      </c>
      <c r="AL5" s="391">
        <f>'[43]Masses prestations'!AM19</f>
        <v>-0.16527258370793535</v>
      </c>
      <c r="AM5" s="391">
        <f>'[43]Masses prestations'!AN19</f>
        <v>-0.16329354379228875</v>
      </c>
      <c r="AN5" s="391">
        <f>'[43]Masses prestations'!AO19</f>
        <v>-0.16254364421543571</v>
      </c>
      <c r="AO5" s="391">
        <f>'[43]Masses prestations'!AP19</f>
        <v>-0.16089381215840562</v>
      </c>
      <c r="AP5" s="391">
        <f>'[43]Masses prestations'!AQ19</f>
        <v>-0.16214914120078308</v>
      </c>
      <c r="AQ5" s="391">
        <f>'[43]Masses prestations'!AR19</f>
        <v>-0.16027612514775325</v>
      </c>
      <c r="AR5" s="391">
        <f>'[43]Masses prestations'!AS19</f>
        <v>-0.15873163213627567</v>
      </c>
      <c r="AS5" s="391">
        <f>'[43]Masses prestations'!AT19</f>
        <v>-0.15373023558639462</v>
      </c>
      <c r="AT5" s="391">
        <f>'[43]Masses prestations'!AU19</f>
        <v>-0.15163627898965318</v>
      </c>
      <c r="AU5" s="392">
        <f>'[43]Masses prestations'!AV19</f>
        <v>-0.14953307965090698</v>
      </c>
    </row>
    <row r="6" spans="1:47" ht="15">
      <c r="B6" s="385" t="str">
        <f>'[43]Masses prestations'!C20</f>
        <v>Agirc-Arrco</v>
      </c>
      <c r="C6" s="393">
        <f>'[43]Masses prestations'!D20</f>
        <v>-4.4656562088068529E-2</v>
      </c>
      <c r="D6" s="394">
        <f>'[43]Masses prestations'!E20</f>
        <v>-6.2687435406670988E-2</v>
      </c>
      <c r="E6" s="394">
        <f>'[43]Masses prestations'!F20</f>
        <v>-8.1956179753954597E-2</v>
      </c>
      <c r="F6" s="394">
        <f>'[43]Masses prestations'!G20</f>
        <v>-9.8367405993495943E-2</v>
      </c>
      <c r="G6" s="394">
        <f>'[43]Masses prestations'!H20</f>
        <v>-0.11750875625365816</v>
      </c>
      <c r="H6" s="394">
        <f>'[43]Masses prestations'!I20</f>
        <v>-0.1354221634639515</v>
      </c>
      <c r="I6" s="394">
        <f>'[43]Masses prestations'!J20</f>
        <v>-0.14909980894488728</v>
      </c>
      <c r="J6" s="394">
        <f>'[43]Masses prestations'!K20</f>
        <v>-0.16412636115714518</v>
      </c>
      <c r="K6" s="394">
        <f>'[43]Masses prestations'!L20</f>
        <v>-0.17839525802770964</v>
      </c>
      <c r="L6" s="394">
        <f>'[43]Masses prestations'!M20</f>
        <v>-0.19224580101084829</v>
      </c>
      <c r="M6" s="394">
        <f>'[43]Masses prestations'!N20</f>
        <v>-0.20513616324246223</v>
      </c>
      <c r="N6" s="394">
        <f>'[43]Masses prestations'!O20</f>
        <v>-0.21640317771127274</v>
      </c>
      <c r="O6" s="394">
        <f>'[43]Masses prestations'!P20</f>
        <v>-0.22776629635157714</v>
      </c>
      <c r="P6" s="394">
        <f>'[43]Masses prestations'!Q20</f>
        <v>-0.23906179213856774</v>
      </c>
      <c r="Q6" s="394">
        <f>'[43]Masses prestations'!R20</f>
        <v>-0.24775891198805172</v>
      </c>
      <c r="R6" s="394">
        <f>'[43]Masses prestations'!S20</f>
        <v>-0.25640321296965962</v>
      </c>
      <c r="S6" s="394">
        <f>'[43]Masses prestations'!T20</f>
        <v>-0.26649295225402436</v>
      </c>
      <c r="T6" s="394">
        <f>'[43]Masses prestations'!U20</f>
        <v>-0.27568773853777045</v>
      </c>
      <c r="U6" s="394">
        <f>'[43]Masses prestations'!V20</f>
        <v>-0.28101219334634064</v>
      </c>
      <c r="V6" s="394">
        <f>'[43]Masses prestations'!W20</f>
        <v>-0.28746895069347383</v>
      </c>
      <c r="W6" s="394">
        <f>'[43]Masses prestations'!X20</f>
        <v>-0.29655306013677302</v>
      </c>
      <c r="X6" s="394">
        <f>'[43]Masses prestations'!Y20</f>
        <v>-0.30425637941524014</v>
      </c>
      <c r="Y6" s="394">
        <f>'[43]Masses prestations'!Z20</f>
        <v>-0.30983369859487164</v>
      </c>
      <c r="Z6" s="394">
        <f>'[43]Masses prestations'!AA20</f>
        <v>-0.31684890631723489</v>
      </c>
      <c r="AA6" s="394">
        <f>'[43]Masses prestations'!AB20</f>
        <v>-0.32247633981918172</v>
      </c>
      <c r="AB6" s="394">
        <f>'[43]Masses prestations'!AC20</f>
        <v>-0.32708582560373545</v>
      </c>
      <c r="AC6" s="394">
        <f>'[43]Masses prestations'!AD20</f>
        <v>-0.3322873635584237</v>
      </c>
      <c r="AD6" s="394">
        <f>'[43]Masses prestations'!AE20</f>
        <v>-0.33440863376175389</v>
      </c>
      <c r="AE6" s="394">
        <f>'[43]Masses prestations'!AF20</f>
        <v>-0.33854787260357494</v>
      </c>
      <c r="AF6" s="394">
        <f>'[43]Masses prestations'!AG20</f>
        <v>-0.34010788493559407</v>
      </c>
      <c r="AG6" s="394">
        <f>'[43]Masses prestations'!AH20</f>
        <v>-0.34151442491467965</v>
      </c>
      <c r="AH6" s="394">
        <f>'[43]Masses prestations'!AI20</f>
        <v>-0.34266190803743274</v>
      </c>
      <c r="AI6" s="394">
        <f>'[43]Masses prestations'!AJ20</f>
        <v>-0.34497822801583988</v>
      </c>
      <c r="AJ6" s="394">
        <f>'[43]Masses prestations'!AK20</f>
        <v>-0.34503528139798084</v>
      </c>
      <c r="AK6" s="394">
        <f>'[43]Masses prestations'!AL20</f>
        <v>-0.34903720734246407</v>
      </c>
      <c r="AL6" s="394">
        <f>'[43]Masses prestations'!AM20</f>
        <v>-0.35213983656678921</v>
      </c>
      <c r="AM6" s="394">
        <f>'[43]Masses prestations'!AN20</f>
        <v>-0.35220691754324995</v>
      </c>
      <c r="AN6" s="394">
        <f>'[43]Masses prestations'!AO20</f>
        <v>-0.35397333328343233</v>
      </c>
      <c r="AO6" s="394">
        <f>'[43]Masses prestations'!AP20</f>
        <v>-0.35206246206779573</v>
      </c>
      <c r="AP6" s="394">
        <f>'[43]Masses prestations'!AQ20</f>
        <v>-0.35290578239359549</v>
      </c>
      <c r="AQ6" s="394">
        <f>'[43]Masses prestations'!AR20</f>
        <v>-0.35103383218220713</v>
      </c>
      <c r="AR6" s="394">
        <f>'[43]Masses prestations'!AS20</f>
        <v>-0.34912830750359791</v>
      </c>
      <c r="AS6" s="394">
        <f>'[43]Masses prestations'!AT20</f>
        <v>-0.34289709168078913</v>
      </c>
      <c r="AT6" s="394">
        <f>'[43]Masses prestations'!AU20</f>
        <v>-0.33953369306639519</v>
      </c>
      <c r="AU6" s="395">
        <f>'[43]Masses prestations'!AV20</f>
        <v>-0.33882095071980201</v>
      </c>
    </row>
    <row r="7" spans="1:47" ht="15">
      <c r="B7" s="385" t="str">
        <f>'[43]Masses prestations'!C21</f>
        <v xml:space="preserve">Fonction publique </v>
      </c>
      <c r="C7" s="393">
        <f>'[43]Masses prestations'!D21</f>
        <v>-6.865741211933854E-2</v>
      </c>
      <c r="D7" s="394">
        <f>'[43]Masses prestations'!E21</f>
        <v>-0.10573252793475234</v>
      </c>
      <c r="E7" s="394">
        <f>'[43]Masses prestations'!F21</f>
        <v>-0.14640724260909846</v>
      </c>
      <c r="F7" s="394">
        <f>'[43]Masses prestations'!G21</f>
        <v>-0.1803674136305243</v>
      </c>
      <c r="G7" s="394">
        <f>'[43]Masses prestations'!H21</f>
        <v>-0.21304834850790405</v>
      </c>
      <c r="H7" s="394">
        <f>'[43]Masses prestations'!I21</f>
        <v>-0.2406527225426322</v>
      </c>
      <c r="I7" s="394">
        <f>'[43]Masses prestations'!J21</f>
        <v>-0.26601760879003644</v>
      </c>
      <c r="J7" s="394">
        <f>'[43]Masses prestations'!K21</f>
        <v>-0.29465166788905439</v>
      </c>
      <c r="K7" s="394">
        <f>'[43]Masses prestations'!L21</f>
        <v>-0.31929747843926626</v>
      </c>
      <c r="L7" s="394">
        <f>'[43]Masses prestations'!M21</f>
        <v>-0.33758364093903848</v>
      </c>
      <c r="M7" s="394">
        <f>'[43]Masses prestations'!N21</f>
        <v>-0.35432831039238327</v>
      </c>
      <c r="N7" s="394">
        <f>'[43]Masses prestations'!O21</f>
        <v>-0.3746880793233896</v>
      </c>
      <c r="O7" s="394">
        <f>'[43]Masses prestations'!P21</f>
        <v>-0.39010115797877565</v>
      </c>
      <c r="P7" s="394">
        <f>'[43]Masses prestations'!Q21</f>
        <v>-0.40910870608435845</v>
      </c>
      <c r="Q7" s="394">
        <f>'[43]Masses prestations'!R21</f>
        <v>-0.42098914112289798</v>
      </c>
      <c r="R7" s="394">
        <f>'[43]Masses prestations'!S21</f>
        <v>-0.43261071212212504</v>
      </c>
      <c r="S7" s="394">
        <f>'[43]Masses prestations'!T21</f>
        <v>-0.44144303248553907</v>
      </c>
      <c r="T7" s="394">
        <f>'[43]Masses prestations'!U21</f>
        <v>-0.4454195504724176</v>
      </c>
      <c r="U7" s="394">
        <f>'[43]Masses prestations'!V21</f>
        <v>-0.44876096929756693</v>
      </c>
      <c r="V7" s="394">
        <f>'[43]Masses prestations'!W21</f>
        <v>-0.4579614545015448</v>
      </c>
      <c r="W7" s="394">
        <f>'[43]Masses prestations'!X21</f>
        <v>-0.46511163006228018</v>
      </c>
      <c r="X7" s="394">
        <f>'[43]Masses prestations'!Y21</f>
        <v>-0.47480313181246958</v>
      </c>
      <c r="Y7" s="394">
        <f>'[43]Masses prestations'!Z21</f>
        <v>-0.48464094279032166</v>
      </c>
      <c r="Z7" s="394">
        <f>'[43]Masses prestations'!AA21</f>
        <v>-0.4930850284953508</v>
      </c>
      <c r="AA7" s="394">
        <f>'[43]Masses prestations'!AB21</f>
        <v>-0.49758459362482316</v>
      </c>
      <c r="AB7" s="394">
        <f>'[43]Masses prestations'!AC21</f>
        <v>-0.50082690977332778</v>
      </c>
      <c r="AC7" s="394">
        <f>'[43]Masses prestations'!AD21</f>
        <v>-0.50490921539810396</v>
      </c>
      <c r="AD7" s="394">
        <f>'[43]Masses prestations'!AE21</f>
        <v>-0.50032352902709254</v>
      </c>
      <c r="AE7" s="394">
        <f>'[43]Masses prestations'!AF21</f>
        <v>-0.49939603759987178</v>
      </c>
      <c r="AF7" s="394">
        <f>'[43]Masses prestations'!AG21</f>
        <v>-0.50162524375789497</v>
      </c>
      <c r="AG7" s="394">
        <f>'[43]Masses prestations'!AH21</f>
        <v>-0.51136025865790358</v>
      </c>
      <c r="AH7" s="394">
        <f>'[43]Masses prestations'!AI21</f>
        <v>-0.51128334282688026</v>
      </c>
      <c r="AI7" s="394">
        <f>'[43]Masses prestations'!AJ21</f>
        <v>-0.51140205330297606</v>
      </c>
      <c r="AJ7" s="394">
        <f>'[43]Masses prestations'!AK21</f>
        <v>-0.50603219904349062</v>
      </c>
      <c r="AK7" s="394">
        <f>'[43]Masses prestations'!AL21</f>
        <v>-0.50966242552650265</v>
      </c>
      <c r="AL7" s="394">
        <f>'[43]Masses prestations'!AM21</f>
        <v>-0.51456969673028796</v>
      </c>
      <c r="AM7" s="394">
        <f>'[43]Masses prestations'!AN21</f>
        <v>-0.51065632542680572</v>
      </c>
      <c r="AN7" s="394">
        <f>'[43]Masses prestations'!AO21</f>
        <v>-0.51069506073130289</v>
      </c>
      <c r="AO7" s="394">
        <f>'[43]Masses prestations'!AP21</f>
        <v>-0.51647421883738087</v>
      </c>
      <c r="AP7" s="394">
        <f>'[43]Masses prestations'!AQ21</f>
        <v>-0.51839956893925787</v>
      </c>
      <c r="AQ7" s="394">
        <f>'[43]Masses prestations'!AR21</f>
        <v>-0.52366541943934908</v>
      </c>
      <c r="AR7" s="394">
        <f>'[43]Masses prestations'!AS21</f>
        <v>-0.5202395734088453</v>
      </c>
      <c r="AS7" s="394">
        <f>'[43]Masses prestations'!AT21</f>
        <v>-0.50675235158562937</v>
      </c>
      <c r="AT7" s="394">
        <f>'[43]Masses prestations'!AU21</f>
        <v>-0.50388791927748822</v>
      </c>
      <c r="AU7" s="395">
        <f>'[43]Masses prestations'!AV21</f>
        <v>-0.49895643965062841</v>
      </c>
    </row>
    <row r="8" spans="1:47" ht="15">
      <c r="B8" s="385" t="str">
        <f>'[43]Masses prestations'!C22</f>
        <v xml:space="preserve">Indépendants </v>
      </c>
      <c r="C8" s="393">
        <f>'[43]Masses prestations'!D22</f>
        <v>-1.1583652039564075E-3</v>
      </c>
      <c r="D8" s="394">
        <f>'[43]Masses prestations'!E22</f>
        <v>3.4415548802684405E-3</v>
      </c>
      <c r="E8" s="394">
        <f>'[43]Masses prestations'!F22</f>
        <v>9.6959528364253707E-3</v>
      </c>
      <c r="F8" s="394">
        <f>'[43]Masses prestations'!G22</f>
        <v>1.3288655748293408E-2</v>
      </c>
      <c r="G8" s="394">
        <f>'[43]Masses prestations'!H22</f>
        <v>1.8940285057305103E-2</v>
      </c>
      <c r="H8" s="394">
        <f>'[43]Masses prestations'!I22</f>
        <v>2.2493383106749802E-2</v>
      </c>
      <c r="I8" s="394">
        <f>'[43]Masses prestations'!J22</f>
        <v>2.507421376912965E-2</v>
      </c>
      <c r="J8" s="394">
        <f>'[43]Masses prestations'!K22</f>
        <v>2.961592448067623E-2</v>
      </c>
      <c r="K8" s="394">
        <f>'[43]Masses prestations'!L22</f>
        <v>3.319016057184624E-2</v>
      </c>
      <c r="L8" s="394">
        <f>'[43]Masses prestations'!M22</f>
        <v>3.7202741397444408E-2</v>
      </c>
      <c r="M8" s="394">
        <f>'[43]Masses prestations'!N22</f>
        <v>4.3352677714223221E-2</v>
      </c>
      <c r="N8" s="394">
        <f>'[43]Masses prestations'!O22</f>
        <v>4.6728714985474429E-2</v>
      </c>
      <c r="O8" s="394">
        <f>'[43]Masses prestations'!P22</f>
        <v>5.0833450643090347E-2</v>
      </c>
      <c r="P8" s="394">
        <f>'[43]Masses prestations'!Q22</f>
        <v>5.2809672354538664E-2</v>
      </c>
      <c r="Q8" s="394">
        <f>'[43]Masses prestations'!R22</f>
        <v>5.5463501677461599E-2</v>
      </c>
      <c r="R8" s="394">
        <f>'[43]Masses prestations'!S22</f>
        <v>5.8986480009508326E-2</v>
      </c>
      <c r="S8" s="394">
        <f>'[43]Masses prestations'!T22</f>
        <v>6.3068149917818894E-2</v>
      </c>
      <c r="T8" s="394">
        <f>'[43]Masses prestations'!U22</f>
        <v>6.4176289114149979E-2</v>
      </c>
      <c r="U8" s="394">
        <f>'[43]Masses prestations'!V22</f>
        <v>6.3235975030014893E-2</v>
      </c>
      <c r="V8" s="394">
        <f>'[43]Masses prestations'!W22</f>
        <v>6.5374659217874817E-2</v>
      </c>
      <c r="W8" s="394">
        <f>'[43]Masses prestations'!X22</f>
        <v>6.4271675205405165E-2</v>
      </c>
      <c r="X8" s="394">
        <f>'[43]Masses prestations'!Y22</f>
        <v>6.5324516874486357E-2</v>
      </c>
      <c r="Y8" s="394">
        <f>'[43]Masses prestations'!Z22</f>
        <v>6.5774915259237121E-2</v>
      </c>
      <c r="Z8" s="394">
        <f>'[43]Masses prestations'!AA22</f>
        <v>6.7467744311214176E-2</v>
      </c>
      <c r="AA8" s="394">
        <f>'[43]Masses prestations'!AB22</f>
        <v>6.7905360858414171E-2</v>
      </c>
      <c r="AB8" s="394">
        <f>'[43]Masses prestations'!AC22</f>
        <v>6.8570100242171347E-2</v>
      </c>
      <c r="AC8" s="394">
        <f>'[43]Masses prestations'!AD22</f>
        <v>6.8814033622946358E-2</v>
      </c>
      <c r="AD8" s="394">
        <f>'[43]Masses prestations'!AE22</f>
        <v>6.8247020863104496E-2</v>
      </c>
      <c r="AE8" s="394">
        <f>'[43]Masses prestations'!AF22</f>
        <v>6.6754292529489126E-2</v>
      </c>
      <c r="AF8" s="394">
        <f>'[43]Masses prestations'!AG22</f>
        <v>6.9764899673257663E-2</v>
      </c>
      <c r="AG8" s="394">
        <f>'[43]Masses prestations'!AH22</f>
        <v>7.0195884178739565E-2</v>
      </c>
      <c r="AH8" s="394">
        <f>'[43]Masses prestations'!AI22</f>
        <v>6.6811155118980628E-2</v>
      </c>
      <c r="AI8" s="394">
        <f>'[43]Masses prestations'!AJ22</f>
        <v>6.6804816810752579E-2</v>
      </c>
      <c r="AJ8" s="394">
        <f>'[43]Masses prestations'!AK22</f>
        <v>6.3534635574482495E-2</v>
      </c>
      <c r="AK8" s="394">
        <f>'[43]Masses prestations'!AL22</f>
        <v>6.7191867652459214E-2</v>
      </c>
      <c r="AL8" s="394">
        <f>'[43]Masses prestations'!AM22</f>
        <v>6.8511034703341925E-2</v>
      </c>
      <c r="AM8" s="394">
        <f>'[43]Masses prestations'!AN22</f>
        <v>6.6777747821276892E-2</v>
      </c>
      <c r="AN8" s="394">
        <f>'[43]Masses prestations'!AO22</f>
        <v>6.5696874088436746E-2</v>
      </c>
      <c r="AO8" s="394">
        <f>'[43]Masses prestations'!AP22</f>
        <v>7.0878767951954386E-2</v>
      </c>
      <c r="AP8" s="394">
        <f>'[43]Masses prestations'!AQ22</f>
        <v>7.1851748440839663E-2</v>
      </c>
      <c r="AQ8" s="394">
        <f>'[43]Masses prestations'!AR22</f>
        <v>7.2772356351676726E-2</v>
      </c>
      <c r="AR8" s="394">
        <f>'[43]Masses prestations'!AS22</f>
        <v>6.8615139539581746E-2</v>
      </c>
      <c r="AS8" s="394">
        <f>'[43]Masses prestations'!AT22</f>
        <v>6.9457076924355432E-2</v>
      </c>
      <c r="AT8" s="394">
        <f>'[43]Masses prestations'!AU22</f>
        <v>6.8850482310738079E-2</v>
      </c>
      <c r="AU8" s="395">
        <f>'[43]Masses prestations'!AV22</f>
        <v>6.7170841030371603E-2</v>
      </c>
    </row>
    <row r="9" spans="1:47" ht="15.75" thickBot="1">
      <c r="B9" s="386" t="str">
        <f>'[43]Masses prestations'!C23</f>
        <v xml:space="preserve">Régime général </v>
      </c>
      <c r="C9" s="396">
        <f>'[43]Masses prestations'!D23</f>
        <v>8.069960192351372E-3</v>
      </c>
      <c r="D9" s="397">
        <f>'[43]Masses prestations'!E23</f>
        <v>1.7846598669479755E-2</v>
      </c>
      <c r="E9" s="397">
        <f>'[43]Masses prestations'!F23</f>
        <v>2.9394300718987878E-2</v>
      </c>
      <c r="F9" s="397">
        <f>'[43]Masses prestations'!G23</f>
        <v>3.7429093573726271E-2</v>
      </c>
      <c r="G9" s="397">
        <f>'[43]Masses prestations'!H23</f>
        <v>4.8968212361155443E-2</v>
      </c>
      <c r="H9" s="397">
        <f>'[43]Masses prestations'!I23</f>
        <v>5.8477573222135676E-2</v>
      </c>
      <c r="I9" s="397">
        <f>'[43]Masses prestations'!J23</f>
        <v>6.709832409170241E-2</v>
      </c>
      <c r="J9" s="397">
        <f>'[43]Masses prestations'!K23</f>
        <v>7.5097725437840476E-2</v>
      </c>
      <c r="K9" s="397">
        <f>'[43]Masses prestations'!L23</f>
        <v>8.1972742840827881E-2</v>
      </c>
      <c r="L9" s="397">
        <f>'[43]Masses prestations'!M23</f>
        <v>8.953449650858375E-2</v>
      </c>
      <c r="M9" s="397">
        <f>'[43]Masses prestations'!N23</f>
        <v>9.5735647591171244E-2</v>
      </c>
      <c r="N9" s="397">
        <f>'[43]Masses prestations'!O23</f>
        <v>0.10212606828070701</v>
      </c>
      <c r="O9" s="397">
        <f>'[43]Masses prestations'!P23</f>
        <v>0.10875041948104774</v>
      </c>
      <c r="P9" s="397">
        <f>'[43]Masses prestations'!Q23</f>
        <v>0.11477957029426954</v>
      </c>
      <c r="Q9" s="397">
        <f>'[43]Masses prestations'!R23</f>
        <v>0.11879159387067469</v>
      </c>
      <c r="R9" s="397">
        <f>'[43]Masses prestations'!S23</f>
        <v>0.12237286086692348</v>
      </c>
      <c r="S9" s="397">
        <f>'[43]Masses prestations'!T23</f>
        <v>0.12386639352149151</v>
      </c>
      <c r="T9" s="397">
        <f>'[43]Masses prestations'!U23</f>
        <v>0.12719116033868608</v>
      </c>
      <c r="U9" s="397">
        <f>'[43]Masses prestations'!V23</f>
        <v>0.12941673797486111</v>
      </c>
      <c r="V9" s="397">
        <f>'[43]Masses prestations'!W23</f>
        <v>0.13209623133701157</v>
      </c>
      <c r="W9" s="397">
        <f>'[43]Masses prestations'!X23</f>
        <v>0.13248528467477544</v>
      </c>
      <c r="X9" s="397">
        <f>'[43]Masses prestations'!Y23</f>
        <v>0.13538534852259759</v>
      </c>
      <c r="Y9" s="397">
        <f>'[43]Masses prestations'!Z23</f>
        <v>0.13767364801137566</v>
      </c>
      <c r="Z9" s="397">
        <f>'[43]Masses prestations'!AA23</f>
        <v>0.13804504823745739</v>
      </c>
      <c r="AA9" s="397">
        <f>'[43]Masses prestations'!AB23</f>
        <v>0.13780573733597742</v>
      </c>
      <c r="AB9" s="397">
        <f>'[43]Masses prestations'!AC23</f>
        <v>0.13815956707721694</v>
      </c>
      <c r="AC9" s="397">
        <f>'[43]Masses prestations'!AD23</f>
        <v>0.13806787553284702</v>
      </c>
      <c r="AD9" s="397">
        <f>'[43]Masses prestations'!AE23</f>
        <v>0.14105875754690161</v>
      </c>
      <c r="AE9" s="397">
        <f>'[43]Masses prestations'!AF23</f>
        <v>0.13987070163189108</v>
      </c>
      <c r="AF9" s="397">
        <f>'[43]Masses prestations'!AG23</f>
        <v>0.1399131542161183</v>
      </c>
      <c r="AG9" s="397">
        <f>'[43]Masses prestations'!AH23</f>
        <v>0.13975245721571605</v>
      </c>
      <c r="AH9" s="397">
        <f>'[43]Masses prestations'!AI23</f>
        <v>0.13706795004217631</v>
      </c>
      <c r="AI9" s="397">
        <f>'[43]Masses prestations'!AJ23</f>
        <v>0.13551854358080012</v>
      </c>
      <c r="AJ9" s="397">
        <f>'[43]Masses prestations'!AK23</f>
        <v>0.13431084905515309</v>
      </c>
      <c r="AK9" s="397">
        <f>'[43]Masses prestations'!AL23</f>
        <v>0.13615536754584712</v>
      </c>
      <c r="AL9" s="397">
        <f>'[43]Masses prestations'!AM23</f>
        <v>0.13583979320469092</v>
      </c>
      <c r="AM9" s="397">
        <f>'[43]Masses prestations'!AN23</f>
        <v>0.13548953124529628</v>
      </c>
      <c r="AN9" s="397">
        <f>'[43]Masses prestations'!AO23</f>
        <v>0.13553074080852162</v>
      </c>
      <c r="AO9" s="397">
        <f>'[43]Masses prestations'!AP23</f>
        <v>0.13286882755654539</v>
      </c>
      <c r="AP9" s="397">
        <f>'[43]Masses prestations'!AQ23</f>
        <v>0.13153789473699584</v>
      </c>
      <c r="AQ9" s="397">
        <f>'[43]Masses prestations'!AR23</f>
        <v>0.13174401144239756</v>
      </c>
      <c r="AR9" s="397">
        <f>'[43]Masses prestations'!AS23</f>
        <v>0.1288159792840656</v>
      </c>
      <c r="AS9" s="397">
        <f>'[43]Masses prestations'!AT23</f>
        <v>0.12545828534195835</v>
      </c>
      <c r="AT9" s="397">
        <f>'[43]Masses prestations'!AU23</f>
        <v>0.12128778974319235</v>
      </c>
      <c r="AU9" s="398">
        <f>'[43]Masses prestations'!AV23</f>
        <v>0.12095547513439556</v>
      </c>
    </row>
    <row r="11" spans="1:47">
      <c r="B11" s="177" t="s">
        <v>63</v>
      </c>
    </row>
  </sheetData>
  <hyperlinks>
    <hyperlink ref="A2" location="SOMMAIRE!A1" display="Retour au sommaire" xr:uid="{28F82565-DFDA-4D6C-BDE7-57838152B0F1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60B8-4E74-44CD-8318-17A55F6C83FC}">
  <sheetPr>
    <tabColor rgb="FFACB9CA"/>
  </sheetPr>
  <dimension ref="A1:H45"/>
  <sheetViews>
    <sheetView workbookViewId="0">
      <selection activeCell="A2" sqref="A2"/>
    </sheetView>
  </sheetViews>
  <sheetFormatPr baseColWidth="10" defaultRowHeight="14.25"/>
  <cols>
    <col min="5" max="8" width="20.625" customWidth="1"/>
  </cols>
  <sheetData>
    <row r="1" spans="1:8" ht="15.75">
      <c r="A1" s="2" t="s">
        <v>115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'[44]TABLEAU FINAL'!D3</f>
        <v>Nombre d'enfants</v>
      </c>
      <c r="E4" s="100" t="str">
        <f>'[44]TABLEAU FINAL'!E3</f>
        <v>Durée validée totale moyenne (écart en trimestres)</v>
      </c>
      <c r="F4" s="100" t="str">
        <f>'[44]TABLEAU FINAL'!F3</f>
        <v>Âge de départ (écart en année)</v>
      </c>
      <c r="G4" s="100" t="str">
        <f>'[44]TABLEAU FINAL'!G3</f>
        <v>Pension moyenne 68 ans</v>
      </c>
      <c r="H4" s="101" t="str">
        <f>'[44]TABLEAU FINAL'!H3</f>
        <v>Pension moyenne CV</v>
      </c>
    </row>
    <row r="5" spans="1:8" ht="15">
      <c r="B5" s="307" t="str">
        <f>'[44]TABLEAU FINAL'!B4</f>
        <v>Femmes</v>
      </c>
      <c r="C5" s="308">
        <f>'[44]TABLEAU FINAL'!C4</f>
        <v>0</v>
      </c>
      <c r="D5" s="150" t="str">
        <f>'[44]TABLEAU FINAL'!D4</f>
        <v>Ensemble</v>
      </c>
      <c r="E5" s="151">
        <f>'[44]TABLEAU FINAL'!E4</f>
        <v>-3.6042181026907087</v>
      </c>
      <c r="F5" s="152">
        <f>'[44]TABLEAU FINAL'!F4</f>
        <v>6.3236668479973446E-2</v>
      </c>
      <c r="G5" s="153">
        <f>'[44]TABLEAU FINAL'!G4</f>
        <v>2.639128658935741E-2</v>
      </c>
      <c r="H5" s="154">
        <f>'[44]TABLEAU FINAL'!H4</f>
        <v>2.3661471063109341E-2</v>
      </c>
    </row>
    <row r="6" spans="1:8" ht="15.75" thickBot="1">
      <c r="B6" s="293" t="str">
        <f>'[44]TABLEAU FINAL'!B5</f>
        <v>Hommes</v>
      </c>
      <c r="C6" s="294">
        <f>'[44]TABLEAU FINAL'!C5</f>
        <v>0</v>
      </c>
      <c r="D6" s="107" t="str">
        <f>'[44]TABLEAU FINAL'!D5</f>
        <v>Ensemble</v>
      </c>
      <c r="E6" s="108">
        <f>'[44]TABLEAU FINAL'!E5</f>
        <v>0</v>
      </c>
      <c r="F6" s="109">
        <f>'[44]TABLEAU FINAL'!F5</f>
        <v>0</v>
      </c>
      <c r="G6" s="110">
        <f>'[44]TABLEAU FINAL'!G5</f>
        <v>-2.2203435052819298E-2</v>
      </c>
      <c r="H6" s="111">
        <f>'[44]TABLEAU FINAL'!H5</f>
        <v>-2.2260540674592599E-2</v>
      </c>
    </row>
    <row r="7" spans="1:8" ht="15.75" thickBot="1">
      <c r="B7" s="277" t="str">
        <f>'[44]TABLEAU FINAL'!B6</f>
        <v>Selon le nombre d'enfants</v>
      </c>
      <c r="C7" s="278">
        <f>'[44]TABLEAU FINAL'!C6</f>
        <v>0</v>
      </c>
      <c r="D7" s="278">
        <f>'[44]TABLEAU FINAL'!D6</f>
        <v>0</v>
      </c>
      <c r="E7" s="278">
        <f>'[44]TABLEAU FINAL'!E6</f>
        <v>0</v>
      </c>
      <c r="F7" s="278">
        <f>'[44]TABLEAU FINAL'!F6</f>
        <v>0</v>
      </c>
      <c r="G7" s="278">
        <f>'[44]TABLEAU FINAL'!G6</f>
        <v>0</v>
      </c>
      <c r="H7" s="279">
        <f>'[44]TABLEAU FINAL'!H6</f>
        <v>0</v>
      </c>
    </row>
    <row r="8" spans="1:8" ht="15">
      <c r="B8" s="303" t="str">
        <f>'[44]TABLEAU FINAL'!B7</f>
        <v>Femmes</v>
      </c>
      <c r="C8" s="304">
        <f>'[44]TABLEAU FINAL'!C7</f>
        <v>0</v>
      </c>
      <c r="D8" s="189">
        <f>'[44]TABLEAU FINAL'!D7</f>
        <v>1</v>
      </c>
      <c r="E8" s="190">
        <f>'[44]TABLEAU FINAL'!E7</f>
        <v>-1.4666918286469297</v>
      </c>
      <c r="F8" s="191">
        <f>'[44]TABLEAU FINAL'!F7</f>
        <v>3.5431213436496023E-2</v>
      </c>
      <c r="G8" s="112">
        <f>'[44]TABLEAU FINAL'!G7</f>
        <v>2.161832838720712E-2</v>
      </c>
      <c r="H8" s="113">
        <f>'[44]TABLEAU FINAL'!H7</f>
        <v>1.9975824374891094E-2</v>
      </c>
    </row>
    <row r="9" spans="1:8" ht="15">
      <c r="B9" s="305">
        <f>'[44]TABLEAU FINAL'!B8</f>
        <v>0</v>
      </c>
      <c r="C9" s="306">
        <f>'[44]TABLEAU FINAL'!C8</f>
        <v>0</v>
      </c>
      <c r="D9" s="180">
        <f>'[44]TABLEAU FINAL'!D8</f>
        <v>2</v>
      </c>
      <c r="E9" s="184">
        <f>'[44]TABLEAU FINAL'!E8</f>
        <v>-3.0819952169456712</v>
      </c>
      <c r="F9" s="185">
        <f>'[44]TABLEAU FINAL'!F8</f>
        <v>7.2476559237728111E-2</v>
      </c>
      <c r="G9" s="117">
        <f>'[44]TABLEAU FINAL'!G8</f>
        <v>4.763508974646613E-2</v>
      </c>
      <c r="H9" s="118">
        <f>'[44]TABLEAU FINAL'!H8</f>
        <v>4.4776008084720598E-2</v>
      </c>
    </row>
    <row r="10" spans="1:8" ht="15">
      <c r="B10" s="305">
        <f>'[44]TABLEAU FINAL'!B9</f>
        <v>0</v>
      </c>
      <c r="C10" s="306">
        <f>'[44]TABLEAU FINAL'!C9</f>
        <v>0</v>
      </c>
      <c r="D10" s="186" t="str">
        <f>'[44]TABLEAU FINAL'!D9</f>
        <v>3 et plus</v>
      </c>
      <c r="E10" s="187">
        <f>'[44]TABLEAU FINAL'!E9</f>
        <v>-8.1009159823120456</v>
      </c>
      <c r="F10" s="188">
        <f>'[44]TABLEAU FINAL'!F9</f>
        <v>0.10849652558432865</v>
      </c>
      <c r="G10" s="122">
        <f>'[44]TABLEAU FINAL'!G9</f>
        <v>1.432861200030211E-2</v>
      </c>
      <c r="H10" s="123">
        <f>'[44]TABLEAU FINAL'!H9</f>
        <v>9.4088971898551588E-3</v>
      </c>
    </row>
    <row r="11" spans="1:8" ht="15.75" thickBot="1">
      <c r="B11" s="293" t="str">
        <f>'[44]TABLEAU FINAL'!B10</f>
        <v>Hommes</v>
      </c>
      <c r="C11" s="294">
        <f>'[44]TABLEAU FINAL'!C10</f>
        <v>0</v>
      </c>
      <c r="D11" s="107" t="str">
        <f>'[44]TABLEAU FINAL'!D10</f>
        <v>3 et plus</v>
      </c>
      <c r="E11" s="108">
        <f>'[44]TABLEAU FINAL'!E10</f>
        <v>0</v>
      </c>
      <c r="F11" s="109">
        <f>'[44]TABLEAU FINAL'!F10</f>
        <v>0</v>
      </c>
      <c r="G11" s="110">
        <f>'[44]TABLEAU FINAL'!G10</f>
        <v>-8.6884827588970648E-2</v>
      </c>
      <c r="H11" s="111">
        <f>'[44]TABLEAU FINAL'!H10</f>
        <v>-8.7212488224522433E-2</v>
      </c>
    </row>
    <row r="12" spans="1:8" ht="15.75" thickBot="1">
      <c r="B12" s="277" t="str">
        <f>'[44]TABLEAU FINAL'!B11</f>
        <v>Selon le régime d'affiliation</v>
      </c>
      <c r="C12" s="278">
        <f>'[44]TABLEAU FINAL'!C11</f>
        <v>0</v>
      </c>
      <c r="D12" s="278">
        <f>'[44]TABLEAU FINAL'!D11</f>
        <v>0</v>
      </c>
      <c r="E12" s="278">
        <f>'[44]TABLEAU FINAL'!E11</f>
        <v>0</v>
      </c>
      <c r="F12" s="278">
        <f>'[44]TABLEAU FINAL'!F11</f>
        <v>0</v>
      </c>
      <c r="G12" s="278">
        <f>'[44]TABLEAU FINAL'!G11</f>
        <v>0</v>
      </c>
      <c r="H12" s="279">
        <f>'[44]TABLEAU FINAL'!H11</f>
        <v>0</v>
      </c>
    </row>
    <row r="13" spans="1:8" ht="15">
      <c r="B13" s="280" t="str">
        <f>'[44]TABLEAU FINAL'!B12</f>
        <v>Femmes</v>
      </c>
      <c r="C13" s="296" t="str">
        <f>'[44]TABLEAU FINAL'!C12</f>
        <v>Mono Lura</v>
      </c>
      <c r="D13" s="102">
        <f>'[44]TABLEAU FINAL'!D12</f>
        <v>1</v>
      </c>
      <c r="E13" s="103">
        <f>'[44]TABLEAU FINAL'!E12</f>
        <v>-2.1173333333333346</v>
      </c>
      <c r="F13" s="104">
        <f>'[44]TABLEAU FINAL'!F12</f>
        <v>4.921212121213614E-2</v>
      </c>
      <c r="G13" s="105">
        <f>'[44]TABLEAU FINAL'!G12</f>
        <v>1.7735230571382266E-2</v>
      </c>
      <c r="H13" s="106">
        <f>'[44]TABLEAU FINAL'!H12</f>
        <v>1.5103751954609113E-2</v>
      </c>
    </row>
    <row r="14" spans="1:8" ht="15">
      <c r="B14" s="282">
        <f>'[44]TABLEAU FINAL'!B13</f>
        <v>0</v>
      </c>
      <c r="C14" s="292">
        <f>'[44]TABLEAU FINAL'!C13</f>
        <v>0</v>
      </c>
      <c r="D14" s="114">
        <f>'[44]TABLEAU FINAL'!D13</f>
        <v>2</v>
      </c>
      <c r="E14" s="115">
        <f>'[44]TABLEAU FINAL'!E13</f>
        <v>-4.329584775086488</v>
      </c>
      <c r="F14" s="116">
        <f>'[44]TABLEAU FINAL'!F13</f>
        <v>9.4422818146867371E-2</v>
      </c>
      <c r="G14" s="137">
        <f>'[44]TABLEAU FINAL'!G13</f>
        <v>3.9663155546152407E-2</v>
      </c>
      <c r="H14" s="138">
        <f>'[44]TABLEAU FINAL'!H13</f>
        <v>3.526995015936496E-2</v>
      </c>
    </row>
    <row r="15" spans="1:8" ht="15">
      <c r="B15" s="282">
        <f>'[44]TABLEAU FINAL'!B14</f>
        <v>0</v>
      </c>
      <c r="C15" s="292">
        <f>'[44]TABLEAU FINAL'!C14</f>
        <v>0</v>
      </c>
      <c r="D15" s="131" t="str">
        <f>'[44]TABLEAU FINAL'!D14</f>
        <v>3 et plus</v>
      </c>
      <c r="E15" s="132">
        <f>'[44]TABLEAU FINAL'!E14</f>
        <v>-9.9724891652534495</v>
      </c>
      <c r="F15" s="133">
        <f>'[44]TABLEAU FINAL'!F14</f>
        <v>0.12610702845296373</v>
      </c>
      <c r="G15" s="134">
        <f>'[44]TABLEAU FINAL'!G14</f>
        <v>7.2876893900086781E-3</v>
      </c>
      <c r="H15" s="135">
        <f>'[44]TABLEAU FINAL'!H14</f>
        <v>9.9196009858681933E-4</v>
      </c>
    </row>
    <row r="16" spans="1:8" ht="15">
      <c r="B16" s="282">
        <f>'[44]TABLEAU FINAL'!B15</f>
        <v>0</v>
      </c>
      <c r="C16" s="291" t="str">
        <f>'[44]TABLEAU FINAL'!C15</f>
        <v>Mono FP-RS</v>
      </c>
      <c r="D16" s="114">
        <f>'[44]TABLEAU FINAL'!D15</f>
        <v>1</v>
      </c>
      <c r="E16" s="115">
        <f>'[44]TABLEAU FINAL'!E15</f>
        <v>1.75</v>
      </c>
      <c r="F16" s="116">
        <f>'[44]TABLEAU FINAL'!F15</f>
        <v>-9.953703703703809E-2</v>
      </c>
      <c r="G16" s="137">
        <f>'[44]TABLEAU FINAL'!G15</f>
        <v>4.6821872997989011E-2</v>
      </c>
      <c r="H16" s="138">
        <f>'[44]TABLEAU FINAL'!H15</f>
        <v>5.182195882439955E-2</v>
      </c>
    </row>
    <row r="17" spans="2:8" ht="15">
      <c r="B17" s="282">
        <f>'[44]TABLEAU FINAL'!B16</f>
        <v>0</v>
      </c>
      <c r="C17" s="292">
        <f>'[44]TABLEAU FINAL'!C16</f>
        <v>0</v>
      </c>
      <c r="D17" s="126">
        <f>'[44]TABLEAU FINAL'!D16</f>
        <v>2</v>
      </c>
      <c r="E17" s="127">
        <f>'[44]TABLEAU FINAL'!E16</f>
        <v>4.009523809523813</v>
      </c>
      <c r="F17" s="128">
        <f>'[44]TABLEAU FINAL'!F16</f>
        <v>-0.16111111111111143</v>
      </c>
      <c r="G17" s="129">
        <f>'[44]TABLEAU FINAL'!G16</f>
        <v>0.10226011165533566</v>
      </c>
      <c r="H17" s="130">
        <f>'[44]TABLEAU FINAL'!H16</f>
        <v>0.1088812025141237</v>
      </c>
    </row>
    <row r="18" spans="2:8" ht="15">
      <c r="B18" s="282">
        <f>'[44]TABLEAU FINAL'!B17</f>
        <v>0</v>
      </c>
      <c r="C18" s="292">
        <f>'[44]TABLEAU FINAL'!C17</f>
        <v>0</v>
      </c>
      <c r="D18" s="119" t="str">
        <f>'[44]TABLEAU FINAL'!D17</f>
        <v>3 et plus</v>
      </c>
      <c r="E18" s="120">
        <f>'[44]TABLEAU FINAL'!E17</f>
        <v>6.9583333333333144</v>
      </c>
      <c r="F18" s="121">
        <f>'[44]TABLEAU FINAL'!F17</f>
        <v>-3.6458333333342807E-2</v>
      </c>
      <c r="G18" s="139">
        <f>'[44]TABLEAU FINAL'!G17</f>
        <v>0.11393204560047576</v>
      </c>
      <c r="H18" s="140">
        <f>'[44]TABLEAU FINAL'!H17</f>
        <v>0.12107932308762059</v>
      </c>
    </row>
    <row r="19" spans="2:8" ht="15">
      <c r="B19" s="282">
        <f>'[44]TABLEAU FINAL'!B18</f>
        <v>0</v>
      </c>
      <c r="C19" s="288" t="str">
        <f>'[44]TABLEAU FINAL'!C18</f>
        <v>Mono MSAE-PLIB</v>
      </c>
      <c r="D19" s="114">
        <f>'[44]TABLEAU FINAL'!D18</f>
        <v>1</v>
      </c>
      <c r="E19" s="115">
        <f>'[44]TABLEAU FINAL'!E18</f>
        <v>-2.4000000000000057</v>
      </c>
      <c r="F19" s="116">
        <f>'[44]TABLEAU FINAL'!F18</f>
        <v>0</v>
      </c>
      <c r="G19" s="137">
        <f>'[44]TABLEAU FINAL'!G18</f>
        <v>2.7499520076815109E-2</v>
      </c>
      <c r="H19" s="138">
        <f>'[44]TABLEAU FINAL'!H18</f>
        <v>2.8308394803278514E-2</v>
      </c>
    </row>
    <row r="20" spans="2:8" ht="15">
      <c r="B20" s="282">
        <f>'[44]TABLEAU FINAL'!B19</f>
        <v>0</v>
      </c>
      <c r="C20" s="287">
        <f>'[44]TABLEAU FINAL'!C19</f>
        <v>0</v>
      </c>
      <c r="D20" s="114">
        <f>'[44]TABLEAU FINAL'!D19</f>
        <v>2</v>
      </c>
      <c r="E20" s="115">
        <f>'[44]TABLEAU FINAL'!E19</f>
        <v>-4</v>
      </c>
      <c r="F20" s="116">
        <f>'[44]TABLEAU FINAL'!F19</f>
        <v>6.4814814814809552E-2</v>
      </c>
      <c r="G20" s="137">
        <f>'[44]TABLEAU FINAL'!G19</f>
        <v>5.6047280152478285E-2</v>
      </c>
      <c r="H20" s="138">
        <f>'[44]TABLEAU FINAL'!H19</f>
        <v>5.2391567572268816E-2</v>
      </c>
    </row>
    <row r="21" spans="2:8" ht="15">
      <c r="B21" s="282">
        <f>'[44]TABLEAU FINAL'!B20</f>
        <v>0</v>
      </c>
      <c r="C21" s="287">
        <f>'[44]TABLEAU FINAL'!C20</f>
        <v>0</v>
      </c>
      <c r="D21" s="119" t="str">
        <f>'[44]TABLEAU FINAL'!D20</f>
        <v>3 et plus</v>
      </c>
      <c r="E21" s="120">
        <f>'[44]TABLEAU FINAL'!E20</f>
        <v>-12.5</v>
      </c>
      <c r="F21" s="121">
        <f>'[44]TABLEAU FINAL'!F20</f>
        <v>0</v>
      </c>
      <c r="G21" s="139">
        <f>'[44]TABLEAU FINAL'!G20</f>
        <v>0.13121330327216851</v>
      </c>
      <c r="H21" s="140">
        <f>'[44]TABLEAU FINAL'!H20</f>
        <v>0.13132165754473069</v>
      </c>
    </row>
    <row r="22" spans="2:8" ht="15">
      <c r="B22" s="282">
        <f>'[44]TABLEAU FINAL'!B21</f>
        <v>0</v>
      </c>
      <c r="C22" s="288" t="str">
        <f>'[44]TABLEAU FINAL'!C21</f>
        <v>Poly Lura-FP-RS</v>
      </c>
      <c r="D22" s="114">
        <f>'[44]TABLEAU FINAL'!D21</f>
        <v>1</v>
      </c>
      <c r="E22" s="115">
        <f>'[44]TABLEAU FINAL'!E21</f>
        <v>1.8313090418353397</v>
      </c>
      <c r="F22" s="116">
        <f>'[44]TABLEAU FINAL'!F21</f>
        <v>-3.0251911830859513E-2</v>
      </c>
      <c r="G22" s="137">
        <f>'[44]TABLEAU FINAL'!G21</f>
        <v>3.7835595107851061E-2</v>
      </c>
      <c r="H22" s="138">
        <f>'[44]TABLEAU FINAL'!H21</f>
        <v>3.970443819536551E-2</v>
      </c>
    </row>
    <row r="23" spans="2:8" ht="15">
      <c r="B23" s="282">
        <f>'[44]TABLEAU FINAL'!B22</f>
        <v>0</v>
      </c>
      <c r="C23" s="287">
        <f>'[44]TABLEAU FINAL'!C22</f>
        <v>0</v>
      </c>
      <c r="D23" s="114">
        <f>'[44]TABLEAU FINAL'!D22</f>
        <v>2</v>
      </c>
      <c r="E23" s="115">
        <f>'[44]TABLEAU FINAL'!E22</f>
        <v>3.775065387968624</v>
      </c>
      <c r="F23" s="116">
        <f>'[44]TABLEAU FINAL'!F22</f>
        <v>-4.1412380122061165E-2</v>
      </c>
      <c r="G23" s="137">
        <f>'[44]TABLEAU FINAL'!G22</f>
        <v>8.1897186858819415E-2</v>
      </c>
      <c r="H23" s="138">
        <f>'[44]TABLEAU FINAL'!H22</f>
        <v>8.5212734615924157E-2</v>
      </c>
    </row>
    <row r="24" spans="2:8" ht="15">
      <c r="B24" s="282">
        <f>'[44]TABLEAU FINAL'!B23</f>
        <v>0</v>
      </c>
      <c r="C24" s="287">
        <f>'[44]TABLEAU FINAL'!C23</f>
        <v>0</v>
      </c>
      <c r="D24" s="119" t="str">
        <f>'[44]TABLEAU FINAL'!D23</f>
        <v>3 et plus</v>
      </c>
      <c r="E24" s="120">
        <f>'[44]TABLEAU FINAL'!E23</f>
        <v>5.8303715670436134</v>
      </c>
      <c r="F24" s="121">
        <f>'[44]TABLEAU FINAL'!F23</f>
        <v>-1.6289714593433757E-2</v>
      </c>
      <c r="G24" s="139">
        <f>'[44]TABLEAU FINAL'!G23</f>
        <v>4.8704312981606712E-2</v>
      </c>
      <c r="H24" s="140">
        <f>'[44]TABLEAU FINAL'!H23</f>
        <v>5.1091499408700169E-2</v>
      </c>
    </row>
    <row r="25" spans="2:8" ht="15">
      <c r="B25" s="282">
        <f>'[44]TABLEAU FINAL'!B24</f>
        <v>0</v>
      </c>
      <c r="C25" s="288" t="str">
        <f>'[44]TABLEAU FINAL'!C24</f>
        <v>Poly Lura-MSAE-PLIB</v>
      </c>
      <c r="D25" s="114">
        <f>'[44]TABLEAU FINAL'!D24</f>
        <v>1</v>
      </c>
      <c r="E25" s="115">
        <f>'[44]TABLEAU FINAL'!E24</f>
        <v>-2.4460966542750953</v>
      </c>
      <c r="F25" s="116">
        <f>'[44]TABLEAU FINAL'!F24</f>
        <v>6.0718711276322779E-2</v>
      </c>
      <c r="G25" s="137">
        <f>'[44]TABLEAU FINAL'!G24</f>
        <v>1.2399701658364126E-2</v>
      </c>
      <c r="H25" s="138">
        <f>'[44]TABLEAU FINAL'!H24</f>
        <v>9.5950632106034384E-3</v>
      </c>
    </row>
    <row r="26" spans="2:8" ht="15">
      <c r="B26" s="282">
        <f>'[44]TABLEAU FINAL'!B25</f>
        <v>0</v>
      </c>
      <c r="C26" s="287">
        <f>'[44]TABLEAU FINAL'!C25</f>
        <v>0</v>
      </c>
      <c r="D26" s="114">
        <f>'[44]TABLEAU FINAL'!D25</f>
        <v>2</v>
      </c>
      <c r="E26" s="115">
        <f>'[44]TABLEAU FINAL'!E25</f>
        <v>-5.1557562076749548</v>
      </c>
      <c r="F26" s="116">
        <f>'[44]TABLEAU FINAL'!F25</f>
        <v>0.12001504890895376</v>
      </c>
      <c r="G26" s="137">
        <f>'[44]TABLEAU FINAL'!G25</f>
        <v>3.5126852246093909E-2</v>
      </c>
      <c r="H26" s="138">
        <f>'[44]TABLEAU FINAL'!H25</f>
        <v>3.0074285815808732E-2</v>
      </c>
    </row>
    <row r="27" spans="2:8" ht="15.75" thickBot="1">
      <c r="B27" s="284">
        <f>'[44]TABLEAU FINAL'!B26</f>
        <v>0</v>
      </c>
      <c r="C27" s="289">
        <f>'[44]TABLEAU FINAL'!C26</f>
        <v>0</v>
      </c>
      <c r="D27" s="107" t="str">
        <f>'[44]TABLEAU FINAL'!D26</f>
        <v>3 et plus</v>
      </c>
      <c r="E27" s="108">
        <f>'[44]TABLEAU FINAL'!E26</f>
        <v>-9.6737588652482316</v>
      </c>
      <c r="F27" s="109">
        <f>'[44]TABLEAU FINAL'!F26</f>
        <v>0.13150118203309091</v>
      </c>
      <c r="G27" s="110">
        <f>'[44]TABLEAU FINAL'!G26</f>
        <v>-4.5399444676016421E-3</v>
      </c>
      <c r="H27" s="111">
        <f>'[44]TABLEAU FINAL'!H26</f>
        <v>-1.3133735698141691E-2</v>
      </c>
    </row>
    <row r="28" spans="2:8" ht="15.75" thickBot="1">
      <c r="B28" s="277" t="str">
        <f>'[44]TABLEAU FINAL'!B27</f>
        <v>Selon le quintile de pension</v>
      </c>
      <c r="C28" s="278">
        <f>'[44]TABLEAU FINAL'!C27</f>
        <v>0</v>
      </c>
      <c r="D28" s="278">
        <f>'[44]TABLEAU FINAL'!D27</f>
        <v>0</v>
      </c>
      <c r="E28" s="278">
        <f>'[44]TABLEAU FINAL'!E27</f>
        <v>0</v>
      </c>
      <c r="F28" s="278">
        <f>'[44]TABLEAU FINAL'!F27</f>
        <v>0</v>
      </c>
      <c r="G28" s="278">
        <f>'[44]TABLEAU FINAL'!G27</f>
        <v>0</v>
      </c>
      <c r="H28" s="279">
        <f>'[44]TABLEAU FINAL'!H27</f>
        <v>0</v>
      </c>
    </row>
    <row r="29" spans="2:8" ht="15">
      <c r="B29" s="282" t="str">
        <f>'[44]TABLEAU FINAL'!B28</f>
        <v>Femmes</v>
      </c>
      <c r="C29" s="292" t="str">
        <f>'[44]TABLEAU FINAL'!C28</f>
        <v>Q1</v>
      </c>
      <c r="D29" s="142">
        <f>'[44]TABLEAU FINAL'!D28</f>
        <v>1</v>
      </c>
      <c r="E29" s="143">
        <f>'[44]TABLEAU FINAL'!E28</f>
        <v>-0.99385875127943279</v>
      </c>
      <c r="F29" s="144">
        <f>'[44]TABLEAU FINAL'!F28</f>
        <v>2.132378027980053E-3</v>
      </c>
      <c r="G29" s="178">
        <f>'[44]TABLEAU FINAL'!G28</f>
        <v>2.1352917896822365E-2</v>
      </c>
      <c r="H29" s="179">
        <f>'[44]TABLEAU FINAL'!H28</f>
        <v>2.0906672828485018E-2</v>
      </c>
    </row>
    <row r="30" spans="2:8" ht="15">
      <c r="B30" s="282">
        <f>'[44]TABLEAU FINAL'!B29</f>
        <v>0</v>
      </c>
      <c r="C30" s="292">
        <f>'[44]TABLEAU FINAL'!C29</f>
        <v>0</v>
      </c>
      <c r="D30" s="114">
        <f>'[44]TABLEAU FINAL'!D29</f>
        <v>2</v>
      </c>
      <c r="E30" s="115">
        <f>'[44]TABLEAU FINAL'!E29</f>
        <v>-1.7960358056266017</v>
      </c>
      <c r="F30" s="116">
        <f>'[44]TABLEAU FINAL'!F29</f>
        <v>5.1150895140636976E-3</v>
      </c>
      <c r="G30" s="137">
        <f>'[44]TABLEAU FINAL'!G29</f>
        <v>4.693603127689383E-2</v>
      </c>
      <c r="H30" s="138">
        <f>'[44]TABLEAU FINAL'!H29</f>
        <v>4.6815475201271273E-2</v>
      </c>
    </row>
    <row r="31" spans="2:8" ht="15">
      <c r="B31" s="282">
        <f>'[44]TABLEAU FINAL'!B30</f>
        <v>0</v>
      </c>
      <c r="C31" s="292">
        <f>'[44]TABLEAU FINAL'!C30</f>
        <v>0</v>
      </c>
      <c r="D31" s="186" t="str">
        <f>'[44]TABLEAU FINAL'!D30</f>
        <v>3 et plus</v>
      </c>
      <c r="E31" s="132">
        <f>'[44]TABLEAU FINAL'!E30</f>
        <v>-11.757595345830651</v>
      </c>
      <c r="F31" s="133">
        <f>'[44]TABLEAU FINAL'!F30</f>
        <v>1.1635423400122136E-2</v>
      </c>
      <c r="G31" s="134">
        <f>'[44]TABLEAU FINAL'!G30</f>
        <v>-4.6534207012205453E-2</v>
      </c>
      <c r="H31" s="135">
        <f>'[44]TABLEAU FINAL'!H30</f>
        <v>-4.8394521474587893E-2</v>
      </c>
    </row>
    <row r="32" spans="2:8" ht="15">
      <c r="B32" s="282">
        <f>'[44]TABLEAU FINAL'!B31</f>
        <v>0</v>
      </c>
      <c r="C32" s="309" t="str">
        <f>'[44]TABLEAU FINAL'!C31</f>
        <v>Q2</v>
      </c>
      <c r="D32" s="180">
        <f>'[44]TABLEAU FINAL'!D31</f>
        <v>1</v>
      </c>
      <c r="E32" s="184">
        <f>'[44]TABLEAU FINAL'!E31</f>
        <v>-1.8161592505854571</v>
      </c>
      <c r="F32" s="185">
        <f>'[44]TABLEAU FINAL'!F31</f>
        <v>5.708430913350071E-2</v>
      </c>
      <c r="G32" s="117">
        <f>'[44]TABLEAU FINAL'!G31</f>
        <v>2.2419616869254977E-2</v>
      </c>
      <c r="H32" s="118">
        <f>'[44]TABLEAU FINAL'!H31</f>
        <v>1.9641862410925137E-2</v>
      </c>
    </row>
    <row r="33" spans="2:8" ht="15">
      <c r="B33" s="282">
        <f>'[44]TABLEAU FINAL'!B32</f>
        <v>0</v>
      </c>
      <c r="C33" s="310">
        <f>'[44]TABLEAU FINAL'!C32</f>
        <v>0</v>
      </c>
      <c r="D33" s="180">
        <f>'[44]TABLEAU FINAL'!D32</f>
        <v>2</v>
      </c>
      <c r="E33" s="184">
        <f>'[44]TABLEAU FINAL'!E32</f>
        <v>-3.9045599151643557</v>
      </c>
      <c r="F33" s="185">
        <f>'[44]TABLEAU FINAL'!F32</f>
        <v>0.12071403322730134</v>
      </c>
      <c r="G33" s="117">
        <f>'[44]TABLEAU FINAL'!G32</f>
        <v>4.6435196339287499E-2</v>
      </c>
      <c r="H33" s="118">
        <f>'[44]TABLEAU FINAL'!H32</f>
        <v>4.1341231350169982E-2</v>
      </c>
    </row>
    <row r="34" spans="2:8" ht="15">
      <c r="B34" s="282">
        <f>'[44]TABLEAU FINAL'!B33</f>
        <v>0</v>
      </c>
      <c r="C34" s="310">
        <f>'[44]TABLEAU FINAL'!C33</f>
        <v>0</v>
      </c>
      <c r="D34" s="186" t="str">
        <f>'[44]TABLEAU FINAL'!D33</f>
        <v>3 et plus</v>
      </c>
      <c r="E34" s="187">
        <f>'[44]TABLEAU FINAL'!E33</f>
        <v>-9.0624048706240501</v>
      </c>
      <c r="F34" s="188">
        <f>'[44]TABLEAU FINAL'!F33</f>
        <v>0.2036402841197571</v>
      </c>
      <c r="G34" s="122">
        <f>'[44]TABLEAU FINAL'!G33</f>
        <v>5.5113424985308912E-2</v>
      </c>
      <c r="H34" s="123">
        <f>'[44]TABLEAU FINAL'!H33</f>
        <v>4.472899432384625E-2</v>
      </c>
    </row>
    <row r="35" spans="2:8" ht="15">
      <c r="B35" s="282">
        <f>'[44]TABLEAU FINAL'!B34</f>
        <v>0</v>
      </c>
      <c r="C35" s="309" t="str">
        <f>'[44]TABLEAU FINAL'!C34</f>
        <v>Q3</v>
      </c>
      <c r="D35" s="180">
        <f>'[44]TABLEAU FINAL'!D34</f>
        <v>1</v>
      </c>
      <c r="E35" s="184">
        <f>'[44]TABLEAU FINAL'!E34</f>
        <v>-1.385162601626007</v>
      </c>
      <c r="F35" s="185">
        <f>'[44]TABLEAU FINAL'!F34</f>
        <v>4.0904471544713772E-2</v>
      </c>
      <c r="G35" s="117">
        <f>'[44]TABLEAU FINAL'!G34</f>
        <v>2.171037244156282E-2</v>
      </c>
      <c r="H35" s="118">
        <f>'[44]TABLEAU FINAL'!H34</f>
        <v>2.0627590863733669E-2</v>
      </c>
    </row>
    <row r="36" spans="2:8" ht="15">
      <c r="B36" s="282">
        <f>'[44]TABLEAU FINAL'!B35</f>
        <v>0</v>
      </c>
      <c r="C36" s="310">
        <f>'[44]TABLEAU FINAL'!C35</f>
        <v>0</v>
      </c>
      <c r="D36" s="180">
        <f>'[44]TABLEAU FINAL'!D35</f>
        <v>2</v>
      </c>
      <c r="E36" s="184">
        <f>'[44]TABLEAU FINAL'!E35</f>
        <v>-2.7866666666666617</v>
      </c>
      <c r="F36" s="185">
        <f>'[44]TABLEAU FINAL'!F35</f>
        <v>8.101851851852615E-2</v>
      </c>
      <c r="G36" s="117">
        <f>'[44]TABLEAU FINAL'!G35</f>
        <v>4.63251499474715E-2</v>
      </c>
      <c r="H36" s="118">
        <f>'[44]TABLEAU FINAL'!H35</f>
        <v>4.3261758380743753E-2</v>
      </c>
    </row>
    <row r="37" spans="2:8" ht="15">
      <c r="B37" s="282">
        <f>'[44]TABLEAU FINAL'!B36</f>
        <v>0</v>
      </c>
      <c r="C37" s="310">
        <f>'[44]TABLEAU FINAL'!C36</f>
        <v>0</v>
      </c>
      <c r="D37" s="186" t="str">
        <f>'[44]TABLEAU FINAL'!D36</f>
        <v>3 et plus</v>
      </c>
      <c r="E37" s="187">
        <f>'[44]TABLEAU FINAL'!E36</f>
        <v>-7.2477678571428612</v>
      </c>
      <c r="F37" s="188">
        <f>'[44]TABLEAU FINAL'!F36</f>
        <v>0.1173735119047592</v>
      </c>
      <c r="G37" s="122">
        <f>'[44]TABLEAU FINAL'!G36</f>
        <v>4.2990111430374123E-2</v>
      </c>
      <c r="H37" s="123">
        <f>'[44]TABLEAU FINAL'!H36</f>
        <v>3.7964131546865065E-2</v>
      </c>
    </row>
    <row r="38" spans="2:8" ht="15">
      <c r="B38" s="282">
        <f>'[44]TABLEAU FINAL'!B37</f>
        <v>0</v>
      </c>
      <c r="C38" s="309" t="str">
        <f>'[44]TABLEAU FINAL'!C37</f>
        <v>Q4</v>
      </c>
      <c r="D38" s="180">
        <f>'[44]TABLEAU FINAL'!D37</f>
        <v>1</v>
      </c>
      <c r="E38" s="184">
        <f>'[44]TABLEAU FINAL'!E37</f>
        <v>-1.3028286189683911</v>
      </c>
      <c r="F38" s="185">
        <f>'[44]TABLEAU FINAL'!F37</f>
        <v>3.5912368275113238E-2</v>
      </c>
      <c r="G38" s="117">
        <f>'[44]TABLEAU FINAL'!G37</f>
        <v>2.1394438928782789E-2</v>
      </c>
      <c r="H38" s="118">
        <f>'[44]TABLEAU FINAL'!H37</f>
        <v>1.9855679471816323E-2</v>
      </c>
    </row>
    <row r="39" spans="2:8" ht="15">
      <c r="B39" s="282">
        <f>'[44]TABLEAU FINAL'!B38</f>
        <v>0</v>
      </c>
      <c r="C39" s="310">
        <f>'[44]TABLEAU FINAL'!C38</f>
        <v>0</v>
      </c>
      <c r="D39" s="180">
        <f>'[44]TABLEAU FINAL'!D38</f>
        <v>2</v>
      </c>
      <c r="E39" s="184">
        <f>'[44]TABLEAU FINAL'!E38</f>
        <v>-2.887115165336354</v>
      </c>
      <c r="F39" s="185">
        <f>'[44]TABLEAU FINAL'!F38</f>
        <v>6.0480805777260116E-2</v>
      </c>
      <c r="G39" s="117">
        <f>'[44]TABLEAU FINAL'!G38</f>
        <v>4.9702868864254235E-2</v>
      </c>
      <c r="H39" s="118">
        <f>'[44]TABLEAU FINAL'!H38</f>
        <v>4.7928842812197114E-2</v>
      </c>
    </row>
    <row r="40" spans="2:8" ht="15">
      <c r="B40" s="282">
        <f>'[44]TABLEAU FINAL'!B39</f>
        <v>0</v>
      </c>
      <c r="C40" s="310">
        <f>'[44]TABLEAU FINAL'!C39</f>
        <v>0</v>
      </c>
      <c r="D40" s="186" t="str">
        <f>'[44]TABLEAU FINAL'!D39</f>
        <v>3 et plus</v>
      </c>
      <c r="E40" s="187">
        <f>'[44]TABLEAU FINAL'!E39</f>
        <v>-5.2353998203054743</v>
      </c>
      <c r="F40" s="188">
        <f>'[44]TABLEAU FINAL'!F39</f>
        <v>0.10324947589097633</v>
      </c>
      <c r="G40" s="122">
        <f>'[44]TABLEAU FINAL'!G39</f>
        <v>1.9727582838669377E-2</v>
      </c>
      <c r="H40" s="123">
        <f>'[44]TABLEAU FINAL'!H39</f>
        <v>1.5834443562586786E-2</v>
      </c>
    </row>
    <row r="41" spans="2:8" ht="15">
      <c r="B41" s="282">
        <f>'[44]TABLEAU FINAL'!B40</f>
        <v>0</v>
      </c>
      <c r="C41" s="309" t="str">
        <f>'[44]TABLEAU FINAL'!C40</f>
        <v>Q5</v>
      </c>
      <c r="D41" s="180">
        <f>'[44]TABLEAU FINAL'!D40</f>
        <v>1</v>
      </c>
      <c r="E41" s="184">
        <f>'[44]TABLEAU FINAL'!E40</f>
        <v>-1.8104524180967303</v>
      </c>
      <c r="F41" s="185">
        <f>'[44]TABLEAU FINAL'!F40</f>
        <v>4.1731669266766858E-2</v>
      </c>
      <c r="G41" s="117">
        <f>'[44]TABLEAU FINAL'!G40</f>
        <v>2.154470191204938E-2</v>
      </c>
      <c r="H41" s="118">
        <f>'[44]TABLEAU FINAL'!H40</f>
        <v>1.9758953919770672E-2</v>
      </c>
    </row>
    <row r="42" spans="2:8" ht="15">
      <c r="B42" s="282">
        <f>'[44]TABLEAU FINAL'!B41</f>
        <v>0</v>
      </c>
      <c r="C42" s="310">
        <f>'[44]TABLEAU FINAL'!C41</f>
        <v>0</v>
      </c>
      <c r="D42" s="180">
        <f>'[44]TABLEAU FINAL'!D41</f>
        <v>2</v>
      </c>
      <c r="E42" s="184">
        <f>'[44]TABLEAU FINAL'!E41</f>
        <v>-3.8323016319639578</v>
      </c>
      <c r="F42" s="185">
        <f>'[44]TABLEAU FINAL'!F41</f>
        <v>8.3755392984429022E-2</v>
      </c>
      <c r="G42" s="117">
        <f>'[44]TABLEAU FINAL'!G41</f>
        <v>4.7595636191899438E-2</v>
      </c>
      <c r="H42" s="118">
        <f>'[44]TABLEAU FINAL'!H41</f>
        <v>4.4618614181260563E-2</v>
      </c>
    </row>
    <row r="43" spans="2:8" ht="15.75" thickBot="1">
      <c r="B43" s="284">
        <f>'[44]TABLEAU FINAL'!B42</f>
        <v>0</v>
      </c>
      <c r="C43" s="311">
        <f>'[44]TABLEAU FINAL'!C42</f>
        <v>0</v>
      </c>
      <c r="D43" s="192" t="str">
        <f>'[44]TABLEAU FINAL'!D42</f>
        <v>3 et plus</v>
      </c>
      <c r="E43" s="193">
        <f>'[44]TABLEAU FINAL'!E42</f>
        <v>-5.5522682445759415</v>
      </c>
      <c r="F43" s="194">
        <f>'[44]TABLEAU FINAL'!F42</f>
        <v>0.12697238658776655</v>
      </c>
      <c r="G43" s="147">
        <f>'[44]TABLEAU FINAL'!G42</f>
        <v>-1.4553032854008219E-2</v>
      </c>
      <c r="H43" s="148">
        <f>'[44]TABLEAU FINAL'!H42</f>
        <v>-1.9102763841750803E-2</v>
      </c>
    </row>
    <row r="45" spans="2:8">
      <c r="B45" s="177" t="s">
        <v>36</v>
      </c>
    </row>
  </sheetData>
  <mergeCells count="20">
    <mergeCell ref="B13:B27"/>
    <mergeCell ref="C13:C15"/>
    <mergeCell ref="C16:C18"/>
    <mergeCell ref="C19:C21"/>
    <mergeCell ref="C22:C24"/>
    <mergeCell ref="C25:C27"/>
    <mergeCell ref="B28:H28"/>
    <mergeCell ref="B29:B43"/>
    <mergeCell ref="C29:C31"/>
    <mergeCell ref="C32:C34"/>
    <mergeCell ref="C35:C37"/>
    <mergeCell ref="C38:C40"/>
    <mergeCell ref="C41:C43"/>
    <mergeCell ref="B7:H7"/>
    <mergeCell ref="B8:C10"/>
    <mergeCell ref="B11:C11"/>
    <mergeCell ref="B12:H12"/>
    <mergeCell ref="B4:C4"/>
    <mergeCell ref="B5:C5"/>
    <mergeCell ref="B6:C6"/>
  </mergeCells>
  <hyperlinks>
    <hyperlink ref="A2" location="SOMMAIRE!A1" display="Retour au sommaire" xr:uid="{FC79FAD1-5F76-49C7-878B-F03AC3A0ECD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0B89-5DDE-4BC3-A812-22A306073E43}">
  <sheetPr>
    <tabColor rgb="FFACB9CA"/>
  </sheetPr>
  <dimension ref="A1:H45"/>
  <sheetViews>
    <sheetView workbookViewId="0"/>
  </sheetViews>
  <sheetFormatPr baseColWidth="10" defaultRowHeight="14.25"/>
  <cols>
    <col min="5" max="8" width="20.625" customWidth="1"/>
  </cols>
  <sheetData>
    <row r="1" spans="1:8" ht="15.75">
      <c r="A1" s="2" t="s">
        <v>116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'[45]TABLEAU FINAL'!D3</f>
        <v>Nombre d'enfants</v>
      </c>
      <c r="E4" s="100" t="str">
        <f>'[45]TABLEAU FINAL'!E3</f>
        <v>Durée validée totale moyenne (écart en trimestres)</v>
      </c>
      <c r="F4" s="100" t="str">
        <f>'[45]TABLEAU FINAL'!F3</f>
        <v>Âge de départ (écart en année)</v>
      </c>
      <c r="G4" s="100" t="str">
        <f>'[45]TABLEAU FINAL'!G3</f>
        <v>Pension moyenne 68 ans</v>
      </c>
      <c r="H4" s="101" t="str">
        <f>'[45]TABLEAU FINAL'!H3</f>
        <v>Pension moyenne CV</v>
      </c>
    </row>
    <row r="5" spans="1:8" ht="15">
      <c r="B5" s="303" t="str">
        <f>'[45]TABLEAU FINAL'!B4</f>
        <v>Femmes</v>
      </c>
      <c r="C5" s="304"/>
      <c r="D5" s="189" t="str">
        <f>'[45]TABLEAU FINAL'!D4</f>
        <v>Ensemble</v>
      </c>
      <c r="E5" s="190">
        <f>'[45]TABLEAU FINAL'!E4</f>
        <v>0</v>
      </c>
      <c r="F5" s="191">
        <f>'[45]TABLEAU FINAL'!F4</f>
        <v>0</v>
      </c>
      <c r="G5" s="112">
        <f>'[45]TABLEAU FINAL'!G4</f>
        <v>3.0565069650993371E-2</v>
      </c>
      <c r="H5" s="113">
        <f>'[45]TABLEAU FINAL'!H4</f>
        <v>2.9717513156211517E-2</v>
      </c>
    </row>
    <row r="6" spans="1:8" ht="15.75" thickBot="1">
      <c r="B6" s="293" t="str">
        <f>'[45]TABLEAU FINAL'!B5</f>
        <v>Hommes</v>
      </c>
      <c r="C6" s="294"/>
      <c r="D6" s="107" t="str">
        <f>'[45]TABLEAU FINAL'!D5</f>
        <v>Ensemble</v>
      </c>
      <c r="E6" s="108">
        <f>'[45]TABLEAU FINAL'!E5</f>
        <v>0</v>
      </c>
      <c r="F6" s="109">
        <f>'[45]TABLEAU FINAL'!F5</f>
        <v>0</v>
      </c>
      <c r="G6" s="110">
        <f>'[45]TABLEAU FINAL'!G5</f>
        <v>-2.5391884010056098E-2</v>
      </c>
      <c r="H6" s="111">
        <f>'[45]TABLEAU FINAL'!H5</f>
        <v>-2.5170595940059326E-2</v>
      </c>
    </row>
    <row r="7" spans="1:8" ht="15.75" thickBot="1">
      <c r="B7" s="277" t="str">
        <f>'[45]TABLEAU FINAL'!B6</f>
        <v>Selon le nombre d'enfants</v>
      </c>
      <c r="C7" s="278"/>
      <c r="D7" s="278"/>
      <c r="E7" s="278"/>
      <c r="F7" s="278"/>
      <c r="G7" s="278"/>
      <c r="H7" s="279"/>
    </row>
    <row r="8" spans="1:8" ht="15">
      <c r="B8" s="303" t="str">
        <f>'[45]TABLEAU FINAL'!B7</f>
        <v>Femmes</v>
      </c>
      <c r="C8" s="304"/>
      <c r="D8" s="189">
        <f>'[45]TABLEAU FINAL'!D7</f>
        <v>1</v>
      </c>
      <c r="E8" s="190">
        <f>'[45]TABLEAU FINAL'!E7</f>
        <v>0</v>
      </c>
      <c r="F8" s="191">
        <f>'[45]TABLEAU FINAL'!F7</f>
        <v>0</v>
      </c>
      <c r="G8" s="112">
        <f>'[45]TABLEAU FINAL'!G7</f>
        <v>2.1574076611771797E-2</v>
      </c>
      <c r="H8" s="113">
        <f>'[45]TABLEAU FINAL'!H7</f>
        <v>2.1209540893511125E-2</v>
      </c>
    </row>
    <row r="9" spans="1:8" ht="15">
      <c r="B9" s="305"/>
      <c r="C9" s="306"/>
      <c r="D9" s="180">
        <f>'[45]TABLEAU FINAL'!D8</f>
        <v>2</v>
      </c>
      <c r="E9" s="184">
        <f>'[45]TABLEAU FINAL'!E8</f>
        <v>0</v>
      </c>
      <c r="F9" s="185">
        <f>'[45]TABLEAU FINAL'!F8</f>
        <v>0</v>
      </c>
      <c r="G9" s="117">
        <f>'[45]TABLEAU FINAL'!G8</f>
        <v>4.6107268245300093E-2</v>
      </c>
      <c r="H9" s="118">
        <f>'[45]TABLEAU FINAL'!H8</f>
        <v>4.5450236268596012E-2</v>
      </c>
    </row>
    <row r="10" spans="1:8" ht="15">
      <c r="B10" s="305"/>
      <c r="C10" s="306"/>
      <c r="D10" s="186" t="str">
        <f>'[45]TABLEAU FINAL'!D9</f>
        <v>3 et plus</v>
      </c>
      <c r="E10" s="187">
        <f>'[45]TABLEAU FINAL'!E9</f>
        <v>0</v>
      </c>
      <c r="F10" s="188">
        <f>'[45]TABLEAU FINAL'!F9</f>
        <v>0</v>
      </c>
      <c r="G10" s="122">
        <f>'[45]TABLEAU FINAL'!G9</f>
        <v>2.7089905878385556E-2</v>
      </c>
      <c r="H10" s="123">
        <f>'[45]TABLEAU FINAL'!H9</f>
        <v>2.5335437746481171E-2</v>
      </c>
    </row>
    <row r="11" spans="1:8" ht="15.75" thickBot="1">
      <c r="B11" s="293" t="str">
        <f>'[45]TABLEAU FINAL'!B10</f>
        <v>Hommes</v>
      </c>
      <c r="C11" s="294"/>
      <c r="D11" s="107" t="str">
        <f>'[45]TABLEAU FINAL'!D10</f>
        <v>3 et plus</v>
      </c>
      <c r="E11" s="108">
        <f>'[45]TABLEAU FINAL'!E10</f>
        <v>0</v>
      </c>
      <c r="F11" s="109">
        <f>'[45]TABLEAU FINAL'!F10</f>
        <v>0</v>
      </c>
      <c r="G11" s="110">
        <f>'[45]TABLEAU FINAL'!G10</f>
        <v>-8.2679124623869837E-2</v>
      </c>
      <c r="H11" s="111">
        <f>'[45]TABLEAU FINAL'!H10</f>
        <v>-8.217970264847696E-2</v>
      </c>
    </row>
    <row r="12" spans="1:8" ht="15.75" thickBot="1">
      <c r="B12" s="277" t="str">
        <f>'[45]TABLEAU FINAL'!B11</f>
        <v>Selon le régime d'affiliation</v>
      </c>
      <c r="C12" s="278"/>
      <c r="D12" s="278"/>
      <c r="E12" s="278"/>
      <c r="F12" s="278"/>
      <c r="G12" s="278"/>
      <c r="H12" s="279"/>
    </row>
    <row r="13" spans="1:8" ht="15">
      <c r="B13" s="280" t="str">
        <f>'[45]TABLEAU FINAL'!B12</f>
        <v>Femmes</v>
      </c>
      <c r="C13" s="312" t="str">
        <f>'[45]TABLEAU FINAL'!C12</f>
        <v>Mono Lura</v>
      </c>
      <c r="D13" s="189">
        <f>'[45]TABLEAU FINAL'!D12</f>
        <v>1</v>
      </c>
      <c r="E13" s="190">
        <f>'[45]TABLEAU FINAL'!E12</f>
        <v>0</v>
      </c>
      <c r="F13" s="191">
        <f>'[45]TABLEAU FINAL'!F12</f>
        <v>0</v>
      </c>
      <c r="G13" s="112">
        <f>'[45]TABLEAU FINAL'!G12</f>
        <v>2.280092616101137E-2</v>
      </c>
      <c r="H13" s="113">
        <f>'[45]TABLEAU FINAL'!H12</f>
        <v>2.262131098361686E-2</v>
      </c>
    </row>
    <row r="14" spans="1:8" ht="15">
      <c r="B14" s="282"/>
      <c r="C14" s="310"/>
      <c r="D14" s="180">
        <f>'[45]TABLEAU FINAL'!D13</f>
        <v>2</v>
      </c>
      <c r="E14" s="184">
        <f>'[45]TABLEAU FINAL'!E13</f>
        <v>0</v>
      </c>
      <c r="F14" s="185">
        <f>'[45]TABLEAU FINAL'!F13</f>
        <v>0</v>
      </c>
      <c r="G14" s="117">
        <f>'[45]TABLEAU FINAL'!G13</f>
        <v>4.8181456704320391E-2</v>
      </c>
      <c r="H14" s="118">
        <f>'[45]TABLEAU FINAL'!H13</f>
        <v>4.7920706204942043E-2</v>
      </c>
    </row>
    <row r="15" spans="1:8" ht="15">
      <c r="B15" s="282"/>
      <c r="C15" s="310"/>
      <c r="D15" s="186" t="str">
        <f>'[45]TABLEAU FINAL'!D14</f>
        <v>3 et plus</v>
      </c>
      <c r="E15" s="187">
        <f>'[45]TABLEAU FINAL'!E14</f>
        <v>0</v>
      </c>
      <c r="F15" s="188">
        <f>'[45]TABLEAU FINAL'!F14</f>
        <v>0</v>
      </c>
      <c r="G15" s="122">
        <f>'[45]TABLEAU FINAL'!G14</f>
        <v>3.6475928456337625E-2</v>
      </c>
      <c r="H15" s="123">
        <f>'[45]TABLEAU FINAL'!H14</f>
        <v>3.5321061828923694E-2</v>
      </c>
    </row>
    <row r="16" spans="1:8" ht="15">
      <c r="B16" s="282"/>
      <c r="C16" s="309" t="str">
        <f>'[45]TABLEAU FINAL'!C15</f>
        <v>Mono FP-RS</v>
      </c>
      <c r="D16" s="180">
        <f>'[45]TABLEAU FINAL'!D15</f>
        <v>1</v>
      </c>
      <c r="E16" s="184">
        <f>'[45]TABLEAU FINAL'!E15</f>
        <v>0</v>
      </c>
      <c r="F16" s="185">
        <f>'[45]TABLEAU FINAL'!F15</f>
        <v>0</v>
      </c>
      <c r="G16" s="117">
        <f>'[45]TABLEAU FINAL'!G15</f>
        <v>2.0324153726036798E-2</v>
      </c>
      <c r="H16" s="118">
        <f>'[45]TABLEAU FINAL'!H15</f>
        <v>1.9970445267739168E-2</v>
      </c>
    </row>
    <row r="17" spans="2:8" ht="15">
      <c r="B17" s="282"/>
      <c r="C17" s="310"/>
      <c r="D17" s="180">
        <f>'[45]TABLEAU FINAL'!D16</f>
        <v>2</v>
      </c>
      <c r="E17" s="184">
        <f>'[45]TABLEAU FINAL'!E16</f>
        <v>0</v>
      </c>
      <c r="F17" s="185">
        <f>'[45]TABLEAU FINAL'!F16</f>
        <v>0</v>
      </c>
      <c r="G17" s="117">
        <f>'[45]TABLEAU FINAL'!G16</f>
        <v>3.9758741505282691E-2</v>
      </c>
      <c r="H17" s="118">
        <f>'[45]TABLEAU FINAL'!H16</f>
        <v>3.9028711783519521E-2</v>
      </c>
    </row>
    <row r="18" spans="2:8" ht="15">
      <c r="B18" s="282"/>
      <c r="C18" s="310"/>
      <c r="D18" s="186" t="str">
        <f>'[45]TABLEAU FINAL'!D17</f>
        <v>3 et plus</v>
      </c>
      <c r="E18" s="187">
        <f>'[45]TABLEAU FINAL'!E17</f>
        <v>0</v>
      </c>
      <c r="F18" s="188">
        <f>'[45]TABLEAU FINAL'!F17</f>
        <v>0</v>
      </c>
      <c r="G18" s="122">
        <f>'[45]TABLEAU FINAL'!G17</f>
        <v>-7.2433902285984342E-4</v>
      </c>
      <c r="H18" s="123">
        <f>'[45]TABLEAU FINAL'!H17</f>
        <v>-1.3838432161933367E-3</v>
      </c>
    </row>
    <row r="19" spans="2:8" ht="15">
      <c r="B19" s="282"/>
      <c r="C19" s="309" t="str">
        <f>'[45]TABLEAU FINAL'!C18</f>
        <v>Mono MSAE-PLIB</v>
      </c>
      <c r="D19" s="180">
        <f>'[45]TABLEAU FINAL'!D18</f>
        <v>1</v>
      </c>
      <c r="E19" s="184">
        <f>'[45]TABLEAU FINAL'!E18</f>
        <v>0</v>
      </c>
      <c r="F19" s="185">
        <f>'[45]TABLEAU FINAL'!F18</f>
        <v>0</v>
      </c>
      <c r="G19" s="117">
        <f>'[45]TABLEAU FINAL'!G18</f>
        <v>2.7032093190385575E-2</v>
      </c>
      <c r="H19" s="118">
        <f>'[45]TABLEAU FINAL'!H18</f>
        <v>2.7742496033897002E-2</v>
      </c>
    </row>
    <row r="20" spans="2:8" ht="15">
      <c r="B20" s="282"/>
      <c r="C20" s="310"/>
      <c r="D20" s="180">
        <f>'[45]TABLEAU FINAL'!D19</f>
        <v>2</v>
      </c>
      <c r="E20" s="184">
        <f>'[45]TABLEAU FINAL'!E19</f>
        <v>0</v>
      </c>
      <c r="F20" s="185">
        <f>'[45]TABLEAU FINAL'!F19</f>
        <v>0</v>
      </c>
      <c r="G20" s="117">
        <f>'[45]TABLEAU FINAL'!G19</f>
        <v>5.826543828171582E-2</v>
      </c>
      <c r="H20" s="118">
        <f>'[45]TABLEAU FINAL'!H19</f>
        <v>5.7764432905288432E-2</v>
      </c>
    </row>
    <row r="21" spans="2:8" ht="15">
      <c r="B21" s="282"/>
      <c r="C21" s="310"/>
      <c r="D21" s="186" t="str">
        <f>'[45]TABLEAU FINAL'!D20</f>
        <v>3 et plus</v>
      </c>
      <c r="E21" s="187">
        <f>'[45]TABLEAU FINAL'!E20</f>
        <v>0</v>
      </c>
      <c r="F21" s="188">
        <f>'[45]TABLEAU FINAL'!F20</f>
        <v>0</v>
      </c>
      <c r="G21" s="122">
        <f>'[45]TABLEAU FINAL'!G20</f>
        <v>6.302074358129639E-2</v>
      </c>
      <c r="H21" s="123">
        <f>'[45]TABLEAU FINAL'!H20</f>
        <v>6.1030262913357669E-2</v>
      </c>
    </row>
    <row r="22" spans="2:8" ht="15">
      <c r="B22" s="282"/>
      <c r="C22" s="309" t="str">
        <f>'[45]TABLEAU FINAL'!C21</f>
        <v>Poly Lura-FP-RS</v>
      </c>
      <c r="D22" s="180">
        <f>'[45]TABLEAU FINAL'!D21</f>
        <v>1</v>
      </c>
      <c r="E22" s="184">
        <f>'[45]TABLEAU FINAL'!E21</f>
        <v>0</v>
      </c>
      <c r="F22" s="185">
        <f>'[45]TABLEAU FINAL'!F21</f>
        <v>0</v>
      </c>
      <c r="G22" s="117">
        <f>'[45]TABLEAU FINAL'!G21</f>
        <v>1.7617816400658404E-2</v>
      </c>
      <c r="H22" s="118">
        <f>'[45]TABLEAU FINAL'!H21</f>
        <v>1.7353531412222623E-2</v>
      </c>
    </row>
    <row r="23" spans="2:8" ht="15">
      <c r="B23" s="282"/>
      <c r="C23" s="310"/>
      <c r="D23" s="180">
        <f>'[45]TABLEAU FINAL'!D22</f>
        <v>2</v>
      </c>
      <c r="E23" s="184">
        <f>'[45]TABLEAU FINAL'!E22</f>
        <v>0</v>
      </c>
      <c r="F23" s="185">
        <f>'[45]TABLEAU FINAL'!F22</f>
        <v>0</v>
      </c>
      <c r="G23" s="117">
        <f>'[45]TABLEAU FINAL'!G22</f>
        <v>4.0879702929364603E-2</v>
      </c>
      <c r="H23" s="118">
        <f>'[45]TABLEAU FINAL'!H22</f>
        <v>3.9544173354939316E-2</v>
      </c>
    </row>
    <row r="24" spans="2:8" ht="15">
      <c r="B24" s="282"/>
      <c r="C24" s="310"/>
      <c r="D24" s="186" t="str">
        <f>'[45]TABLEAU FINAL'!D23</f>
        <v>3 et plus</v>
      </c>
      <c r="E24" s="187">
        <f>'[45]TABLEAU FINAL'!E23</f>
        <v>0</v>
      </c>
      <c r="F24" s="188">
        <f>'[45]TABLEAU FINAL'!F23</f>
        <v>0</v>
      </c>
      <c r="G24" s="122">
        <f>'[45]TABLEAU FINAL'!G23</f>
        <v>4.8550503313100624E-3</v>
      </c>
      <c r="H24" s="123">
        <f>'[45]TABLEAU FINAL'!H23</f>
        <v>3.340762330869218E-3</v>
      </c>
    </row>
    <row r="25" spans="2:8" ht="15">
      <c r="B25" s="282"/>
      <c r="C25" s="288" t="str">
        <f>'[45]TABLEAU FINAL'!C24</f>
        <v>Poly Lura-MSAE-PLIB</v>
      </c>
      <c r="D25" s="114">
        <f>'[45]TABLEAU FINAL'!D24</f>
        <v>1</v>
      </c>
      <c r="E25" s="115">
        <f>'[45]TABLEAU FINAL'!E24</f>
        <v>0</v>
      </c>
      <c r="F25" s="116">
        <f>'[45]TABLEAU FINAL'!F24</f>
        <v>0</v>
      </c>
      <c r="G25" s="137">
        <f>'[45]TABLEAU FINAL'!G24</f>
        <v>2.2980923038103951E-2</v>
      </c>
      <c r="H25" s="138">
        <f>'[45]TABLEAU FINAL'!H24</f>
        <v>2.2248110399353926E-2</v>
      </c>
    </row>
    <row r="26" spans="2:8" ht="15">
      <c r="B26" s="282"/>
      <c r="C26" s="287"/>
      <c r="D26" s="114">
        <f>'[45]TABLEAU FINAL'!D25</f>
        <v>2</v>
      </c>
      <c r="E26" s="115">
        <f>'[45]TABLEAU FINAL'!E25</f>
        <v>0</v>
      </c>
      <c r="F26" s="116">
        <f>'[45]TABLEAU FINAL'!F25</f>
        <v>0</v>
      </c>
      <c r="G26" s="137">
        <f>'[45]TABLEAU FINAL'!G25</f>
        <v>4.6608407073875258E-2</v>
      </c>
      <c r="H26" s="138">
        <f>'[45]TABLEAU FINAL'!H25</f>
        <v>4.5763892929484795E-2</v>
      </c>
    </row>
    <row r="27" spans="2:8" ht="15.75" thickBot="1">
      <c r="B27" s="284"/>
      <c r="C27" s="289"/>
      <c r="D27" s="107" t="str">
        <f>'[45]TABLEAU FINAL'!D26</f>
        <v>3 et plus</v>
      </c>
      <c r="E27" s="108">
        <f>'[45]TABLEAU FINAL'!E26</f>
        <v>0</v>
      </c>
      <c r="F27" s="109">
        <f>'[45]TABLEAU FINAL'!F26</f>
        <v>0</v>
      </c>
      <c r="G27" s="110">
        <f>'[45]TABLEAU FINAL'!G26</f>
        <v>1.6831323653412555E-2</v>
      </c>
      <c r="H27" s="111">
        <f>'[45]TABLEAU FINAL'!H26</f>
        <v>1.5265473054797196E-2</v>
      </c>
    </row>
    <row r="28" spans="2:8" ht="15.75" thickBot="1">
      <c r="B28" s="277" t="str">
        <f>'[45]TABLEAU FINAL'!B27</f>
        <v>Selon le quintile de pension</v>
      </c>
      <c r="C28" s="278"/>
      <c r="D28" s="278"/>
      <c r="E28" s="278"/>
      <c r="F28" s="278"/>
      <c r="G28" s="278"/>
      <c r="H28" s="279"/>
    </row>
    <row r="29" spans="2:8" ht="15">
      <c r="B29" s="282" t="str">
        <f>'[45]TABLEAU FINAL'!B28</f>
        <v>Femmes</v>
      </c>
      <c r="C29" s="310" t="str">
        <f>'[45]TABLEAU FINAL'!C28</f>
        <v>Q1</v>
      </c>
      <c r="D29" s="181">
        <f>'[45]TABLEAU FINAL'!D28</f>
        <v>1</v>
      </c>
      <c r="E29" s="182">
        <f>'[45]TABLEAU FINAL'!E28</f>
        <v>0</v>
      </c>
      <c r="F29" s="183">
        <f>'[45]TABLEAU FINAL'!F28</f>
        <v>0</v>
      </c>
      <c r="G29" s="145">
        <f>'[45]TABLEAU FINAL'!G28</f>
        <v>2.9009988205554116E-2</v>
      </c>
      <c r="H29" s="146">
        <f>'[45]TABLEAU FINAL'!H28</f>
        <v>2.8731955495974404E-2</v>
      </c>
    </row>
    <row r="30" spans="2:8" ht="15">
      <c r="B30" s="282"/>
      <c r="C30" s="310"/>
      <c r="D30" s="180">
        <f>'[45]TABLEAU FINAL'!D29</f>
        <v>2</v>
      </c>
      <c r="E30" s="184">
        <f>'[45]TABLEAU FINAL'!E29</f>
        <v>0</v>
      </c>
      <c r="F30" s="185">
        <f>'[45]TABLEAU FINAL'!F29</f>
        <v>0</v>
      </c>
      <c r="G30" s="117">
        <f>'[45]TABLEAU FINAL'!G29</f>
        <v>5.7811078967574314E-2</v>
      </c>
      <c r="H30" s="118">
        <f>'[45]TABLEAU FINAL'!H29</f>
        <v>5.7472991531941187E-2</v>
      </c>
    </row>
    <row r="31" spans="2:8" ht="15">
      <c r="B31" s="282"/>
      <c r="C31" s="310"/>
      <c r="D31" s="186" t="str">
        <f>'[45]TABLEAU FINAL'!D30</f>
        <v>3 et plus</v>
      </c>
      <c r="E31" s="187">
        <f>'[45]TABLEAU FINAL'!E30</f>
        <v>0</v>
      </c>
      <c r="F31" s="188">
        <f>'[45]TABLEAU FINAL'!F30</f>
        <v>0</v>
      </c>
      <c r="G31" s="122">
        <f>'[45]TABLEAU FINAL'!G30</f>
        <v>8.9437331061358538E-2</v>
      </c>
      <c r="H31" s="123">
        <f>'[45]TABLEAU FINAL'!H30</f>
        <v>8.8589583213327217E-2</v>
      </c>
    </row>
    <row r="32" spans="2:8" ht="15">
      <c r="B32" s="282"/>
      <c r="C32" s="309" t="str">
        <f>'[45]TABLEAU FINAL'!C31</f>
        <v>Q2</v>
      </c>
      <c r="D32" s="180">
        <f>'[45]TABLEAU FINAL'!D31</f>
        <v>1</v>
      </c>
      <c r="E32" s="184">
        <f>'[45]TABLEAU FINAL'!E31</f>
        <v>0</v>
      </c>
      <c r="F32" s="185">
        <f>'[45]TABLEAU FINAL'!F31</f>
        <v>0</v>
      </c>
      <c r="G32" s="117">
        <f>'[45]TABLEAU FINAL'!G31</f>
        <v>2.2757270624402581E-2</v>
      </c>
      <c r="H32" s="118">
        <f>'[45]TABLEAU FINAL'!H31</f>
        <v>2.1864813496544677E-2</v>
      </c>
    </row>
    <row r="33" spans="2:8" ht="15">
      <c r="B33" s="282"/>
      <c r="C33" s="310"/>
      <c r="D33" s="180">
        <f>'[45]TABLEAU FINAL'!D32</f>
        <v>2</v>
      </c>
      <c r="E33" s="184">
        <f>'[45]TABLEAU FINAL'!E32</f>
        <v>0</v>
      </c>
      <c r="F33" s="185">
        <f>'[45]TABLEAU FINAL'!F32</f>
        <v>0</v>
      </c>
      <c r="G33" s="117">
        <f>'[45]TABLEAU FINAL'!G32</f>
        <v>4.9969140136446821E-2</v>
      </c>
      <c r="H33" s="118">
        <f>'[45]TABLEAU FINAL'!H32</f>
        <v>4.8303586946308652E-2</v>
      </c>
    </row>
    <row r="34" spans="2:8" ht="15">
      <c r="B34" s="282"/>
      <c r="C34" s="310"/>
      <c r="D34" s="186" t="str">
        <f>'[45]TABLEAU FINAL'!D33</f>
        <v>3 et plus</v>
      </c>
      <c r="E34" s="187">
        <f>'[45]TABLEAU FINAL'!E33</f>
        <v>0</v>
      </c>
      <c r="F34" s="188">
        <f>'[45]TABLEAU FINAL'!F33</f>
        <v>0</v>
      </c>
      <c r="G34" s="122">
        <f>'[45]TABLEAU FINAL'!G33</f>
        <v>8.2210375297348204E-2</v>
      </c>
      <c r="H34" s="123">
        <f>'[45]TABLEAU FINAL'!H33</f>
        <v>7.9506111307786842E-2</v>
      </c>
    </row>
    <row r="35" spans="2:8" ht="15">
      <c r="B35" s="282"/>
      <c r="C35" s="309" t="str">
        <f>'[45]TABLEAU FINAL'!C34</f>
        <v>Q3</v>
      </c>
      <c r="D35" s="180">
        <f>'[45]TABLEAU FINAL'!D34</f>
        <v>1</v>
      </c>
      <c r="E35" s="184">
        <f>'[45]TABLEAU FINAL'!E34</f>
        <v>0</v>
      </c>
      <c r="F35" s="185">
        <f>'[45]TABLEAU FINAL'!F34</f>
        <v>0</v>
      </c>
      <c r="G35" s="117">
        <f>'[45]TABLEAU FINAL'!G34</f>
        <v>2.0901306562268296E-2</v>
      </c>
      <c r="H35" s="118">
        <f>'[45]TABLEAU FINAL'!H34</f>
        <v>2.064022041520297E-2</v>
      </c>
    </row>
    <row r="36" spans="2:8" ht="15">
      <c r="B36" s="282"/>
      <c r="C36" s="310"/>
      <c r="D36" s="180">
        <f>'[45]TABLEAU FINAL'!D35</f>
        <v>2</v>
      </c>
      <c r="E36" s="184">
        <f>'[45]TABLEAU FINAL'!E35</f>
        <v>0</v>
      </c>
      <c r="F36" s="185">
        <f>'[45]TABLEAU FINAL'!F35</f>
        <v>0</v>
      </c>
      <c r="G36" s="117">
        <f>'[45]TABLEAU FINAL'!G35</f>
        <v>4.6172184445188558E-2</v>
      </c>
      <c r="H36" s="118">
        <f>'[45]TABLEAU FINAL'!H35</f>
        <v>4.5435889421031161E-2</v>
      </c>
    </row>
    <row r="37" spans="2:8" ht="15">
      <c r="B37" s="282"/>
      <c r="C37" s="310"/>
      <c r="D37" s="186" t="str">
        <f>'[45]TABLEAU FINAL'!D36</f>
        <v>3 et plus</v>
      </c>
      <c r="E37" s="187">
        <f>'[45]TABLEAU FINAL'!E36</f>
        <v>0</v>
      </c>
      <c r="F37" s="188">
        <f>'[45]TABLEAU FINAL'!F36</f>
        <v>0</v>
      </c>
      <c r="G37" s="122">
        <f>'[45]TABLEAU FINAL'!G36</f>
        <v>6.1871092375405778E-2</v>
      </c>
      <c r="H37" s="123">
        <f>'[45]TABLEAU FINAL'!H36</f>
        <v>5.9910818787513476E-2</v>
      </c>
    </row>
    <row r="38" spans="2:8" ht="15">
      <c r="B38" s="282"/>
      <c r="C38" s="309" t="str">
        <f>'[45]TABLEAU FINAL'!C37</f>
        <v>Q4</v>
      </c>
      <c r="D38" s="180">
        <f>'[45]TABLEAU FINAL'!D37</f>
        <v>1</v>
      </c>
      <c r="E38" s="184">
        <f>'[45]TABLEAU FINAL'!E37</f>
        <v>0</v>
      </c>
      <c r="F38" s="185">
        <f>'[45]TABLEAU FINAL'!F37</f>
        <v>0</v>
      </c>
      <c r="G38" s="117">
        <f>'[45]TABLEAU FINAL'!G37</f>
        <v>2.1214081352398662E-2</v>
      </c>
      <c r="H38" s="118">
        <f>'[45]TABLEAU FINAL'!H37</f>
        <v>2.0968908022652499E-2</v>
      </c>
    </row>
    <row r="39" spans="2:8" ht="15">
      <c r="B39" s="282"/>
      <c r="C39" s="310"/>
      <c r="D39" s="180">
        <f>'[45]TABLEAU FINAL'!D38</f>
        <v>2</v>
      </c>
      <c r="E39" s="184">
        <f>'[45]TABLEAU FINAL'!E38</f>
        <v>0</v>
      </c>
      <c r="F39" s="185">
        <f>'[45]TABLEAU FINAL'!F38</f>
        <v>0</v>
      </c>
      <c r="G39" s="117">
        <f>'[45]TABLEAU FINAL'!G38</f>
        <v>4.5312723023561041E-2</v>
      </c>
      <c r="H39" s="118">
        <f>'[45]TABLEAU FINAL'!H38</f>
        <v>4.47433990301076E-2</v>
      </c>
    </row>
    <row r="40" spans="2:8" ht="15">
      <c r="B40" s="282"/>
      <c r="C40" s="310"/>
      <c r="D40" s="186" t="str">
        <f>'[45]TABLEAU FINAL'!D39</f>
        <v>3 et plus</v>
      </c>
      <c r="E40" s="187">
        <f>'[45]TABLEAU FINAL'!E39</f>
        <v>0</v>
      </c>
      <c r="F40" s="188">
        <f>'[45]TABLEAU FINAL'!F39</f>
        <v>0</v>
      </c>
      <c r="G40" s="122">
        <f>'[45]TABLEAU FINAL'!G39</f>
        <v>2.5562934093538381E-2</v>
      </c>
      <c r="H40" s="123">
        <f>'[45]TABLEAU FINAL'!H39</f>
        <v>2.379995841355198E-2</v>
      </c>
    </row>
    <row r="41" spans="2:8" ht="15">
      <c r="B41" s="282"/>
      <c r="C41" s="309" t="str">
        <f>'[45]TABLEAU FINAL'!C40</f>
        <v>Q5</v>
      </c>
      <c r="D41" s="180">
        <f>'[45]TABLEAU FINAL'!D40</f>
        <v>1</v>
      </c>
      <c r="E41" s="184">
        <f>'[45]TABLEAU FINAL'!E40</f>
        <v>0</v>
      </c>
      <c r="F41" s="185">
        <f>'[45]TABLEAU FINAL'!F40</f>
        <v>0</v>
      </c>
      <c r="G41" s="117">
        <f>'[45]TABLEAU FINAL'!G40</f>
        <v>2.0605582635641717E-2</v>
      </c>
      <c r="H41" s="118">
        <f>'[45]TABLEAU FINAL'!H40</f>
        <v>2.0353528272654353E-2</v>
      </c>
    </row>
    <row r="42" spans="2:8" ht="15">
      <c r="B42" s="282"/>
      <c r="C42" s="310"/>
      <c r="D42" s="180">
        <f>'[45]TABLEAU FINAL'!D41</f>
        <v>2</v>
      </c>
      <c r="E42" s="184">
        <f>'[45]TABLEAU FINAL'!E41</f>
        <v>0</v>
      </c>
      <c r="F42" s="185">
        <f>'[45]TABLEAU FINAL'!F41</f>
        <v>0</v>
      </c>
      <c r="G42" s="117">
        <f>'[45]TABLEAU FINAL'!G41</f>
        <v>4.3311990599994132E-2</v>
      </c>
      <c r="H42" s="118">
        <f>'[45]TABLEAU FINAL'!H41</f>
        <v>4.3094800302332148E-2</v>
      </c>
    </row>
    <row r="43" spans="2:8" ht="15.75" thickBot="1">
      <c r="B43" s="284"/>
      <c r="C43" s="311"/>
      <c r="D43" s="192" t="str">
        <f>'[45]TABLEAU FINAL'!D42</f>
        <v>3 et plus</v>
      </c>
      <c r="E43" s="193">
        <f>'[45]TABLEAU FINAL'!E42</f>
        <v>0</v>
      </c>
      <c r="F43" s="194">
        <f>'[45]TABLEAU FINAL'!F42</f>
        <v>0</v>
      </c>
      <c r="G43" s="147">
        <f>'[45]TABLEAU FINAL'!G42</f>
        <v>-2.1728736356697698E-2</v>
      </c>
      <c r="H43" s="148">
        <f>'[45]TABLEAU FINAL'!H42</f>
        <v>-2.1888002626980763E-2</v>
      </c>
    </row>
    <row r="45" spans="2:8">
      <c r="B45" s="177" t="s">
        <v>36</v>
      </c>
    </row>
  </sheetData>
  <mergeCells count="20">
    <mergeCell ref="B28:H28"/>
    <mergeCell ref="B29:B43"/>
    <mergeCell ref="C29:C31"/>
    <mergeCell ref="C32:C34"/>
    <mergeCell ref="C35:C37"/>
    <mergeCell ref="C38:C40"/>
    <mergeCell ref="C41:C43"/>
    <mergeCell ref="B12:H12"/>
    <mergeCell ref="B13:B27"/>
    <mergeCell ref="C13:C15"/>
    <mergeCell ref="C16:C18"/>
    <mergeCell ref="C19:C21"/>
    <mergeCell ref="C22:C24"/>
    <mergeCell ref="C25:C27"/>
    <mergeCell ref="B11:C11"/>
    <mergeCell ref="B4:C4"/>
    <mergeCell ref="B5:C5"/>
    <mergeCell ref="B6:C6"/>
    <mergeCell ref="B7:H7"/>
    <mergeCell ref="B8:C10"/>
  </mergeCells>
  <hyperlinks>
    <hyperlink ref="A2" location="SOMMAIRE!A1" display="Retour au sommaire" xr:uid="{6A2143B7-7BB9-43C7-BCA3-E878CFC6F8E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1F9B-B3CF-4053-BE08-9DDA4774C902}">
  <sheetPr>
    <tabColor rgb="FFACB9CA"/>
  </sheetPr>
  <dimension ref="A1:H45"/>
  <sheetViews>
    <sheetView workbookViewId="0"/>
  </sheetViews>
  <sheetFormatPr baseColWidth="10" defaultRowHeight="14.25"/>
  <cols>
    <col min="5" max="8" width="20.625" customWidth="1"/>
  </cols>
  <sheetData>
    <row r="1" spans="1:8" ht="15.75">
      <c r="A1" s="2" t="s">
        <v>117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'[46]TABLEAU FINAL'!D3</f>
        <v>Nombre d'enfants</v>
      </c>
      <c r="E4" s="100" t="str">
        <f>'[46]TABLEAU FINAL'!E3</f>
        <v>Durée validée totale moyenne (écart en trimestres)</v>
      </c>
      <c r="F4" s="100" t="str">
        <f>'[46]TABLEAU FINAL'!F3</f>
        <v>Âge de départ (écart en année)</v>
      </c>
      <c r="G4" s="100" t="str">
        <f>'[46]TABLEAU FINAL'!G3</f>
        <v>Pension moyenne 68 ans</v>
      </c>
      <c r="H4" s="101" t="str">
        <f>'[46]TABLEAU FINAL'!H3</f>
        <v>Pension moyenne CV</v>
      </c>
    </row>
    <row r="5" spans="1:8" ht="15">
      <c r="B5" s="307" t="str">
        <f>'[46]TABLEAU FINAL'!B4</f>
        <v>Femmes</v>
      </c>
      <c r="C5" s="308"/>
      <c r="D5" s="150" t="str">
        <f>'[46]TABLEAU FINAL'!D4</f>
        <v>Ensemble</v>
      </c>
      <c r="E5" s="151">
        <f>'[46]TABLEAU FINAL'!E4</f>
        <v>-3.6042181026907087</v>
      </c>
      <c r="F5" s="152">
        <f>'[46]TABLEAU FINAL'!F4</f>
        <v>6.3236668479973446E-2</v>
      </c>
      <c r="G5" s="153">
        <f>'[46]TABLEAU FINAL'!G4</f>
        <v>3.450786540877826E-2</v>
      </c>
      <c r="H5" s="154">
        <f>'[46]TABLEAU FINAL'!H4</f>
        <v>3.175343253714491E-2</v>
      </c>
    </row>
    <row r="6" spans="1:8" ht="15.75" thickBot="1">
      <c r="B6" s="293" t="str">
        <f>'[46]TABLEAU FINAL'!B5</f>
        <v>Hommes</v>
      </c>
      <c r="C6" s="294"/>
      <c r="D6" s="107" t="str">
        <f>'[46]TABLEAU FINAL'!D5</f>
        <v>Ensemble</v>
      </c>
      <c r="E6" s="108">
        <f>'[46]TABLEAU FINAL'!E5</f>
        <v>0</v>
      </c>
      <c r="F6" s="109">
        <f>'[46]TABLEAU FINAL'!F5</f>
        <v>0</v>
      </c>
      <c r="G6" s="110">
        <f>'[46]TABLEAU FINAL'!G5</f>
        <v>-2.2203435052819298E-2</v>
      </c>
      <c r="H6" s="111">
        <f>'[46]TABLEAU FINAL'!H5</f>
        <v>-2.2260540674592599E-2</v>
      </c>
    </row>
    <row r="7" spans="1:8" ht="15.75" thickBot="1">
      <c r="B7" s="277" t="str">
        <f>'[46]TABLEAU FINAL'!B6</f>
        <v>Selon le nombre d'enfants</v>
      </c>
      <c r="C7" s="278"/>
      <c r="D7" s="278"/>
      <c r="E7" s="278"/>
      <c r="F7" s="278"/>
      <c r="G7" s="278"/>
      <c r="H7" s="279"/>
    </row>
    <row r="8" spans="1:8" ht="15">
      <c r="B8" s="307" t="str">
        <f>'[46]TABLEAU FINAL'!B7</f>
        <v>Femmes</v>
      </c>
      <c r="C8" s="308"/>
      <c r="D8" s="102">
        <f>'[46]TABLEAU FINAL'!D7</f>
        <v>1</v>
      </c>
      <c r="E8" s="103">
        <f>'[46]TABLEAU FINAL'!E7</f>
        <v>-1.4666918286469297</v>
      </c>
      <c r="F8" s="104">
        <f>'[46]TABLEAU FINAL'!F7</f>
        <v>3.5431213436496023E-2</v>
      </c>
      <c r="G8" s="105">
        <f>'[46]TABLEAU FINAL'!G7</f>
        <v>2.1623975992664635E-2</v>
      </c>
      <c r="H8" s="106">
        <f>'[46]TABLEAU FINAL'!H7</f>
        <v>1.9981260553612268E-2</v>
      </c>
    </row>
    <row r="9" spans="1:8" ht="15">
      <c r="B9" s="313"/>
      <c r="C9" s="314"/>
      <c r="D9" s="180">
        <f>'[46]TABLEAU FINAL'!D8</f>
        <v>2</v>
      </c>
      <c r="E9" s="184">
        <f>'[46]TABLEAU FINAL'!E8</f>
        <v>-3.0819952169456712</v>
      </c>
      <c r="F9" s="185">
        <f>'[46]TABLEAU FINAL'!F8</f>
        <v>7.2476559237728111E-2</v>
      </c>
      <c r="G9" s="117">
        <f>'[46]TABLEAU FINAL'!G8</f>
        <v>4.8254742462812805E-2</v>
      </c>
      <c r="H9" s="118">
        <f>'[46]TABLEAU FINAL'!H8</f>
        <v>4.5384990909551171E-2</v>
      </c>
    </row>
    <row r="10" spans="1:8" ht="15">
      <c r="B10" s="313"/>
      <c r="C10" s="314"/>
      <c r="D10" s="131" t="str">
        <f>'[46]TABLEAU FINAL'!D9</f>
        <v>3 et plus</v>
      </c>
      <c r="E10" s="132">
        <f>'[46]TABLEAU FINAL'!E9</f>
        <v>-8.1009159823120456</v>
      </c>
      <c r="F10" s="133">
        <f>'[46]TABLEAU FINAL'!F9</f>
        <v>0.10849652558432865</v>
      </c>
      <c r="G10" s="134">
        <f>'[46]TABLEAU FINAL'!G9</f>
        <v>4.6441736100028885E-2</v>
      </c>
      <c r="H10" s="135">
        <f>'[46]TABLEAU FINAL'!H9</f>
        <v>4.153243193647338E-2</v>
      </c>
    </row>
    <row r="11" spans="1:8" ht="15.75" thickBot="1">
      <c r="B11" s="293" t="str">
        <f>'[46]TABLEAU FINAL'!B10</f>
        <v>Hommes</v>
      </c>
      <c r="C11" s="294"/>
      <c r="D11" s="107" t="str">
        <f>'[46]TABLEAU FINAL'!D10</f>
        <v>3 et plus</v>
      </c>
      <c r="E11" s="108">
        <f>'[46]TABLEAU FINAL'!E10</f>
        <v>0</v>
      </c>
      <c r="F11" s="109">
        <f>'[46]TABLEAU FINAL'!F10</f>
        <v>0</v>
      </c>
      <c r="G11" s="110">
        <f>'[46]TABLEAU FINAL'!G10</f>
        <v>-8.6884827588970648E-2</v>
      </c>
      <c r="H11" s="111">
        <f>'[46]TABLEAU FINAL'!H10</f>
        <v>-8.7212488224522433E-2</v>
      </c>
    </row>
    <row r="12" spans="1:8" ht="15.75" thickBot="1">
      <c r="B12" s="277" t="str">
        <f>'[46]TABLEAU FINAL'!B11</f>
        <v>Selon le régime d'affiliation</v>
      </c>
      <c r="C12" s="278"/>
      <c r="D12" s="278"/>
      <c r="E12" s="278"/>
      <c r="F12" s="278"/>
      <c r="G12" s="278"/>
      <c r="H12" s="279"/>
    </row>
    <row r="13" spans="1:8" ht="15">
      <c r="B13" s="280" t="str">
        <f>'[46]TABLEAU FINAL'!B12</f>
        <v>Femmes</v>
      </c>
      <c r="C13" s="296" t="str">
        <f>'[46]TABLEAU FINAL'!C12</f>
        <v>Mono Lura</v>
      </c>
      <c r="D13" s="102">
        <f>'[46]TABLEAU FINAL'!D12</f>
        <v>1</v>
      </c>
      <c r="E13" s="103">
        <f>'[46]TABLEAU FINAL'!E12</f>
        <v>-2.1173333333333346</v>
      </c>
      <c r="F13" s="104">
        <f>'[46]TABLEAU FINAL'!F12</f>
        <v>4.921212121213614E-2</v>
      </c>
      <c r="G13" s="105">
        <f>'[46]TABLEAU FINAL'!G12</f>
        <v>1.7742715379553298E-2</v>
      </c>
      <c r="H13" s="106">
        <f>'[46]TABLEAU FINAL'!H12</f>
        <v>1.5110986739873322E-2</v>
      </c>
    </row>
    <row r="14" spans="1:8" ht="15">
      <c r="B14" s="282"/>
      <c r="C14" s="292"/>
      <c r="D14" s="114">
        <f>'[46]TABLEAU FINAL'!D13</f>
        <v>2</v>
      </c>
      <c r="E14" s="115">
        <f>'[46]TABLEAU FINAL'!E13</f>
        <v>-4.329584775086488</v>
      </c>
      <c r="F14" s="116">
        <f>'[46]TABLEAU FINAL'!F13</f>
        <v>9.4422818146867371E-2</v>
      </c>
      <c r="G14" s="137">
        <f>'[46]TABLEAU FINAL'!G13</f>
        <v>4.0449572587991423E-2</v>
      </c>
      <c r="H14" s="138">
        <f>'[46]TABLEAU FINAL'!H13</f>
        <v>3.6049104436043589E-2</v>
      </c>
    </row>
    <row r="15" spans="1:8" ht="15">
      <c r="B15" s="282"/>
      <c r="C15" s="292"/>
      <c r="D15" s="131" t="str">
        <f>'[46]TABLEAU FINAL'!D14</f>
        <v>3 et plus</v>
      </c>
      <c r="E15" s="132">
        <f>'[46]TABLEAU FINAL'!E14</f>
        <v>-9.9724891652534495</v>
      </c>
      <c r="F15" s="133">
        <f>'[46]TABLEAU FINAL'!F14</f>
        <v>0.12610702845296373</v>
      </c>
      <c r="G15" s="134">
        <f>'[46]TABLEAU FINAL'!G14</f>
        <v>3.5938053252604574E-2</v>
      </c>
      <c r="H15" s="135">
        <f>'[46]TABLEAU FINAL'!H14</f>
        <v>2.9564876497554682E-2</v>
      </c>
    </row>
    <row r="16" spans="1:8" ht="15">
      <c r="B16" s="282"/>
      <c r="C16" s="291" t="str">
        <f>'[46]TABLEAU FINAL'!C15</f>
        <v>Mono FP-RS</v>
      </c>
      <c r="D16" s="114">
        <f>'[46]TABLEAU FINAL'!D15</f>
        <v>1</v>
      </c>
      <c r="E16" s="115">
        <f>'[46]TABLEAU FINAL'!E15</f>
        <v>1.75</v>
      </c>
      <c r="F16" s="116">
        <f>'[46]TABLEAU FINAL'!F15</f>
        <v>-9.953703703703809E-2</v>
      </c>
      <c r="G16" s="137">
        <f>'[46]TABLEAU FINAL'!G15</f>
        <v>4.6821872997989011E-2</v>
      </c>
      <c r="H16" s="138">
        <f>'[46]TABLEAU FINAL'!H15</f>
        <v>5.182195882439955E-2</v>
      </c>
    </row>
    <row r="17" spans="2:8" ht="15">
      <c r="B17" s="282"/>
      <c r="C17" s="292"/>
      <c r="D17" s="180">
        <f>'[46]TABLEAU FINAL'!D16</f>
        <v>2</v>
      </c>
      <c r="E17" s="184">
        <f>'[46]TABLEAU FINAL'!E16</f>
        <v>4.009523809523813</v>
      </c>
      <c r="F17" s="185">
        <f>'[46]TABLEAU FINAL'!F16</f>
        <v>-0.16111111111111143</v>
      </c>
      <c r="G17" s="117">
        <f>'[46]TABLEAU FINAL'!G16</f>
        <v>0.10226011165533566</v>
      </c>
      <c r="H17" s="118">
        <f>'[46]TABLEAU FINAL'!H16</f>
        <v>0.1088812025141237</v>
      </c>
    </row>
    <row r="18" spans="2:8" ht="15">
      <c r="B18" s="282"/>
      <c r="C18" s="292"/>
      <c r="D18" s="131" t="str">
        <f>'[46]TABLEAU FINAL'!D17</f>
        <v>3 et plus</v>
      </c>
      <c r="E18" s="132">
        <f>'[46]TABLEAU FINAL'!E17</f>
        <v>6.9583333333333144</v>
      </c>
      <c r="F18" s="133">
        <f>'[46]TABLEAU FINAL'!F17</f>
        <v>-3.6458333333342807E-2</v>
      </c>
      <c r="G18" s="134">
        <f>'[46]TABLEAU FINAL'!G17</f>
        <v>0.15466153224821788</v>
      </c>
      <c r="H18" s="135">
        <f>'[46]TABLEAU FINAL'!H17</f>
        <v>0.16319659483698068</v>
      </c>
    </row>
    <row r="19" spans="2:8" ht="15">
      <c r="B19" s="282"/>
      <c r="C19" s="288" t="str">
        <f>'[46]TABLEAU FINAL'!C18</f>
        <v>Mono MSAE-PLIB</v>
      </c>
      <c r="D19" s="114">
        <f>'[46]TABLEAU FINAL'!D18</f>
        <v>1</v>
      </c>
      <c r="E19" s="115">
        <f>'[46]TABLEAU FINAL'!E18</f>
        <v>-2.4000000000000057</v>
      </c>
      <c r="F19" s="116">
        <f>'[46]TABLEAU FINAL'!F18</f>
        <v>0</v>
      </c>
      <c r="G19" s="137">
        <f>'[46]TABLEAU FINAL'!G18</f>
        <v>2.7499520076815109E-2</v>
      </c>
      <c r="H19" s="138">
        <f>'[46]TABLEAU FINAL'!H18</f>
        <v>2.8308394803278514E-2</v>
      </c>
    </row>
    <row r="20" spans="2:8" ht="15">
      <c r="B20" s="282"/>
      <c r="C20" s="287"/>
      <c r="D20" s="114">
        <f>'[46]TABLEAU FINAL'!D19</f>
        <v>2</v>
      </c>
      <c r="E20" s="115">
        <f>'[46]TABLEAU FINAL'!E19</f>
        <v>-4</v>
      </c>
      <c r="F20" s="116">
        <f>'[46]TABLEAU FINAL'!F19</f>
        <v>6.4814814814809552E-2</v>
      </c>
      <c r="G20" s="137">
        <f>'[46]TABLEAU FINAL'!G19</f>
        <v>5.6047280152478285E-2</v>
      </c>
      <c r="H20" s="138">
        <f>'[46]TABLEAU FINAL'!H19</f>
        <v>5.2391567572268816E-2</v>
      </c>
    </row>
    <row r="21" spans="2:8" ht="15">
      <c r="B21" s="282"/>
      <c r="C21" s="287"/>
      <c r="D21" s="119" t="str">
        <f>'[46]TABLEAU FINAL'!D20</f>
        <v>3 et plus</v>
      </c>
      <c r="E21" s="120">
        <f>'[46]TABLEAU FINAL'!E20</f>
        <v>-12.5</v>
      </c>
      <c r="F21" s="121">
        <f>'[46]TABLEAU FINAL'!F20</f>
        <v>0</v>
      </c>
      <c r="G21" s="139">
        <f>'[46]TABLEAU FINAL'!G20</f>
        <v>0.13121330327216851</v>
      </c>
      <c r="H21" s="140">
        <f>'[46]TABLEAU FINAL'!H20</f>
        <v>0.13132165754473069</v>
      </c>
    </row>
    <row r="22" spans="2:8" ht="15">
      <c r="B22" s="282"/>
      <c r="C22" s="288" t="str">
        <f>'[46]TABLEAU FINAL'!C21</f>
        <v>Poly Lura-FP-RS</v>
      </c>
      <c r="D22" s="114">
        <f>'[46]TABLEAU FINAL'!D21</f>
        <v>1</v>
      </c>
      <c r="E22" s="115">
        <f>'[46]TABLEAU FINAL'!E21</f>
        <v>1.8313090418353397</v>
      </c>
      <c r="F22" s="116">
        <f>'[46]TABLEAU FINAL'!F21</f>
        <v>-3.0251911830859513E-2</v>
      </c>
      <c r="G22" s="137">
        <f>'[46]TABLEAU FINAL'!G21</f>
        <v>3.7835595107851061E-2</v>
      </c>
      <c r="H22" s="138">
        <f>'[46]TABLEAU FINAL'!H21</f>
        <v>3.970443819536551E-2</v>
      </c>
    </row>
    <row r="23" spans="2:8" ht="15">
      <c r="B23" s="282"/>
      <c r="C23" s="287"/>
      <c r="D23" s="114">
        <f>'[46]TABLEAU FINAL'!D22</f>
        <v>2</v>
      </c>
      <c r="E23" s="115">
        <f>'[46]TABLEAU FINAL'!E22</f>
        <v>3.775065387968624</v>
      </c>
      <c r="F23" s="116">
        <f>'[46]TABLEAU FINAL'!F22</f>
        <v>-4.1412380122061165E-2</v>
      </c>
      <c r="G23" s="137">
        <f>'[46]TABLEAU FINAL'!G22</f>
        <v>8.1897186858819415E-2</v>
      </c>
      <c r="H23" s="138">
        <f>'[46]TABLEAU FINAL'!H22</f>
        <v>8.5212734615924157E-2</v>
      </c>
    </row>
    <row r="24" spans="2:8" ht="15">
      <c r="B24" s="282"/>
      <c r="C24" s="287"/>
      <c r="D24" s="119" t="str">
        <f>'[46]TABLEAU FINAL'!D23</f>
        <v>3 et plus</v>
      </c>
      <c r="E24" s="120">
        <f>'[46]TABLEAU FINAL'!E23</f>
        <v>5.8303715670436134</v>
      </c>
      <c r="F24" s="121">
        <f>'[46]TABLEAU FINAL'!F23</f>
        <v>-1.6289714593433757E-2</v>
      </c>
      <c r="G24" s="139">
        <f>'[46]TABLEAU FINAL'!G23</f>
        <v>9.7944180556379878E-2</v>
      </c>
      <c r="H24" s="140">
        <f>'[46]TABLEAU FINAL'!H23</f>
        <v>0.10012773357276394</v>
      </c>
    </row>
    <row r="25" spans="2:8" ht="15">
      <c r="B25" s="282"/>
      <c r="C25" s="288" t="str">
        <f>'[46]TABLEAU FINAL'!C24</f>
        <v>Poly Lura-MSAE-PLIB</v>
      </c>
      <c r="D25" s="114">
        <f>'[46]TABLEAU FINAL'!D24</f>
        <v>1</v>
      </c>
      <c r="E25" s="115">
        <f>'[46]TABLEAU FINAL'!E24</f>
        <v>-2.4460966542750953</v>
      </c>
      <c r="F25" s="116">
        <f>'[46]TABLEAU FINAL'!F24</f>
        <v>6.0718711276322779E-2</v>
      </c>
      <c r="G25" s="137">
        <f>'[46]TABLEAU FINAL'!G24</f>
        <v>1.2399701658364126E-2</v>
      </c>
      <c r="H25" s="138">
        <f>'[46]TABLEAU FINAL'!H24</f>
        <v>9.5950632106034384E-3</v>
      </c>
    </row>
    <row r="26" spans="2:8" ht="15">
      <c r="B26" s="282"/>
      <c r="C26" s="287"/>
      <c r="D26" s="114">
        <f>'[46]TABLEAU FINAL'!D25</f>
        <v>2</v>
      </c>
      <c r="E26" s="115">
        <f>'[46]TABLEAU FINAL'!E25</f>
        <v>-5.1557562076749548</v>
      </c>
      <c r="F26" s="116">
        <f>'[46]TABLEAU FINAL'!F25</f>
        <v>0.12001504890895376</v>
      </c>
      <c r="G26" s="137">
        <f>'[46]TABLEAU FINAL'!G25</f>
        <v>3.5533577288788143E-2</v>
      </c>
      <c r="H26" s="138">
        <f>'[46]TABLEAU FINAL'!H25</f>
        <v>3.0420341122748384E-2</v>
      </c>
    </row>
    <row r="27" spans="2:8" ht="15.75" thickBot="1">
      <c r="B27" s="284"/>
      <c r="C27" s="289"/>
      <c r="D27" s="107" t="str">
        <f>'[46]TABLEAU FINAL'!D26</f>
        <v>3 et plus</v>
      </c>
      <c r="E27" s="108">
        <f>'[46]TABLEAU FINAL'!E26</f>
        <v>-9.6737588652482316</v>
      </c>
      <c r="F27" s="109">
        <f>'[46]TABLEAU FINAL'!F26</f>
        <v>0.13150118203309091</v>
      </c>
      <c r="G27" s="110">
        <f>'[46]TABLEAU FINAL'!G26</f>
        <v>3.0246514538001312E-2</v>
      </c>
      <c r="H27" s="111">
        <f>'[46]TABLEAU FINAL'!H26</f>
        <v>2.2022893355982953E-2</v>
      </c>
    </row>
    <row r="28" spans="2:8" ht="15.75" thickBot="1">
      <c r="B28" s="277" t="str">
        <f>'[46]TABLEAU FINAL'!B27</f>
        <v>Selon le quintile de pension</v>
      </c>
      <c r="C28" s="278"/>
      <c r="D28" s="278"/>
      <c r="E28" s="278"/>
      <c r="F28" s="278"/>
      <c r="G28" s="278"/>
      <c r="H28" s="279"/>
    </row>
    <row r="29" spans="2:8" ht="15">
      <c r="B29" s="282" t="str">
        <f>'[46]TABLEAU FINAL'!B28</f>
        <v>Femmes</v>
      </c>
      <c r="C29" s="310" t="str">
        <f>'[46]TABLEAU FINAL'!C28</f>
        <v>Q1</v>
      </c>
      <c r="D29" s="181">
        <f>'[46]TABLEAU FINAL'!D28</f>
        <v>1</v>
      </c>
      <c r="E29" s="182">
        <f>'[46]TABLEAU FINAL'!E28</f>
        <v>-0.99385875127943279</v>
      </c>
      <c r="F29" s="183">
        <f>'[46]TABLEAU FINAL'!F28</f>
        <v>2.132378027980053E-3</v>
      </c>
      <c r="G29" s="145">
        <f>'[46]TABLEAU FINAL'!G28</f>
        <v>2.1352917896822365E-2</v>
      </c>
      <c r="H29" s="146">
        <f>'[46]TABLEAU FINAL'!H28</f>
        <v>2.0906672828485018E-2</v>
      </c>
    </row>
    <row r="30" spans="2:8" ht="15">
      <c r="B30" s="282"/>
      <c r="C30" s="310"/>
      <c r="D30" s="180">
        <f>'[46]TABLEAU FINAL'!D29</f>
        <v>2</v>
      </c>
      <c r="E30" s="184">
        <f>'[46]TABLEAU FINAL'!E29</f>
        <v>-1.7960358056266017</v>
      </c>
      <c r="F30" s="185">
        <f>'[46]TABLEAU FINAL'!F29</f>
        <v>5.1150895140636976E-3</v>
      </c>
      <c r="G30" s="117">
        <f>'[46]TABLEAU FINAL'!G29</f>
        <v>4.693603127689383E-2</v>
      </c>
      <c r="H30" s="118">
        <f>'[46]TABLEAU FINAL'!H29</f>
        <v>4.6815475201271273E-2</v>
      </c>
    </row>
    <row r="31" spans="2:8" ht="15">
      <c r="B31" s="282"/>
      <c r="C31" s="310"/>
      <c r="D31" s="186" t="str">
        <f>'[46]TABLEAU FINAL'!D30</f>
        <v>3 et plus</v>
      </c>
      <c r="E31" s="187">
        <f>'[46]TABLEAU FINAL'!E30</f>
        <v>-11.757595345830651</v>
      </c>
      <c r="F31" s="188">
        <f>'[46]TABLEAU FINAL'!F30</f>
        <v>1.1635423400122136E-2</v>
      </c>
      <c r="G31" s="122">
        <f>'[46]TABLEAU FINAL'!G30</f>
        <v>-4.6534207012205453E-2</v>
      </c>
      <c r="H31" s="123">
        <f>'[46]TABLEAU FINAL'!H30</f>
        <v>-4.8394521474587893E-2</v>
      </c>
    </row>
    <row r="32" spans="2:8" ht="15">
      <c r="B32" s="282"/>
      <c r="C32" s="309" t="str">
        <f>'[46]TABLEAU FINAL'!C31</f>
        <v>Q2</v>
      </c>
      <c r="D32" s="180">
        <f>'[46]TABLEAU FINAL'!D31</f>
        <v>1</v>
      </c>
      <c r="E32" s="184">
        <f>'[46]TABLEAU FINAL'!E31</f>
        <v>-1.8161592505854571</v>
      </c>
      <c r="F32" s="185">
        <f>'[46]TABLEAU FINAL'!F31</f>
        <v>5.708430913350071E-2</v>
      </c>
      <c r="G32" s="117">
        <f>'[46]TABLEAU FINAL'!G31</f>
        <v>2.2419616869254977E-2</v>
      </c>
      <c r="H32" s="118">
        <f>'[46]TABLEAU FINAL'!H31</f>
        <v>1.9641862410925137E-2</v>
      </c>
    </row>
    <row r="33" spans="2:8" ht="15">
      <c r="B33" s="282"/>
      <c r="C33" s="310"/>
      <c r="D33" s="180">
        <f>'[46]TABLEAU FINAL'!D32</f>
        <v>2</v>
      </c>
      <c r="E33" s="184">
        <f>'[46]TABLEAU FINAL'!E32</f>
        <v>-3.9045599151643557</v>
      </c>
      <c r="F33" s="185">
        <f>'[46]TABLEAU FINAL'!F32</f>
        <v>0.12071403322730134</v>
      </c>
      <c r="G33" s="117">
        <f>'[46]TABLEAU FINAL'!G32</f>
        <v>4.6435196339287499E-2</v>
      </c>
      <c r="H33" s="118">
        <f>'[46]TABLEAU FINAL'!H32</f>
        <v>4.1341231350169982E-2</v>
      </c>
    </row>
    <row r="34" spans="2:8" ht="15">
      <c r="B34" s="282"/>
      <c r="C34" s="310"/>
      <c r="D34" s="186" t="str">
        <f>'[46]TABLEAU FINAL'!D33</f>
        <v>3 et plus</v>
      </c>
      <c r="E34" s="187">
        <f>'[46]TABLEAU FINAL'!E33</f>
        <v>-9.0624048706240501</v>
      </c>
      <c r="F34" s="188">
        <f>'[46]TABLEAU FINAL'!F33</f>
        <v>0.2036402841197571</v>
      </c>
      <c r="G34" s="122">
        <f>'[46]TABLEAU FINAL'!G33</f>
        <v>5.5124516531524614E-2</v>
      </c>
      <c r="H34" s="123">
        <f>'[46]TABLEAU FINAL'!H33</f>
        <v>4.4734226265369159E-2</v>
      </c>
    </row>
    <row r="35" spans="2:8" ht="15">
      <c r="B35" s="282"/>
      <c r="C35" s="309" t="str">
        <f>'[46]TABLEAU FINAL'!C34</f>
        <v>Q3</v>
      </c>
      <c r="D35" s="180">
        <f>'[46]TABLEAU FINAL'!D34</f>
        <v>1</v>
      </c>
      <c r="E35" s="184">
        <f>'[46]TABLEAU FINAL'!E34</f>
        <v>-1.385162601626007</v>
      </c>
      <c r="F35" s="185">
        <f>'[46]TABLEAU FINAL'!F34</f>
        <v>4.0904471544713772E-2</v>
      </c>
      <c r="G35" s="117">
        <f>'[46]TABLEAU FINAL'!G34</f>
        <v>2.171037244156282E-2</v>
      </c>
      <c r="H35" s="118">
        <f>'[46]TABLEAU FINAL'!H34</f>
        <v>2.0627590863733669E-2</v>
      </c>
    </row>
    <row r="36" spans="2:8" ht="15">
      <c r="B36" s="282"/>
      <c r="C36" s="310"/>
      <c r="D36" s="180">
        <f>'[46]TABLEAU FINAL'!D35</f>
        <v>2</v>
      </c>
      <c r="E36" s="184">
        <f>'[46]TABLEAU FINAL'!E35</f>
        <v>-2.7866666666666617</v>
      </c>
      <c r="F36" s="185">
        <f>'[46]TABLEAU FINAL'!F35</f>
        <v>8.101851851852615E-2</v>
      </c>
      <c r="G36" s="117">
        <f>'[46]TABLEAU FINAL'!G35</f>
        <v>4.63251499474715E-2</v>
      </c>
      <c r="H36" s="118">
        <f>'[46]TABLEAU FINAL'!H35</f>
        <v>4.3261758380743753E-2</v>
      </c>
    </row>
    <row r="37" spans="2:8" ht="15">
      <c r="B37" s="282"/>
      <c r="C37" s="310"/>
      <c r="D37" s="186" t="str">
        <f>'[46]TABLEAU FINAL'!D36</f>
        <v>3 et plus</v>
      </c>
      <c r="E37" s="187">
        <f>'[46]TABLEAU FINAL'!E36</f>
        <v>-7.2477678571428612</v>
      </c>
      <c r="F37" s="188">
        <f>'[46]TABLEAU FINAL'!F36</f>
        <v>0.1173735119047592</v>
      </c>
      <c r="G37" s="122">
        <f>'[46]TABLEAU FINAL'!G36</f>
        <v>4.5329864880029325E-2</v>
      </c>
      <c r="H37" s="123">
        <f>'[46]TABLEAU FINAL'!H36</f>
        <v>4.0345737599443376E-2</v>
      </c>
    </row>
    <row r="38" spans="2:8" ht="15">
      <c r="B38" s="282"/>
      <c r="C38" s="291" t="str">
        <f>'[46]TABLEAU FINAL'!C37</f>
        <v>Q4</v>
      </c>
      <c r="D38" s="114">
        <f>'[46]TABLEAU FINAL'!D37</f>
        <v>1</v>
      </c>
      <c r="E38" s="115">
        <f>'[46]TABLEAU FINAL'!E37</f>
        <v>-1.3028286189683911</v>
      </c>
      <c r="F38" s="116">
        <f>'[46]TABLEAU FINAL'!F37</f>
        <v>3.5912368275113238E-2</v>
      </c>
      <c r="G38" s="137">
        <f>'[46]TABLEAU FINAL'!G37</f>
        <v>2.1394438928782789E-2</v>
      </c>
      <c r="H38" s="138">
        <f>'[46]TABLEAU FINAL'!H37</f>
        <v>1.9855679471816323E-2</v>
      </c>
    </row>
    <row r="39" spans="2:8" ht="15">
      <c r="B39" s="282"/>
      <c r="C39" s="292"/>
      <c r="D39" s="180">
        <f>'[46]TABLEAU FINAL'!D38</f>
        <v>2</v>
      </c>
      <c r="E39" s="184">
        <f>'[46]TABLEAU FINAL'!E38</f>
        <v>-2.887115165336354</v>
      </c>
      <c r="F39" s="185">
        <f>'[46]TABLEAU FINAL'!F38</f>
        <v>6.0480805777260116E-2</v>
      </c>
      <c r="G39" s="117">
        <f>'[46]TABLEAU FINAL'!G38</f>
        <v>4.9702868864254235E-2</v>
      </c>
      <c r="H39" s="118">
        <f>'[46]TABLEAU FINAL'!H38</f>
        <v>4.7928842812197114E-2</v>
      </c>
    </row>
    <row r="40" spans="2:8" ht="15">
      <c r="B40" s="282"/>
      <c r="C40" s="292"/>
      <c r="D40" s="131" t="str">
        <f>'[46]TABLEAU FINAL'!D39</f>
        <v>3 et plus</v>
      </c>
      <c r="E40" s="132">
        <f>'[46]TABLEAU FINAL'!E39</f>
        <v>-5.2353998203054743</v>
      </c>
      <c r="F40" s="133">
        <f>'[46]TABLEAU FINAL'!F39</f>
        <v>0.10324947589097633</v>
      </c>
      <c r="G40" s="134">
        <f>'[46]TABLEAU FINAL'!G39</f>
        <v>4.9367870179594542E-2</v>
      </c>
      <c r="H40" s="135">
        <f>'[46]TABLEAU FINAL'!H39</f>
        <v>4.5574355448457338E-2</v>
      </c>
    </row>
    <row r="41" spans="2:8" ht="15">
      <c r="B41" s="282"/>
      <c r="C41" s="291" t="str">
        <f>'[46]TABLEAU FINAL'!C40</f>
        <v>Q5</v>
      </c>
      <c r="D41" s="180">
        <f>'[46]TABLEAU FINAL'!D40</f>
        <v>1</v>
      </c>
      <c r="E41" s="184">
        <f>'[46]TABLEAU FINAL'!E40</f>
        <v>-1.8104524180967303</v>
      </c>
      <c r="F41" s="185">
        <f>'[46]TABLEAU FINAL'!F40</f>
        <v>4.1731669266766858E-2</v>
      </c>
      <c r="G41" s="117">
        <f>'[46]TABLEAU FINAL'!G40</f>
        <v>2.1558358234505803E-2</v>
      </c>
      <c r="H41" s="118">
        <f>'[46]TABLEAU FINAL'!H40</f>
        <v>1.9771928866037181E-2</v>
      </c>
    </row>
    <row r="42" spans="2:8" ht="15">
      <c r="B42" s="282"/>
      <c r="C42" s="292"/>
      <c r="D42" s="180">
        <f>'[46]TABLEAU FINAL'!D41</f>
        <v>2</v>
      </c>
      <c r="E42" s="184">
        <f>'[46]TABLEAU FINAL'!E41</f>
        <v>-3.8323016319639578</v>
      </c>
      <c r="F42" s="185">
        <f>'[46]TABLEAU FINAL'!F41</f>
        <v>8.3755392984429022E-2</v>
      </c>
      <c r="G42" s="117">
        <f>'[46]TABLEAU FINAL'!G41</f>
        <v>4.9287956602581229E-2</v>
      </c>
      <c r="H42" s="118">
        <f>'[46]TABLEAU FINAL'!H41</f>
        <v>4.6278556517503233E-2</v>
      </c>
    </row>
    <row r="43" spans="2:8" ht="15.75" thickBot="1">
      <c r="B43" s="284"/>
      <c r="C43" s="295"/>
      <c r="D43" s="155" t="str">
        <f>'[46]TABLEAU FINAL'!D42</f>
        <v>3 et plus</v>
      </c>
      <c r="E43" s="156">
        <f>'[46]TABLEAU FINAL'!E42</f>
        <v>-5.5522682445759415</v>
      </c>
      <c r="F43" s="157">
        <f>'[46]TABLEAU FINAL'!F42</f>
        <v>0.12697238658776655</v>
      </c>
      <c r="G43" s="158">
        <f>'[46]TABLEAU FINAL'!G42</f>
        <v>6.5270010678610157E-2</v>
      </c>
      <c r="H43" s="159">
        <f>'[46]TABLEAU FINAL'!H42</f>
        <v>6.0262512130428325E-2</v>
      </c>
    </row>
    <row r="45" spans="2:8">
      <c r="B45" s="177" t="s">
        <v>36</v>
      </c>
    </row>
  </sheetData>
  <mergeCells count="20">
    <mergeCell ref="B28:H28"/>
    <mergeCell ref="B29:B43"/>
    <mergeCell ref="C29:C31"/>
    <mergeCell ref="C32:C34"/>
    <mergeCell ref="C35:C37"/>
    <mergeCell ref="C38:C40"/>
    <mergeCell ref="C41:C43"/>
    <mergeCell ref="B12:H12"/>
    <mergeCell ref="B13:B27"/>
    <mergeCell ref="C13:C15"/>
    <mergeCell ref="C16:C18"/>
    <mergeCell ref="C19:C21"/>
    <mergeCell ref="C22:C24"/>
    <mergeCell ref="C25:C27"/>
    <mergeCell ref="B11:C11"/>
    <mergeCell ref="B4:C4"/>
    <mergeCell ref="B5:C5"/>
    <mergeCell ref="B6:C6"/>
    <mergeCell ref="B7:H7"/>
    <mergeCell ref="B8:C10"/>
  </mergeCells>
  <hyperlinks>
    <hyperlink ref="A2" location="SOMMAIRE!A1" display="Retour au sommaire" xr:uid="{B6B1E60F-2FDC-4836-8702-3A6A4A671C9B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92ED-DB55-4209-A540-31C691DE8BB0}">
  <sheetPr>
    <tabColor rgb="FFACB9CA"/>
  </sheetPr>
  <dimension ref="A1:H45"/>
  <sheetViews>
    <sheetView workbookViewId="0"/>
  </sheetViews>
  <sheetFormatPr baseColWidth="10" defaultRowHeight="14.25"/>
  <cols>
    <col min="5" max="8" width="20.625" customWidth="1"/>
  </cols>
  <sheetData>
    <row r="1" spans="1:8" ht="15.75">
      <c r="A1" s="2" t="s">
        <v>118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'[47]TABLEAU FINAL'!D3</f>
        <v>Nombre d'enfants</v>
      </c>
      <c r="E4" s="100" t="str">
        <f>'[47]TABLEAU FINAL'!E3</f>
        <v>Durée validée totale moyenne (écart en trimestres)</v>
      </c>
      <c r="F4" s="100" t="str">
        <f>'[47]TABLEAU FINAL'!F3</f>
        <v>Âge de départ (écart en année)</v>
      </c>
      <c r="G4" s="100" t="str">
        <f>'[47]TABLEAU FINAL'!G3</f>
        <v>Pension moyenne 68 ans</v>
      </c>
      <c r="H4" s="101" t="str">
        <f>'[47]TABLEAU FINAL'!H3</f>
        <v>Pension moyenne CV</v>
      </c>
    </row>
    <row r="5" spans="1:8" ht="15">
      <c r="B5" s="303" t="str">
        <f>'[47]TABLEAU FINAL'!B4</f>
        <v>Femmes</v>
      </c>
      <c r="C5" s="304"/>
      <c r="D5" s="189" t="str">
        <f>'[47]TABLEAU FINAL'!D4</f>
        <v>Ensemble</v>
      </c>
      <c r="E5" s="190">
        <f>'[47]TABLEAU FINAL'!E4</f>
        <v>0</v>
      </c>
      <c r="F5" s="191">
        <f>'[47]TABLEAU FINAL'!F4</f>
        <v>0</v>
      </c>
      <c r="G5" s="112">
        <f>'[47]TABLEAU FINAL'!G4</f>
        <v>4.5318594345509E-2</v>
      </c>
      <c r="H5" s="113">
        <f>'[47]TABLEAU FINAL'!H4</f>
        <v>4.4573944221710349E-2</v>
      </c>
    </row>
    <row r="6" spans="1:8" ht="15.75" thickBot="1">
      <c r="B6" s="293" t="str">
        <f>'[47]TABLEAU FINAL'!B5</f>
        <v>Hommes</v>
      </c>
      <c r="C6" s="294"/>
      <c r="D6" s="107" t="str">
        <f>'[47]TABLEAU FINAL'!D5</f>
        <v>Ensemble</v>
      </c>
      <c r="E6" s="108">
        <f>'[47]TABLEAU FINAL'!E5</f>
        <v>0</v>
      </c>
      <c r="F6" s="109">
        <f>'[47]TABLEAU FINAL'!F5</f>
        <v>0</v>
      </c>
      <c r="G6" s="110">
        <f>'[47]TABLEAU FINAL'!G5</f>
        <v>-2.52403154195735E-2</v>
      </c>
      <c r="H6" s="111">
        <f>'[47]TABLEAU FINAL'!H5</f>
        <v>-2.4953812406102061E-2</v>
      </c>
    </row>
    <row r="7" spans="1:8" ht="15.75" thickBot="1">
      <c r="B7" s="277" t="str">
        <f>'[47]TABLEAU FINAL'!B6</f>
        <v>Selon le nombre d'enfants</v>
      </c>
      <c r="C7" s="278"/>
      <c r="D7" s="278"/>
      <c r="E7" s="278"/>
      <c r="F7" s="278"/>
      <c r="G7" s="278"/>
      <c r="H7" s="279"/>
    </row>
    <row r="8" spans="1:8" ht="15">
      <c r="B8" s="303" t="str">
        <f>'[47]TABLEAU FINAL'!B7</f>
        <v>Femmes</v>
      </c>
      <c r="C8" s="304"/>
      <c r="D8" s="189">
        <f>'[47]TABLEAU FINAL'!D7</f>
        <v>1</v>
      </c>
      <c r="E8" s="190">
        <f>'[47]TABLEAU FINAL'!E7</f>
        <v>0</v>
      </c>
      <c r="F8" s="191">
        <f>'[47]TABLEAU FINAL'!F7</f>
        <v>0</v>
      </c>
      <c r="G8" s="112">
        <f>'[47]TABLEAU FINAL'!G7</f>
        <v>2.1633130167350245E-2</v>
      </c>
      <c r="H8" s="113">
        <f>'[47]TABLEAU FINAL'!H7</f>
        <v>2.1299736508850531E-2</v>
      </c>
    </row>
    <row r="9" spans="1:8" ht="15">
      <c r="B9" s="305"/>
      <c r="C9" s="306"/>
      <c r="D9" s="180">
        <f>'[47]TABLEAU FINAL'!D8</f>
        <v>2</v>
      </c>
      <c r="E9" s="184">
        <f>'[47]TABLEAU FINAL'!E8</f>
        <v>0</v>
      </c>
      <c r="F9" s="185">
        <f>'[47]TABLEAU FINAL'!F8</f>
        <v>0</v>
      </c>
      <c r="G9" s="117">
        <f>'[47]TABLEAU FINAL'!G8</f>
        <v>4.6614692417737746E-2</v>
      </c>
      <c r="H9" s="118">
        <f>'[47]TABLEAU FINAL'!H8</f>
        <v>4.5941448003988805E-2</v>
      </c>
    </row>
    <row r="10" spans="1:8" ht="15">
      <c r="B10" s="305"/>
      <c r="C10" s="306"/>
      <c r="D10" s="186" t="str">
        <f>'[47]TABLEAU FINAL'!D9</f>
        <v>3 et plus</v>
      </c>
      <c r="E10" s="187">
        <f>'[47]TABLEAU FINAL'!E9</f>
        <v>0</v>
      </c>
      <c r="F10" s="188">
        <f>'[47]TABLEAU FINAL'!F9</f>
        <v>0</v>
      </c>
      <c r="G10" s="122">
        <f>'[47]TABLEAU FINAL'!G9</f>
        <v>7.2681744199970755E-2</v>
      </c>
      <c r="H10" s="123">
        <f>'[47]TABLEAU FINAL'!H9</f>
        <v>7.090767380153995E-2</v>
      </c>
    </row>
    <row r="11" spans="1:8" ht="15.75" thickBot="1">
      <c r="B11" s="315" t="str">
        <f>'[47]TABLEAU FINAL'!B10</f>
        <v>Hommes</v>
      </c>
      <c r="C11" s="316"/>
      <c r="D11" s="192" t="str">
        <f>'[47]TABLEAU FINAL'!D10</f>
        <v>3 et plus</v>
      </c>
      <c r="E11" s="193">
        <f>'[47]TABLEAU FINAL'!E10</f>
        <v>0</v>
      </c>
      <c r="F11" s="194">
        <f>'[47]TABLEAU FINAL'!F10</f>
        <v>0</v>
      </c>
      <c r="G11" s="147">
        <f>'[47]TABLEAU FINAL'!G10</f>
        <v>-8.2185598488713429E-2</v>
      </c>
      <c r="H11" s="148">
        <f>'[47]TABLEAU FINAL'!H10</f>
        <v>-8.1471924159656539E-2</v>
      </c>
    </row>
    <row r="12" spans="1:8" ht="15.75" thickBot="1">
      <c r="B12" s="277" t="str">
        <f>'[47]TABLEAU FINAL'!B11</f>
        <v>Selon le régime d'affiliation</v>
      </c>
      <c r="C12" s="278"/>
      <c r="D12" s="278"/>
      <c r="E12" s="278"/>
      <c r="F12" s="278"/>
      <c r="G12" s="278"/>
      <c r="H12" s="279"/>
    </row>
    <row r="13" spans="1:8" ht="15">
      <c r="B13" s="280" t="str">
        <f>'[47]TABLEAU FINAL'!B12</f>
        <v>Femmes</v>
      </c>
      <c r="C13" s="312" t="str">
        <f>'[47]TABLEAU FINAL'!C12</f>
        <v>Mono Lura</v>
      </c>
      <c r="D13" s="189">
        <f>'[47]TABLEAU FINAL'!D12</f>
        <v>1</v>
      </c>
      <c r="E13" s="190">
        <f>'[47]TABLEAU FINAL'!E12</f>
        <v>0</v>
      </c>
      <c r="F13" s="191">
        <f>'[47]TABLEAU FINAL'!F12</f>
        <v>0</v>
      </c>
      <c r="G13" s="112">
        <f>'[47]TABLEAU FINAL'!G12</f>
        <v>2.2814675430372411E-2</v>
      </c>
      <c r="H13" s="113">
        <f>'[47]TABLEAU FINAL'!H12</f>
        <v>2.2634891998897455E-2</v>
      </c>
    </row>
    <row r="14" spans="1:8" ht="15">
      <c r="B14" s="282"/>
      <c r="C14" s="310"/>
      <c r="D14" s="180">
        <f>'[47]TABLEAU FINAL'!D13</f>
        <v>2</v>
      </c>
      <c r="E14" s="184">
        <f>'[47]TABLEAU FINAL'!E13</f>
        <v>0</v>
      </c>
      <c r="F14" s="185">
        <f>'[47]TABLEAU FINAL'!F13</f>
        <v>0</v>
      </c>
      <c r="G14" s="117">
        <f>'[47]TABLEAU FINAL'!G13</f>
        <v>4.8879782238517189E-2</v>
      </c>
      <c r="H14" s="118">
        <f>'[47]TABLEAU FINAL'!H13</f>
        <v>4.8598098762726138E-2</v>
      </c>
    </row>
    <row r="15" spans="1:8" ht="15">
      <c r="B15" s="282"/>
      <c r="C15" s="310"/>
      <c r="D15" s="186" t="str">
        <f>'[47]TABLEAU FINAL'!D14</f>
        <v>3 et plus</v>
      </c>
      <c r="E15" s="187">
        <f>'[47]TABLEAU FINAL'!E14</f>
        <v>0</v>
      </c>
      <c r="F15" s="188">
        <f>'[47]TABLEAU FINAL'!F14</f>
        <v>0</v>
      </c>
      <c r="G15" s="122">
        <f>'[47]TABLEAU FINAL'!G14</f>
        <v>7.9775715464680319E-2</v>
      </c>
      <c r="H15" s="123">
        <f>'[47]TABLEAU FINAL'!H14</f>
        <v>7.9511256727534008E-2</v>
      </c>
    </row>
    <row r="16" spans="1:8" ht="15">
      <c r="B16" s="282"/>
      <c r="C16" s="309" t="str">
        <f>'[47]TABLEAU FINAL'!C15</f>
        <v>Mono FP-RS</v>
      </c>
      <c r="D16" s="180">
        <f>'[47]TABLEAU FINAL'!D15</f>
        <v>1</v>
      </c>
      <c r="E16" s="184">
        <f>'[47]TABLEAU FINAL'!E15</f>
        <v>0</v>
      </c>
      <c r="F16" s="185">
        <f>'[47]TABLEAU FINAL'!F15</f>
        <v>0</v>
      </c>
      <c r="G16" s="117">
        <f>'[47]TABLEAU FINAL'!G15</f>
        <v>2.0324153726036798E-2</v>
      </c>
      <c r="H16" s="118">
        <f>'[47]TABLEAU FINAL'!H15</f>
        <v>1.9970445267739168E-2</v>
      </c>
    </row>
    <row r="17" spans="2:8" ht="15">
      <c r="B17" s="282"/>
      <c r="C17" s="310"/>
      <c r="D17" s="180">
        <f>'[47]TABLEAU FINAL'!D16</f>
        <v>2</v>
      </c>
      <c r="E17" s="184">
        <f>'[47]TABLEAU FINAL'!E16</f>
        <v>0</v>
      </c>
      <c r="F17" s="185">
        <f>'[47]TABLEAU FINAL'!F16</f>
        <v>0</v>
      </c>
      <c r="G17" s="117">
        <f>'[47]TABLEAU FINAL'!G16</f>
        <v>3.9758741505282691E-2</v>
      </c>
      <c r="H17" s="118">
        <f>'[47]TABLEAU FINAL'!H16</f>
        <v>3.9028711783519521E-2</v>
      </c>
    </row>
    <row r="18" spans="2:8" ht="15">
      <c r="B18" s="282"/>
      <c r="C18" s="310"/>
      <c r="D18" s="186" t="str">
        <f>'[47]TABLEAU FINAL'!D17</f>
        <v>3 et plus</v>
      </c>
      <c r="E18" s="187">
        <f>'[47]TABLEAU FINAL'!E17</f>
        <v>0</v>
      </c>
      <c r="F18" s="188">
        <f>'[47]TABLEAU FINAL'!F17</f>
        <v>0</v>
      </c>
      <c r="G18" s="122">
        <f>'[47]TABLEAU FINAL'!G17</f>
        <v>3.9543679499370654E-2</v>
      </c>
      <c r="H18" s="123">
        <f>'[47]TABLEAU FINAL'!H17</f>
        <v>3.4510710622832175E-2</v>
      </c>
    </row>
    <row r="19" spans="2:8" ht="15">
      <c r="B19" s="282"/>
      <c r="C19" s="288" t="str">
        <f>'[47]TABLEAU FINAL'!C18</f>
        <v>Mono MSAE-PLIB</v>
      </c>
      <c r="D19" s="114">
        <f>'[47]TABLEAU FINAL'!D18</f>
        <v>1</v>
      </c>
      <c r="E19" s="115">
        <f>'[47]TABLEAU FINAL'!E18</f>
        <v>0</v>
      </c>
      <c r="F19" s="116">
        <f>'[47]TABLEAU FINAL'!F18</f>
        <v>0</v>
      </c>
      <c r="G19" s="137">
        <f>'[47]TABLEAU FINAL'!G18</f>
        <v>2.7032093190385575E-2</v>
      </c>
      <c r="H19" s="138">
        <f>'[47]TABLEAU FINAL'!H18</f>
        <v>2.7742496033897002E-2</v>
      </c>
    </row>
    <row r="20" spans="2:8" ht="15">
      <c r="B20" s="282"/>
      <c r="C20" s="287"/>
      <c r="D20" s="114">
        <f>'[47]TABLEAU FINAL'!D19</f>
        <v>2</v>
      </c>
      <c r="E20" s="115">
        <f>'[47]TABLEAU FINAL'!E19</f>
        <v>0</v>
      </c>
      <c r="F20" s="116">
        <f>'[47]TABLEAU FINAL'!F19</f>
        <v>0</v>
      </c>
      <c r="G20" s="137">
        <f>'[47]TABLEAU FINAL'!G19</f>
        <v>5.826543828171582E-2</v>
      </c>
      <c r="H20" s="138">
        <f>'[47]TABLEAU FINAL'!H19</f>
        <v>5.7764432905288432E-2</v>
      </c>
    </row>
    <row r="21" spans="2:8" ht="15">
      <c r="B21" s="282"/>
      <c r="C21" s="287"/>
      <c r="D21" s="119" t="str">
        <f>'[47]TABLEAU FINAL'!D20</f>
        <v>3 et plus</v>
      </c>
      <c r="E21" s="120">
        <f>'[47]TABLEAU FINAL'!E20</f>
        <v>0</v>
      </c>
      <c r="F21" s="121">
        <f>'[47]TABLEAU FINAL'!F20</f>
        <v>0</v>
      </c>
      <c r="G21" s="139">
        <f>'[47]TABLEAU FINAL'!G20</f>
        <v>0.10975050082050219</v>
      </c>
      <c r="H21" s="140">
        <f>'[47]TABLEAU FINAL'!H20</f>
        <v>0.10711589470062721</v>
      </c>
    </row>
    <row r="22" spans="2:8" ht="15">
      <c r="B22" s="282"/>
      <c r="C22" s="288" t="str">
        <f>'[47]TABLEAU FINAL'!C21</f>
        <v>Poly Lura-FP-RS</v>
      </c>
      <c r="D22" s="114">
        <f>'[47]TABLEAU FINAL'!D21</f>
        <v>1</v>
      </c>
      <c r="E22" s="115">
        <f>'[47]TABLEAU FINAL'!E21</f>
        <v>0</v>
      </c>
      <c r="F22" s="116">
        <f>'[47]TABLEAU FINAL'!F21</f>
        <v>0</v>
      </c>
      <c r="G22" s="137">
        <f>'[47]TABLEAU FINAL'!G21</f>
        <v>1.7760753164481891E-2</v>
      </c>
      <c r="H22" s="138">
        <f>'[47]TABLEAU FINAL'!H21</f>
        <v>1.755698512907844E-2</v>
      </c>
    </row>
    <row r="23" spans="2:8" ht="15">
      <c r="B23" s="282"/>
      <c r="C23" s="287"/>
      <c r="D23" s="114">
        <f>'[47]TABLEAU FINAL'!D22</f>
        <v>2</v>
      </c>
      <c r="E23" s="115">
        <f>'[47]TABLEAU FINAL'!E22</f>
        <v>0</v>
      </c>
      <c r="F23" s="116">
        <f>'[47]TABLEAU FINAL'!F22</f>
        <v>0</v>
      </c>
      <c r="G23" s="137">
        <f>'[47]TABLEAU FINAL'!G22</f>
        <v>4.0981729117362198E-2</v>
      </c>
      <c r="H23" s="138">
        <f>'[47]TABLEAU FINAL'!H22</f>
        <v>3.9663736453720455E-2</v>
      </c>
    </row>
    <row r="24" spans="2:8" ht="15">
      <c r="B24" s="282"/>
      <c r="C24" s="287"/>
      <c r="D24" s="119" t="str">
        <f>'[47]TABLEAU FINAL'!D23</f>
        <v>3 et plus</v>
      </c>
      <c r="E24" s="120">
        <f>'[47]TABLEAU FINAL'!E23</f>
        <v>0</v>
      </c>
      <c r="F24" s="121">
        <f>'[47]TABLEAU FINAL'!F23</f>
        <v>0</v>
      </c>
      <c r="G24" s="139">
        <f>'[47]TABLEAU FINAL'!G23</f>
        <v>5.1607826052595174E-2</v>
      </c>
      <c r="H24" s="140">
        <f>'[47]TABLEAU FINAL'!H23</f>
        <v>4.8304421536809805E-2</v>
      </c>
    </row>
    <row r="25" spans="2:8" ht="15">
      <c r="B25" s="282"/>
      <c r="C25" s="288" t="str">
        <f>'[47]TABLEAU FINAL'!C24</f>
        <v>Poly Lura-MSAE-PLIB</v>
      </c>
      <c r="D25" s="114">
        <f>'[47]TABLEAU FINAL'!D24</f>
        <v>1</v>
      </c>
      <c r="E25" s="115">
        <f>'[47]TABLEAU FINAL'!E24</f>
        <v>0</v>
      </c>
      <c r="F25" s="116">
        <f>'[47]TABLEAU FINAL'!F24</f>
        <v>0</v>
      </c>
      <c r="G25" s="137">
        <f>'[47]TABLEAU FINAL'!G24</f>
        <v>2.2980923038103951E-2</v>
      </c>
      <c r="H25" s="138">
        <f>'[47]TABLEAU FINAL'!H24</f>
        <v>2.2248110399353926E-2</v>
      </c>
    </row>
    <row r="26" spans="2:8" ht="15">
      <c r="B26" s="282"/>
      <c r="C26" s="287"/>
      <c r="D26" s="114">
        <f>'[47]TABLEAU FINAL'!D25</f>
        <v>2</v>
      </c>
      <c r="E26" s="115">
        <f>'[47]TABLEAU FINAL'!E25</f>
        <v>0</v>
      </c>
      <c r="F26" s="116">
        <f>'[47]TABLEAU FINAL'!F25</f>
        <v>0</v>
      </c>
      <c r="G26" s="137">
        <f>'[47]TABLEAU FINAL'!G25</f>
        <v>4.698439975502966E-2</v>
      </c>
      <c r="H26" s="138">
        <f>'[47]TABLEAU FINAL'!H25</f>
        <v>4.609485447781525E-2</v>
      </c>
    </row>
    <row r="27" spans="2:8" ht="15.75" thickBot="1">
      <c r="B27" s="284"/>
      <c r="C27" s="289"/>
      <c r="D27" s="107" t="str">
        <f>'[47]TABLEAU FINAL'!D26</f>
        <v>3 et plus</v>
      </c>
      <c r="E27" s="108">
        <f>'[47]TABLEAU FINAL'!E26</f>
        <v>0</v>
      </c>
      <c r="F27" s="109">
        <f>'[47]TABLEAU FINAL'!F26</f>
        <v>0</v>
      </c>
      <c r="G27" s="110">
        <f>'[47]TABLEAU FINAL'!G26</f>
        <v>8.4477703807433135E-2</v>
      </c>
      <c r="H27" s="111">
        <f>'[47]TABLEAU FINAL'!H26</f>
        <v>8.2472990465745077E-2</v>
      </c>
    </row>
    <row r="28" spans="2:8" ht="15.75" thickBot="1">
      <c r="B28" s="277" t="str">
        <f>'[47]TABLEAU FINAL'!B27</f>
        <v>Selon le quintile de pension</v>
      </c>
      <c r="C28" s="278"/>
      <c r="D28" s="278"/>
      <c r="E28" s="278"/>
      <c r="F28" s="278"/>
      <c r="G28" s="278"/>
      <c r="H28" s="279"/>
    </row>
    <row r="29" spans="2:8" ht="15">
      <c r="B29" s="282" t="str">
        <f>'[47]TABLEAU FINAL'!B28</f>
        <v>Femmes</v>
      </c>
      <c r="C29" s="310" t="str">
        <f>'[47]TABLEAU FINAL'!C28</f>
        <v>Q1</v>
      </c>
      <c r="D29" s="181">
        <f>'[47]TABLEAU FINAL'!D28</f>
        <v>1</v>
      </c>
      <c r="E29" s="182">
        <f>'[47]TABLEAU FINAL'!E28</f>
        <v>0</v>
      </c>
      <c r="F29" s="183">
        <f>'[47]TABLEAU FINAL'!F28</f>
        <v>0</v>
      </c>
      <c r="G29" s="145">
        <f>'[47]TABLEAU FINAL'!G28</f>
        <v>2.9009988205554116E-2</v>
      </c>
      <c r="H29" s="146">
        <f>'[47]TABLEAU FINAL'!H28</f>
        <v>2.8731955495974404E-2</v>
      </c>
    </row>
    <row r="30" spans="2:8" ht="15">
      <c r="B30" s="282"/>
      <c r="C30" s="310"/>
      <c r="D30" s="180">
        <f>'[47]TABLEAU FINAL'!D29</f>
        <v>2</v>
      </c>
      <c r="E30" s="184">
        <f>'[47]TABLEAU FINAL'!E29</f>
        <v>0</v>
      </c>
      <c r="F30" s="185">
        <f>'[47]TABLEAU FINAL'!F29</f>
        <v>0</v>
      </c>
      <c r="G30" s="117">
        <f>'[47]TABLEAU FINAL'!G29</f>
        <v>5.7811078967574314E-2</v>
      </c>
      <c r="H30" s="118">
        <f>'[47]TABLEAU FINAL'!H29</f>
        <v>5.7472991531941187E-2</v>
      </c>
    </row>
    <row r="31" spans="2:8" ht="15">
      <c r="B31" s="282"/>
      <c r="C31" s="310"/>
      <c r="D31" s="186" t="str">
        <f>'[47]TABLEAU FINAL'!D30</f>
        <v>3 et plus</v>
      </c>
      <c r="E31" s="187">
        <f>'[47]TABLEAU FINAL'!E30</f>
        <v>0</v>
      </c>
      <c r="F31" s="188">
        <f>'[47]TABLEAU FINAL'!F30</f>
        <v>0</v>
      </c>
      <c r="G31" s="122">
        <f>'[47]TABLEAU FINAL'!G30</f>
        <v>8.9437331061358538E-2</v>
      </c>
      <c r="H31" s="123">
        <f>'[47]TABLEAU FINAL'!H30</f>
        <v>8.8589583213327217E-2</v>
      </c>
    </row>
    <row r="32" spans="2:8" ht="15">
      <c r="B32" s="282"/>
      <c r="C32" s="309" t="str">
        <f>'[47]TABLEAU FINAL'!C31</f>
        <v>Q2</v>
      </c>
      <c r="D32" s="180">
        <f>'[47]TABLEAU FINAL'!D31</f>
        <v>1</v>
      </c>
      <c r="E32" s="184">
        <f>'[47]TABLEAU FINAL'!E31</f>
        <v>0</v>
      </c>
      <c r="F32" s="185">
        <f>'[47]TABLEAU FINAL'!F31</f>
        <v>0</v>
      </c>
      <c r="G32" s="117">
        <f>'[47]TABLEAU FINAL'!G31</f>
        <v>2.2757270624402581E-2</v>
      </c>
      <c r="H32" s="118">
        <f>'[47]TABLEAU FINAL'!H31</f>
        <v>2.1864813496544677E-2</v>
      </c>
    </row>
    <row r="33" spans="2:8" ht="15">
      <c r="B33" s="282"/>
      <c r="C33" s="310"/>
      <c r="D33" s="180">
        <f>'[47]TABLEAU FINAL'!D32</f>
        <v>2</v>
      </c>
      <c r="E33" s="184">
        <f>'[47]TABLEAU FINAL'!E32</f>
        <v>0</v>
      </c>
      <c r="F33" s="185">
        <f>'[47]TABLEAU FINAL'!F32</f>
        <v>0</v>
      </c>
      <c r="G33" s="117">
        <f>'[47]TABLEAU FINAL'!G32</f>
        <v>4.9969140136446821E-2</v>
      </c>
      <c r="H33" s="118">
        <f>'[47]TABLEAU FINAL'!H32</f>
        <v>4.8303586946308652E-2</v>
      </c>
    </row>
    <row r="34" spans="2:8" ht="15">
      <c r="B34" s="282"/>
      <c r="C34" s="310"/>
      <c r="D34" s="186" t="str">
        <f>'[47]TABLEAU FINAL'!D33</f>
        <v>3 et plus</v>
      </c>
      <c r="E34" s="187">
        <f>'[47]TABLEAU FINAL'!E33</f>
        <v>0</v>
      </c>
      <c r="F34" s="188">
        <f>'[47]TABLEAU FINAL'!F33</f>
        <v>0</v>
      </c>
      <c r="G34" s="122">
        <f>'[47]TABLEAU FINAL'!G33</f>
        <v>8.2253399487642209E-2</v>
      </c>
      <c r="H34" s="123">
        <f>'[47]TABLEAU FINAL'!H33</f>
        <v>7.957199278710525E-2</v>
      </c>
    </row>
    <row r="35" spans="2:8" ht="15">
      <c r="B35" s="282"/>
      <c r="C35" s="309" t="str">
        <f>'[47]TABLEAU FINAL'!C34</f>
        <v>Q3</v>
      </c>
      <c r="D35" s="180">
        <f>'[47]TABLEAU FINAL'!D34</f>
        <v>1</v>
      </c>
      <c r="E35" s="184">
        <f>'[47]TABLEAU FINAL'!E34</f>
        <v>0</v>
      </c>
      <c r="F35" s="185">
        <f>'[47]TABLEAU FINAL'!F34</f>
        <v>0</v>
      </c>
      <c r="G35" s="117">
        <f>'[47]TABLEAU FINAL'!G34</f>
        <v>2.0901306562268296E-2</v>
      </c>
      <c r="H35" s="118">
        <f>'[47]TABLEAU FINAL'!H34</f>
        <v>2.064022041520297E-2</v>
      </c>
    </row>
    <row r="36" spans="2:8" ht="15">
      <c r="B36" s="282"/>
      <c r="C36" s="310"/>
      <c r="D36" s="180">
        <f>'[47]TABLEAU FINAL'!D35</f>
        <v>2</v>
      </c>
      <c r="E36" s="184">
        <f>'[47]TABLEAU FINAL'!E35</f>
        <v>0</v>
      </c>
      <c r="F36" s="185">
        <f>'[47]TABLEAU FINAL'!F35</f>
        <v>0</v>
      </c>
      <c r="G36" s="117">
        <f>'[47]TABLEAU FINAL'!G35</f>
        <v>4.6172184445188558E-2</v>
      </c>
      <c r="H36" s="118">
        <f>'[47]TABLEAU FINAL'!H35</f>
        <v>4.5435889421031161E-2</v>
      </c>
    </row>
    <row r="37" spans="2:8" ht="15">
      <c r="B37" s="282"/>
      <c r="C37" s="310"/>
      <c r="D37" s="186" t="str">
        <f>'[47]TABLEAU FINAL'!D36</f>
        <v>3 et plus</v>
      </c>
      <c r="E37" s="187">
        <f>'[47]TABLEAU FINAL'!E36</f>
        <v>0</v>
      </c>
      <c r="F37" s="188">
        <f>'[47]TABLEAU FINAL'!F36</f>
        <v>0</v>
      </c>
      <c r="G37" s="122">
        <f>'[47]TABLEAU FINAL'!G36</f>
        <v>7.1685293609075273E-2</v>
      </c>
      <c r="H37" s="123">
        <f>'[47]TABLEAU FINAL'!H36</f>
        <v>6.978641109764383E-2</v>
      </c>
    </row>
    <row r="38" spans="2:8" ht="15">
      <c r="B38" s="282"/>
      <c r="C38" s="309" t="str">
        <f>'[47]TABLEAU FINAL'!C37</f>
        <v>Q4</v>
      </c>
      <c r="D38" s="180">
        <f>'[47]TABLEAU FINAL'!D37</f>
        <v>1</v>
      </c>
      <c r="E38" s="184">
        <f>'[47]TABLEAU FINAL'!E37</f>
        <v>0</v>
      </c>
      <c r="F38" s="185">
        <f>'[47]TABLEAU FINAL'!F37</f>
        <v>0</v>
      </c>
      <c r="G38" s="117">
        <f>'[47]TABLEAU FINAL'!G37</f>
        <v>2.1214081352398662E-2</v>
      </c>
      <c r="H38" s="118">
        <f>'[47]TABLEAU FINAL'!H37</f>
        <v>2.0968908022652499E-2</v>
      </c>
    </row>
    <row r="39" spans="2:8" ht="15">
      <c r="B39" s="282"/>
      <c r="C39" s="310"/>
      <c r="D39" s="180">
        <f>'[47]TABLEAU FINAL'!D38</f>
        <v>2</v>
      </c>
      <c r="E39" s="184">
        <f>'[47]TABLEAU FINAL'!E38</f>
        <v>0</v>
      </c>
      <c r="F39" s="185">
        <f>'[47]TABLEAU FINAL'!F38</f>
        <v>0</v>
      </c>
      <c r="G39" s="117">
        <f>'[47]TABLEAU FINAL'!G38</f>
        <v>4.5312723023561041E-2</v>
      </c>
      <c r="H39" s="118">
        <f>'[47]TABLEAU FINAL'!H38</f>
        <v>4.47433990301076E-2</v>
      </c>
    </row>
    <row r="40" spans="2:8" ht="15">
      <c r="B40" s="282"/>
      <c r="C40" s="310"/>
      <c r="D40" s="186" t="str">
        <f>'[47]TABLEAU FINAL'!D39</f>
        <v>3 et plus</v>
      </c>
      <c r="E40" s="187">
        <f>'[47]TABLEAU FINAL'!E39</f>
        <v>0</v>
      </c>
      <c r="F40" s="188">
        <f>'[47]TABLEAU FINAL'!F39</f>
        <v>0</v>
      </c>
      <c r="G40" s="122">
        <f>'[47]TABLEAU FINAL'!G39</f>
        <v>6.7819091779572016E-2</v>
      </c>
      <c r="H40" s="123">
        <f>'[47]TABLEAU FINAL'!H39</f>
        <v>6.5492227248588719E-2</v>
      </c>
    </row>
    <row r="41" spans="2:8" ht="15">
      <c r="B41" s="282"/>
      <c r="C41" s="309" t="str">
        <f>'[47]TABLEAU FINAL'!C40</f>
        <v>Q5</v>
      </c>
      <c r="D41" s="180">
        <f>'[47]TABLEAU FINAL'!D40</f>
        <v>1</v>
      </c>
      <c r="E41" s="184">
        <f>'[47]TABLEAU FINAL'!E40</f>
        <v>0</v>
      </c>
      <c r="F41" s="185">
        <f>'[47]TABLEAU FINAL'!F40</f>
        <v>0</v>
      </c>
      <c r="G41" s="117">
        <f>'[47]TABLEAU FINAL'!G40</f>
        <v>2.076344709938116E-2</v>
      </c>
      <c r="H41" s="118">
        <f>'[47]TABLEAU FINAL'!H40</f>
        <v>2.0596549646669127E-2</v>
      </c>
    </row>
    <row r="42" spans="2:8" ht="15">
      <c r="B42" s="282"/>
      <c r="C42" s="310"/>
      <c r="D42" s="180">
        <f>'[47]TABLEAU FINAL'!D41</f>
        <v>2</v>
      </c>
      <c r="E42" s="184">
        <f>'[47]TABLEAU FINAL'!E41</f>
        <v>0</v>
      </c>
      <c r="F42" s="185">
        <f>'[47]TABLEAU FINAL'!F41</f>
        <v>0</v>
      </c>
      <c r="G42" s="117">
        <f>'[47]TABLEAU FINAL'!G41</f>
        <v>4.4709208453468596E-2</v>
      </c>
      <c r="H42" s="118">
        <f>'[47]TABLEAU FINAL'!H41</f>
        <v>4.4457718559004267E-2</v>
      </c>
    </row>
    <row r="43" spans="2:8" ht="15.75" thickBot="1">
      <c r="B43" s="284"/>
      <c r="C43" s="311"/>
      <c r="D43" s="192" t="str">
        <f>'[47]TABLEAU FINAL'!D42</f>
        <v>3 et plus</v>
      </c>
      <c r="E43" s="193">
        <f>'[47]TABLEAU FINAL'!E42</f>
        <v>0</v>
      </c>
      <c r="F43" s="194">
        <f>'[47]TABLEAU FINAL'!F42</f>
        <v>0</v>
      </c>
      <c r="G43" s="147">
        <f>'[47]TABLEAU FINAL'!G42</f>
        <v>6.9788657769945361E-2</v>
      </c>
      <c r="H43" s="148">
        <f>'[47]TABLEAU FINAL'!H42</f>
        <v>6.9046579778885286E-2</v>
      </c>
    </row>
    <row r="45" spans="2:8">
      <c r="B45" s="177" t="s">
        <v>36</v>
      </c>
    </row>
  </sheetData>
  <mergeCells count="20">
    <mergeCell ref="B28:H28"/>
    <mergeCell ref="B29:B43"/>
    <mergeCell ref="C29:C31"/>
    <mergeCell ref="C32:C34"/>
    <mergeCell ref="C35:C37"/>
    <mergeCell ref="C38:C40"/>
    <mergeCell ref="C41:C43"/>
    <mergeCell ref="B12:H12"/>
    <mergeCell ref="B13:B27"/>
    <mergeCell ref="C13:C15"/>
    <mergeCell ref="C16:C18"/>
    <mergeCell ref="C19:C21"/>
    <mergeCell ref="C22:C24"/>
    <mergeCell ref="C25:C27"/>
    <mergeCell ref="B11:C11"/>
    <mergeCell ref="B4:C4"/>
    <mergeCell ref="B5:C5"/>
    <mergeCell ref="B6:C6"/>
    <mergeCell ref="B7:H7"/>
    <mergeCell ref="B8:C10"/>
  </mergeCells>
  <hyperlinks>
    <hyperlink ref="A2" location="SOMMAIRE!A1" display="Retour au sommaire" xr:uid="{B924FDAA-1332-4128-84F9-2828D99D1A5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FA08-FBC3-49F1-9301-26343F68F81B}">
  <sheetPr>
    <tabColor rgb="FFACB9CA"/>
  </sheetPr>
  <dimension ref="A1:AV24"/>
  <sheetViews>
    <sheetView workbookViewId="0"/>
  </sheetViews>
  <sheetFormatPr baseColWidth="10" defaultRowHeight="14.25"/>
  <cols>
    <col min="2" max="2" width="13.25" customWidth="1"/>
    <col min="3" max="3" width="25.875" bestFit="1" customWidth="1"/>
    <col min="4" max="21" width="11.125" bestFit="1" customWidth="1"/>
    <col min="22" max="22" width="11.5" bestFit="1" customWidth="1"/>
    <col min="23" max="25" width="11.125" bestFit="1" customWidth="1"/>
    <col min="26" max="31" width="11.5" bestFit="1" customWidth="1"/>
    <col min="32" max="48" width="11.125" bestFit="1" customWidth="1"/>
  </cols>
  <sheetData>
    <row r="1" spans="1:48" ht="15.75">
      <c r="A1" s="2" t="s">
        <v>119</v>
      </c>
    </row>
    <row r="2" spans="1:48">
      <c r="A2" s="6" t="s">
        <v>2</v>
      </c>
    </row>
    <row r="3" spans="1:48" ht="15" thickBot="1"/>
    <row r="4" spans="1:48" ht="15" thickBot="1">
      <c r="B4" s="301"/>
      <c r="C4" s="302"/>
      <c r="D4" s="198">
        <f>[37]Ecarts_masses!D59</f>
        <v>2026</v>
      </c>
      <c r="E4" s="199">
        <f>[37]Ecarts_masses!E59</f>
        <v>2027</v>
      </c>
      <c r="F4" s="199">
        <f>[37]Ecarts_masses!F59</f>
        <v>2028</v>
      </c>
      <c r="G4" s="199">
        <f>[37]Ecarts_masses!G59</f>
        <v>2029</v>
      </c>
      <c r="H4" s="199">
        <f>[37]Ecarts_masses!H59</f>
        <v>2030</v>
      </c>
      <c r="I4" s="199">
        <f>[37]Ecarts_masses!I59</f>
        <v>2031</v>
      </c>
      <c r="J4" s="199">
        <f>[37]Ecarts_masses!J59</f>
        <v>2032</v>
      </c>
      <c r="K4" s="199">
        <f>[37]Ecarts_masses!K59</f>
        <v>2033</v>
      </c>
      <c r="L4" s="199">
        <f>[37]Ecarts_masses!L59</f>
        <v>2034</v>
      </c>
      <c r="M4" s="199">
        <f>[37]Ecarts_masses!M59</f>
        <v>2035</v>
      </c>
      <c r="N4" s="199">
        <f>[37]Ecarts_masses!N59</f>
        <v>2036</v>
      </c>
      <c r="O4" s="199">
        <f>[37]Ecarts_masses!O59</f>
        <v>2037</v>
      </c>
      <c r="P4" s="199">
        <f>[37]Ecarts_masses!P59</f>
        <v>2038</v>
      </c>
      <c r="Q4" s="199">
        <f>[37]Ecarts_masses!Q59</f>
        <v>2039</v>
      </c>
      <c r="R4" s="199">
        <f>[37]Ecarts_masses!R59</f>
        <v>2040</v>
      </c>
      <c r="S4" s="199">
        <f>[37]Ecarts_masses!S59</f>
        <v>2041</v>
      </c>
      <c r="T4" s="199">
        <f>[37]Ecarts_masses!T59</f>
        <v>2042</v>
      </c>
      <c r="U4" s="199">
        <f>[37]Ecarts_masses!U59</f>
        <v>2043</v>
      </c>
      <c r="V4" s="199">
        <f>[37]Ecarts_masses!V59</f>
        <v>2044</v>
      </c>
      <c r="W4" s="199">
        <f>[37]Ecarts_masses!W59</f>
        <v>2045</v>
      </c>
      <c r="X4" s="199">
        <f>[37]Ecarts_masses!X59</f>
        <v>2046</v>
      </c>
      <c r="Y4" s="199">
        <f>[37]Ecarts_masses!Y59</f>
        <v>2047</v>
      </c>
      <c r="Z4" s="199">
        <f>[37]Ecarts_masses!Z59</f>
        <v>2048</v>
      </c>
      <c r="AA4" s="199">
        <f>[37]Ecarts_masses!AA59</f>
        <v>2049</v>
      </c>
      <c r="AB4" s="199">
        <f>[37]Ecarts_masses!AB59</f>
        <v>2050</v>
      </c>
      <c r="AC4" s="199">
        <f>[37]Ecarts_masses!AC59</f>
        <v>2051</v>
      </c>
      <c r="AD4" s="199">
        <f>[37]Ecarts_masses!AD59</f>
        <v>2052</v>
      </c>
      <c r="AE4" s="199">
        <f>[37]Ecarts_masses!AE59</f>
        <v>2053</v>
      </c>
      <c r="AF4" s="199">
        <f>[37]Ecarts_masses!AF59</f>
        <v>2054</v>
      </c>
      <c r="AG4" s="199">
        <f>[37]Ecarts_masses!AG59</f>
        <v>2055</v>
      </c>
      <c r="AH4" s="199">
        <f>[37]Ecarts_masses!AH59</f>
        <v>2056</v>
      </c>
      <c r="AI4" s="199">
        <f>[37]Ecarts_masses!AI59</f>
        <v>2057</v>
      </c>
      <c r="AJ4" s="199">
        <f>[37]Ecarts_masses!AJ59</f>
        <v>2058</v>
      </c>
      <c r="AK4" s="199">
        <f>[37]Ecarts_masses!AK59</f>
        <v>2059</v>
      </c>
      <c r="AL4" s="199">
        <f>[37]Ecarts_masses!AL59</f>
        <v>2060</v>
      </c>
      <c r="AM4" s="199">
        <f>[37]Ecarts_masses!AM59</f>
        <v>2061</v>
      </c>
      <c r="AN4" s="199">
        <f>[37]Ecarts_masses!AN59</f>
        <v>2062</v>
      </c>
      <c r="AO4" s="199">
        <f>[37]Ecarts_masses!AO59</f>
        <v>2063</v>
      </c>
      <c r="AP4" s="199">
        <f>[37]Ecarts_masses!AP59</f>
        <v>2064</v>
      </c>
      <c r="AQ4" s="199">
        <f>[37]Ecarts_masses!AQ59</f>
        <v>2065</v>
      </c>
      <c r="AR4" s="199">
        <f>[37]Ecarts_masses!AR59</f>
        <v>2066</v>
      </c>
      <c r="AS4" s="199">
        <f>[37]Ecarts_masses!AS59</f>
        <v>2067</v>
      </c>
      <c r="AT4" s="199">
        <f>[37]Ecarts_masses!AT59</f>
        <v>2068</v>
      </c>
      <c r="AU4" s="199">
        <f>[37]Ecarts_masses!AU59</f>
        <v>2069</v>
      </c>
      <c r="AV4" s="200">
        <f>[37]Ecarts_masses!AV59</f>
        <v>2070</v>
      </c>
    </row>
    <row r="5" spans="1:48">
      <c r="B5" s="298" t="s">
        <v>51</v>
      </c>
      <c r="C5" s="201" t="s">
        <v>6</v>
      </c>
      <c r="D5" s="204">
        <f>[44]Ecarts_masses_tousrégimes!D54</f>
        <v>8.8748741791100372E-5</v>
      </c>
      <c r="E5" s="205">
        <f>[44]Ecarts_masses_tousrégimes!E54</f>
        <v>1.9022832355064523E-4</v>
      </c>
      <c r="F5" s="205">
        <f>[44]Ecarts_masses_tousrégimes!F54</f>
        <v>2.141484256275028E-4</v>
      </c>
      <c r="G5" s="205">
        <f>[44]Ecarts_masses_tousrégimes!G54</f>
        <v>2.1083566372714913E-4</v>
      </c>
      <c r="H5" s="205">
        <f>[44]Ecarts_masses_tousrégimes!H54</f>
        <v>1.9015885608864025E-4</v>
      </c>
      <c r="I5" s="205">
        <f>[44]Ecarts_masses_tousrégimes!I54</f>
        <v>1.7823157251162236E-4</v>
      </c>
      <c r="J5" s="205">
        <f>[44]Ecarts_masses_tousrégimes!J54</f>
        <v>1.9944750783418286E-4</v>
      </c>
      <c r="K5" s="205">
        <f>[44]Ecarts_masses_tousrégimes!K54</f>
        <v>2.5165487849032608E-4</v>
      </c>
      <c r="L5" s="205">
        <f>[44]Ecarts_masses_tousrégimes!L54</f>
        <v>3.1879385173616548E-4</v>
      </c>
      <c r="M5" s="205">
        <f>[44]Ecarts_masses_tousrégimes!M54</f>
        <v>4.1432304343680393E-4</v>
      </c>
      <c r="N5" s="205">
        <f>[44]Ecarts_masses_tousrégimes!N54</f>
        <v>5.0542157574917645E-4</v>
      </c>
      <c r="O5" s="205">
        <f>[44]Ecarts_masses_tousrégimes!O54</f>
        <v>6.1414627505773645E-4</v>
      </c>
      <c r="P5" s="205">
        <f>[44]Ecarts_masses_tousrégimes!P54</f>
        <v>7.1275236567291955E-4</v>
      </c>
      <c r="Q5" s="205">
        <f>[44]Ecarts_masses_tousrégimes!Q54</f>
        <v>8.1507193706564784E-4</v>
      </c>
      <c r="R5" s="205">
        <f>[44]Ecarts_masses_tousrégimes!R54</f>
        <v>9.2195103346881524E-4</v>
      </c>
      <c r="S5" s="205">
        <f>[44]Ecarts_masses_tousrégimes!S54</f>
        <v>1.0484763311511269E-3</v>
      </c>
      <c r="T5" s="205">
        <f>[44]Ecarts_masses_tousrégimes!T54</f>
        <v>1.1642873831640976E-3</v>
      </c>
      <c r="U5" s="205">
        <f>[44]Ecarts_masses_tousrégimes!U54</f>
        <v>1.2830041410472059E-3</v>
      </c>
      <c r="V5" s="205">
        <f>[44]Ecarts_masses_tousrégimes!V54</f>
        <v>1.4150836514412735E-3</v>
      </c>
      <c r="W5" s="205">
        <f>[44]Ecarts_masses_tousrégimes!W54</f>
        <v>1.5695219155467122E-3</v>
      </c>
      <c r="X5" s="205">
        <f>[44]Ecarts_masses_tousrégimes!X54</f>
        <v>1.7153801834020044E-3</v>
      </c>
      <c r="Y5" s="205">
        <f>[44]Ecarts_masses_tousrégimes!Y54</f>
        <v>1.8612681471001924E-3</v>
      </c>
      <c r="Z5" s="205">
        <f>[44]Ecarts_masses_tousrégimes!Z54</f>
        <v>2.0215176870395091E-3</v>
      </c>
      <c r="AA5" s="205">
        <f>[44]Ecarts_masses_tousrégimes!AA54</f>
        <v>2.1554259349929605E-3</v>
      </c>
      <c r="AB5" s="205">
        <f>[44]Ecarts_masses_tousrégimes!AB54</f>
        <v>2.3300621102502195E-3</v>
      </c>
      <c r="AC5" s="205">
        <f>[44]Ecarts_masses_tousrégimes!AC54</f>
        <v>2.4194352604209879E-3</v>
      </c>
      <c r="AD5" s="205">
        <f>[44]Ecarts_masses_tousrégimes!AD54</f>
        <v>2.5692211318890656E-3</v>
      </c>
      <c r="AE5" s="205">
        <f>[44]Ecarts_masses_tousrégimes!AE54</f>
        <v>2.6743966511604267E-3</v>
      </c>
      <c r="AF5" s="205">
        <f>[44]Ecarts_masses_tousrégimes!AF54</f>
        <v>2.7360162932250631E-3</v>
      </c>
      <c r="AG5" s="205">
        <f>[44]Ecarts_masses_tousrégimes!AG54</f>
        <v>2.7647475523806531E-3</v>
      </c>
      <c r="AH5" s="205">
        <f>[44]Ecarts_masses_tousrégimes!AH54</f>
        <v>2.77411188389598E-3</v>
      </c>
      <c r="AI5" s="205">
        <f>[44]Ecarts_masses_tousrégimes!AI54</f>
        <v>2.7896318011815247E-3</v>
      </c>
      <c r="AJ5" s="205">
        <f>[44]Ecarts_masses_tousrégimes!AJ54</f>
        <v>2.7801181347464343E-3</v>
      </c>
      <c r="AK5" s="205">
        <f>[44]Ecarts_masses_tousrégimes!AK54</f>
        <v>2.7554209089053483E-3</v>
      </c>
      <c r="AL5" s="205">
        <f>[44]Ecarts_masses_tousrégimes!AL54</f>
        <v>2.6287314550994534E-3</v>
      </c>
      <c r="AM5" s="205">
        <f>[44]Ecarts_masses_tousrégimes!AM54</f>
        <v>2.4867341314720459E-3</v>
      </c>
      <c r="AN5" s="205">
        <f>[44]Ecarts_masses_tousrégimes!AN54</f>
        <v>2.3884598569572368E-3</v>
      </c>
      <c r="AO5" s="205">
        <f>[44]Ecarts_masses_tousrégimes!AO54</f>
        <v>2.2484839042786753E-3</v>
      </c>
      <c r="AP5" s="205">
        <f>[44]Ecarts_masses_tousrégimes!AP54</f>
        <v>2.118113963596846E-3</v>
      </c>
      <c r="AQ5" s="205">
        <f>[44]Ecarts_masses_tousrégimes!AQ54</f>
        <v>1.8831135575574365E-3</v>
      </c>
      <c r="AR5" s="205">
        <f>[44]Ecarts_masses_tousrégimes!AR54</f>
        <v>1.7475699984754733E-3</v>
      </c>
      <c r="AS5" s="205">
        <f>[44]Ecarts_masses_tousrégimes!AS54</f>
        <v>1.5862770212504707E-3</v>
      </c>
      <c r="AT5" s="205">
        <f>[44]Ecarts_masses_tousrégimes!AT54</f>
        <v>1.4691599739857786E-3</v>
      </c>
      <c r="AU5" s="205">
        <f>[44]Ecarts_masses_tousrégimes!AU54</f>
        <v>1.432279722955565E-3</v>
      </c>
      <c r="AV5" s="206">
        <f>[44]Ecarts_masses_tousrégimes!AV54</f>
        <v>1.3649504404944501E-3</v>
      </c>
    </row>
    <row r="6" spans="1:48">
      <c r="B6" s="299"/>
      <c r="C6" s="202" t="s">
        <v>53</v>
      </c>
      <c r="D6" s="207">
        <f>[44]Ecarts_masses_tousrégimes!D55</f>
        <v>2.1088940439595305E-4</v>
      </c>
      <c r="E6" s="196">
        <f>[44]Ecarts_masses_tousrégimes!E55</f>
        <v>4.239022498491174E-4</v>
      </c>
      <c r="F6" s="196">
        <f>[44]Ecarts_masses_tousrégimes!F55</f>
        <v>4.8662480265271313E-4</v>
      </c>
      <c r="G6" s="196">
        <f>[44]Ecarts_masses_tousrégimes!G55</f>
        <v>5.0669653427881656E-4</v>
      </c>
      <c r="H6" s="196">
        <f>[44]Ecarts_masses_tousrégimes!H55</f>
        <v>4.909269643276204E-4</v>
      </c>
      <c r="I6" s="196">
        <f>[44]Ecarts_masses_tousrégimes!I55</f>
        <v>4.762577840233817E-4</v>
      </c>
      <c r="J6" s="196">
        <f>[44]Ecarts_masses_tousrégimes!J55</f>
        <v>5.0050014426705758E-4</v>
      </c>
      <c r="K6" s="196">
        <f>[44]Ecarts_masses_tousrégimes!K55</f>
        <v>5.4295362130218905E-4</v>
      </c>
      <c r="L6" s="196">
        <f>[44]Ecarts_masses_tousrégimes!L55</f>
        <v>5.977584382468315E-4</v>
      </c>
      <c r="M6" s="196">
        <f>[44]Ecarts_masses_tousrégimes!M55</f>
        <v>6.9840574093027463E-4</v>
      </c>
      <c r="N6" s="196">
        <f>[44]Ecarts_masses_tousrégimes!N55</f>
        <v>7.8279535377245857E-4</v>
      </c>
      <c r="O6" s="196">
        <f>[44]Ecarts_masses_tousrégimes!O55</f>
        <v>8.7952239151833922E-4</v>
      </c>
      <c r="P6" s="196">
        <f>[44]Ecarts_masses_tousrégimes!P55</f>
        <v>9.7390063687763373E-4</v>
      </c>
      <c r="Q6" s="196">
        <f>[44]Ecarts_masses_tousrégimes!Q55</f>
        <v>1.0695597323358008E-3</v>
      </c>
      <c r="R6" s="196">
        <f>[44]Ecarts_masses_tousrégimes!R55</f>
        <v>1.1702568526403834E-3</v>
      </c>
      <c r="S6" s="196">
        <f>[44]Ecarts_masses_tousrégimes!S55</f>
        <v>1.2888124783636545E-3</v>
      </c>
      <c r="T6" s="196">
        <f>[44]Ecarts_masses_tousrégimes!T55</f>
        <v>1.3905476357822799E-3</v>
      </c>
      <c r="U6" s="196">
        <f>[44]Ecarts_masses_tousrégimes!U55</f>
        <v>1.5100854106719908E-3</v>
      </c>
      <c r="V6" s="196">
        <f>[44]Ecarts_masses_tousrégimes!V55</f>
        <v>1.6261446813425895E-3</v>
      </c>
      <c r="W6" s="196">
        <f>[44]Ecarts_masses_tousrégimes!W55</f>
        <v>1.7683092909979159E-3</v>
      </c>
      <c r="X6" s="196">
        <f>[44]Ecarts_masses_tousrégimes!X55</f>
        <v>1.8851433766020609E-3</v>
      </c>
      <c r="Y6" s="196">
        <f>[44]Ecarts_masses_tousrégimes!Y55</f>
        <v>2.006972814003527E-3</v>
      </c>
      <c r="Z6" s="196">
        <f>[44]Ecarts_masses_tousrégimes!Z55</f>
        <v>2.1451606110705068E-3</v>
      </c>
      <c r="AA6" s="196">
        <f>[44]Ecarts_masses_tousrégimes!AA55</f>
        <v>2.2354545026128658E-3</v>
      </c>
      <c r="AB6" s="196">
        <f>[44]Ecarts_masses_tousrégimes!AB55</f>
        <v>2.3606368972166614E-3</v>
      </c>
      <c r="AC6" s="196">
        <f>[44]Ecarts_masses_tousrégimes!AC55</f>
        <v>2.377983339362677E-3</v>
      </c>
      <c r="AD6" s="196">
        <f>[44]Ecarts_masses_tousrégimes!AD55</f>
        <v>2.4477002184257746E-3</v>
      </c>
      <c r="AE6" s="196">
        <f>[44]Ecarts_masses_tousrégimes!AE55</f>
        <v>2.4318150244195813E-3</v>
      </c>
      <c r="AF6" s="196">
        <f>[44]Ecarts_masses_tousrégimes!AF55</f>
        <v>2.3629836212959443E-3</v>
      </c>
      <c r="AG6" s="196">
        <f>[44]Ecarts_masses_tousrégimes!AG55</f>
        <v>2.2591671137022207E-3</v>
      </c>
      <c r="AH6" s="196">
        <f>[44]Ecarts_masses_tousrégimes!AH55</f>
        <v>2.1014277919526592E-3</v>
      </c>
      <c r="AI6" s="196">
        <f>[44]Ecarts_masses_tousrégimes!AI55</f>
        <v>1.875717743981431E-3</v>
      </c>
      <c r="AJ6" s="196">
        <f>[44]Ecarts_masses_tousrégimes!AJ55</f>
        <v>1.6110784152094659E-3</v>
      </c>
      <c r="AK6" s="196">
        <f>[44]Ecarts_masses_tousrégimes!AK55</f>
        <v>1.3296263936106723E-3</v>
      </c>
      <c r="AL6" s="196">
        <f>[44]Ecarts_masses_tousrégimes!AL55</f>
        <v>8.9597535288188368E-4</v>
      </c>
      <c r="AM6" s="196">
        <f>[44]Ecarts_masses_tousrégimes!AM55</f>
        <v>4.3085159669775663E-4</v>
      </c>
      <c r="AN6" s="196">
        <f>[44]Ecarts_masses_tousrégimes!AN55</f>
        <v>-2.3189066809981007E-5</v>
      </c>
      <c r="AO6" s="196">
        <f>[44]Ecarts_masses_tousrégimes!AO55</f>
        <v>-5.3740599686824542E-4</v>
      </c>
      <c r="AP6" s="196">
        <f>[44]Ecarts_masses_tousrégimes!AP55</f>
        <v>-1.0363140125014825E-3</v>
      </c>
      <c r="AQ6" s="196">
        <f>[44]Ecarts_masses_tousrégimes!AQ55</f>
        <v>-1.7420102305053531E-3</v>
      </c>
      <c r="AR6" s="196">
        <f>[44]Ecarts_masses_tousrégimes!AR55</f>
        <v>-2.267574687384144E-3</v>
      </c>
      <c r="AS6" s="196">
        <f>[44]Ecarts_masses_tousrégimes!AS55</f>
        <v>-2.8314864284070262E-3</v>
      </c>
      <c r="AT6" s="196">
        <f>[44]Ecarts_masses_tousrégimes!AT55</f>
        <v>-3.3251415957840091E-3</v>
      </c>
      <c r="AU6" s="196">
        <f>[44]Ecarts_masses_tousrégimes!AU55</f>
        <v>-3.7575637381114246E-3</v>
      </c>
      <c r="AV6" s="208">
        <f>[44]Ecarts_masses_tousrégimes!AV55</f>
        <v>-4.2176936322567693E-3</v>
      </c>
    </row>
    <row r="7" spans="1:48">
      <c r="B7" s="299"/>
      <c r="C7" s="202" t="s">
        <v>3</v>
      </c>
      <c r="D7" s="207">
        <f>[44]Ecarts_masses_tousrégimes!D56</f>
        <v>3.655792248169476E-5</v>
      </c>
      <c r="E7" s="196">
        <f>[44]Ecarts_masses_tousrégimes!E56</f>
        <v>1.0543202872481672E-4</v>
      </c>
      <c r="F7" s="196">
        <f>[44]Ecarts_masses_tousrégimes!F56</f>
        <v>1.5105994928310551E-4</v>
      </c>
      <c r="G7" s="196">
        <f>[44]Ecarts_masses_tousrégimes!G56</f>
        <v>1.8834666926759169E-4</v>
      </c>
      <c r="H7" s="196">
        <f>[44]Ecarts_masses_tousrégimes!H56</f>
        <v>2.1009654366754837E-4</v>
      </c>
      <c r="I7" s="196">
        <f>[44]Ecarts_masses_tousrégimes!I56</f>
        <v>2.2623298565216388E-4</v>
      </c>
      <c r="J7" s="196">
        <f>[44]Ecarts_masses_tousrégimes!J56</f>
        <v>2.83238919155826E-4</v>
      </c>
      <c r="K7" s="196">
        <f>[44]Ecarts_masses_tousrégimes!K56</f>
        <v>4.0342477758148476E-4</v>
      </c>
      <c r="L7" s="196">
        <f>[44]Ecarts_masses_tousrégimes!L56</f>
        <v>5.4254221264393721E-4</v>
      </c>
      <c r="M7" s="196">
        <f>[44]Ecarts_masses_tousrégimes!M56</f>
        <v>7.2759808670719295E-4</v>
      </c>
      <c r="N7" s="196">
        <f>[44]Ecarts_masses_tousrégimes!N56</f>
        <v>9.1513563598066838E-4</v>
      </c>
      <c r="O7" s="196">
        <f>[44]Ecarts_masses_tousrégimes!O56</f>
        <v>1.1139193793165969E-3</v>
      </c>
      <c r="P7" s="196">
        <f>[44]Ecarts_masses_tousrégimes!P56</f>
        <v>1.2934899197043492E-3</v>
      </c>
      <c r="Q7" s="196">
        <f>[44]Ecarts_masses_tousrégimes!Q56</f>
        <v>1.4697607600635543E-3</v>
      </c>
      <c r="R7" s="196">
        <f>[44]Ecarts_masses_tousrégimes!R56</f>
        <v>1.6421297962634362E-3</v>
      </c>
      <c r="S7" s="196">
        <f>[44]Ecarts_masses_tousrégimes!S56</f>
        <v>1.8444012990885827E-3</v>
      </c>
      <c r="T7" s="196">
        <f>[44]Ecarts_masses_tousrégimes!T56</f>
        <v>2.0249988656781959E-3</v>
      </c>
      <c r="U7" s="196">
        <f>[44]Ecarts_masses_tousrégimes!U56</f>
        <v>2.2017789246069341E-3</v>
      </c>
      <c r="V7" s="196">
        <f>[44]Ecarts_masses_tousrégimes!V56</f>
        <v>2.39175224192123E-3</v>
      </c>
      <c r="W7" s="196">
        <f>[44]Ecarts_masses_tousrégimes!W56</f>
        <v>2.6027968237765098E-3</v>
      </c>
      <c r="X7" s="196">
        <f>[44]Ecarts_masses_tousrégimes!X56</f>
        <v>2.811441851301888E-3</v>
      </c>
      <c r="Y7" s="196">
        <f>[44]Ecarts_masses_tousrégimes!Y56</f>
        <v>2.9627001822658539E-3</v>
      </c>
      <c r="Z7" s="196">
        <f>[44]Ecarts_masses_tousrégimes!Z56</f>
        <v>3.1527158642661313E-3</v>
      </c>
      <c r="AA7" s="196">
        <f>[44]Ecarts_masses_tousrégimes!AA56</f>
        <v>3.2981148215149858E-3</v>
      </c>
      <c r="AB7" s="196">
        <f>[44]Ecarts_masses_tousrégimes!AB56</f>
        <v>3.472581083023174E-3</v>
      </c>
      <c r="AC7" s="196">
        <f>[44]Ecarts_masses_tousrégimes!AC56</f>
        <v>3.5373720057361169E-3</v>
      </c>
      <c r="AD7" s="196">
        <f>[44]Ecarts_masses_tousrégimes!AD56</f>
        <v>3.6698708716207395E-3</v>
      </c>
      <c r="AE7" s="196">
        <f>[44]Ecarts_masses_tousrégimes!AE56</f>
        <v>3.7781144078583573E-3</v>
      </c>
      <c r="AF7" s="196">
        <f>[44]Ecarts_masses_tousrégimes!AF56</f>
        <v>3.8072155532107299E-3</v>
      </c>
      <c r="AG7" s="196">
        <f>[44]Ecarts_masses_tousrégimes!AG56</f>
        <v>3.8806967293485428E-3</v>
      </c>
      <c r="AH7" s="196">
        <f>[44]Ecarts_masses_tousrégimes!AH56</f>
        <v>3.8582293212106045E-3</v>
      </c>
      <c r="AI7" s="196">
        <f>[44]Ecarts_masses_tousrégimes!AI56</f>
        <v>3.8819055662253632E-3</v>
      </c>
      <c r="AJ7" s="196">
        <f>[44]Ecarts_masses_tousrégimes!AJ56</f>
        <v>3.9109390364036045E-3</v>
      </c>
      <c r="AK7" s="196">
        <f>[44]Ecarts_masses_tousrégimes!AK56</f>
        <v>3.9115241497007514E-3</v>
      </c>
      <c r="AL7" s="196">
        <f>[44]Ecarts_masses_tousrégimes!AL56</f>
        <v>3.8102505598505143E-3</v>
      </c>
      <c r="AM7" s="196">
        <f>[44]Ecarts_masses_tousrégimes!AM56</f>
        <v>3.7485818498330659E-3</v>
      </c>
      <c r="AN7" s="196">
        <f>[44]Ecarts_masses_tousrégimes!AN56</f>
        <v>3.7355558835083791E-3</v>
      </c>
      <c r="AO7" s="196">
        <f>[44]Ecarts_masses_tousrégimes!AO56</f>
        <v>3.6614794799891826E-3</v>
      </c>
      <c r="AP7" s="196">
        <f>[44]Ecarts_masses_tousrégimes!AP56</f>
        <v>3.5944506700000822E-3</v>
      </c>
      <c r="AQ7" s="196">
        <f>[44]Ecarts_masses_tousrégimes!AQ56</f>
        <v>3.4568720147276633E-3</v>
      </c>
      <c r="AR7" s="196">
        <f>[44]Ecarts_masses_tousrégimes!AR56</f>
        <v>3.430651420885944E-3</v>
      </c>
      <c r="AS7" s="196">
        <f>[44]Ecarts_masses_tousrégimes!AS56</f>
        <v>3.2890614595120216E-3</v>
      </c>
      <c r="AT7" s="196">
        <f>[44]Ecarts_masses_tousrégimes!AT56</f>
        <v>3.2231698597764424E-3</v>
      </c>
      <c r="AU7" s="196">
        <f>[44]Ecarts_masses_tousrégimes!AU56</f>
        <v>3.2599877274275268E-3</v>
      </c>
      <c r="AV7" s="208">
        <f>[44]Ecarts_masses_tousrégimes!AV56</f>
        <v>3.3669100672475416E-3</v>
      </c>
    </row>
    <row r="8" spans="1:48">
      <c r="B8" s="299"/>
      <c r="C8" s="202" t="s">
        <v>38</v>
      </c>
      <c r="D8" s="207">
        <f>[44]Ecarts_masses_tousrégimes!D57</f>
        <v>5.5250322170019572E-5</v>
      </c>
      <c r="E8" s="196">
        <f>[44]Ecarts_masses_tousrégimes!E57</f>
        <v>9.2835063269625095E-5</v>
      </c>
      <c r="F8" s="196">
        <f>[44]Ecarts_masses_tousrégimes!F57</f>
        <v>1.7821621161040468E-5</v>
      </c>
      <c r="G8" s="196">
        <f>[44]Ecarts_masses_tousrégimes!G57</f>
        <v>-1.2264719184718054E-4</v>
      </c>
      <c r="H8" s="196">
        <f>[44]Ecarts_masses_tousrégimes!H57</f>
        <v>-1.6178208210881895E-4</v>
      </c>
      <c r="I8" s="196">
        <f>[44]Ecarts_masses_tousrégimes!I57</f>
        <v>-1.3849600329285394E-4</v>
      </c>
      <c r="J8" s="196">
        <f>[44]Ecarts_masses_tousrégimes!J57</f>
        <v>-1.1413712634045226E-4</v>
      </c>
      <c r="K8" s="196">
        <f>[44]Ecarts_masses_tousrégimes!K57</f>
        <v>-4.9701982638206132E-5</v>
      </c>
      <c r="L8" s="196">
        <f>[44]Ecarts_masses_tousrégimes!L57</f>
        <v>8.6568422474897488E-6</v>
      </c>
      <c r="M8" s="196">
        <f>[44]Ecarts_masses_tousrégimes!M57</f>
        <v>1.081909729387931E-4</v>
      </c>
      <c r="N8" s="196">
        <f>[44]Ecarts_masses_tousrégimes!N57</f>
        <v>3.1495730289976542E-4</v>
      </c>
      <c r="O8" s="196">
        <f>[44]Ecarts_masses_tousrégimes!O57</f>
        <v>5.1760846878057265E-4</v>
      </c>
      <c r="P8" s="196">
        <f>[44]Ecarts_masses_tousrégimes!P57</f>
        <v>7.2460839014154566E-4</v>
      </c>
      <c r="Q8" s="196">
        <f>[44]Ecarts_masses_tousrégimes!Q57</f>
        <v>9.0276583702819657E-4</v>
      </c>
      <c r="R8" s="196">
        <f>[44]Ecarts_masses_tousrégimes!R57</f>
        <v>1.0540367604501277E-3</v>
      </c>
      <c r="S8" s="196">
        <f>[44]Ecarts_masses_tousrégimes!S57</f>
        <v>1.1907172018033041E-3</v>
      </c>
      <c r="T8" s="196">
        <f>[44]Ecarts_masses_tousrégimes!T57</f>
        <v>1.5153888990591113E-3</v>
      </c>
      <c r="U8" s="196">
        <f>[44]Ecarts_masses_tousrégimes!U57</f>
        <v>1.7783771466801657E-3</v>
      </c>
      <c r="V8" s="196">
        <f>[44]Ecarts_masses_tousrégimes!V57</f>
        <v>1.9493964692960386E-3</v>
      </c>
      <c r="W8" s="196">
        <f>[44]Ecarts_masses_tousrégimes!W57</f>
        <v>2.0633280445474522E-3</v>
      </c>
      <c r="X8" s="196">
        <f>[44]Ecarts_masses_tousrégimes!X57</f>
        <v>2.3769968852918044E-3</v>
      </c>
      <c r="Y8" s="196">
        <f>[44]Ecarts_masses_tousrégimes!Y57</f>
        <v>2.6526225766316802E-3</v>
      </c>
      <c r="Z8" s="196">
        <f>[44]Ecarts_masses_tousrégimes!Z57</f>
        <v>3.118158764796819E-3</v>
      </c>
      <c r="AA8" s="196">
        <f>[44]Ecarts_masses_tousrégimes!AA57</f>
        <v>3.3511770978524869E-3</v>
      </c>
      <c r="AB8" s="196">
        <f>[44]Ecarts_masses_tousrégimes!AB57</f>
        <v>3.6276051147037247E-3</v>
      </c>
      <c r="AC8" s="196">
        <f>[44]Ecarts_masses_tousrégimes!AC57</f>
        <v>3.7272921538236137E-3</v>
      </c>
      <c r="AD8" s="196">
        <f>[44]Ecarts_masses_tousrégimes!AD57</f>
        <v>3.9625957461149053E-3</v>
      </c>
      <c r="AE8" s="196">
        <f>[44]Ecarts_masses_tousrégimes!AE57</f>
        <v>4.2376311351453033E-3</v>
      </c>
      <c r="AF8" s="196">
        <f>[44]Ecarts_masses_tousrégimes!AF57</f>
        <v>4.3785186233247231E-3</v>
      </c>
      <c r="AG8" s="196">
        <f>[44]Ecarts_masses_tousrégimes!AG57</f>
        <v>4.5402517784776109E-3</v>
      </c>
      <c r="AH8" s="196">
        <f>[44]Ecarts_masses_tousrégimes!AH57</f>
        <v>4.5319632733806792E-3</v>
      </c>
      <c r="AI8" s="196">
        <f>[44]Ecarts_masses_tousrégimes!AI57</f>
        <v>4.7360021884035319E-3</v>
      </c>
      <c r="AJ8" s="196">
        <f>[44]Ecarts_masses_tousrégimes!AJ57</f>
        <v>4.835110507384055E-3</v>
      </c>
      <c r="AK8" s="196">
        <f>[44]Ecarts_masses_tousrégimes!AK57</f>
        <v>5.114047954965395E-3</v>
      </c>
      <c r="AL8" s="196">
        <f>[44]Ecarts_masses_tousrégimes!AL57</f>
        <v>4.6725980769570796E-3</v>
      </c>
      <c r="AM8" s="196">
        <f>[44]Ecarts_masses_tousrégimes!AM57</f>
        <v>4.4167384476654359E-3</v>
      </c>
      <c r="AN8" s="196">
        <f>[44]Ecarts_masses_tousrégimes!AN57</f>
        <v>4.6729045797169189E-3</v>
      </c>
      <c r="AO8" s="196">
        <f>[44]Ecarts_masses_tousrégimes!AO57</f>
        <v>4.5507115988452362E-3</v>
      </c>
      <c r="AP8" s="196">
        <f>[44]Ecarts_masses_tousrégimes!AP57</f>
        <v>4.8212093355739505E-3</v>
      </c>
      <c r="AQ8" s="196">
        <f>[44]Ecarts_masses_tousrégimes!AQ57</f>
        <v>4.5431903369304028E-3</v>
      </c>
      <c r="AR8" s="196">
        <f>[44]Ecarts_masses_tousrégimes!AR57</f>
        <v>4.5581771320919451E-3</v>
      </c>
      <c r="AS8" s="196">
        <f>[44]Ecarts_masses_tousrégimes!AS57</f>
        <v>4.4627258201137554E-3</v>
      </c>
      <c r="AT8" s="196">
        <f>[44]Ecarts_masses_tousrégimes!AT57</f>
        <v>4.448574934943883E-3</v>
      </c>
      <c r="AU8" s="196">
        <f>[44]Ecarts_masses_tousrégimes!AU57</f>
        <v>4.3431373565805398E-3</v>
      </c>
      <c r="AV8" s="208">
        <f>[44]Ecarts_masses_tousrégimes!AV57</f>
        <v>4.6557795813180203E-3</v>
      </c>
    </row>
    <row r="9" spans="1:48">
      <c r="B9" s="299"/>
      <c r="C9" s="202" t="s">
        <v>52</v>
      </c>
      <c r="D9" s="207">
        <f>[44]Ecarts_masses_tousrégimes!D58</f>
        <v>4.1896681594910667E-4</v>
      </c>
      <c r="E9" s="196">
        <f>[44]Ecarts_masses_tousrégimes!E58</f>
        <v>1.2415041870865728E-3</v>
      </c>
      <c r="F9" s="196">
        <f>[44]Ecarts_masses_tousrégimes!F58</f>
        <v>2.1489560009382291E-3</v>
      </c>
      <c r="G9" s="196">
        <f>[44]Ecarts_masses_tousrégimes!G58</f>
        <v>3.0023691318847856E-3</v>
      </c>
      <c r="H9" s="196">
        <f>[44]Ecarts_masses_tousrégimes!H58</f>
        <v>3.8444620905693228E-3</v>
      </c>
      <c r="I9" s="196">
        <f>[44]Ecarts_masses_tousrégimes!I58</f>
        <v>4.6865684981949318E-3</v>
      </c>
      <c r="J9" s="196">
        <f>[44]Ecarts_masses_tousrégimes!J58</f>
        <v>5.4852175966146888E-3</v>
      </c>
      <c r="K9" s="196">
        <f>[44]Ecarts_masses_tousrégimes!K58</f>
        <v>6.3795834568201037E-3</v>
      </c>
      <c r="L9" s="196">
        <f>[44]Ecarts_masses_tousrégimes!L58</f>
        <v>7.2243769937754276E-3</v>
      </c>
      <c r="M9" s="196">
        <f>[44]Ecarts_masses_tousrégimes!M58</f>
        <v>8.069213346460824E-3</v>
      </c>
      <c r="N9" s="196">
        <f>[44]Ecarts_masses_tousrégimes!N58</f>
        <v>8.8480506188661767E-3</v>
      </c>
      <c r="O9" s="196">
        <f>[44]Ecarts_masses_tousrégimes!O58</f>
        <v>9.6307445888748067E-3</v>
      </c>
      <c r="P9" s="196">
        <f>[44]Ecarts_masses_tousrégimes!P58</f>
        <v>1.0391085641092701E-2</v>
      </c>
      <c r="Q9" s="196">
        <f>[44]Ecarts_masses_tousrégimes!Q58</f>
        <v>1.1080770889517311E-2</v>
      </c>
      <c r="R9" s="196">
        <f>[44]Ecarts_masses_tousrégimes!R58</f>
        <v>1.1630224307879633E-2</v>
      </c>
      <c r="S9" s="196">
        <f>[44]Ecarts_masses_tousrégimes!S58</f>
        <v>1.2143049455118016E-2</v>
      </c>
      <c r="T9" s="196">
        <f>[44]Ecarts_masses_tousrégimes!T58</f>
        <v>1.2626644135390386E-2</v>
      </c>
      <c r="U9" s="196">
        <f>[44]Ecarts_masses_tousrégimes!U58</f>
        <v>1.3174739137840508E-2</v>
      </c>
      <c r="V9" s="196">
        <f>[44]Ecarts_masses_tousrégimes!V58</f>
        <v>1.3659523542012719E-2</v>
      </c>
      <c r="W9" s="196">
        <f>[44]Ecarts_masses_tousrégimes!W58</f>
        <v>1.4140308208402397E-2</v>
      </c>
      <c r="X9" s="196">
        <f>[44]Ecarts_masses_tousrégimes!X58</f>
        <v>1.4559983069504678E-2</v>
      </c>
      <c r="Y9" s="196">
        <f>[44]Ecarts_masses_tousrégimes!Y58</f>
        <v>1.4955617243620711E-2</v>
      </c>
      <c r="Z9" s="196">
        <f>[44]Ecarts_masses_tousrégimes!Z58</f>
        <v>1.5361163390408272E-2</v>
      </c>
      <c r="AA9" s="196">
        <f>[44]Ecarts_masses_tousrégimes!AA58</f>
        <v>1.5632114359342086E-2</v>
      </c>
      <c r="AB9" s="196">
        <f>[44]Ecarts_masses_tousrégimes!AB58</f>
        <v>1.5888374596871868E-2</v>
      </c>
      <c r="AC9" s="196">
        <f>[44]Ecarts_masses_tousrégimes!AC58</f>
        <v>1.6126404103455672E-2</v>
      </c>
      <c r="AD9" s="196">
        <f>[44]Ecarts_masses_tousrégimes!AD58</f>
        <v>1.6471850610843886E-2</v>
      </c>
      <c r="AE9" s="196">
        <f>[44]Ecarts_masses_tousrégimes!AE58</f>
        <v>1.6677726734728671E-2</v>
      </c>
      <c r="AF9" s="196">
        <f>[44]Ecarts_masses_tousrégimes!AF58</f>
        <v>1.6734293055761906E-2</v>
      </c>
      <c r="AG9" s="196">
        <f>[44]Ecarts_masses_tousrégimes!AG58</f>
        <v>1.6774963854087721E-2</v>
      </c>
      <c r="AH9" s="196">
        <f>[44]Ecarts_masses_tousrégimes!AH58</f>
        <v>1.7142868735764205E-2</v>
      </c>
      <c r="AI9" s="196">
        <f>[44]Ecarts_masses_tousrégimes!AI58</f>
        <v>1.7166391560989425E-2</v>
      </c>
      <c r="AJ9" s="196">
        <f>[44]Ecarts_masses_tousrégimes!AJ58</f>
        <v>1.7165093779318852E-2</v>
      </c>
      <c r="AK9" s="196">
        <f>[44]Ecarts_masses_tousrégimes!AK58</f>
        <v>1.6922454327039871E-2</v>
      </c>
      <c r="AL9" s="196">
        <f>[44]Ecarts_masses_tousrégimes!AL58</f>
        <v>1.6964074376966121E-2</v>
      </c>
      <c r="AM9" s="196">
        <f>[44]Ecarts_masses_tousrégimes!AM58</f>
        <v>1.7080181991735888E-2</v>
      </c>
      <c r="AN9" s="196">
        <f>[44]Ecarts_masses_tousrégimes!AN58</f>
        <v>1.695558664300556E-2</v>
      </c>
      <c r="AO9" s="196">
        <f>[44]Ecarts_masses_tousrégimes!AO58</f>
        <v>1.6864152975570423E-2</v>
      </c>
      <c r="AP9" s="196">
        <f>[44]Ecarts_masses_tousrégimes!AP58</f>
        <v>1.6754842666756975E-2</v>
      </c>
      <c r="AQ9" s="196">
        <f>[44]Ecarts_masses_tousrégimes!AQ58</f>
        <v>1.6547064098475284E-2</v>
      </c>
      <c r="AR9" s="196">
        <f>[44]Ecarts_masses_tousrégimes!AR58</f>
        <v>1.6205479204663975E-2</v>
      </c>
      <c r="AS9" s="196">
        <f>[44]Ecarts_masses_tousrégimes!AS58</f>
        <v>1.6032271172311763E-2</v>
      </c>
      <c r="AT9" s="196">
        <f>[44]Ecarts_masses_tousrégimes!AT58</f>
        <v>1.61817842193126E-2</v>
      </c>
      <c r="AU9" s="196">
        <f>[44]Ecarts_masses_tousrégimes!AU58</f>
        <v>1.6177633976390826E-2</v>
      </c>
      <c r="AV9" s="208">
        <f>[44]Ecarts_masses_tousrégimes!AV58</f>
        <v>1.5977695214570486E-2</v>
      </c>
    </row>
    <row r="10" spans="1:48">
      <c r="B10" s="299"/>
      <c r="C10" s="202" t="s">
        <v>54</v>
      </c>
      <c r="D10" s="207">
        <f>[44]Ecarts_masses_tousrégimes!D59</f>
        <v>9.3890823458231409E-6</v>
      </c>
      <c r="E10" s="196">
        <f>[44]Ecarts_masses_tousrégimes!E59</f>
        <v>6.7394684069022048E-6</v>
      </c>
      <c r="F10" s="196">
        <f>[44]Ecarts_masses_tousrégimes!F59</f>
        <v>-2.9015744200111548E-5</v>
      </c>
      <c r="G10" s="196">
        <f>[44]Ecarts_masses_tousrégimes!G59</f>
        <v>-6.3414288179797218E-5</v>
      </c>
      <c r="H10" s="196">
        <f>[44]Ecarts_masses_tousrégimes!H59</f>
        <v>-9.4754035374178258E-5</v>
      </c>
      <c r="I10" s="196">
        <f>[44]Ecarts_masses_tousrégimes!I59</f>
        <v>-1.1711349805898497E-4</v>
      </c>
      <c r="J10" s="196">
        <f>[44]Ecarts_masses_tousrégimes!J59</f>
        <v>-1.2510788470032619E-4</v>
      </c>
      <c r="K10" s="196">
        <f>[44]Ecarts_masses_tousrégimes!K59</f>
        <v>-1.1881711332051292E-4</v>
      </c>
      <c r="L10" s="196">
        <f>[44]Ecarts_masses_tousrégimes!L59</f>
        <v>-8.9830860657613698E-5</v>
      </c>
      <c r="M10" s="196">
        <f>[44]Ecarts_masses_tousrégimes!M59</f>
        <v>-5.0953554369570497E-5</v>
      </c>
      <c r="N10" s="196">
        <f>[44]Ecarts_masses_tousrégimes!N59</f>
        <v>-2.3160920333276103E-5</v>
      </c>
      <c r="O10" s="196">
        <f>[44]Ecarts_masses_tousrégimes!O59</f>
        <v>2.1791519922764735E-5</v>
      </c>
      <c r="P10" s="196">
        <f>[44]Ecarts_masses_tousrégimes!P59</f>
        <v>3.7256145246411521E-5</v>
      </c>
      <c r="Q10" s="196">
        <f>[44]Ecarts_masses_tousrégimes!Q59</f>
        <v>8.4443336214157227E-5</v>
      </c>
      <c r="R10" s="196">
        <f>[44]Ecarts_masses_tousrégimes!R59</f>
        <v>1.4194587008420356E-4</v>
      </c>
      <c r="S10" s="196">
        <f>[44]Ecarts_masses_tousrégimes!S59</f>
        <v>2.0040126200249198E-4</v>
      </c>
      <c r="T10" s="196">
        <f>[44]Ecarts_masses_tousrégimes!T59</f>
        <v>2.6432456828540118E-4</v>
      </c>
      <c r="U10" s="196">
        <f>[44]Ecarts_masses_tousrégimes!U59</f>
        <v>2.8806045138662917E-4</v>
      </c>
      <c r="V10" s="196">
        <f>[44]Ecarts_masses_tousrégimes!V59</f>
        <v>3.8821584554882271E-4</v>
      </c>
      <c r="W10" s="196">
        <f>[44]Ecarts_masses_tousrégimes!W59</f>
        <v>4.8670081647195218E-4</v>
      </c>
      <c r="X10" s="196">
        <f>[44]Ecarts_masses_tousrégimes!X59</f>
        <v>5.8045872761458561E-4</v>
      </c>
      <c r="Y10" s="196">
        <f>[44]Ecarts_masses_tousrégimes!Y59</f>
        <v>7.3661965384541617E-4</v>
      </c>
      <c r="Z10" s="196">
        <f>[44]Ecarts_masses_tousrégimes!Z59</f>
        <v>8.8576932242245832E-4</v>
      </c>
      <c r="AA10" s="196">
        <f>[44]Ecarts_masses_tousrégimes!AA59</f>
        <v>1.0898901059246402E-3</v>
      </c>
      <c r="AB10" s="196">
        <f>[44]Ecarts_masses_tousrégimes!AB59</f>
        <v>1.3685925019697454E-3</v>
      </c>
      <c r="AC10" s="196">
        <f>[44]Ecarts_masses_tousrégimes!AC59</f>
        <v>1.6385763326978164E-3</v>
      </c>
      <c r="AD10" s="196">
        <f>[44]Ecarts_masses_tousrégimes!AD59</f>
        <v>2.0117789442610778E-3</v>
      </c>
      <c r="AE10" s="196">
        <f>[44]Ecarts_masses_tousrégimes!AE59</f>
        <v>2.3716216590556893E-3</v>
      </c>
      <c r="AF10" s="196">
        <f>[44]Ecarts_masses_tousrégimes!AF59</f>
        <v>2.7895340017241033E-3</v>
      </c>
      <c r="AG10" s="196">
        <f>[44]Ecarts_masses_tousrégimes!AG59</f>
        <v>3.0831194607046086E-3</v>
      </c>
      <c r="AH10" s="196">
        <f>[44]Ecarts_masses_tousrégimes!AH59</f>
        <v>3.4992384123886389E-3</v>
      </c>
      <c r="AI10" s="196">
        <f>[44]Ecarts_masses_tousrégimes!AI59</f>
        <v>4.167389463925808E-3</v>
      </c>
      <c r="AJ10" s="196">
        <f>[44]Ecarts_masses_tousrégimes!AJ59</f>
        <v>4.8040742494157573E-3</v>
      </c>
      <c r="AK10" s="196">
        <f>[44]Ecarts_masses_tousrégimes!AK59</f>
        <v>5.4646106972153774E-3</v>
      </c>
      <c r="AL10" s="196">
        <f>[44]Ecarts_masses_tousrégimes!AL59</f>
        <v>6.1886430566628903E-3</v>
      </c>
      <c r="AM10" s="196">
        <f>[44]Ecarts_masses_tousrégimes!AM59</f>
        <v>6.8675757003822113E-3</v>
      </c>
      <c r="AN10" s="196">
        <f>[44]Ecarts_masses_tousrégimes!AN59</f>
        <v>7.7164312782329603E-3</v>
      </c>
      <c r="AO10" s="196">
        <f>[44]Ecarts_masses_tousrégimes!AO59</f>
        <v>8.6820686879418574E-3</v>
      </c>
      <c r="AP10" s="196">
        <f>[44]Ecarts_masses_tousrégimes!AP59</f>
        <v>9.6796454364913576E-3</v>
      </c>
      <c r="AQ10" s="196">
        <f>[44]Ecarts_masses_tousrégimes!AQ59</f>
        <v>1.0899526361455525E-2</v>
      </c>
      <c r="AR10" s="196">
        <f>[44]Ecarts_masses_tousrégimes!AR59</f>
        <v>1.1946304082794956E-2</v>
      </c>
      <c r="AS10" s="196">
        <f>[44]Ecarts_masses_tousrégimes!AS59</f>
        <v>1.3186475476243631E-2</v>
      </c>
      <c r="AT10" s="196">
        <f>[44]Ecarts_masses_tousrégimes!AT59</f>
        <v>1.4349825088188384E-2</v>
      </c>
      <c r="AU10" s="196">
        <f>[44]Ecarts_masses_tousrégimes!AU59</f>
        <v>1.5711799991805275E-2</v>
      </c>
      <c r="AV10" s="208">
        <f>[44]Ecarts_masses_tousrégimes!AV59</f>
        <v>1.6875081866423614E-2</v>
      </c>
    </row>
    <row r="11" spans="1:48">
      <c r="B11" s="299"/>
      <c r="C11" s="202" t="s">
        <v>45</v>
      </c>
      <c r="D11" s="207">
        <f>[44]Ecarts_masses_tousrégimes!D60</f>
        <v>-4.4764782841022477E-4</v>
      </c>
      <c r="E11" s="196">
        <f>[44]Ecarts_masses_tousrégimes!E60</f>
        <v>-8.2602269199294476E-4</v>
      </c>
      <c r="F11" s="196">
        <f>[44]Ecarts_masses_tousrégimes!F60</f>
        <v>-1.1907937749463526E-3</v>
      </c>
      <c r="G11" s="196">
        <f>[44]Ecarts_masses_tousrégimes!G60</f>
        <v>-1.678960535301588E-3</v>
      </c>
      <c r="H11" s="196">
        <f>[44]Ecarts_masses_tousrégimes!H60</f>
        <v>-2.2422162753731323E-3</v>
      </c>
      <c r="I11" s="196">
        <f>[44]Ecarts_masses_tousrégimes!I60</f>
        <v>-2.6602643814271909E-3</v>
      </c>
      <c r="J11" s="196">
        <f>[44]Ecarts_masses_tousrégimes!J60</f>
        <v>-2.9797853055065771E-3</v>
      </c>
      <c r="K11" s="196">
        <f>[44]Ecarts_masses_tousrégimes!K60</f>
        <v>-3.3151914956131012E-3</v>
      </c>
      <c r="L11" s="196">
        <f>[44]Ecarts_masses_tousrégimes!L60</f>
        <v>-3.6979463451231043E-3</v>
      </c>
      <c r="M11" s="196">
        <f>[44]Ecarts_masses_tousrégimes!M60</f>
        <v>-4.189632716270042E-3</v>
      </c>
      <c r="N11" s="196">
        <f>[44]Ecarts_masses_tousrégimes!N60</f>
        <v>-4.6301490407685275E-3</v>
      </c>
      <c r="O11" s="196">
        <f>[44]Ecarts_masses_tousrégimes!O60</f>
        <v>-5.0639764548451316E-3</v>
      </c>
      <c r="P11" s="196">
        <f>[44]Ecarts_masses_tousrégimes!P60</f>
        <v>-5.4507268519142782E-3</v>
      </c>
      <c r="Q11" s="196">
        <f>[44]Ecarts_masses_tousrégimes!Q60</f>
        <v>-5.8895841146953121E-3</v>
      </c>
      <c r="R11" s="196">
        <f>[44]Ecarts_masses_tousrégimes!R60</f>
        <v>-6.2895088683567746E-3</v>
      </c>
      <c r="S11" s="196">
        <f>[44]Ecarts_masses_tousrégimes!S60</f>
        <v>-6.6120609383443218E-3</v>
      </c>
      <c r="T11" s="196">
        <f>[44]Ecarts_masses_tousrégimes!T60</f>
        <v>-6.989545822204013E-3</v>
      </c>
      <c r="U11" s="196">
        <f>[44]Ecarts_masses_tousrégimes!U60</f>
        <v>-7.352497585959461E-3</v>
      </c>
      <c r="V11" s="196">
        <f>[44]Ecarts_masses_tousrégimes!V60</f>
        <v>-7.7610302562391986E-3</v>
      </c>
      <c r="W11" s="196">
        <f>[44]Ecarts_masses_tousrégimes!W60</f>
        <v>-8.0582066135033159E-3</v>
      </c>
      <c r="X11" s="196">
        <f>[44]Ecarts_masses_tousrégimes!X60</f>
        <v>-8.2358080817614976E-3</v>
      </c>
      <c r="Y11" s="196">
        <f>[44]Ecarts_masses_tousrégimes!Y60</f>
        <v>-8.5133309413381042E-3</v>
      </c>
      <c r="Z11" s="196">
        <f>[44]Ecarts_masses_tousrégimes!Z60</f>
        <v>-8.7090178331669099E-3</v>
      </c>
      <c r="AA11" s="196">
        <f>[44]Ecarts_masses_tousrégimes!AA60</f>
        <v>-8.8398374176732464E-3</v>
      </c>
      <c r="AB11" s="196">
        <f>[44]Ecarts_masses_tousrégimes!AB60</f>
        <v>-9.0396313722743704E-3</v>
      </c>
      <c r="AC11" s="196">
        <f>[44]Ecarts_masses_tousrégimes!AC60</f>
        <v>-9.2376370362167171E-3</v>
      </c>
      <c r="AD11" s="196">
        <f>[44]Ecarts_masses_tousrégimes!AD60</f>
        <v>-9.3204751005930842E-3</v>
      </c>
      <c r="AE11" s="196">
        <f>[44]Ecarts_masses_tousrégimes!AE60</f>
        <v>-9.3052189004865227E-3</v>
      </c>
      <c r="AF11" s="196">
        <f>[44]Ecarts_masses_tousrégimes!AF60</f>
        <v>-9.3363730726985228E-3</v>
      </c>
      <c r="AG11" s="196">
        <f>[44]Ecarts_masses_tousrégimes!AG60</f>
        <v>-9.3061639077973712E-3</v>
      </c>
      <c r="AH11" s="196">
        <f>[44]Ecarts_masses_tousrégimes!AH60</f>
        <v>-9.1844489763615034E-3</v>
      </c>
      <c r="AI11" s="196">
        <f>[44]Ecarts_masses_tousrégimes!AI60</f>
        <v>-9.1566992130726055E-3</v>
      </c>
      <c r="AJ11" s="196">
        <f>[44]Ecarts_masses_tousrégimes!AJ60</f>
        <v>-9.0346753628444132E-3</v>
      </c>
      <c r="AK11" s="196">
        <f>[44]Ecarts_masses_tousrégimes!AK60</f>
        <v>-9.0482994833626096E-3</v>
      </c>
      <c r="AL11" s="196">
        <f>[44]Ecarts_masses_tousrégimes!AL60</f>
        <v>-8.909053832315772E-3</v>
      </c>
      <c r="AM11" s="196">
        <f>[44]Ecarts_masses_tousrégimes!AM60</f>
        <v>-8.8639869205821009E-3</v>
      </c>
      <c r="AN11" s="196">
        <f>[44]Ecarts_masses_tousrégimes!AN60</f>
        <v>-8.6121993295980026E-3</v>
      </c>
      <c r="AO11" s="196">
        <f>[44]Ecarts_masses_tousrégimes!AO60</f>
        <v>-8.5021417403082777E-3</v>
      </c>
      <c r="AP11" s="196">
        <f>[44]Ecarts_masses_tousrégimes!AP60</f>
        <v>-8.3422249671101234E-3</v>
      </c>
      <c r="AQ11" s="196">
        <f>[44]Ecarts_masses_tousrégimes!AQ60</f>
        <v>-8.2987733248681694E-3</v>
      </c>
      <c r="AR11" s="196">
        <f>[44]Ecarts_masses_tousrégimes!AR60</f>
        <v>-8.2133637987904518E-3</v>
      </c>
      <c r="AS11" s="196">
        <f>[44]Ecarts_masses_tousrégimes!AS60</f>
        <v>-8.1221837970150146E-3</v>
      </c>
      <c r="AT11" s="196">
        <f>[44]Ecarts_masses_tousrégimes!AT60</f>
        <v>-7.9887803265052959E-3</v>
      </c>
      <c r="AU11" s="196">
        <f>[44]Ecarts_masses_tousrégimes!AU60</f>
        <v>-7.7449701430790663E-3</v>
      </c>
      <c r="AV11" s="208">
        <f>[44]Ecarts_masses_tousrégimes!AV60</f>
        <v>-7.3913208696324562E-3</v>
      </c>
    </row>
    <row r="12" spans="1:48">
      <c r="B12" s="299"/>
      <c r="C12" s="202" t="s">
        <v>46</v>
      </c>
      <c r="D12" s="207">
        <f>[44]Ecarts_masses_tousrégimes!D61</f>
        <v>2.2779662006322532E-4</v>
      </c>
      <c r="E12" s="196">
        <f>[44]Ecarts_masses_tousrégimes!E61</f>
        <v>4.7822301056643646E-4</v>
      </c>
      <c r="F12" s="196">
        <f>[44]Ecarts_masses_tousrégimes!F61</f>
        <v>6.5649620214025539E-4</v>
      </c>
      <c r="G12" s="196">
        <f>[44]Ecarts_masses_tousrégimes!G61</f>
        <v>7.717383656034027E-4</v>
      </c>
      <c r="H12" s="196">
        <f>[44]Ecarts_masses_tousrégimes!H61</f>
        <v>9.6158616161345911E-4</v>
      </c>
      <c r="I12" s="196">
        <f>[44]Ecarts_masses_tousrégimes!I61</f>
        <v>1.1270259585209885E-3</v>
      </c>
      <c r="J12" s="196">
        <f>[44]Ecarts_masses_tousrégimes!J61</f>
        <v>1.2425245874334578E-3</v>
      </c>
      <c r="K12" s="196">
        <f>[44]Ecarts_masses_tousrégimes!K61</f>
        <v>1.4686549761744327E-3</v>
      </c>
      <c r="L12" s="196">
        <f>[44]Ecarts_masses_tousrégimes!L61</f>
        <v>1.762138709935579E-3</v>
      </c>
      <c r="M12" s="196">
        <f>[44]Ecarts_masses_tousrégimes!M61</f>
        <v>1.9315428265129775E-3</v>
      </c>
      <c r="N12" s="196">
        <f>[44]Ecarts_masses_tousrégimes!N61</f>
        <v>2.1609501152626276E-3</v>
      </c>
      <c r="O12" s="196">
        <f>[44]Ecarts_masses_tousrégimes!O61</f>
        <v>2.5486637216953767E-3</v>
      </c>
      <c r="P12" s="196">
        <f>[44]Ecarts_masses_tousrégimes!P61</f>
        <v>2.8679514841956077E-3</v>
      </c>
      <c r="Q12" s="196">
        <f>[44]Ecarts_masses_tousrégimes!Q61</f>
        <v>3.2374547487410421E-3</v>
      </c>
      <c r="R12" s="196">
        <f>[44]Ecarts_masses_tousrégimes!R61</f>
        <v>3.5884705695716779E-3</v>
      </c>
      <c r="S12" s="196">
        <f>[44]Ecarts_masses_tousrégimes!S61</f>
        <v>3.8797614473506936E-3</v>
      </c>
      <c r="T12" s="196">
        <f>[44]Ecarts_masses_tousrégimes!T61</f>
        <v>4.1180612881095424E-3</v>
      </c>
      <c r="U12" s="196">
        <f>[44]Ecarts_masses_tousrégimes!U61</f>
        <v>4.4210663219002022E-3</v>
      </c>
      <c r="V12" s="196">
        <f>[44]Ecarts_masses_tousrégimes!V61</f>
        <v>4.6682026480944216E-3</v>
      </c>
      <c r="W12" s="196">
        <f>[44]Ecarts_masses_tousrégimes!W61</f>
        <v>5.0114181965468241E-3</v>
      </c>
      <c r="X12" s="196">
        <f>[44]Ecarts_masses_tousrégimes!X61</f>
        <v>5.3104599189792712E-3</v>
      </c>
      <c r="Y12" s="196">
        <f>[44]Ecarts_masses_tousrégimes!Y61</f>
        <v>5.7338625608578386E-3</v>
      </c>
      <c r="Z12" s="196">
        <f>[44]Ecarts_masses_tousrégimes!Z61</f>
        <v>5.8614668546377313E-3</v>
      </c>
      <c r="AA12" s="196">
        <f>[44]Ecarts_masses_tousrégimes!AA61</f>
        <v>5.9710608312320002E-3</v>
      </c>
      <c r="AB12" s="196">
        <f>[44]Ecarts_masses_tousrégimes!AB61</f>
        <v>6.3364469933056E-3</v>
      </c>
      <c r="AC12" s="196">
        <f>[44]Ecarts_masses_tousrégimes!AC61</f>
        <v>6.5983789282433314E-3</v>
      </c>
      <c r="AD12" s="196">
        <f>[44]Ecarts_masses_tousrégimes!AD61</f>
        <v>6.6490993607910553E-3</v>
      </c>
      <c r="AE12" s="196">
        <f>[44]Ecarts_masses_tousrégimes!AE61</f>
        <v>6.8971647498505817E-3</v>
      </c>
      <c r="AF12" s="196">
        <f>[44]Ecarts_masses_tousrégimes!AF61</f>
        <v>7.0580962008599535E-3</v>
      </c>
      <c r="AG12" s="196">
        <f>[44]Ecarts_masses_tousrégimes!AG61</f>
        <v>7.0877643924684985E-3</v>
      </c>
      <c r="AH12" s="196">
        <f>[44]Ecarts_masses_tousrégimes!AH61</f>
        <v>7.5104881350775976E-3</v>
      </c>
      <c r="AI12" s="196">
        <f>[44]Ecarts_masses_tousrégimes!AI61</f>
        <v>7.5721434807736188E-3</v>
      </c>
      <c r="AJ12" s="196">
        <f>[44]Ecarts_masses_tousrégimes!AJ61</f>
        <v>7.6696094800536851E-3</v>
      </c>
      <c r="AK12" s="196">
        <f>[44]Ecarts_masses_tousrégimes!AK61</f>
        <v>7.7528521677436846E-3</v>
      </c>
      <c r="AL12" s="196">
        <f>[44]Ecarts_masses_tousrégimes!AL61</f>
        <v>8.0176729951155767E-3</v>
      </c>
      <c r="AM12" s="196">
        <f>[44]Ecarts_masses_tousrégimes!AM61</f>
        <v>8.2754439820340586E-3</v>
      </c>
      <c r="AN12" s="196">
        <f>[44]Ecarts_masses_tousrégimes!AN61</f>
        <v>8.3333748428089383E-3</v>
      </c>
      <c r="AO12" s="196">
        <f>[44]Ecarts_masses_tousrégimes!AO61</f>
        <v>8.4515036039651825E-3</v>
      </c>
      <c r="AP12" s="196">
        <f>[44]Ecarts_masses_tousrégimes!AP61</f>
        <v>8.1993789367065251E-3</v>
      </c>
      <c r="AQ12" s="196">
        <f>[44]Ecarts_masses_tousrégimes!AQ61</f>
        <v>8.2037651409907486E-3</v>
      </c>
      <c r="AR12" s="196">
        <f>[44]Ecarts_masses_tousrégimes!AR61</f>
        <v>8.5786589507070854E-3</v>
      </c>
      <c r="AS12" s="196">
        <f>[44]Ecarts_masses_tousrégimes!AS61</f>
        <v>8.7307625962456115E-3</v>
      </c>
      <c r="AT12" s="196">
        <f>[44]Ecarts_masses_tousrégimes!AT61</f>
        <v>8.9108456510500478E-3</v>
      </c>
      <c r="AU12" s="196">
        <f>[44]Ecarts_masses_tousrégimes!AU61</f>
        <v>9.0512036352397018E-3</v>
      </c>
      <c r="AV12" s="208">
        <f>[44]Ecarts_masses_tousrégimes!AV61</f>
        <v>9.0437273655317174E-3</v>
      </c>
    </row>
    <row r="13" spans="1:48" ht="15" thickBot="1">
      <c r="B13" s="299"/>
      <c r="C13" s="202" t="s">
        <v>55</v>
      </c>
      <c r="D13" s="207">
        <f>[44]Ecarts_masses_tousrégimes!D62</f>
        <v>-4.3907889396788136E-5</v>
      </c>
      <c r="E13" s="196">
        <f>[44]Ecarts_masses_tousrégimes!E62</f>
        <v>-1.28656672049976E-4</v>
      </c>
      <c r="F13" s="196">
        <f>[44]Ecarts_masses_tousrégimes!F62</f>
        <v>-2.0034251153711047E-4</v>
      </c>
      <c r="G13" s="196">
        <f>[44]Ecarts_masses_tousrégimes!G62</f>
        <v>-3.2270564666325718E-4</v>
      </c>
      <c r="H13" s="196">
        <f>[44]Ecarts_masses_tousrégimes!H62</f>
        <v>-4.185491791612872E-4</v>
      </c>
      <c r="I13" s="196">
        <f>[44]Ecarts_masses_tousrégimes!I62</f>
        <v>-5.0874436800307787E-4</v>
      </c>
      <c r="J13" s="196">
        <f>[44]Ecarts_masses_tousrégimes!J62</f>
        <v>-6.2059526563151834E-4</v>
      </c>
      <c r="K13" s="196">
        <f>[44]Ecarts_masses_tousrégimes!K62</f>
        <v>-7.092691098687931E-4</v>
      </c>
      <c r="L13" s="196">
        <f>[44]Ecarts_masses_tousrégimes!L62</f>
        <v>-7.9220035412164158E-4</v>
      </c>
      <c r="M13" s="196">
        <f>[44]Ecarts_masses_tousrégimes!M62</f>
        <v>-9.1219503517192546E-4</v>
      </c>
      <c r="N13" s="196">
        <f>[44]Ecarts_masses_tousrégimes!N62</f>
        <v>-1.0732607120543802E-3</v>
      </c>
      <c r="O13" s="196">
        <f>[44]Ecarts_masses_tousrégimes!O62</f>
        <v>-1.2005274990727344E-3</v>
      </c>
      <c r="P13" s="196">
        <f>[44]Ecarts_masses_tousrégimes!P62</f>
        <v>-1.2656040755161246E-3</v>
      </c>
      <c r="Q13" s="196">
        <f>[44]Ecarts_masses_tousrégimes!Q62</f>
        <v>-1.4441173129483564E-3</v>
      </c>
      <c r="R13" s="196">
        <f>[44]Ecarts_masses_tousrégimes!R62</f>
        <v>-1.6182295073546848E-3</v>
      </c>
      <c r="S13" s="196">
        <f>[44]Ecarts_masses_tousrégimes!S62</f>
        <v>-1.6563768106900856E-3</v>
      </c>
      <c r="T13" s="196">
        <f>[44]Ecarts_masses_tousrégimes!T62</f>
        <v>-1.7354567611378435E-3</v>
      </c>
      <c r="U13" s="196">
        <f>[44]Ecarts_masses_tousrégimes!U62</f>
        <v>-1.7576312215045187E-3</v>
      </c>
      <c r="V13" s="196">
        <f>[44]Ecarts_masses_tousrégimes!V62</f>
        <v>-1.8409119901049431E-3</v>
      </c>
      <c r="W13" s="196">
        <f>[44]Ecarts_masses_tousrégimes!W62</f>
        <v>-1.8931662307617447E-3</v>
      </c>
      <c r="X13" s="196">
        <f>[44]Ecarts_masses_tousrégimes!X62</f>
        <v>-1.928777966777373E-3</v>
      </c>
      <c r="Y13" s="196">
        <f>[44]Ecarts_masses_tousrégimes!Y62</f>
        <v>-1.9190216883774314E-3</v>
      </c>
      <c r="Z13" s="196">
        <f>[44]Ecarts_masses_tousrégimes!Z62</f>
        <v>-1.9616295097122372E-3</v>
      </c>
      <c r="AA13" s="196">
        <f>[44]Ecarts_masses_tousrégimes!AA62</f>
        <v>-1.9598197672570095E-3</v>
      </c>
      <c r="AB13" s="196">
        <f>[44]Ecarts_masses_tousrégimes!AB62</f>
        <v>-2.0668872901746793E-3</v>
      </c>
      <c r="AC13" s="196">
        <f>[44]Ecarts_masses_tousrégimes!AC62</f>
        <v>-2.0703761342850679E-3</v>
      </c>
      <c r="AD13" s="196">
        <f>[44]Ecarts_masses_tousrégimes!AD62</f>
        <v>-2.294561427253039E-3</v>
      </c>
      <c r="AE13" s="196">
        <f>[44]Ecarts_masses_tousrégimes!AE62</f>
        <v>-2.270335314662475E-3</v>
      </c>
      <c r="AF13" s="196">
        <f>[44]Ecarts_masses_tousrégimes!AF62</f>
        <v>-2.2985899564442747E-3</v>
      </c>
      <c r="AG13" s="196">
        <f>[44]Ecarts_masses_tousrégimes!AG62</f>
        <v>-2.3105798852649517E-3</v>
      </c>
      <c r="AH13" s="196">
        <f>[44]Ecarts_masses_tousrégimes!AH62</f>
        <v>-2.3281742301234365E-3</v>
      </c>
      <c r="AI13" s="196">
        <f>[44]Ecarts_masses_tousrégimes!AI62</f>
        <v>-2.2678195732912521E-3</v>
      </c>
      <c r="AJ13" s="196">
        <f>[44]Ecarts_masses_tousrégimes!AJ62</f>
        <v>-2.1126790321104316E-3</v>
      </c>
      <c r="AK13" s="196">
        <f>[44]Ecarts_masses_tousrégimes!AK62</f>
        <v>-1.6617844434304585E-3</v>
      </c>
      <c r="AL13" s="196">
        <f>[44]Ecarts_masses_tousrégimes!AL62</f>
        <v>-1.787613512081454E-3</v>
      </c>
      <c r="AM13" s="196">
        <f>[44]Ecarts_masses_tousrégimes!AM62</f>
        <v>-1.6328389957231959E-3</v>
      </c>
      <c r="AN13" s="196">
        <f>[44]Ecarts_masses_tousrégimes!AN62</f>
        <v>-1.6923813423118661E-3</v>
      </c>
      <c r="AO13" s="196">
        <f>[44]Ecarts_masses_tousrégimes!AO62</f>
        <v>-1.6028856395184921E-3</v>
      </c>
      <c r="AP13" s="196">
        <f>[44]Ecarts_masses_tousrégimes!AP62</f>
        <v>-1.2947846563007293E-3</v>
      </c>
      <c r="AQ13" s="196">
        <f>[44]Ecarts_masses_tousrégimes!AQ62</f>
        <v>-1.2234153522873159E-3</v>
      </c>
      <c r="AR13" s="196">
        <f>[44]Ecarts_masses_tousrégimes!AR62</f>
        <v>-1.5193424442304648E-3</v>
      </c>
      <c r="AS13" s="196">
        <f>[44]Ecarts_masses_tousrégimes!AS62</f>
        <v>-1.4601810180614461E-3</v>
      </c>
      <c r="AT13" s="196">
        <f>[44]Ecarts_masses_tousrégimes!AT62</f>
        <v>-1.3539221390245215E-3</v>
      </c>
      <c r="AU13" s="196">
        <f>[44]Ecarts_masses_tousrégimes!AU62</f>
        <v>-1.096296999263946E-3</v>
      </c>
      <c r="AV13" s="208">
        <f>[44]Ecarts_masses_tousrégimes!AV62</f>
        <v>-1.196795320494437E-3</v>
      </c>
    </row>
    <row r="14" spans="1:48" ht="14.25" customHeight="1">
      <c r="B14" s="298" t="s">
        <v>50</v>
      </c>
      <c r="C14" s="201" t="s">
        <v>6</v>
      </c>
      <c r="D14" s="204">
        <f>[46]Ecarts_masses_tousrégimes!D54</f>
        <v>3.0578163156391724E-4</v>
      </c>
      <c r="E14" s="205">
        <f>[46]Ecarts_masses_tousrégimes!E54</f>
        <v>7.1927604689636659E-4</v>
      </c>
      <c r="F14" s="205">
        <f>[46]Ecarts_masses_tousrégimes!F54</f>
        <v>1.0563808433010635E-3</v>
      </c>
      <c r="G14" s="205">
        <f>[46]Ecarts_masses_tousrégimes!G54</f>
        <v>1.3416941605666199E-3</v>
      </c>
      <c r="H14" s="205">
        <f>[46]Ecarts_masses_tousrégimes!H54</f>
        <v>1.5897075515718395E-3</v>
      </c>
      <c r="I14" s="205">
        <f>[46]Ecarts_masses_tousrégimes!I54</f>
        <v>1.8364031914905876E-3</v>
      </c>
      <c r="J14" s="205">
        <f>[46]Ecarts_masses_tousrégimes!J54</f>
        <v>2.0886967567359527E-3</v>
      </c>
      <c r="K14" s="205">
        <f>[46]Ecarts_masses_tousrégimes!K54</f>
        <v>2.4067410397154987E-3</v>
      </c>
      <c r="L14" s="205">
        <f>[46]Ecarts_masses_tousrégimes!L54</f>
        <v>2.7354338223906094E-3</v>
      </c>
      <c r="M14" s="205">
        <f>[46]Ecarts_masses_tousrégimes!M54</f>
        <v>3.0910387620970425E-3</v>
      </c>
      <c r="N14" s="205">
        <f>[46]Ecarts_masses_tousrégimes!N54</f>
        <v>3.4401827188892398E-3</v>
      </c>
      <c r="O14" s="205">
        <f>[46]Ecarts_masses_tousrégimes!O54</f>
        <v>3.7987634636493794E-3</v>
      </c>
      <c r="P14" s="205">
        <f>[46]Ecarts_masses_tousrégimes!P54</f>
        <v>4.1377960572310801E-3</v>
      </c>
      <c r="Q14" s="205">
        <f>[46]Ecarts_masses_tousrégimes!Q54</f>
        <v>4.4590217094153672E-3</v>
      </c>
      <c r="R14" s="205">
        <f>[46]Ecarts_masses_tousrégimes!R54</f>
        <v>4.7749359735678176E-3</v>
      </c>
      <c r="S14" s="205">
        <f>[46]Ecarts_masses_tousrégimes!S54</f>
        <v>5.1144660853930102E-3</v>
      </c>
      <c r="T14" s="205">
        <f>[46]Ecarts_masses_tousrégimes!T54</f>
        <v>5.4219098881274075E-3</v>
      </c>
      <c r="U14" s="205">
        <f>[46]Ecarts_masses_tousrégimes!U54</f>
        <v>5.7178042747061397E-3</v>
      </c>
      <c r="V14" s="205">
        <f>[46]Ecarts_masses_tousrégimes!V54</f>
        <v>6.0188312079534345E-3</v>
      </c>
      <c r="W14" s="205">
        <f>[46]Ecarts_masses_tousrégimes!W54</f>
        <v>6.3458730856555956E-3</v>
      </c>
      <c r="X14" s="205">
        <f>[46]Ecarts_masses_tousrégimes!X54</f>
        <v>6.6522572059632967E-3</v>
      </c>
      <c r="Y14" s="205">
        <f>[46]Ecarts_masses_tousrégimes!Y54</f>
        <v>6.9380295266487924E-3</v>
      </c>
      <c r="Z14" s="205">
        <f>[46]Ecarts_masses_tousrégimes!Z54</f>
        <v>7.2174599633456626E-3</v>
      </c>
      <c r="AA14" s="205">
        <f>[46]Ecarts_masses_tousrégimes!AA54</f>
        <v>7.4531344047834569E-3</v>
      </c>
      <c r="AB14" s="205">
        <f>[46]Ecarts_masses_tousrégimes!AB54</f>
        <v>7.7107684141131116E-3</v>
      </c>
      <c r="AC14" s="205">
        <f>[46]Ecarts_masses_tousrégimes!AC54</f>
        <v>7.862877202817975E-3</v>
      </c>
      <c r="AD14" s="205">
        <f>[46]Ecarts_masses_tousrégimes!AD54</f>
        <v>8.0581284597285308E-3</v>
      </c>
      <c r="AE14" s="205">
        <f>[46]Ecarts_masses_tousrégimes!AE54</f>
        <v>8.1989610338755181E-3</v>
      </c>
      <c r="AF14" s="205">
        <f>[46]Ecarts_masses_tousrégimes!AF54</f>
        <v>8.2762255642163662E-3</v>
      </c>
      <c r="AG14" s="205">
        <f>[46]Ecarts_masses_tousrégimes!AG54</f>
        <v>8.3007157020167366E-3</v>
      </c>
      <c r="AH14" s="205">
        <f>[46]Ecarts_masses_tousrégimes!AH54</f>
        <v>8.2932752644191421E-3</v>
      </c>
      <c r="AI14" s="205">
        <f>[46]Ecarts_masses_tousrégimes!AI54</f>
        <v>8.2802517021800526E-3</v>
      </c>
      <c r="AJ14" s="205">
        <f>[46]Ecarts_masses_tousrégimes!AJ54</f>
        <v>8.2290087871044193E-3</v>
      </c>
      <c r="AK14" s="205">
        <f>[46]Ecarts_masses_tousrégimes!AK54</f>
        <v>8.1620471498926594E-3</v>
      </c>
      <c r="AL14" s="205">
        <f>[46]Ecarts_masses_tousrégimes!AL54</f>
        <v>7.9714676556796871E-3</v>
      </c>
      <c r="AM14" s="205">
        <f>[46]Ecarts_masses_tousrégimes!AM54</f>
        <v>7.7622667378693944E-3</v>
      </c>
      <c r="AN14" s="205">
        <f>[46]Ecarts_masses_tousrégimes!AN54</f>
        <v>7.5884877289689179E-3</v>
      </c>
      <c r="AO14" s="205">
        <f>[46]Ecarts_masses_tousrégimes!AO54</f>
        <v>7.3687111112565873E-3</v>
      </c>
      <c r="AP14" s="205">
        <f>[46]Ecarts_masses_tousrégimes!AP54</f>
        <v>7.1477733663414256E-3</v>
      </c>
      <c r="AQ14" s="205">
        <f>[46]Ecarts_masses_tousrégimes!AQ54</f>
        <v>6.820650958192731E-3</v>
      </c>
      <c r="AR14" s="205">
        <f>[46]Ecarts_masses_tousrégimes!AR54</f>
        <v>6.5907501286572856E-3</v>
      </c>
      <c r="AS14" s="205">
        <f>[46]Ecarts_masses_tousrégimes!AS54</f>
        <v>6.3345785071071692E-3</v>
      </c>
      <c r="AT14" s="205">
        <f>[46]Ecarts_masses_tousrégimes!AT54</f>
        <v>6.1300893021807301E-3</v>
      </c>
      <c r="AU14" s="205">
        <f>[46]Ecarts_masses_tousrégimes!AU54</f>
        <v>6.0101650311197297E-3</v>
      </c>
      <c r="AV14" s="206">
        <f>[46]Ecarts_masses_tousrégimes!AV54</f>
        <v>5.8685387354571183E-3</v>
      </c>
    </row>
    <row r="15" spans="1:48">
      <c r="B15" s="299"/>
      <c r="C15" s="202" t="s">
        <v>53</v>
      </c>
      <c r="D15" s="207">
        <f>[46]Ecarts_masses_tousrégimes!D55</f>
        <v>3.8311642767840937E-4</v>
      </c>
      <c r="E15" s="196">
        <f>[46]Ecarts_masses_tousrégimes!E55</f>
        <v>8.8074784946279294E-4</v>
      </c>
      <c r="F15" s="196">
        <f>[46]Ecarts_masses_tousrégimes!F55</f>
        <v>1.2431464584203855E-3</v>
      </c>
      <c r="G15" s="196">
        <f>[46]Ecarts_masses_tousrégimes!G55</f>
        <v>1.539580040019306E-3</v>
      </c>
      <c r="H15" s="196">
        <f>[46]Ecarts_masses_tousrégimes!H55</f>
        <v>1.7852816033445684E-3</v>
      </c>
      <c r="I15" s="196">
        <f>[46]Ecarts_masses_tousrégimes!I55</f>
        <v>2.0191687386679202E-3</v>
      </c>
      <c r="J15" s="196">
        <f>[46]Ecarts_masses_tousrégimes!J55</f>
        <v>2.2601081808264478E-3</v>
      </c>
      <c r="K15" s="196">
        <f>[46]Ecarts_masses_tousrégimes!K55</f>
        <v>2.5554730620964694E-3</v>
      </c>
      <c r="L15" s="196">
        <f>[46]Ecarts_masses_tousrégimes!L55</f>
        <v>2.8587579118275475E-3</v>
      </c>
      <c r="M15" s="196">
        <f>[46]Ecarts_masses_tousrégimes!M55</f>
        <v>3.1972018908663635E-3</v>
      </c>
      <c r="N15" s="196">
        <f>[46]Ecarts_masses_tousrégimes!N55</f>
        <v>3.5147532513588597E-3</v>
      </c>
      <c r="O15" s="196">
        <f>[46]Ecarts_masses_tousrégimes!O55</f>
        <v>3.8341528859779928E-3</v>
      </c>
      <c r="P15" s="196">
        <f>[46]Ecarts_masses_tousrégimes!P55</f>
        <v>4.1318637856793128E-3</v>
      </c>
      <c r="Q15" s="196">
        <f>[46]Ecarts_masses_tousrégimes!Q55</f>
        <v>4.4029699658125754E-3</v>
      </c>
      <c r="R15" s="196">
        <f>[46]Ecarts_masses_tousrégimes!R55</f>
        <v>4.6647053069708289E-3</v>
      </c>
      <c r="S15" s="196">
        <f>[46]Ecarts_masses_tousrégimes!S55</f>
        <v>4.9367155556470088E-3</v>
      </c>
      <c r="T15" s="196">
        <f>[46]Ecarts_masses_tousrégimes!T55</f>
        <v>5.1673669764682462E-3</v>
      </c>
      <c r="U15" s="196">
        <f>[46]Ecarts_masses_tousrégimes!U55</f>
        <v>5.4046542352186311E-3</v>
      </c>
      <c r="V15" s="196">
        <f>[46]Ecarts_masses_tousrégimes!V55</f>
        <v>5.6320394355318104E-3</v>
      </c>
      <c r="W15" s="196">
        <f>[46]Ecarts_masses_tousrégimes!W55</f>
        <v>5.8882326373663751E-3</v>
      </c>
      <c r="X15" s="196">
        <f>[46]Ecarts_masses_tousrégimes!X55</f>
        <v>6.1111152300326044E-3</v>
      </c>
      <c r="Y15" s="196">
        <f>[46]Ecarts_masses_tousrégimes!Y55</f>
        <v>6.3248221176703812E-3</v>
      </c>
      <c r="Z15" s="196">
        <f>[46]Ecarts_masses_tousrégimes!Z55</f>
        <v>6.5381729622175921E-3</v>
      </c>
      <c r="AA15" s="196">
        <f>[46]Ecarts_masses_tousrégimes!AA55</f>
        <v>6.6911315121040982E-3</v>
      </c>
      <c r="AB15" s="196">
        <f>[46]Ecarts_masses_tousrégimes!AB55</f>
        <v>6.8715313187885929E-3</v>
      </c>
      <c r="AC15" s="196">
        <f>[46]Ecarts_masses_tousrégimes!AC55</f>
        <v>6.9325730527707297E-3</v>
      </c>
      <c r="AD15" s="196">
        <f>[46]Ecarts_masses_tousrégimes!AD55</f>
        <v>7.0372798958457938E-3</v>
      </c>
      <c r="AE15" s="196">
        <f>[46]Ecarts_masses_tousrégimes!AE55</f>
        <v>7.0483298412093998E-3</v>
      </c>
      <c r="AF15" s="196">
        <f>[46]Ecarts_masses_tousrégimes!AF55</f>
        <v>6.991705543074378E-3</v>
      </c>
      <c r="AG15" s="196">
        <f>[46]Ecarts_masses_tousrégimes!AG55</f>
        <v>6.8838787907736787E-3</v>
      </c>
      <c r="AH15" s="196">
        <f>[46]Ecarts_masses_tousrégimes!AH55</f>
        <v>6.713754097361857E-3</v>
      </c>
      <c r="AI15" s="196">
        <f>[46]Ecarts_masses_tousrégimes!AI55</f>
        <v>6.4682883751641107E-3</v>
      </c>
      <c r="AJ15" s="196">
        <f>[46]Ecarts_masses_tousrégimes!AJ55</f>
        <v>6.1684677184217218E-3</v>
      </c>
      <c r="AK15" s="196">
        <f>[46]Ecarts_masses_tousrégimes!AK55</f>
        <v>5.8470690609555565E-3</v>
      </c>
      <c r="AL15" s="196">
        <f>[46]Ecarts_masses_tousrégimes!AL55</f>
        <v>5.3556604642486239E-3</v>
      </c>
      <c r="AM15" s="196">
        <f>[46]Ecarts_masses_tousrégimes!AM55</f>
        <v>4.8348191949387775E-3</v>
      </c>
      <c r="AN15" s="196">
        <f>[46]Ecarts_masses_tousrégimes!AN55</f>
        <v>4.3157789020276116E-3</v>
      </c>
      <c r="AO15" s="196">
        <f>[46]Ecarts_masses_tousrégimes!AO55</f>
        <v>3.7298537490426664E-3</v>
      </c>
      <c r="AP15" s="196">
        <f>[46]Ecarts_masses_tousrégimes!AP55</f>
        <v>3.1607130997155508E-3</v>
      </c>
      <c r="AQ15" s="196">
        <f>[46]Ecarts_masses_tousrégimes!AQ55</f>
        <v>2.3768684362246439E-3</v>
      </c>
      <c r="AR15" s="196">
        <f>[46]Ecarts_masses_tousrégimes!AR55</f>
        <v>1.7715201712800166E-3</v>
      </c>
      <c r="AS15" s="196">
        <f>[46]Ecarts_masses_tousrégimes!AS55</f>
        <v>1.1280690472279531E-3</v>
      </c>
      <c r="AT15" s="196">
        <f>[46]Ecarts_masses_tousrégimes!AT55</f>
        <v>5.6176880472236235E-4</v>
      </c>
      <c r="AU15" s="196">
        <f>[46]Ecarts_masses_tousrégimes!AU55</f>
        <v>6.4571622004683249E-5</v>
      </c>
      <c r="AV15" s="208">
        <f>[46]Ecarts_masses_tousrégimes!AV55</f>
        <v>-4.5508503418290047E-4</v>
      </c>
    </row>
    <row r="16" spans="1:48">
      <c r="B16" s="299"/>
      <c r="C16" s="202" t="s">
        <v>3</v>
      </c>
      <c r="D16" s="207">
        <f>[46]Ecarts_masses_tousrégimes!D56</f>
        <v>2.3211314029802921E-4</v>
      </c>
      <c r="E16" s="196">
        <f>[46]Ecarts_masses_tousrégimes!E56</f>
        <v>6.1931666254677609E-4</v>
      </c>
      <c r="F16" s="196">
        <f>[46]Ecarts_masses_tousrégimes!F56</f>
        <v>9.9674773886659906E-4</v>
      </c>
      <c r="G16" s="196">
        <f>[46]Ecarts_masses_tousrégimes!G56</f>
        <v>1.343488162944162E-3</v>
      </c>
      <c r="H16" s="196">
        <f>[46]Ecarts_masses_tousrégimes!H56</f>
        <v>1.6579660257092232E-3</v>
      </c>
      <c r="I16" s="196">
        <f>[46]Ecarts_masses_tousrégimes!I56</f>
        <v>1.9464803879827297E-3</v>
      </c>
      <c r="J16" s="196">
        <f>[46]Ecarts_masses_tousrégimes!J56</f>
        <v>2.2363172350035043E-3</v>
      </c>
      <c r="K16" s="196">
        <f>[46]Ecarts_masses_tousrégimes!K56</f>
        <v>2.6458719706821121E-3</v>
      </c>
      <c r="L16" s="196">
        <f>[46]Ecarts_masses_tousrégimes!L56</f>
        <v>3.0658272415724497E-3</v>
      </c>
      <c r="M16" s="196">
        <f>[46]Ecarts_masses_tousrégimes!M56</f>
        <v>3.5232862456135994E-3</v>
      </c>
      <c r="N16" s="196">
        <f>[46]Ecarts_masses_tousrégimes!N56</f>
        <v>3.9762159623406568E-3</v>
      </c>
      <c r="O16" s="196">
        <f>[46]Ecarts_masses_tousrégimes!O56</f>
        <v>4.414801245149258E-3</v>
      </c>
      <c r="P16" s="196">
        <f>[46]Ecarts_masses_tousrégimes!P56</f>
        <v>4.8317851889407848E-3</v>
      </c>
      <c r="Q16" s="196">
        <f>[46]Ecarts_masses_tousrégimes!Q56</f>
        <v>5.196843690320252E-3</v>
      </c>
      <c r="R16" s="196">
        <f>[46]Ecarts_masses_tousrégimes!R56</f>
        <v>5.5527421544852018E-3</v>
      </c>
      <c r="S16" s="196">
        <f>[46]Ecarts_masses_tousrégimes!S56</f>
        <v>5.9327559448414391E-3</v>
      </c>
      <c r="T16" s="196">
        <f>[46]Ecarts_masses_tousrégimes!T56</f>
        <v>6.2569979837221457E-3</v>
      </c>
      <c r="U16" s="196">
        <f>[46]Ecarts_masses_tousrégimes!U56</f>
        <v>6.5710869896702384E-3</v>
      </c>
      <c r="V16" s="196">
        <f>[46]Ecarts_masses_tousrégimes!V56</f>
        <v>6.8848520231958865E-3</v>
      </c>
      <c r="W16" s="196">
        <f>[46]Ecarts_masses_tousrégimes!W56</f>
        <v>7.2426149498685533E-3</v>
      </c>
      <c r="X16" s="196">
        <f>[46]Ecarts_masses_tousrégimes!X56</f>
        <v>7.5895196908544182E-3</v>
      </c>
      <c r="Y16" s="196">
        <f>[46]Ecarts_masses_tousrégimes!Y56</f>
        <v>7.8568851593070477E-3</v>
      </c>
      <c r="Z16" s="196">
        <f>[46]Ecarts_masses_tousrégimes!Z56</f>
        <v>8.1518737244681283E-3</v>
      </c>
      <c r="AA16" s="196">
        <f>[46]Ecarts_masses_tousrégimes!AA56</f>
        <v>8.3805298706556286E-3</v>
      </c>
      <c r="AB16" s="196">
        <f>[46]Ecarts_masses_tousrégimes!AB56</f>
        <v>8.6228895017497198E-3</v>
      </c>
      <c r="AC16" s="196">
        <f>[46]Ecarts_masses_tousrégimes!AC56</f>
        <v>8.7430400534902475E-3</v>
      </c>
      <c r="AD16" s="196">
        <f>[46]Ecarts_masses_tousrégimes!AD56</f>
        <v>8.9221259905216677E-3</v>
      </c>
      <c r="AE16" s="196">
        <f>[46]Ecarts_masses_tousrégimes!AE56</f>
        <v>9.0661841432426726E-3</v>
      </c>
      <c r="AF16" s="196">
        <f>[46]Ecarts_masses_tousrégimes!AF56</f>
        <v>9.114652698809067E-3</v>
      </c>
      <c r="AG16" s="196">
        <f>[46]Ecarts_masses_tousrégimes!AG56</f>
        <v>9.1897541086451984E-3</v>
      </c>
      <c r="AH16" s="196">
        <f>[46]Ecarts_masses_tousrégimes!AH56</f>
        <v>9.1509843560200199E-3</v>
      </c>
      <c r="AI16" s="196">
        <f>[46]Ecarts_masses_tousrégimes!AI56</f>
        <v>9.1580299184872427E-3</v>
      </c>
      <c r="AJ16" s="196">
        <f>[46]Ecarts_masses_tousrégimes!AJ56</f>
        <v>9.1509201800603623E-3</v>
      </c>
      <c r="AK16" s="196">
        <f>[46]Ecarts_masses_tousrégimes!AK56</f>
        <v>9.1063400803239603E-3</v>
      </c>
      <c r="AL16" s="196">
        <f>[46]Ecarts_masses_tousrégimes!AL56</f>
        <v>8.9501265310392153E-3</v>
      </c>
      <c r="AM16" s="196">
        <f>[46]Ecarts_masses_tousrégimes!AM56</f>
        <v>8.8276811188359172E-3</v>
      </c>
      <c r="AN16" s="196">
        <f>[46]Ecarts_masses_tousrégimes!AN56</f>
        <v>8.7377526473042533E-3</v>
      </c>
      <c r="AO16" s="196">
        <f>[46]Ecarts_masses_tousrégimes!AO56</f>
        <v>8.5847880727267789E-3</v>
      </c>
      <c r="AP16" s="196">
        <f>[46]Ecarts_masses_tousrégimes!AP56</f>
        <v>8.4207216941161178E-3</v>
      </c>
      <c r="AQ16" s="196">
        <f>[46]Ecarts_masses_tousrégimes!AQ56</f>
        <v>8.2000175129250952E-3</v>
      </c>
      <c r="AR16" s="196">
        <f>[46]Ecarts_masses_tousrégimes!AR56</f>
        <v>8.0816072188716337E-3</v>
      </c>
      <c r="AS16" s="196">
        <f>[46]Ecarts_masses_tousrégimes!AS56</f>
        <v>7.8470493228766092E-3</v>
      </c>
      <c r="AT16" s="196">
        <f>[46]Ecarts_masses_tousrégimes!AT56</f>
        <v>7.6931444369388036E-3</v>
      </c>
      <c r="AU16" s="196">
        <f>[46]Ecarts_masses_tousrégimes!AU56</f>
        <v>7.6563164667842187E-3</v>
      </c>
      <c r="AV16" s="208">
        <f>[46]Ecarts_masses_tousrégimes!AV56</f>
        <v>7.7028579906524008E-3</v>
      </c>
    </row>
    <row r="17" spans="2:48">
      <c r="B17" s="299"/>
      <c r="C17" s="202" t="s">
        <v>38</v>
      </c>
      <c r="D17" s="207">
        <f>[46]Ecarts_masses_tousrégimes!D57</f>
        <v>3.6061524779973375E-4</v>
      </c>
      <c r="E17" s="196">
        <f>[46]Ecarts_masses_tousrégimes!E57</f>
        <v>8.3533808192570724E-4</v>
      </c>
      <c r="F17" s="196">
        <f>[46]Ecarts_masses_tousrégimes!F57</f>
        <v>1.350814617317786E-3</v>
      </c>
      <c r="G17" s="196">
        <f>[46]Ecarts_masses_tousrégimes!G57</f>
        <v>1.7885188381616679E-3</v>
      </c>
      <c r="H17" s="196">
        <f>[46]Ecarts_masses_tousrégimes!H57</f>
        <v>2.2983883941434247E-3</v>
      </c>
      <c r="I17" s="196">
        <f>[46]Ecarts_masses_tousrégimes!I57</f>
        <v>2.8020023715951137E-3</v>
      </c>
      <c r="J17" s="196">
        <f>[46]Ecarts_masses_tousrégimes!J57</f>
        <v>3.2552549990358948E-3</v>
      </c>
      <c r="K17" s="196">
        <f>[46]Ecarts_masses_tousrégimes!K57</f>
        <v>3.724098785639951E-3</v>
      </c>
      <c r="L17" s="196">
        <f>[46]Ecarts_masses_tousrégimes!L57</f>
        <v>4.2638727812098765E-3</v>
      </c>
      <c r="M17" s="196">
        <f>[46]Ecarts_masses_tousrégimes!M57</f>
        <v>4.7905519357636095E-3</v>
      </c>
      <c r="N17" s="196">
        <f>[46]Ecarts_masses_tousrégimes!N57</f>
        <v>5.3366319502567983E-3</v>
      </c>
      <c r="O17" s="196">
        <f>[46]Ecarts_masses_tousrégimes!O57</f>
        <v>5.9031317371218694E-3</v>
      </c>
      <c r="P17" s="196">
        <f>[46]Ecarts_masses_tousrégimes!P57</f>
        <v>6.4506583298216125E-3</v>
      </c>
      <c r="Q17" s="196">
        <f>[46]Ecarts_masses_tousrégimes!Q57</f>
        <v>6.9226188368625152E-3</v>
      </c>
      <c r="R17" s="196">
        <f>[46]Ecarts_masses_tousrégimes!R57</f>
        <v>7.3883124472391426E-3</v>
      </c>
      <c r="S17" s="196">
        <f>[46]Ecarts_masses_tousrégimes!S57</f>
        <v>7.8118776332116724E-3</v>
      </c>
      <c r="T17" s="196">
        <f>[46]Ecarts_masses_tousrégimes!T57</f>
        <v>8.3178022051073608E-3</v>
      </c>
      <c r="U17" s="196">
        <f>[46]Ecarts_masses_tousrégimes!U57</f>
        <v>8.7767943243823865E-3</v>
      </c>
      <c r="V17" s="196">
        <f>[46]Ecarts_masses_tousrégimes!V57</f>
        <v>9.1528827982942929E-3</v>
      </c>
      <c r="W17" s="196">
        <f>[46]Ecarts_masses_tousrégimes!W57</f>
        <v>9.5244236511666802E-3</v>
      </c>
      <c r="X17" s="196">
        <f>[46]Ecarts_masses_tousrégimes!X57</f>
        <v>9.9869247853356935E-3</v>
      </c>
      <c r="Y17" s="196">
        <f>[46]Ecarts_masses_tousrégimes!Y57</f>
        <v>1.0432717856315943E-2</v>
      </c>
      <c r="Z17" s="196">
        <f>[46]Ecarts_masses_tousrégimes!Z57</f>
        <v>1.1039244949850424E-2</v>
      </c>
      <c r="AA17" s="196">
        <f>[46]Ecarts_masses_tousrégimes!AA57</f>
        <v>1.1379716780259619E-2</v>
      </c>
      <c r="AB17" s="196">
        <f>[46]Ecarts_masses_tousrégimes!AB57</f>
        <v>1.1748099198344963E-2</v>
      </c>
      <c r="AC17" s="196">
        <f>[46]Ecarts_masses_tousrégimes!AC57</f>
        <v>1.1924777282633636E-2</v>
      </c>
      <c r="AD17" s="196">
        <f>[46]Ecarts_masses_tousrégimes!AD57</f>
        <v>1.2142791844949041E-2</v>
      </c>
      <c r="AE17" s="196">
        <f>[46]Ecarts_masses_tousrégimes!AE57</f>
        <v>1.2474192986800858E-2</v>
      </c>
      <c r="AF17" s="196">
        <f>[46]Ecarts_masses_tousrégimes!AF57</f>
        <v>1.2639289235793605E-2</v>
      </c>
      <c r="AG17" s="196">
        <f>[46]Ecarts_masses_tousrégimes!AG57</f>
        <v>1.2719532841548586E-2</v>
      </c>
      <c r="AH17" s="196">
        <f>[46]Ecarts_masses_tousrégimes!AH57</f>
        <v>1.2626076339979031E-2</v>
      </c>
      <c r="AI17" s="196">
        <f>[46]Ecarts_masses_tousrégimes!AI57</f>
        <v>1.2762687249997295E-2</v>
      </c>
      <c r="AJ17" s="196">
        <f>[46]Ecarts_masses_tousrégimes!AJ57</f>
        <v>1.2770635085300075E-2</v>
      </c>
      <c r="AK17" s="196">
        <f>[46]Ecarts_masses_tousrégimes!AK57</f>
        <v>1.297188361659618E-2</v>
      </c>
      <c r="AL17" s="196">
        <f>[46]Ecarts_masses_tousrégimes!AL57</f>
        <v>1.2472160222591899E-2</v>
      </c>
      <c r="AM17" s="196">
        <f>[46]Ecarts_masses_tousrégimes!AM57</f>
        <v>1.2114447846872656E-2</v>
      </c>
      <c r="AN17" s="196">
        <f>[46]Ecarts_masses_tousrégimes!AN57</f>
        <v>1.2265207346370488E-2</v>
      </c>
      <c r="AO17" s="196">
        <f>[46]Ecarts_masses_tousrégimes!AO57</f>
        <v>1.205393293464585E-2</v>
      </c>
      <c r="AP17" s="196">
        <f>[46]Ecarts_masses_tousrégimes!AP57</f>
        <v>1.224770668199926E-2</v>
      </c>
      <c r="AQ17" s="196">
        <f>[46]Ecarts_masses_tousrégimes!AQ57</f>
        <v>1.1832864174791125E-2</v>
      </c>
      <c r="AR17" s="196">
        <f>[46]Ecarts_masses_tousrégimes!AR57</f>
        <v>1.1720018128170695E-2</v>
      </c>
      <c r="AS17" s="196">
        <f>[46]Ecarts_masses_tousrégimes!AS57</f>
        <v>1.1513048864165043E-2</v>
      </c>
      <c r="AT17" s="196">
        <f>[46]Ecarts_masses_tousrégimes!AT57</f>
        <v>1.1423301078944181E-2</v>
      </c>
      <c r="AU17" s="196">
        <f>[46]Ecarts_masses_tousrégimes!AU57</f>
        <v>1.1207664989357324E-2</v>
      </c>
      <c r="AV17" s="208">
        <f>[46]Ecarts_masses_tousrégimes!AV57</f>
        <v>1.1452231376834154E-2</v>
      </c>
    </row>
    <row r="18" spans="2:48">
      <c r="B18" s="299"/>
      <c r="C18" s="202" t="s">
        <v>52</v>
      </c>
      <c r="D18" s="207">
        <f>[46]Ecarts_masses_tousrégimes!D58</f>
        <v>4.6856812312223717E-4</v>
      </c>
      <c r="E18" s="196">
        <f>[46]Ecarts_masses_tousrégimes!E58</f>
        <v>1.4088889141157246E-3</v>
      </c>
      <c r="F18" s="196">
        <f>[46]Ecarts_masses_tousrégimes!F58</f>
        <v>2.4861700404819054E-3</v>
      </c>
      <c r="G18" s="196">
        <f>[46]Ecarts_masses_tousrégimes!G58</f>
        <v>3.4854466320153321E-3</v>
      </c>
      <c r="H18" s="196">
        <f>[46]Ecarts_masses_tousrégimes!H58</f>
        <v>4.507848777197454E-3</v>
      </c>
      <c r="I18" s="196">
        <f>[46]Ecarts_masses_tousrégimes!I58</f>
        <v>5.5076075895643672E-3</v>
      </c>
      <c r="J18" s="196">
        <f>[46]Ecarts_masses_tousrégimes!J58</f>
        <v>6.4347907295543294E-3</v>
      </c>
      <c r="K18" s="196">
        <f>[46]Ecarts_masses_tousrégimes!K58</f>
        <v>7.4750367852196575E-3</v>
      </c>
      <c r="L18" s="196">
        <f>[46]Ecarts_masses_tousrégimes!L58</f>
        <v>8.4896789957107366E-3</v>
      </c>
      <c r="M18" s="196">
        <f>[46]Ecarts_masses_tousrégimes!M58</f>
        <v>9.4618447639180925E-3</v>
      </c>
      <c r="N18" s="196">
        <f>[46]Ecarts_masses_tousrégimes!N58</f>
        <v>1.0337028368830659E-2</v>
      </c>
      <c r="O18" s="196">
        <f>[46]Ecarts_masses_tousrégimes!O58</f>
        <v>1.125252242239938E-2</v>
      </c>
      <c r="P18" s="196">
        <f>[46]Ecarts_masses_tousrégimes!P58</f>
        <v>1.2128644998305793E-2</v>
      </c>
      <c r="Q18" s="196">
        <f>[46]Ecarts_masses_tousrégimes!Q58</f>
        <v>1.2931865817426003E-2</v>
      </c>
      <c r="R18" s="196">
        <f>[46]Ecarts_masses_tousrégimes!R58</f>
        <v>1.3557457041656562E-2</v>
      </c>
      <c r="S18" s="196">
        <f>[46]Ecarts_masses_tousrégimes!S58</f>
        <v>1.4198456554494143E-2</v>
      </c>
      <c r="T18" s="196">
        <f>[46]Ecarts_masses_tousrégimes!T58</f>
        <v>1.4773799973316404E-2</v>
      </c>
      <c r="U18" s="196">
        <f>[46]Ecarts_masses_tousrégimes!U58</f>
        <v>1.5419906505593772E-2</v>
      </c>
      <c r="V18" s="196">
        <f>[46]Ecarts_masses_tousrégimes!V58</f>
        <v>1.5972187205430588E-2</v>
      </c>
      <c r="W18" s="196">
        <f>[46]Ecarts_masses_tousrégimes!W58</f>
        <v>1.6509960989709027E-2</v>
      </c>
      <c r="X18" s="196">
        <f>[46]Ecarts_masses_tousrégimes!X58</f>
        <v>1.7001078891111243E-2</v>
      </c>
      <c r="Y18" s="196">
        <f>[46]Ecarts_masses_tousrégimes!Y58</f>
        <v>1.7444241850264719E-2</v>
      </c>
      <c r="Z18" s="196">
        <f>[46]Ecarts_masses_tousrégimes!Z58</f>
        <v>1.7884673685186758E-2</v>
      </c>
      <c r="AA18" s="196">
        <f>[46]Ecarts_masses_tousrégimes!AA58</f>
        <v>1.8229020106125482E-2</v>
      </c>
      <c r="AB18" s="196">
        <f>[46]Ecarts_masses_tousrégimes!AB58</f>
        <v>1.8488355124708145E-2</v>
      </c>
      <c r="AC18" s="196">
        <f>[46]Ecarts_masses_tousrégimes!AC58</f>
        <v>1.8768944082147909E-2</v>
      </c>
      <c r="AD18" s="196">
        <f>[46]Ecarts_masses_tousrégimes!AD58</f>
        <v>1.9179217308619823E-2</v>
      </c>
      <c r="AE18" s="196">
        <f>[46]Ecarts_masses_tousrégimes!AE58</f>
        <v>1.9448955166452286E-2</v>
      </c>
      <c r="AF18" s="196">
        <f>[46]Ecarts_masses_tousrégimes!AF58</f>
        <v>1.9542675364790263E-2</v>
      </c>
      <c r="AG18" s="196">
        <f>[46]Ecarts_masses_tousrégimes!AG58</f>
        <v>1.9550484991715411E-2</v>
      </c>
      <c r="AH18" s="196">
        <f>[46]Ecarts_masses_tousrégimes!AH58</f>
        <v>1.9933764501329776E-2</v>
      </c>
      <c r="AI18" s="196">
        <f>[46]Ecarts_masses_tousrégimes!AI58</f>
        <v>1.9930309652322453E-2</v>
      </c>
      <c r="AJ18" s="196">
        <f>[46]Ecarts_masses_tousrégimes!AJ58</f>
        <v>1.9897442043247171E-2</v>
      </c>
      <c r="AK18" s="196">
        <f>[46]Ecarts_masses_tousrégimes!AK58</f>
        <v>1.9679135900661615E-2</v>
      </c>
      <c r="AL18" s="196">
        <f>[46]Ecarts_masses_tousrégimes!AL58</f>
        <v>1.9727260496696486E-2</v>
      </c>
      <c r="AM18" s="196">
        <f>[46]Ecarts_masses_tousrégimes!AM58</f>
        <v>1.9829269324135312E-2</v>
      </c>
      <c r="AN18" s="196">
        <f>[46]Ecarts_masses_tousrégimes!AN58</f>
        <v>1.9670919291757905E-2</v>
      </c>
      <c r="AO18" s="196">
        <f>[46]Ecarts_masses_tousrégimes!AO58</f>
        <v>1.9565048180768319E-2</v>
      </c>
      <c r="AP18" s="196">
        <f>[46]Ecarts_masses_tousrégimes!AP58</f>
        <v>1.9409537861349024E-2</v>
      </c>
      <c r="AQ18" s="196">
        <f>[46]Ecarts_masses_tousrégimes!AQ58</f>
        <v>1.9195676829532937E-2</v>
      </c>
      <c r="AR18" s="196">
        <f>[46]Ecarts_masses_tousrégimes!AR58</f>
        <v>1.8824430544043036E-2</v>
      </c>
      <c r="AS18" s="196">
        <f>[46]Ecarts_masses_tousrégimes!AS58</f>
        <v>1.8618448785331365E-2</v>
      </c>
      <c r="AT18" s="196">
        <f>[46]Ecarts_masses_tousrégimes!AT58</f>
        <v>1.8797007714444813E-2</v>
      </c>
      <c r="AU18" s="196">
        <f>[46]Ecarts_masses_tousrégimes!AU58</f>
        <v>1.874070932020655E-2</v>
      </c>
      <c r="AV18" s="208">
        <f>[46]Ecarts_masses_tousrégimes!AV58</f>
        <v>1.8507675792103884E-2</v>
      </c>
    </row>
    <row r="19" spans="2:48">
      <c r="B19" s="299"/>
      <c r="C19" s="202" t="s">
        <v>54</v>
      </c>
      <c r="D19" s="207">
        <f>[46]Ecarts_masses_tousrégimes!D59</f>
        <v>3.001136025040374E-4</v>
      </c>
      <c r="E19" s="196">
        <f>[46]Ecarts_masses_tousrégimes!E59</f>
        <v>6.5801821982258701E-4</v>
      </c>
      <c r="F19" s="196">
        <f>[46]Ecarts_masses_tousrégimes!F59</f>
        <v>9.5072401558637942E-4</v>
      </c>
      <c r="G19" s="196">
        <f>[46]Ecarts_masses_tousrégimes!G59</f>
        <v>1.2081363336928774E-3</v>
      </c>
      <c r="H19" s="196">
        <f>[46]Ecarts_masses_tousrégimes!H59</f>
        <v>1.4261439836054102E-3</v>
      </c>
      <c r="I19" s="196">
        <f>[46]Ecarts_masses_tousrégimes!I59</f>
        <v>1.6730830508340233E-3</v>
      </c>
      <c r="J19" s="196">
        <f>[46]Ecarts_masses_tousrégimes!J59</f>
        <v>1.9219791908138273E-3</v>
      </c>
      <c r="K19" s="196">
        <f>[46]Ecarts_masses_tousrégimes!K59</f>
        <v>2.1987556558731303E-3</v>
      </c>
      <c r="L19" s="196">
        <f>[46]Ecarts_masses_tousrégimes!L59</f>
        <v>2.4985836185404953E-3</v>
      </c>
      <c r="M19" s="196">
        <f>[46]Ecarts_masses_tousrégimes!M59</f>
        <v>2.8269563031160239E-3</v>
      </c>
      <c r="N19" s="196">
        <f>[46]Ecarts_masses_tousrégimes!N59</f>
        <v>3.1591056783570881E-3</v>
      </c>
      <c r="O19" s="196">
        <f>[46]Ecarts_masses_tousrégimes!O59</f>
        <v>3.5294257489904002E-3</v>
      </c>
      <c r="P19" s="196">
        <f>[46]Ecarts_masses_tousrégimes!P59</f>
        <v>3.8794332834508616E-3</v>
      </c>
      <c r="Q19" s="196">
        <f>[46]Ecarts_masses_tousrégimes!Q59</f>
        <v>4.2806988300994053E-3</v>
      </c>
      <c r="R19" s="196">
        <f>[46]Ecarts_masses_tousrégimes!R59</f>
        <v>4.6840373810002056E-3</v>
      </c>
      <c r="S19" s="196">
        <f>[46]Ecarts_masses_tousrégimes!S59</f>
        <v>5.1370935316146227E-3</v>
      </c>
      <c r="T19" s="196">
        <f>[46]Ecarts_masses_tousrégimes!T59</f>
        <v>5.6051615900967189E-3</v>
      </c>
      <c r="U19" s="196">
        <f>[46]Ecarts_masses_tousrégimes!U59</f>
        <v>6.0109640090009187E-3</v>
      </c>
      <c r="V19" s="196">
        <f>[46]Ecarts_masses_tousrégimes!V59</f>
        <v>6.4901896365137102E-3</v>
      </c>
      <c r="W19" s="196">
        <f>[46]Ecarts_masses_tousrégimes!W59</f>
        <v>6.9514365697611602E-3</v>
      </c>
      <c r="X19" s="196">
        <f>[46]Ecarts_masses_tousrégimes!X59</f>
        <v>7.393447572182632E-3</v>
      </c>
      <c r="Y19" s="196">
        <f>[46]Ecarts_masses_tousrégimes!Y59</f>
        <v>7.8738892609113709E-3</v>
      </c>
      <c r="Z19" s="196">
        <f>[46]Ecarts_masses_tousrégimes!Z59</f>
        <v>8.3074491692360919E-3</v>
      </c>
      <c r="AA19" s="196">
        <f>[46]Ecarts_masses_tousrégimes!AA59</f>
        <v>8.7661247199435355E-3</v>
      </c>
      <c r="AB19" s="196">
        <f>[46]Ecarts_masses_tousrégimes!AB59</f>
        <v>9.2596343075450616E-3</v>
      </c>
      <c r="AC19" s="196">
        <f>[46]Ecarts_masses_tousrégimes!AC59</f>
        <v>9.6940357224715168E-3</v>
      </c>
      <c r="AD19" s="196">
        <f>[46]Ecarts_masses_tousrégimes!AD59</f>
        <v>1.0182248462194732E-2</v>
      </c>
      <c r="AE19" s="196">
        <f>[46]Ecarts_masses_tousrégimes!AE59</f>
        <v>1.0629692779649202E-2</v>
      </c>
      <c r="AF19" s="196">
        <f>[46]Ecarts_masses_tousrégimes!AF59</f>
        <v>1.1102736454707163E-2</v>
      </c>
      <c r="AG19" s="196">
        <f>[46]Ecarts_masses_tousrégimes!AG59</f>
        <v>1.1426822181328733E-2</v>
      </c>
      <c r="AH19" s="196">
        <f>[46]Ecarts_masses_tousrégimes!AH59</f>
        <v>1.1843350479611825E-2</v>
      </c>
      <c r="AI19" s="196">
        <f>[46]Ecarts_masses_tousrégimes!AI59</f>
        <v>1.2467728024065039E-2</v>
      </c>
      <c r="AJ19" s="196">
        <f>[46]Ecarts_masses_tousrégimes!AJ59</f>
        <v>1.3063655027478305E-2</v>
      </c>
      <c r="AK19" s="196">
        <f>[46]Ecarts_masses_tousrégimes!AK59</f>
        <v>1.3703139680653509E-2</v>
      </c>
      <c r="AL19" s="196">
        <f>[46]Ecarts_masses_tousrégimes!AL59</f>
        <v>1.4358121603363694E-2</v>
      </c>
      <c r="AM19" s="196">
        <f>[46]Ecarts_masses_tousrégimes!AM59</f>
        <v>1.4953692336595825E-2</v>
      </c>
      <c r="AN19" s="196">
        <f>[46]Ecarts_masses_tousrégimes!AN59</f>
        <v>1.5725216864561631E-2</v>
      </c>
      <c r="AO19" s="196">
        <f>[46]Ecarts_masses_tousrégimes!AO59</f>
        <v>1.661973710331921E-2</v>
      </c>
      <c r="AP19" s="196">
        <f>[46]Ecarts_masses_tousrégimes!AP59</f>
        <v>1.7513245581097792E-2</v>
      </c>
      <c r="AQ19" s="196">
        <f>[46]Ecarts_masses_tousrégimes!AQ59</f>
        <v>1.861835887021468E-2</v>
      </c>
      <c r="AR19" s="196">
        <f>[46]Ecarts_masses_tousrégimes!AR59</f>
        <v>1.9557784234865316E-2</v>
      </c>
      <c r="AS19" s="196">
        <f>[46]Ecarts_masses_tousrégimes!AS59</f>
        <v>2.0680071947979384E-2</v>
      </c>
      <c r="AT19" s="196">
        <f>[46]Ecarts_masses_tousrégimes!AT59</f>
        <v>2.1733202665813467E-2</v>
      </c>
      <c r="AU19" s="196">
        <f>[46]Ecarts_masses_tousrégimes!AU59</f>
        <v>2.2978735535013284E-2</v>
      </c>
      <c r="AV19" s="208">
        <f>[46]Ecarts_masses_tousrégimes!AV59</f>
        <v>2.4033952610813314E-2</v>
      </c>
    </row>
    <row r="20" spans="2:48">
      <c r="B20" s="299"/>
      <c r="C20" s="202" t="s">
        <v>45</v>
      </c>
      <c r="D20" s="207">
        <f>[46]Ecarts_masses_tousrégimes!D60</f>
        <v>-1.3703668980113992E-4</v>
      </c>
      <c r="E20" s="196">
        <f>[46]Ecarts_masses_tousrégimes!E60</f>
        <v>-3.6626039333165217E-4</v>
      </c>
      <c r="F20" s="196">
        <f>[46]Ecarts_masses_tousrégimes!F60</f>
        <v>-5.9054282778947531E-4</v>
      </c>
      <c r="G20" s="196">
        <f>[46]Ecarts_masses_tousrégimes!G60</f>
        <v>-9.1074724563955378E-4</v>
      </c>
      <c r="H20" s="196">
        <f>[46]Ecarts_masses_tousrégimes!H60</f>
        <v>-1.2865979178328102E-3</v>
      </c>
      <c r="I20" s="196">
        <f>[46]Ecarts_masses_tousrégimes!I60</f>
        <v>-1.5530743178184814E-3</v>
      </c>
      <c r="J20" s="196">
        <f>[46]Ecarts_masses_tousrégimes!J60</f>
        <v>-1.7265078747445983E-3</v>
      </c>
      <c r="K20" s="196">
        <f>[46]Ecarts_masses_tousrégimes!K60</f>
        <v>-1.8908065479318337E-3</v>
      </c>
      <c r="L20" s="196">
        <f>[46]Ecarts_masses_tousrégimes!L60</f>
        <v>-2.1189462141334436E-3</v>
      </c>
      <c r="M20" s="196">
        <f>[46]Ecarts_masses_tousrégimes!M60</f>
        <v>-2.418798554653212E-3</v>
      </c>
      <c r="N20" s="196">
        <f>[46]Ecarts_masses_tousrégimes!N60</f>
        <v>-2.6613594578885902E-3</v>
      </c>
      <c r="O20" s="196">
        <f>[46]Ecarts_masses_tousrégimes!O60</f>
        <v>-2.9416385222469366E-3</v>
      </c>
      <c r="P20" s="196">
        <f>[46]Ecarts_masses_tousrégimes!P60</f>
        <v>-3.1604343340296825E-3</v>
      </c>
      <c r="Q20" s="196">
        <f>[46]Ecarts_masses_tousrégimes!Q60</f>
        <v>-3.4578106689520105E-3</v>
      </c>
      <c r="R20" s="196">
        <f>[46]Ecarts_masses_tousrégimes!R60</f>
        <v>-3.7196494003438607E-3</v>
      </c>
      <c r="S20" s="196">
        <f>[46]Ecarts_masses_tousrégimes!S60</f>
        <v>-3.8996077744738455E-3</v>
      </c>
      <c r="T20" s="196">
        <f>[46]Ecarts_masses_tousrégimes!T60</f>
        <v>-4.1186250208580244E-3</v>
      </c>
      <c r="U20" s="196">
        <f>[46]Ecarts_masses_tousrégimes!U60</f>
        <v>-4.3606731609685534E-3</v>
      </c>
      <c r="V20" s="196">
        <f>[46]Ecarts_masses_tousrégimes!V60</f>
        <v>-4.6598915817042119E-3</v>
      </c>
      <c r="W20" s="196">
        <f>[46]Ecarts_masses_tousrégimes!W60</f>
        <v>-4.8257195718438561E-3</v>
      </c>
      <c r="X20" s="196">
        <f>[46]Ecarts_masses_tousrégimes!X60</f>
        <v>-4.8558093706887462E-3</v>
      </c>
      <c r="Y20" s="196">
        <f>[46]Ecarts_masses_tousrégimes!Y60</f>
        <v>-5.0424489406648565E-3</v>
      </c>
      <c r="Z20" s="196">
        <f>[46]Ecarts_masses_tousrégimes!Z60</f>
        <v>-5.1477333885877607E-3</v>
      </c>
      <c r="AA20" s="196">
        <f>[46]Ecarts_masses_tousrégimes!AA60</f>
        <v>-5.2118659511295462E-3</v>
      </c>
      <c r="AB20" s="196">
        <f>[46]Ecarts_masses_tousrégimes!AB60</f>
        <v>-5.3287931425979318E-3</v>
      </c>
      <c r="AC20" s="196">
        <f>[46]Ecarts_masses_tousrégimes!AC60</f>
        <v>-5.4888079746678864E-3</v>
      </c>
      <c r="AD20" s="196">
        <f>[46]Ecarts_masses_tousrégimes!AD60</f>
        <v>-5.4987460498627794E-3</v>
      </c>
      <c r="AE20" s="196">
        <f>[46]Ecarts_masses_tousrégimes!AE60</f>
        <v>-5.4282031703423161E-3</v>
      </c>
      <c r="AF20" s="196">
        <f>[46]Ecarts_masses_tousrégimes!AF60</f>
        <v>-5.4422625821455295E-3</v>
      </c>
      <c r="AG20" s="196">
        <f>[46]Ecarts_masses_tousrégimes!AG60</f>
        <v>-5.3726572194753297E-3</v>
      </c>
      <c r="AH20" s="196">
        <f>[46]Ecarts_masses_tousrégimes!AH60</f>
        <v>-5.2464145600419343E-3</v>
      </c>
      <c r="AI20" s="196">
        <f>[46]Ecarts_masses_tousrégimes!AI60</f>
        <v>-5.2175515520929139E-3</v>
      </c>
      <c r="AJ20" s="196">
        <f>[46]Ecarts_masses_tousrégimes!AJ60</f>
        <v>-5.0956910189110527E-3</v>
      </c>
      <c r="AK20" s="196">
        <f>[46]Ecarts_masses_tousrégimes!AK60</f>
        <v>-5.1176693717354116E-3</v>
      </c>
      <c r="AL20" s="196">
        <f>[46]Ecarts_masses_tousrégimes!AL60</f>
        <v>-4.9912949658288408E-3</v>
      </c>
      <c r="AM20" s="196">
        <f>[46]Ecarts_masses_tousrégimes!AM60</f>
        <v>-4.9501634234289105E-3</v>
      </c>
      <c r="AN20" s="196">
        <f>[46]Ecarts_masses_tousrégimes!AN60</f>
        <v>-4.6665588628166388E-3</v>
      </c>
      <c r="AO20" s="196">
        <f>[46]Ecarts_masses_tousrégimes!AO60</f>
        <v>-4.5315261066896095E-3</v>
      </c>
      <c r="AP20" s="196">
        <f>[46]Ecarts_masses_tousrégimes!AP60</f>
        <v>-4.4087177995475457E-3</v>
      </c>
      <c r="AQ20" s="196">
        <f>[46]Ecarts_masses_tousrégimes!AQ60</f>
        <v>-4.417461293385827E-3</v>
      </c>
      <c r="AR20" s="196">
        <f>[46]Ecarts_masses_tousrégimes!AR60</f>
        <v>-4.4184165205078951E-3</v>
      </c>
      <c r="AS20" s="196">
        <f>[46]Ecarts_masses_tousrégimes!AS60</f>
        <v>-4.3632686736808646E-3</v>
      </c>
      <c r="AT20" s="196">
        <f>[46]Ecarts_masses_tousrégimes!AT60</f>
        <v>-4.2662113469115193E-3</v>
      </c>
      <c r="AU20" s="196">
        <f>[46]Ecarts_masses_tousrégimes!AU60</f>
        <v>-4.0957807316823747E-3</v>
      </c>
      <c r="AV20" s="208">
        <f>[46]Ecarts_masses_tousrégimes!AV60</f>
        <v>-3.8043666408172916E-3</v>
      </c>
    </row>
    <row r="21" spans="2:48">
      <c r="B21" s="299"/>
      <c r="C21" s="202" t="s">
        <v>46</v>
      </c>
      <c r="D21" s="207">
        <f>[46]Ecarts_masses_tousrégimes!D61</f>
        <v>7.797985579518496E-4</v>
      </c>
      <c r="E21" s="196">
        <f>[46]Ecarts_masses_tousrégimes!E61</f>
        <v>1.8756931905179464E-3</v>
      </c>
      <c r="F21" s="196">
        <f>[46]Ecarts_masses_tousrégimes!F61</f>
        <v>2.7138690782684272E-3</v>
      </c>
      <c r="G21" s="196">
        <f>[46]Ecarts_masses_tousrégimes!G61</f>
        <v>3.397393611078936E-3</v>
      </c>
      <c r="H21" s="196">
        <f>[46]Ecarts_masses_tousrégimes!H61</f>
        <v>4.155710148446623E-3</v>
      </c>
      <c r="I21" s="196">
        <f>[46]Ecarts_masses_tousrégimes!I61</f>
        <v>4.7833995315131883E-3</v>
      </c>
      <c r="J21" s="196">
        <f>[46]Ecarts_masses_tousrégimes!J61</f>
        <v>5.3398289606572114E-3</v>
      </c>
      <c r="K21" s="196">
        <f>[46]Ecarts_masses_tousrégimes!K61</f>
        <v>6.0667841463668548E-3</v>
      </c>
      <c r="L21" s="196">
        <f>[46]Ecarts_masses_tousrégimes!L61</f>
        <v>6.8184330407505822E-3</v>
      </c>
      <c r="M21" s="196">
        <f>[46]Ecarts_masses_tousrégimes!M61</f>
        <v>7.4727226308632932E-3</v>
      </c>
      <c r="N21" s="196">
        <f>[46]Ecarts_masses_tousrégimes!N61</f>
        <v>8.1810865429425839E-3</v>
      </c>
      <c r="O21" s="196">
        <f>[46]Ecarts_masses_tousrégimes!O61</f>
        <v>8.990628296366765E-3</v>
      </c>
      <c r="P21" s="196">
        <f>[46]Ecarts_masses_tousrégimes!P61</f>
        <v>9.6544038778261232E-3</v>
      </c>
      <c r="Q21" s="196">
        <f>[46]Ecarts_masses_tousrégimes!Q61</f>
        <v>1.0404708211471769E-2</v>
      </c>
      <c r="R21" s="196">
        <f>[46]Ecarts_masses_tousrégimes!R61</f>
        <v>1.1174691054420816E-2</v>
      </c>
      <c r="S21" s="196">
        <f>[46]Ecarts_masses_tousrégimes!S61</f>
        <v>1.1834193366929702E-2</v>
      </c>
      <c r="T21" s="196">
        <f>[46]Ecarts_masses_tousrégimes!T61</f>
        <v>1.2376742841894828E-2</v>
      </c>
      <c r="U21" s="196">
        <f>[46]Ecarts_masses_tousrégimes!U61</f>
        <v>1.2922118534130833E-2</v>
      </c>
      <c r="V21" s="196">
        <f>[46]Ecarts_masses_tousrégimes!V61</f>
        <v>1.3444948248006572E-2</v>
      </c>
      <c r="W21" s="196">
        <f>[46]Ecarts_masses_tousrégimes!W61</f>
        <v>1.4051493285171857E-2</v>
      </c>
      <c r="X21" s="196">
        <f>[46]Ecarts_masses_tousrégimes!X61</f>
        <v>1.4575657607795778E-2</v>
      </c>
      <c r="Y21" s="196">
        <f>[46]Ecarts_masses_tousrégimes!Y61</f>
        <v>1.5156171943404351E-2</v>
      </c>
      <c r="Z21" s="196">
        <f>[46]Ecarts_masses_tousrégimes!Z61</f>
        <v>1.5415125849335576E-2</v>
      </c>
      <c r="AA21" s="196">
        <f>[46]Ecarts_masses_tousrégimes!AA61</f>
        <v>1.5701254493754035E-2</v>
      </c>
      <c r="AB21" s="196">
        <f>[46]Ecarts_masses_tousrégimes!AB61</f>
        <v>1.6121671801559323E-2</v>
      </c>
      <c r="AC21" s="196">
        <f>[46]Ecarts_masses_tousrégimes!AC61</f>
        <v>1.6426850838058726E-2</v>
      </c>
      <c r="AD21" s="196">
        <f>[46]Ecarts_masses_tousrégimes!AD61</f>
        <v>1.6427445044139954E-2</v>
      </c>
      <c r="AE21" s="196">
        <f>[46]Ecarts_masses_tousrégimes!AE61</f>
        <v>1.6684305615572992E-2</v>
      </c>
      <c r="AF21" s="196">
        <f>[46]Ecarts_masses_tousrégimes!AF61</f>
        <v>1.6777377372874103E-2</v>
      </c>
      <c r="AG21" s="196">
        <f>[46]Ecarts_masses_tousrégimes!AG61</f>
        <v>1.6672027030095737E-2</v>
      </c>
      <c r="AH21" s="196">
        <f>[46]Ecarts_masses_tousrégimes!AH61</f>
        <v>1.7019796778137364E-2</v>
      </c>
      <c r="AI21" s="196">
        <f>[46]Ecarts_masses_tousrégimes!AI61</f>
        <v>1.6980339971456981E-2</v>
      </c>
      <c r="AJ21" s="196">
        <f>[46]Ecarts_masses_tousrégimes!AJ61</f>
        <v>1.6958058118163866E-2</v>
      </c>
      <c r="AK21" s="196">
        <f>[46]Ecarts_masses_tousrégimes!AK61</f>
        <v>1.6929901711086881E-2</v>
      </c>
      <c r="AL21" s="196">
        <f>[46]Ecarts_masses_tousrégimes!AL61</f>
        <v>1.7016030114166636E-2</v>
      </c>
      <c r="AM21" s="196">
        <f>[46]Ecarts_masses_tousrégimes!AM61</f>
        <v>1.7133309095507476E-2</v>
      </c>
      <c r="AN21" s="196">
        <f>[46]Ecarts_masses_tousrégimes!AN61</f>
        <v>1.7036318558567798E-2</v>
      </c>
      <c r="AO21" s="196">
        <f>[46]Ecarts_masses_tousrégimes!AO61</f>
        <v>1.6980478093489904E-2</v>
      </c>
      <c r="AP21" s="196">
        <f>[46]Ecarts_masses_tousrégimes!AP61</f>
        <v>1.6509286677972801E-2</v>
      </c>
      <c r="AQ21" s="196">
        <f>[46]Ecarts_masses_tousrégimes!AQ61</f>
        <v>1.6341218754047482E-2</v>
      </c>
      <c r="AR21" s="196">
        <f>[46]Ecarts_masses_tousrégimes!AR61</f>
        <v>1.654406353013349E-2</v>
      </c>
      <c r="AS21" s="196">
        <f>[46]Ecarts_masses_tousrégimes!AS61</f>
        <v>1.6524151432273815E-2</v>
      </c>
      <c r="AT21" s="196">
        <f>[46]Ecarts_masses_tousrégimes!AT61</f>
        <v>1.6538635000246549E-2</v>
      </c>
      <c r="AU21" s="196">
        <f>[46]Ecarts_masses_tousrégimes!AU61</f>
        <v>1.6492127534829093E-2</v>
      </c>
      <c r="AV21" s="208">
        <f>[46]Ecarts_masses_tousrégimes!AV61</f>
        <v>1.6273054740685744E-2</v>
      </c>
    </row>
    <row r="22" spans="2:48" ht="15" thickBot="1">
      <c r="B22" s="300"/>
      <c r="C22" s="203" t="s">
        <v>55</v>
      </c>
      <c r="D22" s="209">
        <f>[46]Ecarts_masses_tousrégimes!D62</f>
        <v>-2.4560934820061497E-5</v>
      </c>
      <c r="E22" s="210">
        <f>[46]Ecarts_masses_tousrégimes!E62</f>
        <v>-6.4351204519752514E-5</v>
      </c>
      <c r="F22" s="210">
        <f>[46]Ecarts_masses_tousrégimes!F62</f>
        <v>-7.5035231939191149E-5</v>
      </c>
      <c r="G22" s="210">
        <f>[46]Ecarts_masses_tousrégimes!G62</f>
        <v>-1.38463765055441E-4</v>
      </c>
      <c r="H22" s="210">
        <f>[46]Ecarts_masses_tousrégimes!H62</f>
        <v>-1.9558526210494698E-4</v>
      </c>
      <c r="I22" s="210">
        <f>[46]Ecarts_masses_tousrégimes!I62</f>
        <v>-2.5827719661941639E-4</v>
      </c>
      <c r="J22" s="210">
        <f>[46]Ecarts_masses_tousrégimes!J62</f>
        <v>-3.3901809699043994E-4</v>
      </c>
      <c r="K22" s="210">
        <f>[46]Ecarts_masses_tousrégimes!K62</f>
        <v>-3.885736669445583E-4</v>
      </c>
      <c r="L22" s="210">
        <f>[46]Ecarts_masses_tousrégimes!L62</f>
        <v>-4.4676918453934178E-4</v>
      </c>
      <c r="M22" s="210">
        <f>[46]Ecarts_masses_tousrégimes!M62</f>
        <v>-5.3128316661732455E-4</v>
      </c>
      <c r="N22" s="210">
        <f>[46]Ecarts_masses_tousrégimes!N62</f>
        <v>-6.6123165767228986E-4</v>
      </c>
      <c r="O22" s="210">
        <f>[46]Ecarts_masses_tousrégimes!O62</f>
        <v>-7.4787976642731735E-4</v>
      </c>
      <c r="P22" s="210">
        <f>[46]Ecarts_masses_tousrégimes!P62</f>
        <v>-7.8385027425853515E-4</v>
      </c>
      <c r="Q22" s="210">
        <f>[46]Ecarts_masses_tousrégimes!Q62</f>
        <v>-9.1846875951828721E-4</v>
      </c>
      <c r="R22" s="210">
        <f>[46]Ecarts_masses_tousrégimes!R62</f>
        <v>-1.0634136798479688E-3</v>
      </c>
      <c r="S22" s="210">
        <f>[46]Ecarts_masses_tousrégimes!S62</f>
        <v>-1.0618164983655642E-3</v>
      </c>
      <c r="T22" s="210">
        <f>[46]Ecarts_masses_tousrégimes!T62</f>
        <v>-1.0829673867431833E-3</v>
      </c>
      <c r="U22" s="210">
        <f>[46]Ecarts_masses_tousrégimes!U62</f>
        <v>-1.0570388025611388E-3</v>
      </c>
      <c r="V22" s="210">
        <f>[46]Ecarts_masses_tousrégimes!V62</f>
        <v>-1.1041466205142791E-3</v>
      </c>
      <c r="W22" s="210">
        <f>[46]Ecarts_masses_tousrégimes!W62</f>
        <v>-1.1044753939423169E-3</v>
      </c>
      <c r="X22" s="210">
        <f>[46]Ecarts_masses_tousrégimes!X62</f>
        <v>-1.1011383492041116E-3</v>
      </c>
      <c r="Y22" s="210">
        <f>[46]Ecarts_masses_tousrégimes!Y62</f>
        <v>-1.059874780317549E-3</v>
      </c>
      <c r="Z22" s="210">
        <f>[46]Ecarts_masses_tousrégimes!Z62</f>
        <v>-1.0795243619610151E-3</v>
      </c>
      <c r="AA22" s="210">
        <f>[46]Ecarts_masses_tousrégimes!AA62</f>
        <v>-1.049425081155464E-3</v>
      </c>
      <c r="AB22" s="210">
        <f>[46]Ecarts_masses_tousrégimes!AB62</f>
        <v>-1.1300208977821358E-3</v>
      </c>
      <c r="AC22" s="210">
        <f>[46]Ecarts_masses_tousrégimes!AC62</f>
        <v>-1.1057872120341372E-3</v>
      </c>
      <c r="AD22" s="210">
        <f>[46]Ecarts_masses_tousrégimes!AD62</f>
        <v>-1.3149081496679482E-3</v>
      </c>
      <c r="AE22" s="210">
        <f>[46]Ecarts_masses_tousrégimes!AE62</f>
        <v>-1.3482321190173563E-3</v>
      </c>
      <c r="AF22" s="210">
        <f>[46]Ecarts_masses_tousrégimes!AF62</f>
        <v>-1.3844588536747748E-3</v>
      </c>
      <c r="AG22" s="210">
        <f>[46]Ecarts_masses_tousrégimes!AG62</f>
        <v>-1.3849721616834287E-3</v>
      </c>
      <c r="AH22" s="210">
        <f>[46]Ecarts_masses_tousrégimes!AH62</f>
        <v>-1.3961869083810585E-3</v>
      </c>
      <c r="AI22" s="210">
        <f>[46]Ecarts_masses_tousrégimes!AI62</f>
        <v>-1.3487401851696168E-3</v>
      </c>
      <c r="AJ22" s="210">
        <f>[46]Ecarts_masses_tousrégimes!AJ62</f>
        <v>-1.2048377798070664E-3</v>
      </c>
      <c r="AK22" s="210">
        <f>[46]Ecarts_masses_tousrégimes!AK62</f>
        <v>-7.5519282172897828E-4</v>
      </c>
      <c r="AL22" s="210">
        <f>[46]Ecarts_masses_tousrégimes!AL62</f>
        <v>-8.8110714813605107E-4</v>
      </c>
      <c r="AM22" s="210">
        <f>[46]Ecarts_masses_tousrégimes!AM62</f>
        <v>-7.3974300285639671E-4</v>
      </c>
      <c r="AN22" s="210">
        <f>[46]Ecarts_masses_tousrégimes!AN62</f>
        <v>-8.1956945154615379E-4</v>
      </c>
      <c r="AO22" s="210">
        <f>[46]Ecarts_masses_tousrégimes!AO62</f>
        <v>-7.3763875227350617E-4</v>
      </c>
      <c r="AP22" s="210">
        <f>[46]Ecarts_masses_tousrégimes!AP62</f>
        <v>-4.6699734785238256E-4</v>
      </c>
      <c r="AQ22" s="210">
        <f>[46]Ecarts_masses_tousrégimes!AQ62</f>
        <v>-4.2223326218293611E-4</v>
      </c>
      <c r="AR22" s="210">
        <f>[46]Ecarts_masses_tousrégimes!AR62</f>
        <v>-7.3864904588794023E-4</v>
      </c>
      <c r="AS22" s="210">
        <f>[46]Ecarts_masses_tousrégimes!AS62</f>
        <v>-7.1158314475927575E-4</v>
      </c>
      <c r="AT22" s="210">
        <f>[46]Ecarts_masses_tousrégimes!AT62</f>
        <v>-6.3265692833791576E-4</v>
      </c>
      <c r="AU22" s="210">
        <f>[46]Ecarts_masses_tousrégimes!AU62</f>
        <v>-4.0359951201729416E-4</v>
      </c>
      <c r="AV22" s="211">
        <f>[46]Ecarts_masses_tousrégimes!AV62</f>
        <v>-5.0575448834133674E-4</v>
      </c>
    </row>
    <row r="24" spans="2:48">
      <c r="B24" s="177" t="s">
        <v>36</v>
      </c>
    </row>
  </sheetData>
  <mergeCells count="3">
    <mergeCell ref="B4:C4"/>
    <mergeCell ref="B5:B13"/>
    <mergeCell ref="B14:B22"/>
  </mergeCells>
  <hyperlinks>
    <hyperlink ref="A2" location="SOMMAIRE!A1" display="Retour au sommaire" xr:uid="{B5D7D910-908C-4952-9C0A-52504D868AD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BD80-B1D9-4C86-8AC3-5781DC18CFC5}">
  <sheetPr>
    <tabColor rgb="FFACB9CA"/>
  </sheetPr>
  <dimension ref="A1:AV11"/>
  <sheetViews>
    <sheetView zoomScaleNormal="100" workbookViewId="0">
      <selection activeCell="A2" sqref="A2"/>
    </sheetView>
  </sheetViews>
  <sheetFormatPr baseColWidth="10" defaultRowHeight="14.25"/>
  <cols>
    <col min="2" max="2" width="16.125" bestFit="1" customWidth="1"/>
  </cols>
  <sheetData>
    <row r="1" spans="1:48" ht="15.75">
      <c r="A1" s="2" t="s">
        <v>120</v>
      </c>
    </row>
    <row r="2" spans="1:48">
      <c r="A2" s="6" t="s">
        <v>2</v>
      </c>
    </row>
    <row r="3" spans="1:48" ht="15" thickBot="1"/>
    <row r="4" spans="1:48" ht="15" thickBot="1">
      <c r="B4" s="383"/>
      <c r="C4" s="387">
        <f>'[43]Masses prestations'!D3</f>
        <v>2026</v>
      </c>
      <c r="D4" s="388">
        <f>'[43]Masses prestations'!E3</f>
        <v>2027</v>
      </c>
      <c r="E4" s="388">
        <f>'[43]Masses prestations'!F3</f>
        <v>2028</v>
      </c>
      <c r="F4" s="388">
        <f>'[43]Masses prestations'!G3</f>
        <v>2029</v>
      </c>
      <c r="G4" s="388">
        <f>'[43]Masses prestations'!H3</f>
        <v>2030</v>
      </c>
      <c r="H4" s="388">
        <f>'[43]Masses prestations'!I3</f>
        <v>2031</v>
      </c>
      <c r="I4" s="388">
        <f>'[43]Masses prestations'!J3</f>
        <v>2032</v>
      </c>
      <c r="J4" s="388">
        <f>'[43]Masses prestations'!K3</f>
        <v>2033</v>
      </c>
      <c r="K4" s="388">
        <f>'[43]Masses prestations'!L3</f>
        <v>2034</v>
      </c>
      <c r="L4" s="388">
        <f>'[43]Masses prestations'!M3</f>
        <v>2035</v>
      </c>
      <c r="M4" s="388">
        <f>'[43]Masses prestations'!N3</f>
        <v>2036</v>
      </c>
      <c r="N4" s="388">
        <f>'[43]Masses prestations'!O3</f>
        <v>2037</v>
      </c>
      <c r="O4" s="388">
        <f>'[43]Masses prestations'!P3</f>
        <v>2038</v>
      </c>
      <c r="P4" s="388">
        <f>'[43]Masses prestations'!Q3</f>
        <v>2039</v>
      </c>
      <c r="Q4" s="388">
        <f>'[43]Masses prestations'!R3</f>
        <v>2040</v>
      </c>
      <c r="R4" s="388">
        <f>'[43]Masses prestations'!S3</f>
        <v>2041</v>
      </c>
      <c r="S4" s="388">
        <f>'[43]Masses prestations'!T3</f>
        <v>2042</v>
      </c>
      <c r="T4" s="388">
        <f>'[43]Masses prestations'!U3</f>
        <v>2043</v>
      </c>
      <c r="U4" s="388">
        <f>'[43]Masses prestations'!V3</f>
        <v>2044</v>
      </c>
      <c r="V4" s="388">
        <f>'[43]Masses prestations'!W3</f>
        <v>2045</v>
      </c>
      <c r="W4" s="388">
        <f>'[43]Masses prestations'!X3</f>
        <v>2046</v>
      </c>
      <c r="X4" s="388">
        <f>'[43]Masses prestations'!Y3</f>
        <v>2047</v>
      </c>
      <c r="Y4" s="388">
        <f>'[43]Masses prestations'!Z3</f>
        <v>2048</v>
      </c>
      <c r="Z4" s="388">
        <f>'[43]Masses prestations'!AA3</f>
        <v>2049</v>
      </c>
      <c r="AA4" s="388">
        <f>'[43]Masses prestations'!AB3</f>
        <v>2050</v>
      </c>
      <c r="AB4" s="388">
        <f>'[43]Masses prestations'!AC3</f>
        <v>2051</v>
      </c>
      <c r="AC4" s="388">
        <f>'[43]Masses prestations'!AD3</f>
        <v>2052</v>
      </c>
      <c r="AD4" s="388">
        <f>'[43]Masses prestations'!AE3</f>
        <v>2053</v>
      </c>
      <c r="AE4" s="388">
        <f>'[43]Masses prestations'!AF3</f>
        <v>2054</v>
      </c>
      <c r="AF4" s="388">
        <f>'[43]Masses prestations'!AG3</f>
        <v>2055</v>
      </c>
      <c r="AG4" s="388">
        <f>'[43]Masses prestations'!AH3</f>
        <v>2056</v>
      </c>
      <c r="AH4" s="388">
        <f>'[43]Masses prestations'!AI3</f>
        <v>2057</v>
      </c>
      <c r="AI4" s="388">
        <f>'[43]Masses prestations'!AJ3</f>
        <v>2058</v>
      </c>
      <c r="AJ4" s="388">
        <f>'[43]Masses prestations'!AK3</f>
        <v>2059</v>
      </c>
      <c r="AK4" s="388">
        <f>'[43]Masses prestations'!AL3</f>
        <v>2060</v>
      </c>
      <c r="AL4" s="388">
        <f>'[43]Masses prestations'!AM3</f>
        <v>2061</v>
      </c>
      <c r="AM4" s="388">
        <f>'[43]Masses prestations'!AN3</f>
        <v>2062</v>
      </c>
      <c r="AN4" s="388">
        <f>'[43]Masses prestations'!AO3</f>
        <v>2063</v>
      </c>
      <c r="AO4" s="388">
        <f>'[43]Masses prestations'!AP3</f>
        <v>2064</v>
      </c>
      <c r="AP4" s="388">
        <f>'[43]Masses prestations'!AQ3</f>
        <v>2065</v>
      </c>
      <c r="AQ4" s="388">
        <f>'[43]Masses prestations'!AR3</f>
        <v>2066</v>
      </c>
      <c r="AR4" s="388">
        <f>'[43]Masses prestations'!AS3</f>
        <v>2067</v>
      </c>
      <c r="AS4" s="388">
        <f>'[43]Masses prestations'!AT3</f>
        <v>2068</v>
      </c>
      <c r="AT4" s="388">
        <f>'[43]Masses prestations'!AU3</f>
        <v>2069</v>
      </c>
      <c r="AU4" s="389">
        <f>'[43]Masses prestations'!AV3</f>
        <v>2070</v>
      </c>
    </row>
    <row r="5" spans="1:48" ht="15">
      <c r="B5" s="409" t="str">
        <f>'[43]Masses prestations'!C19</f>
        <v>Ensemble</v>
      </c>
      <c r="C5" s="406">
        <f>[48]Masses_EC1!E$14</f>
        <v>2.1253013030897553E-2</v>
      </c>
      <c r="D5" s="400">
        <f>[48]Masses_EC1!F$14</f>
        <v>1.5818797756781078E-2</v>
      </c>
      <c r="E5" s="400">
        <f>[48]Masses_EC1!G$14</f>
        <v>9.4699720682811239E-3</v>
      </c>
      <c r="F5" s="400">
        <f>[48]Masses_EC1!H$14</f>
        <v>2.6476176689773398E-3</v>
      </c>
      <c r="G5" s="400">
        <f>[48]Masses_EC1!I$14</f>
        <v>-2.6673121756013323E-3</v>
      </c>
      <c r="H5" s="400">
        <f>[48]Masses_EC1!J$14</f>
        <v>-9.0474657347264821E-3</v>
      </c>
      <c r="I5" s="400">
        <f>[48]Masses_EC1!K$14</f>
        <v>-1.3894951232308429E-2</v>
      </c>
      <c r="J5" s="400">
        <f>[48]Masses_EC1!L$14</f>
        <v>-2.0178471604899995E-2</v>
      </c>
      <c r="K5" s="400">
        <f>[48]Masses_EC1!M$14</f>
        <v>-2.6143127005629395E-2</v>
      </c>
      <c r="L5" s="400">
        <f>[48]Masses_EC1!N$14</f>
        <v>-3.1072288049727701E-2</v>
      </c>
      <c r="M5" s="400">
        <f>[48]Masses_EC1!O$14</f>
        <v>-3.7291339291371281E-2</v>
      </c>
      <c r="N5" s="400">
        <f>[48]Masses_EC1!P$14</f>
        <v>-4.4168088091503348E-2</v>
      </c>
      <c r="O5" s="400">
        <f>[48]Masses_EC1!Q$14</f>
        <v>-4.7847712110049352E-2</v>
      </c>
      <c r="P5" s="400">
        <f>[48]Masses_EC1!R$14</f>
        <v>-5.3856395613095728E-2</v>
      </c>
      <c r="Q5" s="400">
        <f>[48]Masses_EC1!S$14</f>
        <v>-5.7437351925758585E-2</v>
      </c>
      <c r="R5" s="400">
        <f>[48]Masses_EC1!T$14</f>
        <v>-6.2805156620252392E-2</v>
      </c>
      <c r="S5" s="400">
        <f>[48]Masses_EC1!U$14</f>
        <v>-6.8656448244040449E-2</v>
      </c>
      <c r="T5" s="400">
        <f>[48]Masses_EC1!V$14</f>
        <v>-7.2921034184151343E-2</v>
      </c>
      <c r="U5" s="400">
        <f>[48]Masses_EC1!W$14</f>
        <v>-7.5833660989836627E-2</v>
      </c>
      <c r="V5" s="400">
        <f>[48]Masses_EC1!X$14</f>
        <v>-7.9059883124465602E-2</v>
      </c>
      <c r="W5" s="400">
        <f>[48]Masses_EC1!Y$14</f>
        <v>-8.2342251028798857E-2</v>
      </c>
      <c r="X5" s="400">
        <f>[48]Masses_EC1!Z$14</f>
        <v>-8.6354505599430725E-2</v>
      </c>
      <c r="Y5" s="400">
        <f>[48]Masses_EC1!AA$14</f>
        <v>-8.9314816647843381E-2</v>
      </c>
      <c r="Z5" s="400">
        <f>[48]Masses_EC1!AB$14</f>
        <v>-9.3896059727104228E-2</v>
      </c>
      <c r="AA5" s="400">
        <f>[48]Masses_EC1!AC$14</f>
        <v>-9.6434019356842135E-2</v>
      </c>
      <c r="AB5" s="400">
        <f>[48]Masses_EC1!AD$14</f>
        <v>-0.1003746975783812</v>
      </c>
      <c r="AC5" s="400">
        <f>[48]Masses_EC1!AE$14</f>
        <v>-0.10356924269422167</v>
      </c>
      <c r="AD5" s="400">
        <f>[48]Masses_EC1!AF$14</f>
        <v>-0.10452772753994544</v>
      </c>
      <c r="AE5" s="400">
        <f>[48]Masses_EC1!AG$14</f>
        <v>-0.10658494972392507</v>
      </c>
      <c r="AF5" s="400">
        <f>[48]Masses_EC1!AH$14</f>
        <v>-0.10909810682102136</v>
      </c>
      <c r="AG5" s="400">
        <f>[48]Masses_EC1!AI$14</f>
        <v>-0.11083896562391532</v>
      </c>
      <c r="AH5" s="400">
        <f>[48]Masses_EC1!AJ$14</f>
        <v>-0.11253012296338637</v>
      </c>
      <c r="AI5" s="400">
        <f>[48]Masses_EC1!AK$14</f>
        <v>-0.11443877473729483</v>
      </c>
      <c r="AJ5" s="400">
        <f>[48]Masses_EC1!AL$14</f>
        <v>-0.1142568270038619</v>
      </c>
      <c r="AK5" s="400">
        <f>[48]Masses_EC1!AM$14</f>
        <v>-0.11568310177965836</v>
      </c>
      <c r="AL5" s="400">
        <f>[48]Masses_EC1!AN$14</f>
        <v>-0.11623378095171745</v>
      </c>
      <c r="AM5" s="400">
        <f>[48]Masses_EC1!AO$14</f>
        <v>-0.11876099102434669</v>
      </c>
      <c r="AN5" s="400">
        <f>[48]Masses_EC1!AP$14</f>
        <v>-0.11881175751226315</v>
      </c>
      <c r="AO5" s="400">
        <f>[48]Masses_EC1!AQ$14</f>
        <v>-0.12137943004380519</v>
      </c>
      <c r="AP5" s="400">
        <f>[48]Masses_EC1!AR$14</f>
        <v>-0.12270270814824941</v>
      </c>
      <c r="AQ5" s="400">
        <f>[48]Masses_EC1!AS$14</f>
        <v>-0.12514484762226299</v>
      </c>
      <c r="AR5" s="400">
        <f>[48]Masses_EC1!AT$14</f>
        <v>-0.12626856470264713</v>
      </c>
      <c r="AS5" s="400">
        <f>[48]Masses_EC1!AU$14</f>
        <v>-0.12582101095334391</v>
      </c>
      <c r="AT5" s="400">
        <f>[48]Masses_EC1!AV$14</f>
        <v>-0.12732019497429595</v>
      </c>
      <c r="AU5" s="401">
        <f>[48]Masses_EC1!AW$14</f>
        <v>-0.1287411115417974</v>
      </c>
    </row>
    <row r="6" spans="1:48" ht="15">
      <c r="B6" s="410" t="str">
        <f>'[43]Masses prestations'!C20</f>
        <v>Agirc-Arrco</v>
      </c>
      <c r="C6" s="407">
        <f>[48]Masses_EC1!E$17</f>
        <v>-1.7043157099453445E-2</v>
      </c>
      <c r="D6" s="402">
        <f>[48]Masses_EC1!F$17</f>
        <v>-3.2283198589736932E-2</v>
      </c>
      <c r="E6" s="402">
        <f>[48]Masses_EC1!G$17</f>
        <v>-4.9077900116340847E-2</v>
      </c>
      <c r="F6" s="402">
        <f>[48]Masses_EC1!H$17</f>
        <v>-6.3841733446089649E-2</v>
      </c>
      <c r="G6" s="402">
        <f>[48]Masses_EC1!I$17</f>
        <v>-8.0334764143677545E-2</v>
      </c>
      <c r="H6" s="402">
        <f>[48]Masses_EC1!J$17</f>
        <v>-9.6693970638288426E-2</v>
      </c>
      <c r="I6" s="402">
        <f>[48]Masses_EC1!K$17</f>
        <v>-0.11000475087862514</v>
      </c>
      <c r="J6" s="402">
        <f>[48]Masses_EC1!L$17</f>
        <v>-0.12474977084813879</v>
      </c>
      <c r="K6" s="402">
        <f>[48]Masses_EC1!M$17</f>
        <v>-0.1380977709396369</v>
      </c>
      <c r="L6" s="402">
        <f>[48]Masses_EC1!N$17</f>
        <v>-0.15009385975348694</v>
      </c>
      <c r="M6" s="402">
        <f>[48]Masses_EC1!O$17</f>
        <v>-0.16056990577295036</v>
      </c>
      <c r="N6" s="402">
        <f>[48]Masses_EC1!P$17</f>
        <v>-0.1724277812481273</v>
      </c>
      <c r="O6" s="402">
        <f>[48]Masses_EC1!Q$17</f>
        <v>-0.18150727101343955</v>
      </c>
      <c r="P6" s="402">
        <f>[48]Masses_EC1!R$17</f>
        <v>-0.19281324116340653</v>
      </c>
      <c r="Q6" s="402">
        <f>[48]Masses_EC1!S$17</f>
        <v>-0.20045880691614879</v>
      </c>
      <c r="R6" s="402">
        <f>[48]Masses_EC1!T$17</f>
        <v>-0.21032472985261394</v>
      </c>
      <c r="S6" s="402">
        <f>[48]Masses_EC1!U$17</f>
        <v>-0.22066429639276941</v>
      </c>
      <c r="T6" s="402">
        <f>[48]Masses_EC1!V$17</f>
        <v>-0.23023655690870032</v>
      </c>
      <c r="U6" s="402">
        <f>[48]Masses_EC1!W$17</f>
        <v>-0.23634219166871764</v>
      </c>
      <c r="V6" s="402">
        <f>[48]Masses_EC1!X$17</f>
        <v>-0.24198177189388675</v>
      </c>
      <c r="W6" s="402">
        <f>[48]Masses_EC1!Y$17</f>
        <v>-0.25103832299735057</v>
      </c>
      <c r="X6" s="402">
        <f>[48]Masses_EC1!Z$17</f>
        <v>-0.25750024493852741</v>
      </c>
      <c r="Y6" s="402">
        <f>[48]Masses_EC1!AA$17</f>
        <v>-0.26408743122710487</v>
      </c>
      <c r="Z6" s="402">
        <f>[48]Masses_EC1!AB$17</f>
        <v>-0.26890269941621903</v>
      </c>
      <c r="AA6" s="402">
        <f>[48]Masses_EC1!AC$17</f>
        <v>-0.27394434750186347</v>
      </c>
      <c r="AB6" s="402">
        <f>[48]Masses_EC1!AD$17</f>
        <v>-0.27923773651580563</v>
      </c>
      <c r="AC6" s="402">
        <f>[48]Masses_EC1!AE$17</f>
        <v>-0.28543109511735615</v>
      </c>
      <c r="AD6" s="402">
        <f>[48]Masses_EC1!AF$17</f>
        <v>-0.28777254391873858</v>
      </c>
      <c r="AE6" s="402">
        <f>[48]Masses_EC1!AG$17</f>
        <v>-0.29129728674909089</v>
      </c>
      <c r="AF6" s="402">
        <f>[48]Masses_EC1!AH$17</f>
        <v>-0.29367208894084357</v>
      </c>
      <c r="AG6" s="402">
        <f>[48]Masses_EC1!AI$17</f>
        <v>-0.29487437803597688</v>
      </c>
      <c r="AH6" s="402">
        <f>[48]Masses_EC1!AJ$17</f>
        <v>-0.29671927754783201</v>
      </c>
      <c r="AI6" s="402">
        <f>[48]Masses_EC1!AK$17</f>
        <v>-0.29919355468662656</v>
      </c>
      <c r="AJ6" s="402">
        <f>[48]Masses_EC1!AL$17</f>
        <v>-0.29944618834576942</v>
      </c>
      <c r="AK6" s="402">
        <f>[48]Masses_EC1!AM$17</f>
        <v>-0.30238788813547496</v>
      </c>
      <c r="AL6" s="402">
        <f>[48]Masses_EC1!AN$17</f>
        <v>-0.30337155577697639</v>
      </c>
      <c r="AM6" s="402">
        <f>[48]Masses_EC1!AO$17</f>
        <v>-0.3039116068387363</v>
      </c>
      <c r="AN6" s="402">
        <f>[48]Masses_EC1!AP$17</f>
        <v>-0.30598452091830297</v>
      </c>
      <c r="AO6" s="402">
        <f>[48]Masses_EC1!AQ$17</f>
        <v>-0.30543501964824887</v>
      </c>
      <c r="AP6" s="402">
        <f>[48]Masses_EC1!AR$17</f>
        <v>-0.30582734537061074</v>
      </c>
      <c r="AQ6" s="402">
        <f>[48]Masses_EC1!AS$17</f>
        <v>-0.3059451522562866</v>
      </c>
      <c r="AR6" s="402">
        <f>[48]Masses_EC1!AT$17</f>
        <v>-0.3043544432107585</v>
      </c>
      <c r="AS6" s="402">
        <f>[48]Masses_EC1!AU$17</f>
        <v>-0.3015748927940593</v>
      </c>
      <c r="AT6" s="402">
        <f>[48]Masses_EC1!AV$17</f>
        <v>-0.30035117535698269</v>
      </c>
      <c r="AU6" s="403">
        <f>[48]Masses_EC1!AW$17</f>
        <v>-0.3012406512249925</v>
      </c>
      <c r="AV6" s="399"/>
    </row>
    <row r="7" spans="1:48" ht="15">
      <c r="B7" s="410" t="str">
        <f>'[43]Masses prestations'!C21</f>
        <v xml:space="preserve">Fonction publique </v>
      </c>
      <c r="C7" s="407">
        <f>[48]Masses_EC1!E$16</f>
        <v>-1.380183389491876E-2</v>
      </c>
      <c r="D7" s="402">
        <f>[48]Masses_EC1!F$16</f>
        <v>-2.595061332894024E-2</v>
      </c>
      <c r="E7" s="402">
        <f>[48]Masses_EC1!G$16</f>
        <v>-3.8946945500887058E-2</v>
      </c>
      <c r="F7" s="402">
        <f>[48]Masses_EC1!H$16</f>
        <v>-5.2471380246305113E-2</v>
      </c>
      <c r="G7" s="402">
        <f>[48]Masses_EC1!I$16</f>
        <v>-6.399509598379878E-2</v>
      </c>
      <c r="H7" s="402">
        <f>[48]Masses_EC1!J$16</f>
        <v>-7.3847143932407058E-2</v>
      </c>
      <c r="I7" s="402">
        <f>[48]Masses_EC1!K$16</f>
        <v>-8.1684768363495572E-2</v>
      </c>
      <c r="J7" s="402">
        <f>[48]Masses_EC1!L$16</f>
        <v>-9.2445970878946432E-2</v>
      </c>
      <c r="K7" s="402">
        <f>[48]Masses_EC1!M$16</f>
        <v>-0.10368310314510595</v>
      </c>
      <c r="L7" s="402">
        <f>[48]Masses_EC1!N$16</f>
        <v>-0.1114048210218728</v>
      </c>
      <c r="M7" s="402">
        <f>[48]Masses_EC1!O$16</f>
        <v>-0.12327878060700939</v>
      </c>
      <c r="N7" s="402">
        <f>[48]Masses_EC1!P$16</f>
        <v>-0.13465381409314103</v>
      </c>
      <c r="O7" s="402">
        <f>[48]Masses_EC1!Q$16</f>
        <v>-0.14298839702726496</v>
      </c>
      <c r="P7" s="402">
        <f>[48]Masses_EC1!R$16</f>
        <v>-0.15377099469508607</v>
      </c>
      <c r="Q7" s="402">
        <f>[48]Masses_EC1!S$16</f>
        <v>-0.16084775550475258</v>
      </c>
      <c r="R7" s="402">
        <f>[48]Masses_EC1!T$16</f>
        <v>-0.16837454946292871</v>
      </c>
      <c r="S7" s="402">
        <f>[48]Masses_EC1!U$16</f>
        <v>-0.17629686865058708</v>
      </c>
      <c r="T7" s="402">
        <f>[48]Masses_EC1!V$16</f>
        <v>-0.18153264070036576</v>
      </c>
      <c r="U7" s="402">
        <f>[48]Masses_EC1!W$16</f>
        <v>-0.18680789824997193</v>
      </c>
      <c r="V7" s="402">
        <f>[48]Masses_EC1!X$16</f>
        <v>-0.19644170044124026</v>
      </c>
      <c r="W7" s="402">
        <f>[48]Masses_EC1!Y$16</f>
        <v>-0.20209144210763458</v>
      </c>
      <c r="X7" s="402">
        <f>[48]Masses_EC1!Z$16</f>
        <v>-0.21222085695450538</v>
      </c>
      <c r="Y7" s="402">
        <f>[48]Masses_EC1!AA$16</f>
        <v>-0.2163107725508045</v>
      </c>
      <c r="Z7" s="402">
        <f>[48]Masses_EC1!AB$16</f>
        <v>-0.22840129529443298</v>
      </c>
      <c r="AA7" s="402">
        <f>[48]Masses_EC1!AC$16</f>
        <v>-0.23415982623064996</v>
      </c>
      <c r="AB7" s="402">
        <f>[48]Masses_EC1!AD$16</f>
        <v>-0.23909704269263157</v>
      </c>
      <c r="AC7" s="402">
        <f>[48]Masses_EC1!AE$16</f>
        <v>-0.24274091103526332</v>
      </c>
      <c r="AD7" s="402">
        <f>[48]Masses_EC1!AF$16</f>
        <v>-0.24415443862589337</v>
      </c>
      <c r="AE7" s="402">
        <f>[48]Masses_EC1!AG$16</f>
        <v>-0.24541110416879044</v>
      </c>
      <c r="AF7" s="402">
        <f>[48]Masses_EC1!AH$16</f>
        <v>-0.24816733636227545</v>
      </c>
      <c r="AG7" s="402">
        <f>[48]Masses_EC1!AI$16</f>
        <v>-0.25318224713026422</v>
      </c>
      <c r="AH7" s="402">
        <f>[48]Masses_EC1!AJ$16</f>
        <v>-0.2553796617391037</v>
      </c>
      <c r="AI7" s="402">
        <f>[48]Masses_EC1!AK$16</f>
        <v>-0.25737663926635423</v>
      </c>
      <c r="AJ7" s="402">
        <f>[48]Masses_EC1!AL$16</f>
        <v>-0.25737737362431889</v>
      </c>
      <c r="AK7" s="402">
        <f>[48]Masses_EC1!AM$16</f>
        <v>-0.25997775113049382</v>
      </c>
      <c r="AL7" s="402">
        <f>[48]Masses_EC1!AN$16</f>
        <v>-0.26142146478804756</v>
      </c>
      <c r="AM7" s="402">
        <f>[48]Masses_EC1!AO$16</f>
        <v>-0.26359026858673562</v>
      </c>
      <c r="AN7" s="402">
        <f>[48]Masses_EC1!AP$16</f>
        <v>-0.26234618570516677</v>
      </c>
      <c r="AO7" s="402">
        <f>[48]Masses_EC1!AQ$16</f>
        <v>-0.26861326265432278</v>
      </c>
      <c r="AP7" s="402">
        <f>[48]Masses_EC1!AR$16</f>
        <v>-0.26849337633265702</v>
      </c>
      <c r="AQ7" s="402">
        <f>[48]Masses_EC1!AS$16</f>
        <v>-0.27212752940816032</v>
      </c>
      <c r="AR7" s="402">
        <f>[48]Masses_EC1!AT$16</f>
        <v>-0.26988782111245213</v>
      </c>
      <c r="AS7" s="402">
        <f>[48]Masses_EC1!AU$16</f>
        <v>-0.26058270853868987</v>
      </c>
      <c r="AT7" s="402">
        <f>[48]Masses_EC1!AV$16</f>
        <v>-0.2568986262518882</v>
      </c>
      <c r="AU7" s="403">
        <f>[48]Masses_EC1!AW$16</f>
        <v>-0.25794604772119617</v>
      </c>
    </row>
    <row r="8" spans="1:48" ht="15">
      <c r="B8" s="410" t="str">
        <f>'[43]Masses prestations'!C22</f>
        <v xml:space="preserve">Indépendants </v>
      </c>
      <c r="C8" s="407">
        <f>[48]Masses_EC1!E$18</f>
        <v>2.2054164944115495E-2</v>
      </c>
      <c r="D8" s="402">
        <f>[48]Masses_EC1!F$18</f>
        <v>1.4435341782280533E-2</v>
      </c>
      <c r="E8" s="402">
        <f>[48]Masses_EC1!G$18</f>
        <v>7.0864989830562945E-3</v>
      </c>
      <c r="F8" s="402">
        <f>[48]Masses_EC1!H$18</f>
        <v>-1.2076500202165558E-4</v>
      </c>
      <c r="G8" s="402">
        <f>[48]Masses_EC1!I$18</f>
        <v>-3.3451635139148139E-3</v>
      </c>
      <c r="H8" s="402">
        <f>[48]Masses_EC1!J$18</f>
        <v>-9.5070011510687107E-3</v>
      </c>
      <c r="I8" s="402">
        <f>[48]Masses_EC1!K$18</f>
        <v>-1.3333414220634672E-2</v>
      </c>
      <c r="J8" s="402">
        <f>[48]Masses_EC1!L$18</f>
        <v>-1.8536316909290671E-2</v>
      </c>
      <c r="K8" s="402">
        <f>[48]Masses_EC1!M$18</f>
        <v>-2.7581184742703595E-2</v>
      </c>
      <c r="L8" s="402">
        <f>[48]Masses_EC1!N$18</f>
        <v>-3.4808463006332002E-2</v>
      </c>
      <c r="M8" s="402">
        <f>[48]Masses_EC1!O$18</f>
        <v>-4.5494659640448104E-2</v>
      </c>
      <c r="N8" s="402">
        <f>[48]Masses_EC1!P$18</f>
        <v>-4.7128703628373222E-2</v>
      </c>
      <c r="O8" s="402">
        <f>[48]Masses_EC1!Q$18</f>
        <v>-5.1496708809964452E-2</v>
      </c>
      <c r="P8" s="402">
        <f>[48]Masses_EC1!R$18</f>
        <v>-5.7931253698148714E-2</v>
      </c>
      <c r="Q8" s="402">
        <f>[48]Masses_EC1!S$18</f>
        <v>-6.4580008107900141E-2</v>
      </c>
      <c r="R8" s="402">
        <f>[48]Masses_EC1!T$18</f>
        <v>-6.5093137427178122E-2</v>
      </c>
      <c r="S8" s="402">
        <f>[48]Masses_EC1!U$18</f>
        <v>-7.3792009402674302E-2</v>
      </c>
      <c r="T8" s="402">
        <f>[48]Masses_EC1!V$18</f>
        <v>-7.5550169564050959E-2</v>
      </c>
      <c r="U8" s="402">
        <f>[48]Masses_EC1!W$18</f>
        <v>-8.2014413506320022E-2</v>
      </c>
      <c r="V8" s="402">
        <f>[48]Masses_EC1!X$18</f>
        <v>-8.24036611552946E-2</v>
      </c>
      <c r="W8" s="402">
        <f>[48]Masses_EC1!Y$18</f>
        <v>-8.161721325108677E-2</v>
      </c>
      <c r="X8" s="402">
        <f>[48]Masses_EC1!Z$18</f>
        <v>-9.1658852955721445E-2</v>
      </c>
      <c r="Y8" s="402">
        <f>[48]Masses_EC1!AA$18</f>
        <v>-9.7140744146070448E-2</v>
      </c>
      <c r="Z8" s="402">
        <f>[48]Masses_EC1!AB$18</f>
        <v>-0.10371709456375051</v>
      </c>
      <c r="AA8" s="402">
        <f>[48]Masses_EC1!AC$18</f>
        <v>-9.7950536040170996E-2</v>
      </c>
      <c r="AB8" s="402">
        <f>[48]Masses_EC1!AD$18</f>
        <v>-0.10140236137972856</v>
      </c>
      <c r="AC8" s="402">
        <f>[48]Masses_EC1!AE$18</f>
        <v>-9.8510306969779957E-2</v>
      </c>
      <c r="AD8" s="402">
        <f>[48]Masses_EC1!AF$18</f>
        <v>-9.5937554034048092E-2</v>
      </c>
      <c r="AE8" s="402">
        <f>[48]Masses_EC1!AG$18</f>
        <v>-9.7734699993460683E-2</v>
      </c>
      <c r="AF8" s="402">
        <f>[48]Masses_EC1!AH$18</f>
        <v>-9.986673530031126E-2</v>
      </c>
      <c r="AG8" s="402">
        <f>[48]Masses_EC1!AI$18</f>
        <v>-9.9622118248591907E-2</v>
      </c>
      <c r="AH8" s="402">
        <f>[48]Masses_EC1!AJ$18</f>
        <v>-0.10362822541294361</v>
      </c>
      <c r="AI8" s="402">
        <f>[48]Masses_EC1!AK$18</f>
        <v>-0.10920414192942633</v>
      </c>
      <c r="AJ8" s="402">
        <f>[48]Masses_EC1!AL$18</f>
        <v>-0.11555507372230248</v>
      </c>
      <c r="AK8" s="402">
        <f>[48]Masses_EC1!AM$18</f>
        <v>-0.11593472286542474</v>
      </c>
      <c r="AL8" s="402">
        <f>[48]Masses_EC1!AN$18</f>
        <v>-0.11226553381430704</v>
      </c>
      <c r="AM8" s="402">
        <f>[48]Masses_EC1!AO$18</f>
        <v>-0.12018265354096537</v>
      </c>
      <c r="AN8" s="402">
        <f>[48]Masses_EC1!AP$18</f>
        <v>-0.11591729903045099</v>
      </c>
      <c r="AO8" s="402">
        <f>[48]Masses_EC1!AQ$18</f>
        <v>-0.12635496325289045</v>
      </c>
      <c r="AP8" s="402">
        <f>[48]Masses_EC1!AR$18</f>
        <v>-0.13200157301395596</v>
      </c>
      <c r="AQ8" s="402">
        <f>[48]Masses_EC1!AS$18</f>
        <v>-0.13591898793412571</v>
      </c>
      <c r="AR8" s="402">
        <f>[48]Masses_EC1!AT$18</f>
        <v>-0.141836858215383</v>
      </c>
      <c r="AS8" s="402">
        <f>[48]Masses_EC1!AU$18</f>
        <v>-0.14719673073054645</v>
      </c>
      <c r="AT8" s="402">
        <f>[48]Masses_EC1!AV$18</f>
        <v>-0.14697714634259024</v>
      </c>
      <c r="AU8" s="403">
        <f>[48]Masses_EC1!AW$18</f>
        <v>-0.14833793153878932</v>
      </c>
    </row>
    <row r="9" spans="1:48" ht="15.75" thickBot="1">
      <c r="B9" s="411" t="str">
        <f>'[43]Masses prestations'!C23</f>
        <v xml:space="preserve">Régime général </v>
      </c>
      <c r="C9" s="408">
        <f>[48]Masses_EC1!E$15</f>
        <v>8.9657278714650249E-2</v>
      </c>
      <c r="D9" s="404">
        <f>[48]Masses_EC1!F$15</f>
        <v>0.10055708072165345</v>
      </c>
      <c r="E9" s="404">
        <f>[48]Masses_EC1!G$15</f>
        <v>0.11112249904599279</v>
      </c>
      <c r="F9" s="404">
        <f>[48]Masses_EC1!H$15</f>
        <v>0.11860704561658454</v>
      </c>
      <c r="G9" s="404">
        <f>[48]Masses_EC1!I$15</f>
        <v>0.13020052724419784</v>
      </c>
      <c r="H9" s="404">
        <f>[48]Masses_EC1!J$15</f>
        <v>0.13788684028416517</v>
      </c>
      <c r="I9" s="404">
        <f>[48]Masses_EC1!K$15</f>
        <v>0.14396101381554116</v>
      </c>
      <c r="J9" s="404">
        <f>[48]Masses_EC1!L$15</f>
        <v>0.14952589146913303</v>
      </c>
      <c r="K9" s="404">
        <f>[48]Masses_EC1!M$15</f>
        <v>0.15694633114969961</v>
      </c>
      <c r="L9" s="404">
        <f>[48]Masses_EC1!N$15</f>
        <v>0.16134362912930572</v>
      </c>
      <c r="M9" s="404">
        <f>[48]Masses_EC1!O$15</f>
        <v>0.16278684844887412</v>
      </c>
      <c r="N9" s="404">
        <f>[48]Masses_EC1!P$15</f>
        <v>0.16294987619789172</v>
      </c>
      <c r="O9" s="404">
        <f>[48]Masses_EC1!Q$15</f>
        <v>0.16557319020687464</v>
      </c>
      <c r="P9" s="404">
        <f>[48]Masses_EC1!R$15</f>
        <v>0.16710246816474281</v>
      </c>
      <c r="Q9" s="404">
        <f>[48]Masses_EC1!S$15</f>
        <v>0.16834427272119298</v>
      </c>
      <c r="R9" s="404">
        <f>[48]Masses_EC1!T$15</f>
        <v>0.16489812671084339</v>
      </c>
      <c r="S9" s="404">
        <f>[48]Masses_EC1!U$15</f>
        <v>0.16381212764598363</v>
      </c>
      <c r="T9" s="404">
        <f>[48]Masses_EC1!V$15</f>
        <v>0.16079231070825206</v>
      </c>
      <c r="U9" s="404">
        <f>[48]Masses_EC1!W$15</f>
        <v>0.15857958729572014</v>
      </c>
      <c r="V9" s="404">
        <f>[48]Masses_EC1!X$15</f>
        <v>0.1583323302714478</v>
      </c>
      <c r="W9" s="404">
        <f>[48]Masses_EC1!Y$15</f>
        <v>0.15736081068778582</v>
      </c>
      <c r="X9" s="404">
        <f>[48]Masses_EC1!Z$15</f>
        <v>0.1575277751161013</v>
      </c>
      <c r="Y9" s="404">
        <f>[48]Masses_EC1!AA$15</f>
        <v>0.15549233694600062</v>
      </c>
      <c r="Z9" s="404">
        <f>[48]Masses_EC1!AB$15</f>
        <v>0.15285480013917954</v>
      </c>
      <c r="AA9" s="404">
        <f>[48]Masses_EC1!AC$15</f>
        <v>0.14990813596789831</v>
      </c>
      <c r="AB9" s="404">
        <f>[48]Masses_EC1!AD$15</f>
        <v>0.14387818370360819</v>
      </c>
      <c r="AC9" s="404">
        <f>[48]Masses_EC1!AE$15</f>
        <v>0.13979758907549275</v>
      </c>
      <c r="AD9" s="404">
        <f>[48]Masses_EC1!AF$15</f>
        <v>0.13714219632547087</v>
      </c>
      <c r="AE9" s="404">
        <f>[48]Masses_EC1!AG$15</f>
        <v>0.13218479969035771</v>
      </c>
      <c r="AF9" s="404">
        <f>[48]Masses_EC1!AH$15</f>
        <v>0.12647049917204761</v>
      </c>
      <c r="AG9" s="404">
        <f>[48]Masses_EC1!AI$15</f>
        <v>0.12406568655844304</v>
      </c>
      <c r="AH9" s="404">
        <f>[48]Masses_EC1!AJ$15</f>
        <v>0.11917531348408193</v>
      </c>
      <c r="AI9" s="404">
        <f>[48]Masses_EC1!AK$15</f>
        <v>0.11540895387479602</v>
      </c>
      <c r="AJ9" s="404">
        <f>[48]Masses_EC1!AL$15</f>
        <v>0.11386873863553065</v>
      </c>
      <c r="AK9" s="404">
        <f>[48]Masses_EC1!AM$15</f>
        <v>0.11342206910215921</v>
      </c>
      <c r="AL9" s="404">
        <f>[48]Masses_EC1!AN$15</f>
        <v>0.11224845084266528</v>
      </c>
      <c r="AM9" s="404">
        <f>[48]Masses_EC1!AO$15</f>
        <v>0.10713830143979919</v>
      </c>
      <c r="AN9" s="404">
        <f>[48]Masses_EC1!AP$15</f>
        <v>0.10571332859496466</v>
      </c>
      <c r="AO9" s="404">
        <f>[48]Masses_EC1!AQ$15</f>
        <v>9.9225332322991397E-2</v>
      </c>
      <c r="AP9" s="404">
        <f>[48]Masses_EC1!AR$15</f>
        <v>9.6768678860465931E-2</v>
      </c>
      <c r="AQ9" s="404">
        <f>[48]Masses_EC1!AS$15</f>
        <v>9.0519691753397344E-2</v>
      </c>
      <c r="AR9" s="404">
        <f>[48]Masses_EC1!AT$15</f>
        <v>8.3705842866983529E-2</v>
      </c>
      <c r="AS9" s="404">
        <f>[48]Masses_EC1!AU$15</f>
        <v>7.6171324765027471E-2</v>
      </c>
      <c r="AT9" s="404">
        <f>[48]Masses_EC1!AV$15</f>
        <v>6.6354167698902705E-2</v>
      </c>
      <c r="AU9" s="405">
        <f>[48]Masses_EC1!AW$15</f>
        <v>6.2522063678684361E-2</v>
      </c>
    </row>
    <row r="11" spans="1:48">
      <c r="B11" s="177" t="s">
        <v>63</v>
      </c>
    </row>
  </sheetData>
  <hyperlinks>
    <hyperlink ref="A2" location="SOMMAIRE!A1" display="Retour au sommaire" xr:uid="{15057C9E-8AD9-4FB5-9588-8FF21A47FB2D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78E-B526-4592-86F9-7FC33982C7BE}">
  <sheetPr>
    <tabColor rgb="FFACB9CA"/>
  </sheetPr>
  <dimension ref="A1:AU10"/>
  <sheetViews>
    <sheetView workbookViewId="0">
      <selection activeCell="A2" sqref="A2"/>
    </sheetView>
  </sheetViews>
  <sheetFormatPr baseColWidth="10" defaultRowHeight="14.25"/>
  <cols>
    <col min="2" max="2" width="21.125" bestFit="1" customWidth="1"/>
  </cols>
  <sheetData>
    <row r="1" spans="1:47" ht="15.75">
      <c r="A1" s="2" t="s">
        <v>121</v>
      </c>
    </row>
    <row r="2" spans="1:47">
      <c r="A2" s="6" t="s">
        <v>2</v>
      </c>
    </row>
    <row r="3" spans="1:47" ht="15" thickBot="1">
      <c r="A3" s="6"/>
    </row>
    <row r="4" spans="1:47" ht="15" thickBot="1">
      <c r="B4" s="414"/>
      <c r="C4" s="387">
        <v>2026</v>
      </c>
      <c r="D4" s="388">
        <v>2027</v>
      </c>
      <c r="E4" s="388">
        <v>2028</v>
      </c>
      <c r="F4" s="388">
        <v>2029</v>
      </c>
      <c r="G4" s="388">
        <v>2030</v>
      </c>
      <c r="H4" s="388">
        <v>2031</v>
      </c>
      <c r="I4" s="388">
        <v>2032</v>
      </c>
      <c r="J4" s="388">
        <v>2033</v>
      </c>
      <c r="K4" s="388">
        <v>2034</v>
      </c>
      <c r="L4" s="388">
        <v>2035</v>
      </c>
      <c r="M4" s="388">
        <v>2036</v>
      </c>
      <c r="N4" s="388">
        <v>2037</v>
      </c>
      <c r="O4" s="388">
        <v>2038</v>
      </c>
      <c r="P4" s="388">
        <v>2039</v>
      </c>
      <c r="Q4" s="388">
        <v>2040</v>
      </c>
      <c r="R4" s="388">
        <v>2041</v>
      </c>
      <c r="S4" s="388">
        <v>2042</v>
      </c>
      <c r="T4" s="388">
        <v>2043</v>
      </c>
      <c r="U4" s="388">
        <v>2044</v>
      </c>
      <c r="V4" s="388">
        <v>2045</v>
      </c>
      <c r="W4" s="388">
        <v>2046</v>
      </c>
      <c r="X4" s="388">
        <v>2047</v>
      </c>
      <c r="Y4" s="388">
        <v>2048</v>
      </c>
      <c r="Z4" s="388">
        <v>2049</v>
      </c>
      <c r="AA4" s="388">
        <v>2050</v>
      </c>
      <c r="AB4" s="388">
        <v>2051</v>
      </c>
      <c r="AC4" s="388">
        <v>2052</v>
      </c>
      <c r="AD4" s="388">
        <v>2053</v>
      </c>
      <c r="AE4" s="388">
        <v>2054</v>
      </c>
      <c r="AF4" s="388">
        <v>2055</v>
      </c>
      <c r="AG4" s="388">
        <v>2056</v>
      </c>
      <c r="AH4" s="388">
        <v>2057</v>
      </c>
      <c r="AI4" s="388">
        <v>2058</v>
      </c>
      <c r="AJ4" s="388">
        <v>2059</v>
      </c>
      <c r="AK4" s="388">
        <v>2060</v>
      </c>
      <c r="AL4" s="388">
        <v>2061</v>
      </c>
      <c r="AM4" s="388">
        <v>2062</v>
      </c>
      <c r="AN4" s="388">
        <v>2063</v>
      </c>
      <c r="AO4" s="388">
        <v>2064</v>
      </c>
      <c r="AP4" s="388">
        <v>2065</v>
      </c>
      <c r="AQ4" s="388">
        <v>2066</v>
      </c>
      <c r="AR4" s="388">
        <v>2067</v>
      </c>
      <c r="AS4" s="388">
        <v>2068</v>
      </c>
      <c r="AT4" s="388">
        <v>2069</v>
      </c>
      <c r="AU4" s="389">
        <v>2070</v>
      </c>
    </row>
    <row r="5" spans="1:47" ht="15">
      <c r="B5" s="368" t="s">
        <v>64</v>
      </c>
      <c r="C5" s="415">
        <f>'[49]Masses prestations'!D$19</f>
        <v>-4.2801161725683545E-2</v>
      </c>
      <c r="D5" s="416">
        <f>'[49]Masses prestations'!E$19</f>
        <v>-4.5636858930551527E-2</v>
      </c>
      <c r="E5" s="416">
        <f>'[49]Masses prestations'!F$19</f>
        <v>-4.8695389891580586E-2</v>
      </c>
      <c r="F5" s="416">
        <f>'[49]Masses prestations'!G$19</f>
        <v>-5.2599867311210122E-2</v>
      </c>
      <c r="G5" s="416">
        <f>'[49]Masses prestations'!H$19</f>
        <v>-5.5355911569526094E-2</v>
      </c>
      <c r="H5" s="416">
        <f>'[49]Masses prestations'!I$19</f>
        <v>-5.7589210980655156E-2</v>
      </c>
      <c r="I5" s="416">
        <f>'[49]Masses prestations'!J$19</f>
        <v>-6.0880008553224341E-2</v>
      </c>
      <c r="J5" s="416">
        <f>'[49]Masses prestations'!K$19</f>
        <v>-6.27238500330531E-2</v>
      </c>
      <c r="K5" s="416">
        <f>'[49]Masses prestations'!L$19</f>
        <v>-6.5710103225778235E-2</v>
      </c>
      <c r="L5" s="416">
        <f>'[49]Masses prestations'!M$19</f>
        <v>-6.8536583668402706E-2</v>
      </c>
      <c r="M5" s="416">
        <f>'[49]Masses prestations'!N$19</f>
        <v>-7.1016565624623829E-2</v>
      </c>
      <c r="N5" s="416">
        <f>'[49]Masses prestations'!O$19</f>
        <v>-7.3233953059302373E-2</v>
      </c>
      <c r="O5" s="416">
        <f>'[49]Masses prestations'!P$19</f>
        <v>-7.4329780118954789E-2</v>
      </c>
      <c r="P5" s="416">
        <f>'[49]Masses prestations'!Q$19</f>
        <v>-7.6447114146916934E-2</v>
      </c>
      <c r="Q5" s="416">
        <f>'[49]Masses prestations'!R$19</f>
        <v>-7.7495507977329542E-2</v>
      </c>
      <c r="R5" s="416">
        <f>'[49]Masses prestations'!S$19</f>
        <v>-7.9642001137965629E-2</v>
      </c>
      <c r="S5" s="416">
        <f>'[49]Masses prestations'!T$19</f>
        <v>-8.1291285528103704E-2</v>
      </c>
      <c r="T5" s="416">
        <f>'[49]Masses prestations'!U$19</f>
        <v>-8.3043603865520246E-2</v>
      </c>
      <c r="U5" s="416">
        <f>'[49]Masses prestations'!V$19</f>
        <v>-8.4059899313714548E-2</v>
      </c>
      <c r="V5" s="416">
        <f>'[49]Masses prestations'!W$19</f>
        <v>-8.5402454144512557E-2</v>
      </c>
      <c r="W5" s="416">
        <f>'[49]Masses prestations'!X$19</f>
        <v>-8.6199427785804805E-2</v>
      </c>
      <c r="X5" s="416">
        <f>'[49]Masses prestations'!Y$19</f>
        <v>-8.5023113849192034E-2</v>
      </c>
      <c r="Y5" s="416">
        <f>'[49]Masses prestations'!Z$19</f>
        <v>-8.5767074027035956E-2</v>
      </c>
      <c r="Z5" s="416">
        <f>'[49]Masses prestations'!AA$19</f>
        <v>-8.6037571476403979E-2</v>
      </c>
      <c r="AA5" s="416">
        <f>'[49]Masses prestations'!AB$19</f>
        <v>-8.7479289363463539E-2</v>
      </c>
      <c r="AB5" s="416">
        <f>'[49]Masses prestations'!AC$19</f>
        <v>-8.7474296153375555E-2</v>
      </c>
      <c r="AC5" s="416">
        <f>'[49]Masses prestations'!AD$19</f>
        <v>-8.6337820520994091E-2</v>
      </c>
      <c r="AD5" s="416">
        <f>'[49]Masses prestations'!AE$19</f>
        <v>-8.5135595941084621E-2</v>
      </c>
      <c r="AE5" s="416">
        <f>'[49]Masses prestations'!AF$19</f>
        <v>-8.4545525809243099E-2</v>
      </c>
      <c r="AF5" s="416">
        <f>'[49]Masses prestations'!AG$19</f>
        <v>-8.4536311607898387E-2</v>
      </c>
      <c r="AG5" s="416">
        <f>'[49]Masses prestations'!AH$19</f>
        <v>-8.4209238856731178E-2</v>
      </c>
      <c r="AH5" s="416">
        <f>'[49]Masses prestations'!AI$19</f>
        <v>-8.3053516754816342E-2</v>
      </c>
      <c r="AI5" s="416">
        <f>'[49]Masses prestations'!AJ$19</f>
        <v>-8.1158086088477119E-2</v>
      </c>
      <c r="AJ5" s="416">
        <f>'[49]Masses prestations'!AK$19</f>
        <v>-7.8640667815520773E-2</v>
      </c>
      <c r="AK5" s="416">
        <f>'[49]Masses prestations'!AL$19</f>
        <v>-7.7455387884598229E-2</v>
      </c>
      <c r="AL5" s="416">
        <f>'[49]Masses prestations'!AM$19</f>
        <v>-7.6681523729689394E-2</v>
      </c>
      <c r="AM5" s="416">
        <f>'[49]Masses prestations'!AN$19</f>
        <v>-7.4644459805765589E-2</v>
      </c>
      <c r="AN5" s="416">
        <f>'[49]Masses prestations'!AO$19</f>
        <v>-7.2565701099418067E-2</v>
      </c>
      <c r="AO5" s="416">
        <f>'[49]Masses prestations'!AP$19</f>
        <v>-7.136508154798922E-2</v>
      </c>
      <c r="AP5" s="416">
        <f>'[49]Masses prestations'!AQ$19</f>
        <v>-6.9396210221614213E-2</v>
      </c>
      <c r="AQ5" s="416">
        <f>'[49]Masses prestations'!AR$19</f>
        <v>-6.6814441746948394E-2</v>
      </c>
      <c r="AR5" s="416">
        <f>'[49]Masses prestations'!AS$19</f>
        <v>-6.582479750378735E-2</v>
      </c>
      <c r="AS5" s="416">
        <f>'[49]Masses prestations'!AT$19</f>
        <v>-6.5568056465414234E-2</v>
      </c>
      <c r="AT5" s="416">
        <f>'[49]Masses prestations'!AU$19</f>
        <v>-6.502086974721745E-2</v>
      </c>
      <c r="AU5" s="417">
        <f>'[49]Masses prestations'!AV$19</f>
        <v>-6.4369192028999045E-2</v>
      </c>
    </row>
    <row r="6" spans="1:47" ht="15.75" thickBot="1">
      <c r="B6" s="370" t="s">
        <v>65</v>
      </c>
      <c r="C6" s="418">
        <f>[49]Effectifs_année!D$19</f>
        <v>5.2431950022317061E-3</v>
      </c>
      <c r="D6" s="419">
        <f>[49]Effectifs_année!E$19</f>
        <v>6.6129480411237802E-3</v>
      </c>
      <c r="E6" s="419">
        <f>[49]Effectifs_année!F$19</f>
        <v>8.6506143589181184E-3</v>
      </c>
      <c r="F6" s="419">
        <f>[49]Effectifs_année!G$19</f>
        <v>9.4313757745244694E-3</v>
      </c>
      <c r="G6" s="419">
        <f>[49]Effectifs_année!H$19</f>
        <v>1.0780203626067754E-2</v>
      </c>
      <c r="H6" s="419">
        <f>[49]Effectifs_année!I$19</f>
        <v>1.2170166935920636E-2</v>
      </c>
      <c r="I6" s="419">
        <f>[49]Effectifs_année!J$19</f>
        <v>1.3570777235428228E-2</v>
      </c>
      <c r="J6" s="419">
        <f>[49]Effectifs_année!K$19</f>
        <v>1.5014375465875562E-2</v>
      </c>
      <c r="K6" s="419">
        <f>[49]Effectifs_année!L$19</f>
        <v>1.5871336366528137E-2</v>
      </c>
      <c r="L6" s="419">
        <f>[49]Effectifs_année!M$19</f>
        <v>1.7124189894100261E-2</v>
      </c>
      <c r="M6" s="419">
        <f>[49]Effectifs_année!N$19</f>
        <v>1.769772905247477E-2</v>
      </c>
      <c r="N6" s="419">
        <f>[49]Effectifs_année!O$19</f>
        <v>1.8402688033090656E-2</v>
      </c>
      <c r="O6" s="419">
        <f>[49]Effectifs_année!P$19</f>
        <v>1.9869942196540397E-2</v>
      </c>
      <c r="P6" s="419">
        <f>[49]Effectifs_année!Q$19</f>
        <v>2.0186973494973948E-2</v>
      </c>
      <c r="Q6" s="419">
        <f>[49]Effectifs_année!R$19</f>
        <v>2.2047486894860337E-2</v>
      </c>
      <c r="R6" s="419">
        <f>[49]Effectifs_année!S$19</f>
        <v>2.2762227007082313E-2</v>
      </c>
      <c r="S6" s="419">
        <f>[49]Effectifs_année!T$19</f>
        <v>2.3126687382212071E-2</v>
      </c>
      <c r="T6" s="419">
        <f>[49]Effectifs_année!U$19</f>
        <v>2.396824589080384E-2</v>
      </c>
      <c r="U6" s="419">
        <f>[49]Effectifs_année!V$19</f>
        <v>2.5869120654407666E-2</v>
      </c>
      <c r="V6" s="419">
        <f>[49]Effectifs_année!W$19</f>
        <v>2.6356192425804142E-2</v>
      </c>
      <c r="W6" s="419">
        <f>[49]Effectifs_année!X$19</f>
        <v>2.7269926047667769E-2</v>
      </c>
      <c r="X6" s="419">
        <f>[49]Effectifs_année!Y$19</f>
        <v>2.8168288789340235E-2</v>
      </c>
      <c r="Y6" s="419">
        <f>[49]Effectifs_année!Z$19</f>
        <v>2.8130484154034314E-2</v>
      </c>
      <c r="Z6" s="419">
        <f>[49]Effectifs_année!AA$19</f>
        <v>2.8575841828865519E-2</v>
      </c>
      <c r="AA6" s="419">
        <f>[49]Effectifs_année!AB$19</f>
        <v>2.8102564102574858E-2</v>
      </c>
      <c r="AB6" s="419">
        <f>[49]Effectifs_année!AC$19</f>
        <v>2.8430920547114866E-2</v>
      </c>
      <c r="AC6" s="419">
        <f>[49]Effectifs_année!AD$19</f>
        <v>2.9916500179304941E-2</v>
      </c>
      <c r="AD6" s="419">
        <f>[49]Effectifs_année!AE$19</f>
        <v>2.9707542329411325E-2</v>
      </c>
      <c r="AE6" s="419">
        <f>[49]Effectifs_année!AF$19</f>
        <v>2.9298972235017037E-2</v>
      </c>
      <c r="AF6" s="419">
        <f>[49]Effectifs_année!AG$19</f>
        <v>2.9455458224487082E-2</v>
      </c>
      <c r="AG6" s="419">
        <f>[49]Effectifs_année!AH$19</f>
        <v>2.8950727597662772E-2</v>
      </c>
      <c r="AH6" s="419">
        <f>[49]Effectifs_année!AI$19</f>
        <v>2.9311137210858412E-2</v>
      </c>
      <c r="AI6" s="419">
        <f>[49]Effectifs_année!AJ$19</f>
        <v>2.9026837093253807E-2</v>
      </c>
      <c r="AJ6" s="419">
        <f>[49]Effectifs_année!AK$19</f>
        <v>2.8950175224756191E-2</v>
      </c>
      <c r="AK6" s="419">
        <f>[49]Effectifs_année!AL$19</f>
        <v>2.8374194203349853E-2</v>
      </c>
      <c r="AL6" s="419">
        <f>[49]Effectifs_année!AM$19</f>
        <v>2.8393562101438678E-2</v>
      </c>
      <c r="AM6" s="419">
        <f>[49]Effectifs_année!AN$19</f>
        <v>2.8414252548715786E-2</v>
      </c>
      <c r="AN6" s="419">
        <f>[49]Effectifs_année!AO$19</f>
        <v>2.9192296057286401E-2</v>
      </c>
      <c r="AO6" s="419">
        <f>[49]Effectifs_année!AP$19</f>
        <v>3.0086176485421418E-2</v>
      </c>
      <c r="AP6" s="419">
        <f>[49]Effectifs_année!AQ$19</f>
        <v>3.0452261306543695E-2</v>
      </c>
      <c r="AQ6" s="419">
        <f>[49]Effectifs_année!AR$19</f>
        <v>3.0984507746139187E-2</v>
      </c>
      <c r="AR6" s="419">
        <f>[49]Effectifs_année!AS$19</f>
        <v>3.1032931887472689E-2</v>
      </c>
      <c r="AS6" s="419">
        <f>[49]Effectifs_année!AT$19</f>
        <v>3.1251560081885454E-2</v>
      </c>
      <c r="AT6" s="419">
        <f>[49]Effectifs_année!AU$19</f>
        <v>3.1273231897719023E-2</v>
      </c>
      <c r="AU6" s="420">
        <f>[49]Effectifs_année!AV$19</f>
        <v>3.0803461063052814E-2</v>
      </c>
    </row>
    <row r="7" spans="1:47" ht="15">
      <c r="B7" s="412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</row>
    <row r="8" spans="1:47" ht="15">
      <c r="B8" s="177" t="s">
        <v>63</v>
      </c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</row>
    <row r="10" spans="1:47" ht="15">
      <c r="D10" s="260" t="s">
        <v>67</v>
      </c>
      <c r="E10" s="261"/>
      <c r="F10" s="261"/>
      <c r="G10" s="261"/>
      <c r="I10" s="259"/>
      <c r="J10" s="258" t="s">
        <v>66</v>
      </c>
    </row>
  </sheetData>
  <hyperlinks>
    <hyperlink ref="A2" location="SOMMAIRE!A1" display="Retour au sommaire" xr:uid="{0EA36447-3947-45E4-B60E-F3A0266719C8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AB04-891E-480D-8523-DF1921D3EB62}">
  <sheetPr>
    <tabColor rgb="FFACB9CA"/>
  </sheetPr>
  <dimension ref="A1:AV11"/>
  <sheetViews>
    <sheetView zoomScaleNormal="100" workbookViewId="0"/>
  </sheetViews>
  <sheetFormatPr baseColWidth="10" defaultRowHeight="14.25"/>
  <cols>
    <col min="2" max="2" width="16.125" bestFit="1" customWidth="1"/>
  </cols>
  <sheetData>
    <row r="1" spans="1:48" ht="15.75">
      <c r="A1" s="2" t="s">
        <v>122</v>
      </c>
    </row>
    <row r="2" spans="1:48">
      <c r="A2" s="6" t="s">
        <v>2</v>
      </c>
    </row>
    <row r="3" spans="1:48" ht="15" thickBot="1"/>
    <row r="4" spans="1:48" ht="15" thickBot="1">
      <c r="B4" s="383"/>
      <c r="C4" s="387">
        <f>'[43]Masses prestations'!D3</f>
        <v>2026</v>
      </c>
      <c r="D4" s="388">
        <f>'[43]Masses prestations'!E3</f>
        <v>2027</v>
      </c>
      <c r="E4" s="388">
        <f>'[43]Masses prestations'!F3</f>
        <v>2028</v>
      </c>
      <c r="F4" s="388">
        <f>'[43]Masses prestations'!G3</f>
        <v>2029</v>
      </c>
      <c r="G4" s="388">
        <f>'[43]Masses prestations'!H3</f>
        <v>2030</v>
      </c>
      <c r="H4" s="388">
        <f>'[43]Masses prestations'!I3</f>
        <v>2031</v>
      </c>
      <c r="I4" s="388">
        <f>'[43]Masses prestations'!J3</f>
        <v>2032</v>
      </c>
      <c r="J4" s="388">
        <f>'[43]Masses prestations'!K3</f>
        <v>2033</v>
      </c>
      <c r="K4" s="388">
        <f>'[43]Masses prestations'!L3</f>
        <v>2034</v>
      </c>
      <c r="L4" s="388">
        <f>'[43]Masses prestations'!M3</f>
        <v>2035</v>
      </c>
      <c r="M4" s="388">
        <f>'[43]Masses prestations'!N3</f>
        <v>2036</v>
      </c>
      <c r="N4" s="388">
        <f>'[43]Masses prestations'!O3</f>
        <v>2037</v>
      </c>
      <c r="O4" s="388">
        <f>'[43]Masses prestations'!P3</f>
        <v>2038</v>
      </c>
      <c r="P4" s="388">
        <f>'[43]Masses prestations'!Q3</f>
        <v>2039</v>
      </c>
      <c r="Q4" s="388">
        <f>'[43]Masses prestations'!R3</f>
        <v>2040</v>
      </c>
      <c r="R4" s="388">
        <f>'[43]Masses prestations'!S3</f>
        <v>2041</v>
      </c>
      <c r="S4" s="388">
        <f>'[43]Masses prestations'!T3</f>
        <v>2042</v>
      </c>
      <c r="T4" s="388">
        <f>'[43]Masses prestations'!U3</f>
        <v>2043</v>
      </c>
      <c r="U4" s="388">
        <f>'[43]Masses prestations'!V3</f>
        <v>2044</v>
      </c>
      <c r="V4" s="388">
        <f>'[43]Masses prestations'!W3</f>
        <v>2045</v>
      </c>
      <c r="W4" s="388">
        <f>'[43]Masses prestations'!X3</f>
        <v>2046</v>
      </c>
      <c r="X4" s="388">
        <f>'[43]Masses prestations'!Y3</f>
        <v>2047</v>
      </c>
      <c r="Y4" s="388">
        <f>'[43]Masses prestations'!Z3</f>
        <v>2048</v>
      </c>
      <c r="Z4" s="388">
        <f>'[43]Masses prestations'!AA3</f>
        <v>2049</v>
      </c>
      <c r="AA4" s="388">
        <f>'[43]Masses prestations'!AB3</f>
        <v>2050</v>
      </c>
      <c r="AB4" s="388">
        <f>'[43]Masses prestations'!AC3</f>
        <v>2051</v>
      </c>
      <c r="AC4" s="388">
        <f>'[43]Masses prestations'!AD3</f>
        <v>2052</v>
      </c>
      <c r="AD4" s="388">
        <f>'[43]Masses prestations'!AE3</f>
        <v>2053</v>
      </c>
      <c r="AE4" s="388">
        <f>'[43]Masses prestations'!AF3</f>
        <v>2054</v>
      </c>
      <c r="AF4" s="388">
        <f>'[43]Masses prestations'!AG3</f>
        <v>2055</v>
      </c>
      <c r="AG4" s="388">
        <f>'[43]Masses prestations'!AH3</f>
        <v>2056</v>
      </c>
      <c r="AH4" s="388">
        <f>'[43]Masses prestations'!AI3</f>
        <v>2057</v>
      </c>
      <c r="AI4" s="388">
        <f>'[43]Masses prestations'!AJ3</f>
        <v>2058</v>
      </c>
      <c r="AJ4" s="388">
        <f>'[43]Masses prestations'!AK3</f>
        <v>2059</v>
      </c>
      <c r="AK4" s="388">
        <f>'[43]Masses prestations'!AL3</f>
        <v>2060</v>
      </c>
      <c r="AL4" s="388">
        <f>'[43]Masses prestations'!AM3</f>
        <v>2061</v>
      </c>
      <c r="AM4" s="388">
        <f>'[43]Masses prestations'!AN3</f>
        <v>2062</v>
      </c>
      <c r="AN4" s="388">
        <f>'[43]Masses prestations'!AO3</f>
        <v>2063</v>
      </c>
      <c r="AO4" s="388">
        <f>'[43]Masses prestations'!AP3</f>
        <v>2064</v>
      </c>
      <c r="AP4" s="388">
        <f>'[43]Masses prestations'!AQ3</f>
        <v>2065</v>
      </c>
      <c r="AQ4" s="388">
        <f>'[43]Masses prestations'!AR3</f>
        <v>2066</v>
      </c>
      <c r="AR4" s="388">
        <f>'[43]Masses prestations'!AS3</f>
        <v>2067</v>
      </c>
      <c r="AS4" s="388">
        <f>'[43]Masses prestations'!AT3</f>
        <v>2068</v>
      </c>
      <c r="AT4" s="388">
        <f>'[43]Masses prestations'!AU3</f>
        <v>2069</v>
      </c>
      <c r="AU4" s="389">
        <f>'[43]Masses prestations'!AV3</f>
        <v>2070</v>
      </c>
    </row>
    <row r="5" spans="1:48" ht="15">
      <c r="B5" s="384" t="str">
        <f>'[43]Masses prestations'!C19</f>
        <v>Ensemble</v>
      </c>
      <c r="C5" s="390">
        <f>'[49]Masses prestations'!D$19</f>
        <v>-4.2801161725683545E-2</v>
      </c>
      <c r="D5" s="391">
        <f>'[49]Masses prestations'!E$19</f>
        <v>-4.5636858930551527E-2</v>
      </c>
      <c r="E5" s="391">
        <f>'[49]Masses prestations'!F$19</f>
        <v>-4.8695389891580586E-2</v>
      </c>
      <c r="F5" s="391">
        <f>'[49]Masses prestations'!G$19</f>
        <v>-5.2599867311210122E-2</v>
      </c>
      <c r="G5" s="391">
        <f>'[49]Masses prestations'!H$19</f>
        <v>-5.5355911569526094E-2</v>
      </c>
      <c r="H5" s="391">
        <f>'[49]Masses prestations'!I$19</f>
        <v>-5.7589210980655156E-2</v>
      </c>
      <c r="I5" s="391">
        <f>'[49]Masses prestations'!J$19</f>
        <v>-6.0880008553224341E-2</v>
      </c>
      <c r="J5" s="391">
        <f>'[49]Masses prestations'!K$19</f>
        <v>-6.27238500330531E-2</v>
      </c>
      <c r="K5" s="391">
        <f>'[49]Masses prestations'!L$19</f>
        <v>-6.5710103225778235E-2</v>
      </c>
      <c r="L5" s="391">
        <f>'[49]Masses prestations'!M$19</f>
        <v>-6.8536583668402706E-2</v>
      </c>
      <c r="M5" s="391">
        <f>'[49]Masses prestations'!N$19</f>
        <v>-7.1016565624623829E-2</v>
      </c>
      <c r="N5" s="391">
        <f>'[49]Masses prestations'!O$19</f>
        <v>-7.3233953059302373E-2</v>
      </c>
      <c r="O5" s="391">
        <f>'[49]Masses prestations'!P$19</f>
        <v>-7.4329780118954789E-2</v>
      </c>
      <c r="P5" s="391">
        <f>'[49]Masses prestations'!Q$19</f>
        <v>-7.6447114146916934E-2</v>
      </c>
      <c r="Q5" s="391">
        <f>'[49]Masses prestations'!R$19</f>
        <v>-7.7495507977329542E-2</v>
      </c>
      <c r="R5" s="391">
        <f>'[49]Masses prestations'!S$19</f>
        <v>-7.9642001137965629E-2</v>
      </c>
      <c r="S5" s="391">
        <f>'[49]Masses prestations'!T$19</f>
        <v>-8.1291285528103704E-2</v>
      </c>
      <c r="T5" s="391">
        <f>'[49]Masses prestations'!U$19</f>
        <v>-8.3043603865520246E-2</v>
      </c>
      <c r="U5" s="391">
        <f>'[49]Masses prestations'!V$19</f>
        <v>-8.4059899313714548E-2</v>
      </c>
      <c r="V5" s="391">
        <f>'[49]Masses prestations'!W$19</f>
        <v>-8.5402454144512557E-2</v>
      </c>
      <c r="W5" s="391">
        <f>'[49]Masses prestations'!X$19</f>
        <v>-8.6199427785804805E-2</v>
      </c>
      <c r="X5" s="391">
        <f>'[49]Masses prestations'!Y$19</f>
        <v>-8.5023113849192034E-2</v>
      </c>
      <c r="Y5" s="391">
        <f>'[49]Masses prestations'!Z$19</f>
        <v>-8.5767074027035956E-2</v>
      </c>
      <c r="Z5" s="391">
        <f>'[49]Masses prestations'!AA$19</f>
        <v>-8.6037571476403979E-2</v>
      </c>
      <c r="AA5" s="391">
        <f>'[49]Masses prestations'!AB$19</f>
        <v>-8.7479289363463539E-2</v>
      </c>
      <c r="AB5" s="391">
        <f>'[49]Masses prestations'!AC$19</f>
        <v>-8.7474296153375555E-2</v>
      </c>
      <c r="AC5" s="391">
        <f>'[49]Masses prestations'!AD$19</f>
        <v>-8.6337820520994091E-2</v>
      </c>
      <c r="AD5" s="391">
        <f>'[49]Masses prestations'!AE$19</f>
        <v>-8.5135595941084621E-2</v>
      </c>
      <c r="AE5" s="391">
        <f>'[49]Masses prestations'!AF$19</f>
        <v>-8.4545525809243099E-2</v>
      </c>
      <c r="AF5" s="391">
        <f>'[49]Masses prestations'!AG$19</f>
        <v>-8.4536311607898387E-2</v>
      </c>
      <c r="AG5" s="391">
        <f>'[49]Masses prestations'!AH$19</f>
        <v>-8.4209238856731178E-2</v>
      </c>
      <c r="AH5" s="391">
        <f>'[49]Masses prestations'!AI$19</f>
        <v>-8.3053516754816342E-2</v>
      </c>
      <c r="AI5" s="391">
        <f>'[49]Masses prestations'!AJ$19</f>
        <v>-8.1158086088477119E-2</v>
      </c>
      <c r="AJ5" s="391">
        <f>'[49]Masses prestations'!AK$19</f>
        <v>-7.8640667815520773E-2</v>
      </c>
      <c r="AK5" s="391">
        <f>'[49]Masses prestations'!AL$19</f>
        <v>-7.7455387884598229E-2</v>
      </c>
      <c r="AL5" s="391">
        <f>'[49]Masses prestations'!AM$19</f>
        <v>-7.6681523729689394E-2</v>
      </c>
      <c r="AM5" s="391">
        <f>'[49]Masses prestations'!AN$19</f>
        <v>-7.4644459805765589E-2</v>
      </c>
      <c r="AN5" s="391">
        <f>'[49]Masses prestations'!AO$19</f>
        <v>-7.2565701099418067E-2</v>
      </c>
      <c r="AO5" s="391">
        <f>'[49]Masses prestations'!AP$19</f>
        <v>-7.136508154798922E-2</v>
      </c>
      <c r="AP5" s="391">
        <f>'[49]Masses prestations'!AQ$19</f>
        <v>-6.9396210221614213E-2</v>
      </c>
      <c r="AQ5" s="391">
        <f>'[49]Masses prestations'!AR$19</f>
        <v>-6.6814441746948394E-2</v>
      </c>
      <c r="AR5" s="391">
        <f>'[49]Masses prestations'!AS$19</f>
        <v>-6.582479750378735E-2</v>
      </c>
      <c r="AS5" s="391">
        <f>'[49]Masses prestations'!AT$19</f>
        <v>-6.5568056465414234E-2</v>
      </c>
      <c r="AT5" s="391">
        <f>'[49]Masses prestations'!AU$19</f>
        <v>-6.502086974721745E-2</v>
      </c>
      <c r="AU5" s="392">
        <f>'[49]Masses prestations'!AV$19</f>
        <v>-6.4369192028999045E-2</v>
      </c>
    </row>
    <row r="6" spans="1:48" ht="15">
      <c r="B6" s="385" t="str">
        <f>'[43]Masses prestations'!C20</f>
        <v>Agirc-Arrco</v>
      </c>
      <c r="C6" s="393">
        <f>'[49]Masses prestations'!D$20</f>
        <v>-4.9272094784465745E-2</v>
      </c>
      <c r="D6" s="394">
        <f>'[49]Masses prestations'!E$20</f>
        <v>-5.1710591493357064E-2</v>
      </c>
      <c r="E6" s="394">
        <f>'[49]Masses prestations'!F$20</f>
        <v>-5.4243976643795329E-2</v>
      </c>
      <c r="F6" s="394">
        <f>'[49]Masses prestations'!G$20</f>
        <v>-5.6613985634958112E-2</v>
      </c>
      <c r="G6" s="394">
        <f>'[49]Masses prestations'!H$20</f>
        <v>-5.9509550592548324E-2</v>
      </c>
      <c r="H6" s="394">
        <f>'[49]Masses prestations'!I$20</f>
        <v>-6.1405415155807691E-2</v>
      </c>
      <c r="I6" s="394">
        <f>'[49]Masses prestations'!J$20</f>
        <v>-6.3800327516251198E-2</v>
      </c>
      <c r="J6" s="394">
        <f>'[49]Masses prestations'!K$20</f>
        <v>-6.4096473433371701E-2</v>
      </c>
      <c r="K6" s="394">
        <f>'[49]Masses prestations'!L$20</f>
        <v>-6.6847598164360825E-2</v>
      </c>
      <c r="L6" s="394">
        <f>'[49]Masses prestations'!M$20</f>
        <v>-7.0024931068400728E-2</v>
      </c>
      <c r="M6" s="394">
        <f>'[49]Masses prestations'!N$20</f>
        <v>-7.0385249708288022E-2</v>
      </c>
      <c r="N6" s="394">
        <f>'[49]Masses prestations'!O$20</f>
        <v>-7.1918373357439641E-2</v>
      </c>
      <c r="O6" s="394">
        <f>'[49]Masses prestations'!P$20</f>
        <v>-7.2247730390345349E-2</v>
      </c>
      <c r="P6" s="394">
        <f>'[49]Masses prestations'!Q$20</f>
        <v>-7.2766623208370906E-2</v>
      </c>
      <c r="Q6" s="394">
        <f>'[49]Masses prestations'!R$20</f>
        <v>-7.3823230668127487E-2</v>
      </c>
      <c r="R6" s="394">
        <f>'[49]Masses prestations'!S$20</f>
        <v>-7.4772992675069941E-2</v>
      </c>
      <c r="S6" s="394">
        <f>'[49]Masses prestations'!T$20</f>
        <v>-7.57741576442231E-2</v>
      </c>
      <c r="T6" s="394">
        <f>'[49]Masses prestations'!U$20</f>
        <v>-7.6532302911040295E-2</v>
      </c>
      <c r="U6" s="394">
        <f>'[49]Masses prestations'!V$20</f>
        <v>-7.6748664491136181E-2</v>
      </c>
      <c r="V6" s="394">
        <f>'[49]Masses prestations'!W$20</f>
        <v>-7.5936793311022641E-2</v>
      </c>
      <c r="W6" s="394">
        <f>'[49]Masses prestations'!X$20</f>
        <v>-7.5243928236409408E-2</v>
      </c>
      <c r="X6" s="394">
        <f>'[49]Masses prestations'!Y$20</f>
        <v>-7.277157226087734E-2</v>
      </c>
      <c r="Y6" s="394">
        <f>'[49]Masses prestations'!Z$20</f>
        <v>-7.2501550334125905E-2</v>
      </c>
      <c r="Z6" s="394">
        <f>'[49]Masses prestations'!AA$20</f>
        <v>-7.221326255825837E-2</v>
      </c>
      <c r="AA6" s="394">
        <f>'[49]Masses prestations'!AB$20</f>
        <v>-7.2288382896742387E-2</v>
      </c>
      <c r="AB6" s="394">
        <f>'[49]Masses prestations'!AC$20</f>
        <v>-7.1498745603211011E-2</v>
      </c>
      <c r="AC6" s="394">
        <f>'[49]Masses prestations'!AD$20</f>
        <v>-7.0262639349887357E-2</v>
      </c>
      <c r="AD6" s="394">
        <f>'[49]Masses prestations'!AE$20</f>
        <v>-6.6962842289544536E-2</v>
      </c>
      <c r="AE6" s="394">
        <f>'[49]Masses prestations'!AF$20</f>
        <v>-6.4209802883657296E-2</v>
      </c>
      <c r="AF6" s="394">
        <f>'[49]Masses prestations'!AG$20</f>
        <v>-6.3659320227255178E-2</v>
      </c>
      <c r="AG6" s="394">
        <f>'[49]Masses prestations'!AH$20</f>
        <v>-6.233166957255834E-2</v>
      </c>
      <c r="AH6" s="394">
        <f>'[49]Masses prestations'!AI$20</f>
        <v>-6.0913357910585303E-2</v>
      </c>
      <c r="AI6" s="394">
        <f>'[49]Masses prestations'!AJ$20</f>
        <v>-5.7762462962046519E-2</v>
      </c>
      <c r="AJ6" s="394">
        <f>'[49]Masses prestations'!AK$20</f>
        <v>-5.3524723203628756E-2</v>
      </c>
      <c r="AK6" s="394">
        <f>'[49]Masses prestations'!AL$20</f>
        <v>-5.0438758309352703E-2</v>
      </c>
      <c r="AL6" s="394">
        <f>'[49]Masses prestations'!AM$20</f>
        <v>-4.752178738352144E-2</v>
      </c>
      <c r="AM6" s="394">
        <f>'[49]Masses prestations'!AN$20</f>
        <v>-4.4227853488484403E-2</v>
      </c>
      <c r="AN6" s="394">
        <f>'[49]Masses prestations'!AO$20</f>
        <v>-4.3009510627476266E-2</v>
      </c>
      <c r="AO6" s="394">
        <f>'[49]Masses prestations'!AP$20</f>
        <v>-3.9852601351577109E-2</v>
      </c>
      <c r="AP6" s="394">
        <f>'[49]Masses prestations'!AQ$20</f>
        <v>-3.6630753590605879E-2</v>
      </c>
      <c r="AQ6" s="394">
        <f>'[49]Masses prestations'!AR$20</f>
        <v>-3.3345694465497039E-2</v>
      </c>
      <c r="AR6" s="394">
        <f>'[49]Masses prestations'!AS$20</f>
        <v>-3.12112039545865E-2</v>
      </c>
      <c r="AS6" s="394">
        <f>'[49]Masses prestations'!AT$20</f>
        <v>-2.9681968311451059E-2</v>
      </c>
      <c r="AT6" s="394">
        <f>'[49]Masses prestations'!AU$20</f>
        <v>-2.7329788660476806E-2</v>
      </c>
      <c r="AU6" s="395">
        <f>'[49]Masses prestations'!AV$20</f>
        <v>-2.5578623522277879E-2</v>
      </c>
      <c r="AV6" s="399"/>
    </row>
    <row r="7" spans="1:48" ht="15">
      <c r="B7" s="385" t="str">
        <f>'[43]Masses prestations'!C21</f>
        <v xml:space="preserve">Fonction publique </v>
      </c>
      <c r="C7" s="393">
        <f>'[49]Masses prestations'!D$21</f>
        <v>-3.8022342940413449E-2</v>
      </c>
      <c r="D7" s="394">
        <f>'[49]Masses prestations'!E$21</f>
        <v>-4.0722174842037488E-2</v>
      </c>
      <c r="E7" s="394">
        <f>'[49]Masses prestations'!F$21</f>
        <v>-4.304635662408314E-2</v>
      </c>
      <c r="F7" s="394">
        <f>'[49]Masses prestations'!G$21</f>
        <v>-4.6407018778431848E-2</v>
      </c>
      <c r="G7" s="394">
        <f>'[49]Masses prestations'!H$21</f>
        <v>-4.829404758739874E-2</v>
      </c>
      <c r="H7" s="394">
        <f>'[49]Masses prestations'!I$21</f>
        <v>-5.1019686400179995E-2</v>
      </c>
      <c r="I7" s="394">
        <f>'[49]Masses prestations'!J$21</f>
        <v>-5.4598921245079569E-2</v>
      </c>
      <c r="J7" s="394">
        <f>'[49]Masses prestations'!K$21</f>
        <v>-5.6795916409949035E-2</v>
      </c>
      <c r="K7" s="394">
        <f>'[49]Masses prestations'!L$21</f>
        <v>-5.7727643034599097E-2</v>
      </c>
      <c r="L7" s="394">
        <f>'[49]Masses prestations'!M$21</f>
        <v>-5.9209797143821165E-2</v>
      </c>
      <c r="M7" s="394">
        <f>'[49]Masses prestations'!N$21</f>
        <v>-6.2976667687454246E-2</v>
      </c>
      <c r="N7" s="394">
        <f>'[49]Masses prestations'!O$21</f>
        <v>-6.5934427802436996E-2</v>
      </c>
      <c r="O7" s="394">
        <f>'[49]Masses prestations'!P$21</f>
        <v>-6.6017681996987418E-2</v>
      </c>
      <c r="P7" s="394">
        <f>'[49]Masses prestations'!Q$21</f>
        <v>-6.8283924083455239E-2</v>
      </c>
      <c r="Q7" s="394">
        <f>'[49]Masses prestations'!R$21</f>
        <v>-6.8318627048776129E-2</v>
      </c>
      <c r="R7" s="394">
        <f>'[49]Masses prestations'!S$21</f>
        <v>-7.0950192249650212E-2</v>
      </c>
      <c r="S7" s="394">
        <f>'[49]Masses prestations'!T$21</f>
        <v>-7.29715041607399E-2</v>
      </c>
      <c r="T7" s="394">
        <f>'[49]Masses prestations'!U$21</f>
        <v>-7.5078860592426591E-2</v>
      </c>
      <c r="U7" s="394">
        <f>'[49]Masses prestations'!V$21</f>
        <v>-7.6193370077854039E-2</v>
      </c>
      <c r="V7" s="394">
        <f>'[49]Masses prestations'!W$21</f>
        <v>-7.9663305585055633E-2</v>
      </c>
      <c r="W7" s="394">
        <f>'[49]Masses prestations'!X$21</f>
        <v>-8.0864054104956798E-2</v>
      </c>
      <c r="X7" s="394">
        <f>'[49]Masses prestations'!Y$21</f>
        <v>-7.9346993886089956E-2</v>
      </c>
      <c r="Y7" s="394">
        <f>'[49]Masses prestations'!Z$21</f>
        <v>-8.1323281565737676E-2</v>
      </c>
      <c r="Z7" s="394">
        <f>'[49]Masses prestations'!AA$21</f>
        <v>-8.1461880646419252E-2</v>
      </c>
      <c r="AA7" s="394">
        <f>'[49]Masses prestations'!AB$21</f>
        <v>-8.4665413799907829E-2</v>
      </c>
      <c r="AB7" s="394">
        <f>'[49]Masses prestations'!AC$21</f>
        <v>-8.2853651552012589E-2</v>
      </c>
      <c r="AC7" s="394">
        <f>'[49]Masses prestations'!AD$21</f>
        <v>-7.9233284731705517E-2</v>
      </c>
      <c r="AD7" s="394">
        <f>'[49]Masses prestations'!AE$21</f>
        <v>-8.0056561930410455E-2</v>
      </c>
      <c r="AE7" s="394">
        <f>'[49]Masses prestations'!AF$21</f>
        <v>-8.0273974304037002E-2</v>
      </c>
      <c r="AF7" s="394">
        <f>'[49]Masses prestations'!AG$21</f>
        <v>-7.9846091139133088E-2</v>
      </c>
      <c r="AG7" s="394">
        <f>'[49]Masses prestations'!AH$21</f>
        <v>-8.0901357532575477E-2</v>
      </c>
      <c r="AH7" s="394">
        <f>'[49]Masses prestations'!AI$21</f>
        <v>-7.8083421251785995E-2</v>
      </c>
      <c r="AI7" s="394">
        <f>'[49]Masses prestations'!AJ$21</f>
        <v>-7.6953827268518613E-2</v>
      </c>
      <c r="AJ7" s="394">
        <f>'[49]Masses prestations'!AK$21</f>
        <v>-7.3211298405124303E-2</v>
      </c>
      <c r="AK7" s="394">
        <f>'[49]Masses prestations'!AL$21</f>
        <v>-7.3736631343809658E-2</v>
      </c>
      <c r="AL7" s="394">
        <f>'[49]Masses prestations'!AM$21</f>
        <v>-7.4991734080424172E-2</v>
      </c>
      <c r="AM7" s="394">
        <f>'[49]Masses prestations'!AN$21</f>
        <v>-7.1575250831281606E-2</v>
      </c>
      <c r="AN7" s="394">
        <f>'[49]Masses prestations'!AO$21</f>
        <v>-6.5746413619073837E-2</v>
      </c>
      <c r="AO7" s="394">
        <f>'[49]Masses prestations'!AP$21</f>
        <v>-6.3940089986711843E-2</v>
      </c>
      <c r="AP7" s="394">
        <f>'[49]Masses prestations'!AQ$21</f>
        <v>-6.1441695817894687E-2</v>
      </c>
      <c r="AQ7" s="394">
        <f>'[49]Masses prestations'!AR$21</f>
        <v>-5.862621521141375E-2</v>
      </c>
      <c r="AR7" s="394">
        <f>'[49]Masses prestations'!AS$21</f>
        <v>-5.5943385077104224E-2</v>
      </c>
      <c r="AS7" s="394">
        <f>'[49]Masses prestations'!AT$21</f>
        <v>-5.6524502649133404E-2</v>
      </c>
      <c r="AT7" s="394">
        <f>'[49]Masses prestations'!AU$21</f>
        <v>-5.5219924330075977E-2</v>
      </c>
      <c r="AU7" s="395">
        <f>'[49]Masses prestations'!AV$21</f>
        <v>-5.4664498813253255E-2</v>
      </c>
    </row>
    <row r="8" spans="1:48" ht="15">
      <c r="B8" s="385" t="str">
        <f>'[43]Masses prestations'!C22</f>
        <v xml:space="preserve">Indépendants </v>
      </c>
      <c r="C8" s="393">
        <f>'[49]Masses prestations'!D$22</f>
        <v>-2.831124433435047E-2</v>
      </c>
      <c r="D8" s="394">
        <f>'[49]Masses prestations'!E$22</f>
        <v>-3.1517855307268972E-2</v>
      </c>
      <c r="E8" s="394">
        <f>'[49]Masses prestations'!F$22</f>
        <v>-3.4379468365078422E-2</v>
      </c>
      <c r="F8" s="394">
        <f>'[49]Masses prestations'!G$22</f>
        <v>-3.9421085779937928E-2</v>
      </c>
      <c r="G8" s="394">
        <f>'[49]Masses prestations'!H$22</f>
        <v>-4.3679659221099017E-2</v>
      </c>
      <c r="H8" s="394">
        <f>'[49]Masses prestations'!I$22</f>
        <v>-4.6509348644754506E-2</v>
      </c>
      <c r="I8" s="394">
        <f>'[49]Masses prestations'!J$22</f>
        <v>-4.8419229630082182E-2</v>
      </c>
      <c r="J8" s="394">
        <f>'[49]Masses prestations'!K$22</f>
        <v>-5.203813297940442E-2</v>
      </c>
      <c r="K8" s="394">
        <f>'[49]Masses prestations'!L$22</f>
        <v>-5.7005420360059351E-2</v>
      </c>
      <c r="L8" s="394">
        <f>'[49]Masses prestations'!M$22</f>
        <v>-6.0288996684789584E-2</v>
      </c>
      <c r="M8" s="394">
        <f>'[49]Masses prestations'!N$22</f>
        <v>-6.3967265928829051E-2</v>
      </c>
      <c r="N8" s="394">
        <f>'[49]Masses prestations'!O$22</f>
        <v>-6.7067585640534361E-2</v>
      </c>
      <c r="O8" s="394">
        <f>'[49]Masses prestations'!P$22</f>
        <v>-6.9608229455707077E-2</v>
      </c>
      <c r="P8" s="394">
        <f>'[49]Masses prestations'!Q$22</f>
        <v>-7.4780261248704849E-2</v>
      </c>
      <c r="Q8" s="394">
        <f>'[49]Masses prestations'!R$22</f>
        <v>-7.6081205006303651E-2</v>
      </c>
      <c r="R8" s="394">
        <f>'[49]Masses prestations'!S$22</f>
        <v>-7.8978775347130728E-2</v>
      </c>
      <c r="S8" s="394">
        <f>'[49]Masses prestations'!T$22</f>
        <v>-8.0915381661683106E-2</v>
      </c>
      <c r="T8" s="394">
        <f>'[49]Masses prestations'!U$22</f>
        <v>-8.4560381781702013E-2</v>
      </c>
      <c r="U8" s="394">
        <f>'[49]Masses prestations'!V$22</f>
        <v>-8.7530876439931085E-2</v>
      </c>
      <c r="V8" s="394">
        <f>'[49]Masses prestations'!W$22</f>
        <v>-8.84628637614992E-2</v>
      </c>
      <c r="W8" s="394">
        <f>'[49]Masses prestations'!X$22</f>
        <v>-9.0421201401231721E-2</v>
      </c>
      <c r="X8" s="394">
        <f>'[49]Masses prestations'!Y$22</f>
        <v>-9.0107321393810988E-2</v>
      </c>
      <c r="Y8" s="394">
        <f>'[49]Masses prestations'!Z$22</f>
        <v>-9.0925265581223436E-2</v>
      </c>
      <c r="Z8" s="394">
        <f>'[49]Masses prestations'!AA$22</f>
        <v>-9.0608759145208953E-2</v>
      </c>
      <c r="AA8" s="394">
        <f>'[49]Masses prestations'!AB$22</f>
        <v>-9.1631051793527804E-2</v>
      </c>
      <c r="AB8" s="394">
        <f>'[49]Masses prestations'!AC$22</f>
        <v>-9.2628114048634427E-2</v>
      </c>
      <c r="AC8" s="394">
        <f>'[49]Masses prestations'!AD$22</f>
        <v>-9.1741768494623552E-2</v>
      </c>
      <c r="AD8" s="394">
        <f>'[49]Masses prestations'!AE$22</f>
        <v>-9.2791604661158766E-2</v>
      </c>
      <c r="AE8" s="394">
        <f>'[49]Masses prestations'!AF$22</f>
        <v>-9.7074891629470306E-2</v>
      </c>
      <c r="AF8" s="394">
        <f>'[49]Masses prestations'!AG$22</f>
        <v>-9.7706453528751694E-2</v>
      </c>
      <c r="AG8" s="394">
        <f>'[49]Masses prestations'!AH$22</f>
        <v>-9.794271369389676E-2</v>
      </c>
      <c r="AH8" s="394">
        <f>'[49]Masses prestations'!AI$22</f>
        <v>-9.9465538790074012E-2</v>
      </c>
      <c r="AI8" s="394">
        <f>'[49]Masses prestations'!AJ$22</f>
        <v>-9.7301245514999274E-2</v>
      </c>
      <c r="AJ8" s="394">
        <f>'[49]Masses prestations'!AK$22</f>
        <v>-9.3955860199752786E-2</v>
      </c>
      <c r="AK8" s="394">
        <f>'[49]Masses prestations'!AL$22</f>
        <v>-9.2264675865068674E-2</v>
      </c>
      <c r="AL8" s="394">
        <f>'[49]Masses prestations'!AM$22</f>
        <v>-9.2301436895921324E-2</v>
      </c>
      <c r="AM8" s="394">
        <f>'[49]Masses prestations'!AN$22</f>
        <v>-9.1402716508637835E-2</v>
      </c>
      <c r="AN8" s="394">
        <f>'[49]Masses prestations'!AO$22</f>
        <v>-8.9627300363997991E-2</v>
      </c>
      <c r="AO8" s="394">
        <f>'[49]Masses prestations'!AP$22</f>
        <v>-9.1052604856604977E-2</v>
      </c>
      <c r="AP8" s="394">
        <f>'[49]Masses prestations'!AQ$22</f>
        <v>-8.9688246547452194E-2</v>
      </c>
      <c r="AQ8" s="394">
        <f>'[49]Masses prestations'!AR$22</f>
        <v>-8.7732826321096982E-2</v>
      </c>
      <c r="AR8" s="394">
        <f>'[49]Masses prestations'!AS$22</f>
        <v>-8.8905187790141879E-2</v>
      </c>
      <c r="AS8" s="394">
        <f>'[49]Masses prestations'!AT$22</f>
        <v>-8.844418448614437E-2</v>
      </c>
      <c r="AT8" s="394">
        <f>'[49]Masses prestations'!AU$22</f>
        <v>-8.8891806297378431E-2</v>
      </c>
      <c r="AU8" s="395">
        <f>'[49]Masses prestations'!AV$22</f>
        <v>-9.0148267022612541E-2</v>
      </c>
    </row>
    <row r="9" spans="1:48" ht="15.75" thickBot="1">
      <c r="B9" s="386" t="str">
        <f>'[43]Masses prestations'!C23</f>
        <v xml:space="preserve">Régime général </v>
      </c>
      <c r="C9" s="396">
        <f>'[49]Masses prestations'!D$23</f>
        <v>-4.3570685388664682E-2</v>
      </c>
      <c r="D9" s="397">
        <f>'[49]Masses prestations'!E$23</f>
        <v>-4.6847027116593901E-2</v>
      </c>
      <c r="E9" s="397">
        <f>'[49]Masses prestations'!F$23</f>
        <v>-5.0995737842077948E-2</v>
      </c>
      <c r="F9" s="397">
        <f>'[49]Masses prestations'!G$23</f>
        <v>-5.6627044202664102E-2</v>
      </c>
      <c r="G9" s="397">
        <f>'[49]Masses prestations'!H$23</f>
        <v>-5.9585757182217772E-2</v>
      </c>
      <c r="H9" s="397">
        <f>'[49]Masses prestations'!I$23</f>
        <v>-6.1647132191037457E-2</v>
      </c>
      <c r="I9" s="397">
        <f>'[49]Masses prestations'!J$23</f>
        <v>-6.5820089461987821E-2</v>
      </c>
      <c r="J9" s="397">
        <f>'[49]Masses prestations'!K$23</f>
        <v>-6.854414262223063E-2</v>
      </c>
      <c r="K9" s="397">
        <f>'[49]Masses prestations'!L$23</f>
        <v>-7.3176240007428117E-2</v>
      </c>
      <c r="L9" s="397">
        <f>'[49]Masses prestations'!M$23</f>
        <v>-7.6681932055749621E-2</v>
      </c>
      <c r="M9" s="397">
        <f>'[49]Masses prestations'!N$23</f>
        <v>-7.9833347446116101E-2</v>
      </c>
      <c r="N9" s="397">
        <f>'[49]Masses prestations'!O$23</f>
        <v>-8.1898329645869836E-2</v>
      </c>
      <c r="O9" s="397">
        <f>'[49]Masses prestations'!P$23</f>
        <v>-8.4120599106047286E-2</v>
      </c>
      <c r="P9" s="397">
        <f>'[49]Masses prestations'!Q$23</f>
        <v>-8.7029842415501962E-2</v>
      </c>
      <c r="Q9" s="397">
        <f>'[49]Masses prestations'!R$23</f>
        <v>-8.8671357417540966E-2</v>
      </c>
      <c r="R9" s="397">
        <f>'[49]Masses prestations'!S$23</f>
        <v>-9.1316752196346815E-2</v>
      </c>
      <c r="S9" s="397">
        <f>'[49]Masses prestations'!T$23</f>
        <v>-9.3170473480590293E-2</v>
      </c>
      <c r="T9" s="397">
        <f>'[49]Masses prestations'!U$23</f>
        <v>-9.5050055532260702E-2</v>
      </c>
      <c r="U9" s="397">
        <f>'[49]Masses prestations'!V$23</f>
        <v>-9.6159611527081523E-2</v>
      </c>
      <c r="V9" s="397">
        <f>'[49]Masses prestations'!W$23</f>
        <v>-9.7915073351279899E-2</v>
      </c>
      <c r="W9" s="397">
        <f>'[49]Masses prestations'!X$23</f>
        <v>-9.9440402888980983E-2</v>
      </c>
      <c r="X9" s="397">
        <f>'[49]Masses prestations'!Y$23</f>
        <v>-9.9405266244035617E-2</v>
      </c>
      <c r="Y9" s="397">
        <f>'[49]Masses prestations'!Z$23</f>
        <v>-0.1000829664309317</v>
      </c>
      <c r="Z9" s="397">
        <f>'[49]Masses prestations'!AA$23</f>
        <v>-0.10085445882813382</v>
      </c>
      <c r="AA9" s="397">
        <f>'[49]Masses prestations'!AB$23</f>
        <v>-0.10229353838749633</v>
      </c>
      <c r="AB9" s="397">
        <f>'[49]Masses prestations'!AC$23</f>
        <v>-0.10373045628961984</v>
      </c>
      <c r="AC9" s="397">
        <f>'[49]Masses prestations'!AD$23</f>
        <v>-0.1040027845635484</v>
      </c>
      <c r="AD9" s="397">
        <f>'[49]Masses prestations'!AE$23</f>
        <v>-0.10297861691254268</v>
      </c>
      <c r="AE9" s="397">
        <f>'[49]Masses prestations'!AF$23</f>
        <v>-0.10288552647507454</v>
      </c>
      <c r="AF9" s="397">
        <f>'[49]Masses prestations'!AG$23</f>
        <v>-0.10333620620713301</v>
      </c>
      <c r="AG9" s="397">
        <f>'[49]Masses prestations'!AH$23</f>
        <v>-0.1029361645180365</v>
      </c>
      <c r="AH9" s="397">
        <f>'[49]Masses prestations'!AI$23</f>
        <v>-0.10228399350417959</v>
      </c>
      <c r="AI9" s="397">
        <f>'[49]Masses prestations'!AJ$23</f>
        <v>-0.10093528570707772</v>
      </c>
      <c r="AJ9" s="397">
        <f>'[49]Masses prestations'!AK$23</f>
        <v>-0.10039991712635182</v>
      </c>
      <c r="AK9" s="397">
        <f>'[49]Masses prestations'!AL$23</f>
        <v>-9.9967518417357001E-2</v>
      </c>
      <c r="AL9" s="397">
        <f>'[49]Masses prestations'!AM$23</f>
        <v>-9.9795744862494304E-2</v>
      </c>
      <c r="AM9" s="397">
        <f>'[49]Masses prestations'!AN$23</f>
        <v>-9.9306887343476771E-2</v>
      </c>
      <c r="AN9" s="397">
        <f>'[49]Masses prestations'!AO$23</f>
        <v>-9.8168775279974405E-2</v>
      </c>
      <c r="AO9" s="397">
        <f>'[49]Masses prestations'!AP$23</f>
        <v>-9.8068443399933508E-2</v>
      </c>
      <c r="AP9" s="397">
        <f>'[49]Masses prestations'!AQ$23</f>
        <v>-9.7256881102706749E-2</v>
      </c>
      <c r="AQ9" s="397">
        <f>'[49]Masses prestations'!AR$23</f>
        <v>-9.4955008329509205E-2</v>
      </c>
      <c r="AR9" s="397">
        <f>'[49]Masses prestations'!AS$23</f>
        <v>-9.5052033236301098E-2</v>
      </c>
      <c r="AS9" s="397">
        <f>'[49]Masses prestations'!AT$23</f>
        <v>-9.5049772653171591E-2</v>
      </c>
      <c r="AT9" s="397">
        <f>'[49]Masses prestations'!AU$23</f>
        <v>-9.5467797052676578E-2</v>
      </c>
      <c r="AU9" s="398">
        <f>'[49]Masses prestations'!AV$23</f>
        <v>-9.5099689493397588E-2</v>
      </c>
    </row>
    <row r="11" spans="1:48">
      <c r="B11" s="177" t="s">
        <v>63</v>
      </c>
    </row>
  </sheetData>
  <hyperlinks>
    <hyperlink ref="A2" location="SOMMAIRE!A1" display="Retour au sommaire" xr:uid="{54C89EAE-DE7B-4786-8F2C-44417D7B55D6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8F43-FF9E-414E-87EB-30123894C217}">
  <sheetPr>
    <tabColor rgb="FFACB9CA"/>
  </sheetPr>
  <dimension ref="A1:H13"/>
  <sheetViews>
    <sheetView workbookViewId="0"/>
  </sheetViews>
  <sheetFormatPr baseColWidth="10" defaultRowHeight="14.25"/>
  <cols>
    <col min="2" max="2" width="33.25" bestFit="1" customWidth="1"/>
    <col min="3" max="3" width="6.25" bestFit="1" customWidth="1"/>
    <col min="4" max="4" width="20.25" bestFit="1" customWidth="1"/>
    <col min="5" max="5" width="18.75" bestFit="1" customWidth="1"/>
    <col min="6" max="6" width="17.75" bestFit="1" customWidth="1"/>
    <col min="7" max="7" width="19.75" bestFit="1" customWidth="1"/>
    <col min="8" max="8" width="11.75" bestFit="1" customWidth="1"/>
  </cols>
  <sheetData>
    <row r="1" spans="1:8">
      <c r="A1" s="258" t="s">
        <v>123</v>
      </c>
    </row>
    <row r="2" spans="1:8">
      <c r="A2" s="6" t="s">
        <v>2</v>
      </c>
    </row>
    <row r="3" spans="1:8" ht="15" thickBot="1">
      <c r="A3" s="6"/>
    </row>
    <row r="4" spans="1:8" ht="15.75" thickBot="1">
      <c r="B4" s="361"/>
      <c r="C4" s="421" t="s">
        <v>68</v>
      </c>
      <c r="D4" s="422" t="s">
        <v>69</v>
      </c>
      <c r="E4" s="422" t="s">
        <v>70</v>
      </c>
      <c r="F4" s="388" t="s">
        <v>71</v>
      </c>
      <c r="G4" s="422" t="s">
        <v>72</v>
      </c>
      <c r="H4" s="423" t="s">
        <v>73</v>
      </c>
    </row>
    <row r="5" spans="1:8" ht="15">
      <c r="B5" s="368" t="s">
        <v>81</v>
      </c>
      <c r="C5" s="374">
        <f>SUMIFS([49]EC2_génération!$O:$O,[49]EC2_génération!$A:$A,"2000",[49]EC2_génération!$B:$B,"Ensemble",[49]EC2_génération!$C:$C,"Ensemble",[49]EC2_génération!$D:$D,"Mono-pensionné FP")/100</f>
        <v>0</v>
      </c>
      <c r="D5" s="375">
        <f>SUMIFS([49]EC2_génération!$P:$P,[49]EC2_génération!$A:$A,"2000",[49]EC2_génération!$B:$B,"Ensemble",[49]EC2_génération!$C:$C,"Ensemble",[49]EC2_génération!$D:$D,"Mono-pensionné FP")/100</f>
        <v>0.17777777777777801</v>
      </c>
      <c r="E5" s="375">
        <f>SUMIFS([49]EC2_génération!$Q:$Q,[49]EC2_génération!$A:$A,"2000",[49]EC2_génération!$B:$B,"Ensemble",[49]EC2_génération!$C:$C,"Ensemble",[49]EC2_génération!$D:$D,"Mono-pensionné FP")/100</f>
        <v>6.6666666666666693E-2</v>
      </c>
      <c r="F5" s="375">
        <f>SUMIFS([49]EC2_génération!$R:$R,[49]EC2_génération!$A:$A,"2000",[49]EC2_génération!$B:$B,"Ensemble",[49]EC2_génération!$C:$C,"Ensemble",[49]EC2_génération!$D:$D,"Mono-pensionné FP")/100</f>
        <v>0.71111111111111103</v>
      </c>
      <c r="G5" s="375">
        <f>SUMIFS([49]EC2_génération!$S:$S,[49]EC2_génération!$A:$A,"2000",[49]EC2_génération!$B:$B,"Ensemble",[49]EC2_génération!$C:$C,"Ensemble",[49]EC2_génération!$D:$D,"Mono-pensionné FP")/100</f>
        <v>0</v>
      </c>
      <c r="H5" s="376">
        <f>SUMIFS([49]EC2_génération!$T:$T,[49]EC2_génération!$A:$A,"2000",[49]EC2_génération!$B:$B,"Ensemble",[49]EC2_génération!$C:$C,"Ensemble",[49]EC2_génération!$D:$D,"Mono-pensionné FP")/100</f>
        <v>4.4444444444444405E-2</v>
      </c>
    </row>
    <row r="6" spans="1:8" ht="15">
      <c r="B6" s="369" t="s">
        <v>82</v>
      </c>
      <c r="C6" s="377">
        <f>SUMIFS([49]EC2_génération!$O:$O,[49]EC2_génération!$A:$A,"2000",[49]EC2_génération!$B:$B,"Ensemble",[49]EC2_génération!$C:$C,"Ensemble",[49]EC2_génération!$D:$D,"Mono-pensionné Lura")/100</f>
        <v>0</v>
      </c>
      <c r="D6" s="378">
        <f>SUMIFS([49]EC2_génération!$P:$P,[49]EC2_génération!$A:$A,"2000",[49]EC2_génération!$B:$B,"Ensemble",[49]EC2_génération!$C:$C,"Ensemble",[49]EC2_génération!$D:$D,"Mono-pensionné Lura")/100</f>
        <v>0.11819595645412101</v>
      </c>
      <c r="E6" s="378">
        <f>SUMIFS([49]EC2_génération!$Q:$Q,[49]EC2_génération!$A:$A,"2000",[49]EC2_génération!$B:$B,"Ensemble",[49]EC2_génération!$C:$C,"Ensemble",[49]EC2_génération!$D:$D,"Mono-pensionné Lura")/100</f>
        <v>9.8755832037325006E-2</v>
      </c>
      <c r="F6" s="378">
        <f>SUMIFS([49]EC2_génération!$R:$R,[49]EC2_génération!$A:$A,"2000",[49]EC2_génération!$B:$B,"Ensemble",[49]EC2_génération!$C:$C,"Ensemble",[49]EC2_génération!$D:$D,"Mono-pensionné Lura")/100</f>
        <v>0.6438569206842919</v>
      </c>
      <c r="G6" s="378">
        <f>SUMIFS([49]EC2_génération!$S:$S,[49]EC2_génération!$A:$A,"2000",[49]EC2_génération!$B:$B,"Ensemble",[49]EC2_génération!$C:$C,"Ensemble",[49]EC2_génération!$D:$D,"Mono-pensionné Lura")/100</f>
        <v>9.1757387247278388E-2</v>
      </c>
      <c r="H6" s="379">
        <f>SUMIFS([49]EC2_génération!$T:$T,[49]EC2_génération!$A:$A,"2000",[49]EC2_génération!$B:$B,"Ensemble",[49]EC2_génération!$C:$C,"Ensemble",[49]EC2_génération!$D:$D,"Mono-pensionné Lura")/100</f>
        <v>4.7433903576982905E-2</v>
      </c>
    </row>
    <row r="7" spans="1:8" ht="15.75" thickBot="1">
      <c r="B7" s="370" t="s">
        <v>83</v>
      </c>
      <c r="C7" s="380">
        <f>SUMIFS([49]EC2_génération!$O:$O,[49]EC2_génération!$A:$A,"2000",[49]EC2_génération!$B:$B,"Ensemble",[49]EC2_génération!$C:$C,"Ensemble",[49]EC2_génération!$D:$D,"Polypensionné Lura/FP")/100</f>
        <v>0</v>
      </c>
      <c r="D7" s="381">
        <f>SUMIFS([49]EC2_génération!$P:$P,[49]EC2_génération!$A:$A,"2000",[49]EC2_génération!$B:$B,"Ensemble",[49]EC2_génération!$C:$C,"Ensemble",[49]EC2_génération!$D:$D,"Polypensionné Lura/FP")/100</f>
        <v>8.42105263157895E-2</v>
      </c>
      <c r="E7" s="381">
        <f>SUMIFS([49]EC2_génération!$Q:$Q,[49]EC2_génération!$A:$A,"2000",[49]EC2_génération!$B:$B,"Ensemble",[49]EC2_génération!$C:$C,"Ensemble",[49]EC2_génération!$D:$D,"Polypensionné Lura/FP")/100</f>
        <v>0.10877192982456099</v>
      </c>
      <c r="F7" s="381">
        <f>SUMIFS([49]EC2_génération!$R:$R,[49]EC2_génération!$A:$A,"2000",[49]EC2_génération!$B:$B,"Ensemble",[49]EC2_génération!$C:$C,"Ensemble",[49]EC2_génération!$D:$D,"Polypensionné Lura/FP")/100</f>
        <v>0.66315789473684206</v>
      </c>
      <c r="G7" s="381">
        <f>SUMIFS([49]EC2_génération!$S:$S,[49]EC2_génération!$A:$A,"2000",[49]EC2_génération!$B:$B,"Ensemble",[49]EC2_génération!$C:$C,"Ensemble",[49]EC2_génération!$D:$D,"Polypensionné Lura/FP")/100</f>
        <v>9.1228070175438603E-2</v>
      </c>
      <c r="H7" s="382">
        <f>SUMIFS([49]EC2_génération!$T:$T,[49]EC2_génération!$A:$A,"2000",[49]EC2_génération!$B:$B,"Ensemble",[49]EC2_génération!$C:$C,"Ensemble",[49]EC2_génération!$D:$D,"Polypensionné Lura/FP")/100</f>
        <v>5.2631578947368397E-2</v>
      </c>
    </row>
    <row r="8" spans="1:8" ht="15.75" thickBot="1">
      <c r="B8" s="359"/>
      <c r="C8" s="360"/>
      <c r="D8" s="360"/>
      <c r="E8" s="360"/>
      <c r="F8" s="360"/>
      <c r="G8" s="360"/>
      <c r="H8" s="360"/>
    </row>
    <row r="9" spans="1:8" ht="15">
      <c r="B9" s="368" t="s">
        <v>28</v>
      </c>
      <c r="C9" s="430">
        <f>SUMIFS([49]EC2_génération!$O:$O,[49]EC2_génération!$A:$A,"2000",[49]EC2_génération!$B:$B,"Femmes",[49]EC2_génération!$C:$C,"Ensemble",[49]EC2_génération!$D:$D,"Ensemble")/100</f>
        <v>0</v>
      </c>
      <c r="D9" s="431">
        <f>SUMIFS([49]EC2_génération!$P:$P,[49]EC2_génération!$A:$A,"2000",[49]EC2_génération!$B:$B,"Femmes",[49]EC2_génération!$C:$C,"Ensemble",[49]EC2_génération!$D:$D,"Ensemble")/100</f>
        <v>0.11143410852713201</v>
      </c>
      <c r="E9" s="431">
        <f>SUMIFS([49]EC2_génération!$Q:$Q,[49]EC2_génération!$A:$A,"2000",[49]EC2_génération!$B:$B,"Femmes",[49]EC2_génération!$C:$C,"Ensemble",[49]EC2_génération!$D:$D,"Ensemble")/100</f>
        <v>9.883720930232559E-2</v>
      </c>
      <c r="F9" s="431">
        <f>SUMIFS([49]EC2_génération!$R:$R,[49]EC2_génération!$A:$A,"2000",[49]EC2_génération!$B:$B,"Femmes",[49]EC2_génération!$C:$C,"Ensemble",[49]EC2_génération!$D:$D,"Ensemble")/100</f>
        <v>0.64825581395348808</v>
      </c>
      <c r="G9" s="431">
        <f>SUMIFS([49]EC2_génération!$S:$S,[49]EC2_génération!$A:$A,"2000",[49]EC2_génération!$B:$B,"Femmes",[49]EC2_génération!$C:$C,"Ensemble",[49]EC2_génération!$D:$D,"Ensemble")/100</f>
        <v>9.2054263565891498E-2</v>
      </c>
      <c r="H9" s="432">
        <f>SUMIFS([49]EC2_génération!$T:$T,[49]EC2_génération!$A:$A,"2000",[49]EC2_génération!$B:$B,"Femmes",[49]EC2_génération!$C:$C,"Ensemble",[49]EC2_génération!$D:$D,"Ensemble")/100</f>
        <v>4.9418604651162795E-2</v>
      </c>
    </row>
    <row r="10" spans="1:8" ht="15">
      <c r="B10" s="369" t="s">
        <v>74</v>
      </c>
      <c r="C10" s="424">
        <f>SUMIFS([49]EC2_génération!$O:$O,[49]EC2_génération!$A:$A,"2000",[49]EC2_génération!$B:$B,"Hommes",[49]EC2_génération!$C:$C,"Ensemble",[49]EC2_génération!$D:$D,"Ensemble")/100</f>
        <v>0</v>
      </c>
      <c r="D10" s="425">
        <f>SUMIFS([49]EC2_génération!$P:$P,[49]EC2_génération!$A:$A,"2000",[49]EC2_génération!$B:$B,"Hommes",[49]EC2_génération!$C:$C,"Ensemble",[49]EC2_génération!$D:$D,"Ensemble")/100</f>
        <v>0.11714770797962601</v>
      </c>
      <c r="E10" s="425">
        <f>SUMIFS([49]EC2_génération!$Q:$Q,[49]EC2_génération!$A:$A,"2000",[49]EC2_génération!$B:$B,"Hommes",[49]EC2_génération!$C:$C,"Ensemble",[49]EC2_génération!$D:$D,"Ensemble")/100</f>
        <v>0.100169779286927</v>
      </c>
      <c r="F10" s="425">
        <f>SUMIFS([49]EC2_génération!$R:$R,[49]EC2_génération!$A:$A,"2000",[49]EC2_génération!$B:$B,"Hommes",[49]EC2_génération!$C:$C,"Ensemble",[49]EC2_génération!$D:$D,"Ensemble")/100</f>
        <v>0.64516129032258107</v>
      </c>
      <c r="G10" s="425">
        <f>SUMIFS([49]EC2_génération!$S:$S,[49]EC2_génération!$A:$A,"2000",[49]EC2_génération!$B:$B,"Hommes",[49]EC2_génération!$C:$C,"Ensemble",[49]EC2_génération!$D:$D,"Ensemble")/100</f>
        <v>8.3191850594227498E-2</v>
      </c>
      <c r="H10" s="426">
        <f>SUMIFS([49]EC2_génération!$T:$T,[49]EC2_génération!$A:$A,"2000",[49]EC2_génération!$B:$B,"Hommes",[49]EC2_génération!$C:$C,"Ensemble",[49]EC2_génération!$D:$D,"Ensemble")/100</f>
        <v>5.4329371816638404E-2</v>
      </c>
    </row>
    <row r="11" spans="1:8" ht="15.75" thickBot="1">
      <c r="B11" s="370" t="s">
        <v>75</v>
      </c>
      <c r="C11" s="427">
        <f>SUMIFS([49]EC2_génération!$O:$O,[49]EC2_génération!$A:$A,"2000",[49]EC2_génération!$B:$B,"Ensemble",[49]EC2_génération!$C:$C,"Ensemble",[49]EC2_génération!$D:$D,"Ensemble")/100</f>
        <v>0</v>
      </c>
      <c r="D11" s="428">
        <f>SUMIFS([49]EC2_génération!$P:$P,[49]EC2_génération!$A:$A,"2000",[49]EC2_génération!$B:$B,"Ensemble",[49]EC2_génération!$C:$C,"Ensemble",[49]EC2_génération!$D:$D,"Ensemble")/100</f>
        <v>0.11351017890191199</v>
      </c>
      <c r="E11" s="428">
        <f>SUMIFS([49]EC2_génération!$Q:$Q,[49]EC2_génération!$A:$A,"2000",[49]EC2_génération!$B:$B,"Ensemble",[49]EC2_génération!$C:$C,"Ensemble",[49]EC2_génération!$D:$D,"Ensemble")/100</f>
        <v>9.932140653917329E-2</v>
      </c>
      <c r="F11" s="428">
        <f>SUMIFS([49]EC2_génération!$R:$R,[49]EC2_génération!$A:$A,"2000",[49]EC2_génération!$B:$B,"Ensemble",[49]EC2_génération!$C:$C,"Ensemble",[49]EC2_génération!$D:$D,"Ensemble")/100</f>
        <v>0.64713140037014194</v>
      </c>
      <c r="G11" s="428">
        <f>SUMIFS([49]EC2_génération!$S:$S,[49]EC2_génération!$A:$A,"2000",[49]EC2_génération!$B:$B,"Ensemble",[49]EC2_génération!$C:$C,"Ensemble",[49]EC2_génération!$D:$D,"Ensemble")/100</f>
        <v>8.8834053053670592E-2</v>
      </c>
      <c r="H11" s="429">
        <f>SUMIFS([49]EC2_génération!$T:$T,[49]EC2_génération!$A:$A,"2000",[49]EC2_génération!$B:$B,"Ensemble",[49]EC2_génération!$C:$C,"Ensemble",[49]EC2_génération!$D:$D,"Ensemble")/100</f>
        <v>5.1202961135101796E-2</v>
      </c>
    </row>
    <row r="13" spans="1:8">
      <c r="B13" s="177" t="s">
        <v>63</v>
      </c>
    </row>
  </sheetData>
  <hyperlinks>
    <hyperlink ref="A2" location="SOMMAIRE!A1" display="Retour au sommaire" xr:uid="{81F03B59-C906-4F06-B26A-71A7DCE53B32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0C23-2010-4AAA-A74F-0C94806E7B4A}">
  <sheetPr>
    <tabColor theme="4"/>
  </sheetPr>
  <dimension ref="A1:H46"/>
  <sheetViews>
    <sheetView workbookViewId="0"/>
  </sheetViews>
  <sheetFormatPr baseColWidth="10" defaultRowHeight="14.25"/>
  <cols>
    <col min="5" max="8" width="20.625" customWidth="1"/>
  </cols>
  <sheetData>
    <row r="1" spans="1:8" ht="15.75">
      <c r="A1" s="2" t="s">
        <v>124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'[50]TABLEAU FINAL'!D3</f>
        <v>Nombre d'enfants</v>
      </c>
      <c r="E4" s="100" t="str">
        <f>'[50]TABLEAU FINAL'!E3</f>
        <v>Durée validée totale moyenne (écart en trimestres)</v>
      </c>
      <c r="F4" s="100" t="str">
        <f>'[50]TABLEAU FINAL'!F3</f>
        <v>Âge de départ (écart en année)</v>
      </c>
      <c r="G4" s="100" t="str">
        <f>'[50]TABLEAU FINAL'!G3</f>
        <v>Pension moyenne 68 ans</v>
      </c>
      <c r="H4" s="101" t="str">
        <f>'[50]TABLEAU FINAL'!H3</f>
        <v>Pension moyenne CV</v>
      </c>
    </row>
    <row r="5" spans="1:8" ht="15">
      <c r="B5" s="303" t="str">
        <f>'[50]TABLEAU FINAL'!B4</f>
        <v>Femmes</v>
      </c>
      <c r="C5" s="304"/>
      <c r="D5" s="189" t="str">
        <f>'[50]TABLEAU FINAL'!D4</f>
        <v>Ensemble</v>
      </c>
      <c r="E5" s="190">
        <f>'[50]TABLEAU FINAL'!E4</f>
        <v>-3.7450307569988013</v>
      </c>
      <c r="F5" s="191">
        <f>'[50]TABLEAU FINAL'!F4</f>
        <v>6.2350922709939027E-2</v>
      </c>
      <c r="G5" s="112">
        <f>'[50]TABLEAU FINAL'!G4</f>
        <v>5.4678093097754399E-2</v>
      </c>
      <c r="H5" s="113">
        <f>'[50]TABLEAU FINAL'!H4</f>
        <v>5.1882851658526796E-2</v>
      </c>
    </row>
    <row r="6" spans="1:8" ht="15.75" thickBot="1">
      <c r="B6" s="293" t="str">
        <f>'[50]TABLEAU FINAL'!B5</f>
        <v>Hommes</v>
      </c>
      <c r="C6" s="294"/>
      <c r="D6" s="107" t="str">
        <f>'[50]TABLEAU FINAL'!D5</f>
        <v>Ensemble</v>
      </c>
      <c r="E6" s="108">
        <f>'[50]TABLEAU FINAL'!E5</f>
        <v>0</v>
      </c>
      <c r="F6" s="109">
        <f>'[50]TABLEAU FINAL'!F5</f>
        <v>0</v>
      </c>
      <c r="G6" s="110">
        <f>'[50]TABLEAU FINAL'!G5</f>
        <v>-2.2203435052819298E-2</v>
      </c>
      <c r="H6" s="111">
        <f>'[50]TABLEAU FINAL'!H5</f>
        <v>-2.2260540674592599E-2</v>
      </c>
    </row>
    <row r="7" spans="1:8" ht="15.75" thickBot="1">
      <c r="B7" s="277" t="str">
        <f>'[50]TABLEAU FINAL'!B6</f>
        <v>Selon le nombre d'enfants</v>
      </c>
      <c r="C7" s="278"/>
      <c r="D7" s="278"/>
      <c r="E7" s="278"/>
      <c r="F7" s="278"/>
      <c r="G7" s="278"/>
      <c r="H7" s="279"/>
    </row>
    <row r="8" spans="1:8" ht="15">
      <c r="B8" s="303" t="str">
        <f>'[50]TABLEAU FINAL'!B7</f>
        <v>Femmes</v>
      </c>
      <c r="C8" s="304"/>
      <c r="D8" s="189">
        <f>'[50]TABLEAU FINAL'!D7</f>
        <v>1</v>
      </c>
      <c r="E8" s="190">
        <f>'[50]TABLEAU FINAL'!E7</f>
        <v>-1.4361200226457811</v>
      </c>
      <c r="F8" s="191">
        <f>'[50]TABLEAU FINAL'!F7</f>
        <v>3.4424734226575993E-2</v>
      </c>
      <c r="G8" s="112">
        <f>'[50]TABLEAU FINAL'!G7</f>
        <v>4.7561162900636944E-2</v>
      </c>
      <c r="H8" s="113">
        <f>'[50]TABLEAU FINAL'!H7</f>
        <v>4.5851845967489258E-2</v>
      </c>
    </row>
    <row r="9" spans="1:8" ht="15">
      <c r="B9" s="305"/>
      <c r="C9" s="306"/>
      <c r="D9" s="180">
        <f>'[50]TABLEAU FINAL'!D8</f>
        <v>2</v>
      </c>
      <c r="E9" s="184">
        <f>'[50]TABLEAU FINAL'!E8</f>
        <v>-3.2427969479558101</v>
      </c>
      <c r="F9" s="185">
        <f>'[50]TABLEAU FINAL'!F8</f>
        <v>7.1100482101485341E-2</v>
      </c>
      <c r="G9" s="117">
        <f>'[50]TABLEAU FINAL'!G8</f>
        <v>9.5992347761892471E-2</v>
      </c>
      <c r="H9" s="118">
        <f>'[50]TABLEAU FINAL'!H8</f>
        <v>9.3130073375132794E-2</v>
      </c>
    </row>
    <row r="10" spans="1:8" ht="15">
      <c r="B10" s="305"/>
      <c r="C10" s="306"/>
      <c r="D10" s="186" t="str">
        <f>'[50]TABLEAU FINAL'!D9</f>
        <v>3 et plus</v>
      </c>
      <c r="E10" s="187">
        <f>'[50]TABLEAU FINAL'!E9</f>
        <v>-8.4349336702463518</v>
      </c>
      <c r="F10" s="188">
        <f>'[50]TABLEAU FINAL'!F9</f>
        <v>0.10790429564116266</v>
      </c>
      <c r="G10" s="122">
        <f>'[50]TABLEAU FINAL'!G9</f>
        <v>3.1130204720815291E-2</v>
      </c>
      <c r="H10" s="123">
        <f>'[50]TABLEAU FINAL'!H9</f>
        <v>2.6302009103837953E-2</v>
      </c>
    </row>
    <row r="11" spans="1:8" ht="15.75" thickBot="1">
      <c r="B11" s="293" t="str">
        <f>'[50]TABLEAU FINAL'!B10</f>
        <v>Hommes</v>
      </c>
      <c r="C11" s="294"/>
      <c r="D11" s="107" t="str">
        <f>'[50]TABLEAU FINAL'!D10</f>
        <v>3 et plus</v>
      </c>
      <c r="E11" s="108">
        <f>'[50]TABLEAU FINAL'!E10</f>
        <v>0</v>
      </c>
      <c r="F11" s="109">
        <f>'[50]TABLEAU FINAL'!F10</f>
        <v>0</v>
      </c>
      <c r="G11" s="110">
        <f>'[50]TABLEAU FINAL'!G10</f>
        <v>-8.6884827588970648E-2</v>
      </c>
      <c r="H11" s="111">
        <f>'[50]TABLEAU FINAL'!H10</f>
        <v>-8.7212488224522433E-2</v>
      </c>
    </row>
    <row r="12" spans="1:8" ht="15.75" thickBot="1">
      <c r="B12" s="277" t="str">
        <f>'[50]TABLEAU FINAL'!B11</f>
        <v>Selon le régime d'affiliation</v>
      </c>
      <c r="C12" s="278"/>
      <c r="D12" s="278"/>
      <c r="E12" s="278"/>
      <c r="F12" s="278"/>
      <c r="G12" s="278"/>
      <c r="H12" s="279"/>
    </row>
    <row r="13" spans="1:8" ht="15">
      <c r="B13" s="280" t="str">
        <f>'[50]TABLEAU FINAL'!B12</f>
        <v>Femmes</v>
      </c>
      <c r="C13" s="296" t="str">
        <f>'[50]TABLEAU FINAL'!C12</f>
        <v>Mono Lura</v>
      </c>
      <c r="D13" s="102">
        <f>'[50]TABLEAU FINAL'!D12</f>
        <v>1</v>
      </c>
      <c r="E13" s="103">
        <f>'[50]TABLEAU FINAL'!E12</f>
        <v>-2.1025454545454636</v>
      </c>
      <c r="F13" s="104">
        <f>'[50]TABLEAU FINAL'!F12</f>
        <v>4.8101010101007091E-2</v>
      </c>
      <c r="G13" s="105">
        <f>'[50]TABLEAU FINAL'!G12</f>
        <v>4.245470382541372E-2</v>
      </c>
      <c r="H13" s="106">
        <f>'[50]TABLEAU FINAL'!H12</f>
        <v>3.9749468470165139E-2</v>
      </c>
    </row>
    <row r="14" spans="1:8" ht="15">
      <c r="B14" s="282"/>
      <c r="C14" s="292"/>
      <c r="D14" s="114">
        <f>'[50]TABLEAU FINAL'!D13</f>
        <v>2</v>
      </c>
      <c r="E14" s="115">
        <f>'[50]TABLEAU FINAL'!E13</f>
        <v>-4.5596885813148731</v>
      </c>
      <c r="F14" s="116">
        <f>'[50]TABLEAU FINAL'!F13</f>
        <v>9.3101211072664114E-2</v>
      </c>
      <c r="G14" s="137">
        <f>'[50]TABLEAU FINAL'!G13</f>
        <v>8.4613971396075849E-2</v>
      </c>
      <c r="H14" s="138">
        <f>'[50]TABLEAU FINAL'!H13</f>
        <v>8.0159626738964374E-2</v>
      </c>
    </row>
    <row r="15" spans="1:8" ht="15">
      <c r="B15" s="282"/>
      <c r="C15" s="292"/>
      <c r="D15" s="131" t="str">
        <f>'[50]TABLEAU FINAL'!D14</f>
        <v>3 et plus</v>
      </c>
      <c r="E15" s="132">
        <f>'[50]TABLEAU FINAL'!E14</f>
        <v>-10.38647069907671</v>
      </c>
      <c r="F15" s="133">
        <f>'[50]TABLEAU FINAL'!F14</f>
        <v>0.12626405376545335</v>
      </c>
      <c r="G15" s="134">
        <f>'[50]TABLEAU FINAL'!G14</f>
        <v>2.1472576059792914E-2</v>
      </c>
      <c r="H15" s="135">
        <f>'[50]TABLEAU FINAL'!H14</f>
        <v>1.5184465949481529E-2</v>
      </c>
    </row>
    <row r="16" spans="1:8" ht="15">
      <c r="B16" s="282"/>
      <c r="C16" s="291" t="str">
        <f>'[50]TABLEAU FINAL'!C15</f>
        <v>Mono FP-RS</v>
      </c>
      <c r="D16" s="114">
        <f>'[50]TABLEAU FINAL'!D15</f>
        <v>1</v>
      </c>
      <c r="E16" s="115">
        <f>'[50]TABLEAU FINAL'!E15</f>
        <v>1.8055555555555429</v>
      </c>
      <c r="F16" s="116">
        <f>'[50]TABLEAU FINAL'!F15</f>
        <v>-0.10648148148148096</v>
      </c>
      <c r="G16" s="137">
        <f>'[50]TABLEAU FINAL'!G15</f>
        <v>7.0745447441636466E-2</v>
      </c>
      <c r="H16" s="138">
        <f>'[50]TABLEAU FINAL'!H15</f>
        <v>7.550568413273484E-2</v>
      </c>
    </row>
    <row r="17" spans="2:8" ht="15">
      <c r="B17" s="282"/>
      <c r="C17" s="292"/>
      <c r="D17" s="126">
        <f>'[50]TABLEAU FINAL'!D16</f>
        <v>2</v>
      </c>
      <c r="E17" s="127">
        <f>'[50]TABLEAU FINAL'!E16</f>
        <v>4.1142857142857281</v>
      </c>
      <c r="F17" s="128">
        <f>'[50]TABLEAU FINAL'!F16</f>
        <v>-0.16825396825397831</v>
      </c>
      <c r="G17" s="129">
        <f>'[50]TABLEAU FINAL'!G16</f>
        <v>0.15565094136502933</v>
      </c>
      <c r="H17" s="130">
        <f>'[50]TABLEAU FINAL'!H16</f>
        <v>0.1630490627218022</v>
      </c>
    </row>
    <row r="18" spans="2:8" ht="15">
      <c r="B18" s="282"/>
      <c r="C18" s="292"/>
      <c r="D18" s="119" t="str">
        <f>'[50]TABLEAU FINAL'!D17</f>
        <v>3 et plus</v>
      </c>
      <c r="E18" s="120">
        <f>'[50]TABLEAU FINAL'!E17</f>
        <v>6.7708333333333144</v>
      </c>
      <c r="F18" s="121">
        <f>'[50]TABLEAU FINAL'!F17</f>
        <v>-4.1666666666671404E-2</v>
      </c>
      <c r="G18" s="139">
        <f>'[50]TABLEAU FINAL'!G17</f>
        <v>0.12055259846632604</v>
      </c>
      <c r="H18" s="140">
        <f>'[50]TABLEAU FINAL'!H17</f>
        <v>0.12901607135810123</v>
      </c>
    </row>
    <row r="19" spans="2:8" ht="15">
      <c r="B19" s="282"/>
      <c r="C19" s="288" t="str">
        <f>'[50]TABLEAU FINAL'!C18</f>
        <v>Mono MSAE-PLIB</v>
      </c>
      <c r="D19" s="114">
        <f>'[50]TABLEAU FINAL'!D18</f>
        <v>1</v>
      </c>
      <c r="E19" s="115">
        <f>'[50]TABLEAU FINAL'!E18</f>
        <v>-2.4000000000000057</v>
      </c>
      <c r="F19" s="116">
        <f>'[50]TABLEAU FINAL'!F18</f>
        <v>0</v>
      </c>
      <c r="G19" s="137">
        <f>'[50]TABLEAU FINAL'!G18</f>
        <v>4.7170596942346377E-2</v>
      </c>
      <c r="H19" s="138">
        <f>'[50]TABLEAU FINAL'!H18</f>
        <v>4.7939467183189644E-2</v>
      </c>
    </row>
    <row r="20" spans="2:8" ht="15">
      <c r="B20" s="282"/>
      <c r="C20" s="287"/>
      <c r="D20" s="114">
        <f>'[50]TABLEAU FINAL'!D19</f>
        <v>2</v>
      </c>
      <c r="E20" s="115">
        <f>'[50]TABLEAU FINAL'!E19</f>
        <v>-4.4444444444444571</v>
      </c>
      <c r="F20" s="116">
        <f>'[50]TABLEAU FINAL'!F19</f>
        <v>6.4814814814809552E-2</v>
      </c>
      <c r="G20" s="137">
        <f>'[50]TABLEAU FINAL'!G19</f>
        <v>9.4952932938775048E-2</v>
      </c>
      <c r="H20" s="138">
        <f>'[50]TABLEAU FINAL'!H19</f>
        <v>9.1195275298844747E-2</v>
      </c>
    </row>
    <row r="21" spans="2:8" ht="15">
      <c r="B21" s="282"/>
      <c r="C21" s="287"/>
      <c r="D21" s="119" t="str">
        <f>'[50]TABLEAU FINAL'!D20</f>
        <v>3 et plus</v>
      </c>
      <c r="E21" s="120">
        <f>'[50]TABLEAU FINAL'!E20</f>
        <v>-10.5</v>
      </c>
      <c r="F21" s="121">
        <f>'[50]TABLEAU FINAL'!F20</f>
        <v>0</v>
      </c>
      <c r="G21" s="139">
        <f>'[50]TABLEAU FINAL'!G20</f>
        <v>0.13121330327216851</v>
      </c>
      <c r="H21" s="140">
        <f>'[50]TABLEAU FINAL'!H20</f>
        <v>0.13132165754473069</v>
      </c>
    </row>
    <row r="22" spans="2:8" ht="15">
      <c r="B22" s="282"/>
      <c r="C22" s="288" t="str">
        <f>'[50]TABLEAU FINAL'!C21</f>
        <v>Poly Lura-FP-RS</v>
      </c>
      <c r="D22" s="114">
        <f>'[50]TABLEAU FINAL'!D21</f>
        <v>1</v>
      </c>
      <c r="E22" s="115">
        <f>'[50]TABLEAU FINAL'!E21</f>
        <v>1.9365721997300795</v>
      </c>
      <c r="F22" s="116">
        <f>'[50]TABLEAU FINAL'!F21</f>
        <v>-3.0251911830859513E-2</v>
      </c>
      <c r="G22" s="137">
        <f>'[50]TABLEAU FINAL'!G21</f>
        <v>6.9835620874594051E-2</v>
      </c>
      <c r="H22" s="138">
        <f>'[50]TABLEAU FINAL'!H21</f>
        <v>7.1493182367263763E-2</v>
      </c>
    </row>
    <row r="23" spans="2:8" ht="15">
      <c r="B23" s="282"/>
      <c r="C23" s="287"/>
      <c r="D23" s="114">
        <f>'[50]TABLEAU FINAL'!D22</f>
        <v>2</v>
      </c>
      <c r="E23" s="115">
        <f>'[50]TABLEAU FINAL'!E22</f>
        <v>3.8727114210985292</v>
      </c>
      <c r="F23" s="116">
        <f>'[50]TABLEAU FINAL'!F22</f>
        <v>-3.9087474571346092E-2</v>
      </c>
      <c r="G23" s="137">
        <f>'[50]TABLEAU FINAL'!G22</f>
        <v>0.14798234177168434</v>
      </c>
      <c r="H23" s="138">
        <f>'[50]TABLEAU FINAL'!H22</f>
        <v>0.15110458476911615</v>
      </c>
    </row>
    <row r="24" spans="2:8" ht="15">
      <c r="B24" s="282"/>
      <c r="C24" s="287"/>
      <c r="D24" s="119" t="str">
        <f>'[50]TABLEAU FINAL'!D23</f>
        <v>3 et plus</v>
      </c>
      <c r="E24" s="120">
        <f>'[50]TABLEAU FINAL'!E23</f>
        <v>5.8869143780290756</v>
      </c>
      <c r="F24" s="121">
        <f>'[50]TABLEAU FINAL'!F23</f>
        <v>-1.7366720516960754E-2</v>
      </c>
      <c r="G24" s="139">
        <f>'[50]TABLEAU FINAL'!G23</f>
        <v>8.0000516140598776E-2</v>
      </c>
      <c r="H24" s="140">
        <f>'[50]TABLEAU FINAL'!H23</f>
        <v>8.217633537850233E-2</v>
      </c>
    </row>
    <row r="25" spans="2:8" ht="15">
      <c r="B25" s="282"/>
      <c r="C25" s="288" t="str">
        <f>'[50]TABLEAU FINAL'!C24</f>
        <v>Poly Lura-MSAE-PLIB</v>
      </c>
      <c r="D25" s="114">
        <f>'[50]TABLEAU FINAL'!D24</f>
        <v>1</v>
      </c>
      <c r="E25" s="115">
        <f>'[50]TABLEAU FINAL'!E24</f>
        <v>-2.4200743494423875</v>
      </c>
      <c r="F25" s="116">
        <f>'[50]TABLEAU FINAL'!F24</f>
        <v>5.9789343246592352E-2</v>
      </c>
      <c r="G25" s="137">
        <f>'[50]TABLEAU FINAL'!G24</f>
        <v>3.7039074891353607E-2</v>
      </c>
      <c r="H25" s="138">
        <f>'[50]TABLEAU FINAL'!H24</f>
        <v>3.3800079572615438E-2</v>
      </c>
    </row>
    <row r="26" spans="2:8" ht="15">
      <c r="B26" s="282"/>
      <c r="C26" s="287"/>
      <c r="D26" s="114">
        <f>'[50]TABLEAU FINAL'!D25</f>
        <v>2</v>
      </c>
      <c r="E26" s="115">
        <f>'[50]TABLEAU FINAL'!E25</f>
        <v>-5.022573363431178</v>
      </c>
      <c r="F26" s="116">
        <f>'[50]TABLEAU FINAL'!F25</f>
        <v>0.11587659894657065</v>
      </c>
      <c r="G26" s="137">
        <f>'[50]TABLEAU FINAL'!G25</f>
        <v>7.6011051684762299E-2</v>
      </c>
      <c r="H26" s="138">
        <f>'[50]TABLEAU FINAL'!H25</f>
        <v>7.0426275940835836E-2</v>
      </c>
    </row>
    <row r="27" spans="2:8" ht="15.75" thickBot="1">
      <c r="B27" s="284"/>
      <c r="C27" s="289"/>
      <c r="D27" s="107" t="str">
        <f>'[50]TABLEAU FINAL'!D26</f>
        <v>3 et plus</v>
      </c>
      <c r="E27" s="108">
        <f>'[50]TABLEAU FINAL'!E26</f>
        <v>-9.5531914893616943</v>
      </c>
      <c r="F27" s="109">
        <f>'[50]TABLEAU FINAL'!F26</f>
        <v>0.12204491725769628</v>
      </c>
      <c r="G27" s="110">
        <f>'[50]TABLEAU FINAL'!G26</f>
        <v>9.6377104637042077E-3</v>
      </c>
      <c r="H27" s="111">
        <f>'[50]TABLEAU FINAL'!H26</f>
        <v>1.1514900842766185E-3</v>
      </c>
    </row>
    <row r="28" spans="2:8" ht="15.75" thickBot="1">
      <c r="B28" s="277" t="str">
        <f>'[50]TABLEAU FINAL'!B27</f>
        <v>Selon le quintile de pension</v>
      </c>
      <c r="C28" s="278"/>
      <c r="D28" s="278"/>
      <c r="E28" s="278"/>
      <c r="F28" s="278"/>
      <c r="G28" s="278"/>
      <c r="H28" s="279"/>
    </row>
    <row r="29" spans="2:8" ht="15">
      <c r="B29" s="282" t="str">
        <f>'[50]TABLEAU FINAL'!B28</f>
        <v>Femmes</v>
      </c>
      <c r="C29" s="292" t="str">
        <f>'[50]TABLEAU FINAL'!C28</f>
        <v>Q1</v>
      </c>
      <c r="D29" s="142">
        <f>'[50]TABLEAU FINAL'!D28</f>
        <v>1</v>
      </c>
      <c r="E29" s="143">
        <f>'[50]TABLEAU FINAL'!E28</f>
        <v>-1.6284544524053359</v>
      </c>
      <c r="F29" s="144">
        <f>'[50]TABLEAU FINAL'!F28</f>
        <v>5.7147731149882475E-3</v>
      </c>
      <c r="G29" s="178">
        <f>'[50]TABLEAU FINAL'!G28</f>
        <v>4.6913745630037029E-2</v>
      </c>
      <c r="H29" s="179">
        <f>'[50]TABLEAU FINAL'!H28</f>
        <v>4.7620287884729606E-2</v>
      </c>
    </row>
    <row r="30" spans="2:8" ht="15">
      <c r="B30" s="282"/>
      <c r="C30" s="292"/>
      <c r="D30" s="114">
        <f>'[50]TABLEAU FINAL'!D29</f>
        <v>2</v>
      </c>
      <c r="E30" s="115">
        <f>'[50]TABLEAU FINAL'!E29</f>
        <v>-3.4833759590792823</v>
      </c>
      <c r="F30" s="116">
        <f>'[50]TABLEAU FINAL'!F29</f>
        <v>1.3800085251489236E-2</v>
      </c>
      <c r="G30" s="137">
        <f>'[50]TABLEAU FINAL'!G29</f>
        <v>9.4793373568858641E-2</v>
      </c>
      <c r="H30" s="138">
        <f>'[50]TABLEAU FINAL'!H29</f>
        <v>9.4145903368775485E-2</v>
      </c>
    </row>
    <row r="31" spans="2:8" ht="15">
      <c r="B31" s="282"/>
      <c r="C31" s="292"/>
      <c r="D31" s="131" t="str">
        <f>'[50]TABLEAU FINAL'!D30</f>
        <v>3 et plus</v>
      </c>
      <c r="E31" s="132">
        <f>'[50]TABLEAU FINAL'!E30</f>
        <v>-13.909502262443439</v>
      </c>
      <c r="F31" s="133">
        <f>'[50]TABLEAU FINAL'!F30</f>
        <v>1.3843999138117624E-2</v>
      </c>
      <c r="G31" s="134">
        <f>'[50]TABLEAU FINAL'!G30</f>
        <v>-4.5400172143847284E-2</v>
      </c>
      <c r="H31" s="135">
        <f>'[50]TABLEAU FINAL'!H30</f>
        <v>-4.7375448812637666E-2</v>
      </c>
    </row>
    <row r="32" spans="2:8" ht="15">
      <c r="B32" s="282"/>
      <c r="C32" s="291" t="str">
        <f>'[50]TABLEAU FINAL'!C31</f>
        <v>Q2</v>
      </c>
      <c r="D32" s="180">
        <f>'[50]TABLEAU FINAL'!D31</f>
        <v>1</v>
      </c>
      <c r="E32" s="184">
        <f>'[50]TABLEAU FINAL'!E31</f>
        <v>-1.5421545667447276</v>
      </c>
      <c r="F32" s="185">
        <f>'[50]TABLEAU FINAL'!F31</f>
        <v>6.1475409836077688E-2</v>
      </c>
      <c r="G32" s="117">
        <f>'[50]TABLEAU FINAL'!G31</f>
        <v>5.1217036157592322E-2</v>
      </c>
      <c r="H32" s="118">
        <f>'[50]TABLEAU FINAL'!H31</f>
        <v>4.7730813932281402E-2</v>
      </c>
    </row>
    <row r="33" spans="2:8" ht="15">
      <c r="B33" s="282"/>
      <c r="C33" s="292"/>
      <c r="D33" s="126">
        <f>'[50]TABLEAU FINAL'!D32</f>
        <v>2</v>
      </c>
      <c r="E33" s="127">
        <f>'[50]TABLEAU FINAL'!E32</f>
        <v>-3.7168610816542866</v>
      </c>
      <c r="F33" s="128">
        <f>'[50]TABLEAU FINAL'!F32</f>
        <v>0.12283492400142393</v>
      </c>
      <c r="G33" s="129">
        <f>'[50]TABLEAU FINAL'!G32</f>
        <v>0.10139650560015001</v>
      </c>
      <c r="H33" s="130">
        <f>'[50]TABLEAU FINAL'!H32</f>
        <v>9.6001894099686735E-2</v>
      </c>
    </row>
    <row r="34" spans="2:8" ht="15">
      <c r="B34" s="282"/>
      <c r="C34" s="292"/>
      <c r="D34" s="186" t="str">
        <f>'[50]TABLEAU FINAL'!D33</f>
        <v>3 et plus</v>
      </c>
      <c r="E34" s="187">
        <f>'[50]TABLEAU FINAL'!E33</f>
        <v>-8.8325722983257151</v>
      </c>
      <c r="F34" s="188">
        <f>'[50]TABLEAU FINAL'!F33</f>
        <v>0.21175799086759639</v>
      </c>
      <c r="G34" s="122">
        <f>'[50]TABLEAU FINAL'!G33</f>
        <v>7.9075181274533612E-2</v>
      </c>
      <c r="H34" s="123">
        <f>'[50]TABLEAU FINAL'!H33</f>
        <v>6.8439662762391995E-2</v>
      </c>
    </row>
    <row r="35" spans="2:8" ht="15">
      <c r="B35" s="282"/>
      <c r="C35" s="291" t="str">
        <f>'[50]TABLEAU FINAL'!C34</f>
        <v>Q3</v>
      </c>
      <c r="D35" s="180">
        <f>'[50]TABLEAU FINAL'!D34</f>
        <v>1</v>
      </c>
      <c r="E35" s="184">
        <f>'[50]TABLEAU FINAL'!E34</f>
        <v>-1.1524390243902474</v>
      </c>
      <c r="F35" s="185">
        <f>'[50]TABLEAU FINAL'!F34</f>
        <v>3.5823170731710263E-2</v>
      </c>
      <c r="G35" s="117">
        <f>'[50]TABLEAU FINAL'!G34</f>
        <v>4.9584168770475889E-2</v>
      </c>
      <c r="H35" s="118">
        <f>'[50]TABLEAU FINAL'!H34</f>
        <v>4.8427860282528545E-2</v>
      </c>
    </row>
    <row r="36" spans="2:8" ht="15">
      <c r="B36" s="282"/>
      <c r="C36" s="292"/>
      <c r="D36" s="126">
        <f>'[50]TABLEAU FINAL'!D35</f>
        <v>2</v>
      </c>
      <c r="E36" s="127">
        <f>'[50]TABLEAU FINAL'!E35</f>
        <v>-2.6200000000000045</v>
      </c>
      <c r="F36" s="128">
        <f>'[50]TABLEAU FINAL'!F35</f>
        <v>7.4027777777800452E-2</v>
      </c>
      <c r="G36" s="129">
        <f>'[50]TABLEAU FINAL'!G35</f>
        <v>0.10113600940126122</v>
      </c>
      <c r="H36" s="130">
        <f>'[50]TABLEAU FINAL'!H35</f>
        <v>9.8061752568318061E-2</v>
      </c>
    </row>
    <row r="37" spans="2:8" ht="15">
      <c r="B37" s="282"/>
      <c r="C37" s="292"/>
      <c r="D37" s="186" t="str">
        <f>'[50]TABLEAU FINAL'!D36</f>
        <v>3 et plus</v>
      </c>
      <c r="E37" s="187">
        <f>'[50]TABLEAU FINAL'!E36</f>
        <v>-6.9434523809523796</v>
      </c>
      <c r="F37" s="188">
        <f>'[50]TABLEAU FINAL'!F36</f>
        <v>0.10757688492061845</v>
      </c>
      <c r="G37" s="122">
        <f>'[50]TABLEAU FINAL'!G36</f>
        <v>6.3727089946076898E-2</v>
      </c>
      <c r="H37" s="123">
        <f>'[50]TABLEAU FINAL'!H36</f>
        <v>5.8670728259277771E-2</v>
      </c>
    </row>
    <row r="38" spans="2:8" ht="15">
      <c r="B38" s="282"/>
      <c r="C38" s="291" t="str">
        <f>'[50]TABLEAU FINAL'!C37</f>
        <v>Q4</v>
      </c>
      <c r="D38" s="180">
        <f>'[50]TABLEAU FINAL'!D37</f>
        <v>1</v>
      </c>
      <c r="E38" s="184">
        <f>'[50]TABLEAU FINAL'!E37</f>
        <v>-1.173044925124799</v>
      </c>
      <c r="F38" s="185">
        <f>'[50]TABLEAU FINAL'!F37</f>
        <v>3.1960621186925664E-2</v>
      </c>
      <c r="G38" s="117">
        <f>'[50]TABLEAU FINAL'!G37</f>
        <v>4.8724962222290502E-2</v>
      </c>
      <c r="H38" s="118">
        <f>'[50]TABLEAU FINAL'!H37</f>
        <v>4.7341701169801187E-2</v>
      </c>
    </row>
    <row r="39" spans="2:8" ht="15">
      <c r="B39" s="282"/>
      <c r="C39" s="292"/>
      <c r="D39" s="126">
        <f>'[50]TABLEAU FINAL'!D38</f>
        <v>2</v>
      </c>
      <c r="E39" s="127">
        <f>'[50]TABLEAU FINAL'!E38</f>
        <v>-2.7343215507411571</v>
      </c>
      <c r="F39" s="128">
        <f>'[50]TABLEAU FINAL'!F38</f>
        <v>5.9007981755982541E-2</v>
      </c>
      <c r="G39" s="129">
        <f>'[50]TABLEAU FINAL'!G38</f>
        <v>0.10523509092347405</v>
      </c>
      <c r="H39" s="130">
        <f>'[50]TABLEAU FINAL'!H38</f>
        <v>0.10343450619957539</v>
      </c>
    </row>
    <row r="40" spans="2:8" ht="15">
      <c r="B40" s="282"/>
      <c r="C40" s="292"/>
      <c r="D40" s="186" t="str">
        <f>'[50]TABLEAU FINAL'!D39</f>
        <v>3 et plus</v>
      </c>
      <c r="E40" s="187">
        <f>'[50]TABLEAU FINAL'!E39</f>
        <v>-4.9694519317160655</v>
      </c>
      <c r="F40" s="188">
        <f>'[50]TABLEAU FINAL'!F39</f>
        <v>0.10467205750224196</v>
      </c>
      <c r="G40" s="122">
        <f>'[50]TABLEAU FINAL'!G39</f>
        <v>3.8368314129029413E-2</v>
      </c>
      <c r="H40" s="123">
        <f>'[50]TABLEAU FINAL'!H39</f>
        <v>3.4706869089540682E-2</v>
      </c>
    </row>
    <row r="41" spans="2:8" ht="15">
      <c r="B41" s="282"/>
      <c r="C41" s="309" t="str">
        <f>'[50]TABLEAU FINAL'!C40</f>
        <v>Q5</v>
      </c>
      <c r="D41" s="180">
        <f>'[50]TABLEAU FINAL'!D40</f>
        <v>1</v>
      </c>
      <c r="E41" s="184">
        <f>'[50]TABLEAU FINAL'!E40</f>
        <v>-1.6833073322933103</v>
      </c>
      <c r="F41" s="185">
        <f>'[50]TABLEAU FINAL'!F40</f>
        <v>3.9521580863237205E-2</v>
      </c>
      <c r="G41" s="117">
        <f>'[50]TABLEAU FINAL'!G40</f>
        <v>4.5158045557594617E-2</v>
      </c>
      <c r="H41" s="118">
        <f>'[50]TABLEAU FINAL'!H40</f>
        <v>4.3225453536582359E-2</v>
      </c>
    </row>
    <row r="42" spans="2:8" ht="15">
      <c r="B42" s="282"/>
      <c r="C42" s="310"/>
      <c r="D42" s="180">
        <f>'[50]TABLEAU FINAL'!D41</f>
        <v>2</v>
      </c>
      <c r="E42" s="184">
        <f>'[50]TABLEAU FINAL'!E41</f>
        <v>-3.6606640405177018</v>
      </c>
      <c r="F42" s="185">
        <f>'[50]TABLEAU FINAL'!F41</f>
        <v>7.5595573063210963E-2</v>
      </c>
      <c r="G42" s="117">
        <f>'[50]TABLEAU FINAL'!G41</f>
        <v>8.5329662124000061E-2</v>
      </c>
      <c r="H42" s="118">
        <f>'[50]TABLEAU FINAL'!H41</f>
        <v>8.2566093499743642E-2</v>
      </c>
    </row>
    <row r="43" spans="2:8" ht="15.75" thickBot="1">
      <c r="B43" s="284"/>
      <c r="C43" s="311"/>
      <c r="D43" s="192" t="str">
        <f>'[50]TABLEAU FINAL'!D42</f>
        <v>3 et plus</v>
      </c>
      <c r="E43" s="193">
        <f>'[50]TABLEAU FINAL'!E42</f>
        <v>-5.3481262327416061</v>
      </c>
      <c r="F43" s="194">
        <f>'[50]TABLEAU FINAL'!F42</f>
        <v>0.12080867850097832</v>
      </c>
      <c r="G43" s="147">
        <f>'[50]TABLEAU FINAL'!G42</f>
        <v>-1.3921299547829946E-3</v>
      </c>
      <c r="H43" s="148">
        <f>'[50]TABLEAU FINAL'!H42</f>
        <v>-5.8905630206197435E-3</v>
      </c>
    </row>
    <row r="45" spans="2:8">
      <c r="B45" s="177" t="s">
        <v>36</v>
      </c>
    </row>
    <row r="46" spans="2:8">
      <c r="B46" s="177" t="s">
        <v>60</v>
      </c>
    </row>
  </sheetData>
  <mergeCells count="20">
    <mergeCell ref="B28:H28"/>
    <mergeCell ref="B29:B43"/>
    <mergeCell ref="C29:C31"/>
    <mergeCell ref="C32:C34"/>
    <mergeCell ref="C35:C37"/>
    <mergeCell ref="C38:C40"/>
    <mergeCell ref="C41:C43"/>
    <mergeCell ref="B12:H12"/>
    <mergeCell ref="B13:B27"/>
    <mergeCell ref="C13:C15"/>
    <mergeCell ref="C16:C18"/>
    <mergeCell ref="C19:C21"/>
    <mergeCell ref="C22:C24"/>
    <mergeCell ref="C25:C27"/>
    <mergeCell ref="B11:C11"/>
    <mergeCell ref="B4:C4"/>
    <mergeCell ref="B5:C5"/>
    <mergeCell ref="B6:C6"/>
    <mergeCell ref="B7:H7"/>
    <mergeCell ref="B8:C10"/>
  </mergeCells>
  <hyperlinks>
    <hyperlink ref="A2" location="SOMMAIRE!A1" display="Retour au sommaire" xr:uid="{D54FD1F3-E564-4C5B-8558-FADFFE84145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254E-FFCA-46C2-A885-F92FA4CEB77A}">
  <sheetPr>
    <tabColor theme="4"/>
  </sheetPr>
  <dimension ref="A1:H46"/>
  <sheetViews>
    <sheetView workbookViewId="0"/>
  </sheetViews>
  <sheetFormatPr baseColWidth="10" defaultRowHeight="14.25"/>
  <cols>
    <col min="5" max="8" width="20.625" customWidth="1"/>
  </cols>
  <sheetData>
    <row r="1" spans="1:8" ht="15.75">
      <c r="A1" s="2" t="s">
        <v>125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'[51]TABLEAU FINAL'!D3</f>
        <v>Nombre d'enfants</v>
      </c>
      <c r="E4" s="100" t="str">
        <f>'[51]TABLEAU FINAL'!E3</f>
        <v>Durée validée totale moyenne (écart en trimestres)</v>
      </c>
      <c r="F4" s="100" t="str">
        <f>'[51]TABLEAU FINAL'!F3</f>
        <v>Âge de départ (écart en année)</v>
      </c>
      <c r="G4" s="100" t="str">
        <f>'[51]TABLEAU FINAL'!G3</f>
        <v>Pension moyenne 68 ans</v>
      </c>
      <c r="H4" s="101" t="str">
        <f>'[51]TABLEAU FINAL'!H3</f>
        <v>Pension moyenne CV</v>
      </c>
    </row>
    <row r="5" spans="1:8" ht="15">
      <c r="B5" s="303" t="str">
        <f>'[51]TABLEAU FINAL'!B4</f>
        <v>Femmes</v>
      </c>
      <c r="C5" s="304"/>
      <c r="D5" s="189" t="str">
        <f>'[51]TABLEAU FINAL'!D4</f>
        <v>Ensemble</v>
      </c>
      <c r="E5" s="190">
        <f>'[51]TABLEAU FINAL'!E4</f>
        <v>0</v>
      </c>
      <c r="F5" s="191">
        <f>'[51]TABLEAU FINAL'!F4</f>
        <v>0</v>
      </c>
      <c r="G5" s="112">
        <f>'[51]TABLEAU FINAL'!G4</f>
        <v>4.7065259915541224E-2</v>
      </c>
      <c r="H5" s="113">
        <f>'[51]TABLEAU FINAL'!H4</f>
        <v>4.6008387355067848E-2</v>
      </c>
    </row>
    <row r="6" spans="1:8" ht="15.75" thickBot="1">
      <c r="B6" s="293" t="str">
        <f>'[51]TABLEAU FINAL'!B5</f>
        <v>Hommes</v>
      </c>
      <c r="C6" s="294"/>
      <c r="D6" s="107" t="str">
        <f>'[51]TABLEAU FINAL'!D5</f>
        <v>Ensemble</v>
      </c>
      <c r="E6" s="108">
        <f>'[51]TABLEAU FINAL'!E5</f>
        <v>0</v>
      </c>
      <c r="F6" s="109">
        <f>'[51]TABLEAU FINAL'!F5</f>
        <v>0</v>
      </c>
      <c r="G6" s="110">
        <f>'[51]TABLEAU FINAL'!G5</f>
        <v>-2.5391884010056098E-2</v>
      </c>
      <c r="H6" s="111">
        <f>'[51]TABLEAU FINAL'!H5</f>
        <v>-2.5170595940059326E-2</v>
      </c>
    </row>
    <row r="7" spans="1:8" ht="15.75" thickBot="1">
      <c r="B7" s="277" t="str">
        <f>'[51]TABLEAU FINAL'!B6</f>
        <v>Selon le nombre d'enfants</v>
      </c>
      <c r="C7" s="278"/>
      <c r="D7" s="278"/>
      <c r="E7" s="278"/>
      <c r="F7" s="278"/>
      <c r="G7" s="278"/>
      <c r="H7" s="279"/>
    </row>
    <row r="8" spans="1:8" ht="15">
      <c r="B8" s="303" t="str">
        <f>'[51]TABLEAU FINAL'!B7</f>
        <v>Femmes</v>
      </c>
      <c r="C8" s="304"/>
      <c r="D8" s="189">
        <f>'[51]TABLEAU FINAL'!D7</f>
        <v>1</v>
      </c>
      <c r="E8" s="190">
        <f>'[51]TABLEAU FINAL'!E7</f>
        <v>0</v>
      </c>
      <c r="F8" s="191">
        <f>'[51]TABLEAU FINAL'!F7</f>
        <v>0</v>
      </c>
      <c r="G8" s="112">
        <f>'[51]TABLEAU FINAL'!G7</f>
        <v>4.0333819173561603E-2</v>
      </c>
      <c r="H8" s="113">
        <f>'[51]TABLEAU FINAL'!H7</f>
        <v>3.9791478823351767E-2</v>
      </c>
    </row>
    <row r="9" spans="1:8" ht="15">
      <c r="B9" s="305"/>
      <c r="C9" s="306"/>
      <c r="D9" s="180">
        <f>'[51]TABLEAU FINAL'!D8</f>
        <v>2</v>
      </c>
      <c r="E9" s="184">
        <f>'[51]TABLEAU FINAL'!E8</f>
        <v>0</v>
      </c>
      <c r="F9" s="185">
        <f>'[51]TABLEAU FINAL'!F8</f>
        <v>0</v>
      </c>
      <c r="G9" s="117">
        <f>'[51]TABLEAU FINAL'!G8</f>
        <v>7.9512883242375931E-2</v>
      </c>
      <c r="H9" s="118">
        <f>'[51]TABLEAU FINAL'!H8</f>
        <v>7.8457841365910053E-2</v>
      </c>
    </row>
    <row r="10" spans="1:8" ht="15">
      <c r="B10" s="305"/>
      <c r="C10" s="306"/>
      <c r="D10" s="186" t="str">
        <f>'[51]TABLEAU FINAL'!D9</f>
        <v>3 et plus</v>
      </c>
      <c r="E10" s="187">
        <f>'[51]TABLEAU FINAL'!E9</f>
        <v>0</v>
      </c>
      <c r="F10" s="188">
        <f>'[51]TABLEAU FINAL'!F9</f>
        <v>0</v>
      </c>
      <c r="G10" s="122">
        <f>'[51]TABLEAU FINAL'!G9</f>
        <v>2.7089905878385556E-2</v>
      </c>
      <c r="H10" s="123">
        <f>'[51]TABLEAU FINAL'!H9</f>
        <v>2.5335437746481171E-2</v>
      </c>
    </row>
    <row r="11" spans="1:8" ht="15.75" thickBot="1">
      <c r="B11" s="293" t="str">
        <f>'[51]TABLEAU FINAL'!B10</f>
        <v>Hommes</v>
      </c>
      <c r="C11" s="294"/>
      <c r="D11" s="107" t="str">
        <f>'[51]TABLEAU FINAL'!D10</f>
        <v>3 et plus</v>
      </c>
      <c r="E11" s="108">
        <f>'[51]TABLEAU FINAL'!E10</f>
        <v>0</v>
      </c>
      <c r="F11" s="109">
        <f>'[51]TABLEAU FINAL'!F10</f>
        <v>0</v>
      </c>
      <c r="G11" s="110">
        <f>'[51]TABLEAU FINAL'!G10</f>
        <v>-8.2679124623869837E-2</v>
      </c>
      <c r="H11" s="111">
        <f>'[51]TABLEAU FINAL'!H10</f>
        <v>-8.217970264847696E-2</v>
      </c>
    </row>
    <row r="12" spans="1:8" ht="15.75" thickBot="1">
      <c r="B12" s="277" t="str">
        <f>'[51]TABLEAU FINAL'!B11</f>
        <v>Selon le régime d'affiliation</v>
      </c>
      <c r="C12" s="278"/>
      <c r="D12" s="278"/>
      <c r="E12" s="278"/>
      <c r="F12" s="278"/>
      <c r="G12" s="278"/>
      <c r="H12" s="279"/>
    </row>
    <row r="13" spans="1:8" ht="15">
      <c r="B13" s="280" t="str">
        <f>'[51]TABLEAU FINAL'!B12</f>
        <v>Femmes</v>
      </c>
      <c r="C13" s="312" t="str">
        <f>'[51]TABLEAU FINAL'!C12</f>
        <v>Mono Lura</v>
      </c>
      <c r="D13" s="189">
        <f>'[51]TABLEAU FINAL'!D12</f>
        <v>1</v>
      </c>
      <c r="E13" s="190">
        <f>'[51]TABLEAU FINAL'!E12</f>
        <v>0</v>
      </c>
      <c r="F13" s="191">
        <f>'[51]TABLEAU FINAL'!F12</f>
        <v>0</v>
      </c>
      <c r="G13" s="112">
        <f>'[51]TABLEAU FINAL'!G12</f>
        <v>4.2228044024350764E-2</v>
      </c>
      <c r="H13" s="113">
        <f>'[51]TABLEAU FINAL'!H12</f>
        <v>4.2060827978804172E-2</v>
      </c>
    </row>
    <row r="14" spans="1:8" ht="15">
      <c r="B14" s="282"/>
      <c r="C14" s="310"/>
      <c r="D14" s="180">
        <f>'[51]TABLEAU FINAL'!D13</f>
        <v>2</v>
      </c>
      <c r="E14" s="184">
        <f>'[51]TABLEAU FINAL'!E13</f>
        <v>0</v>
      </c>
      <c r="F14" s="185">
        <f>'[51]TABLEAU FINAL'!F13</f>
        <v>0</v>
      </c>
      <c r="G14" s="117">
        <f>'[51]TABLEAU FINAL'!G13</f>
        <v>8.2336371701237976E-2</v>
      </c>
      <c r="H14" s="118">
        <f>'[51]TABLEAU FINAL'!H13</f>
        <v>8.2032293195911876E-2</v>
      </c>
    </row>
    <row r="15" spans="1:8" ht="15">
      <c r="B15" s="282"/>
      <c r="C15" s="310"/>
      <c r="D15" s="186" t="str">
        <f>'[51]TABLEAU FINAL'!D14</f>
        <v>3 et plus</v>
      </c>
      <c r="E15" s="187">
        <f>'[51]TABLEAU FINAL'!E14</f>
        <v>0</v>
      </c>
      <c r="F15" s="188">
        <f>'[51]TABLEAU FINAL'!F14</f>
        <v>0</v>
      </c>
      <c r="G15" s="122">
        <f>'[51]TABLEAU FINAL'!G14</f>
        <v>3.6475928456337625E-2</v>
      </c>
      <c r="H15" s="123">
        <f>'[51]TABLEAU FINAL'!H14</f>
        <v>3.5321061828923694E-2</v>
      </c>
    </row>
    <row r="16" spans="1:8" ht="15">
      <c r="B16" s="282"/>
      <c r="C16" s="309" t="str">
        <f>'[51]TABLEAU FINAL'!C15</f>
        <v>Mono FP-RS</v>
      </c>
      <c r="D16" s="180">
        <f>'[51]TABLEAU FINAL'!D15</f>
        <v>1</v>
      </c>
      <c r="E16" s="184">
        <f>'[51]TABLEAU FINAL'!E15</f>
        <v>0</v>
      </c>
      <c r="F16" s="185">
        <f>'[51]TABLEAU FINAL'!F15</f>
        <v>0</v>
      </c>
      <c r="G16" s="117">
        <f>'[51]TABLEAU FINAL'!G15</f>
        <v>3.6258887610362223E-2</v>
      </c>
      <c r="H16" s="118">
        <f>'[51]TABLEAU FINAL'!H15</f>
        <v>3.5748973965364694E-2</v>
      </c>
    </row>
    <row r="17" spans="2:8" ht="15">
      <c r="B17" s="282"/>
      <c r="C17" s="310"/>
      <c r="D17" s="180">
        <f>'[51]TABLEAU FINAL'!D16</f>
        <v>2</v>
      </c>
      <c r="E17" s="184">
        <f>'[51]TABLEAU FINAL'!E16</f>
        <v>0</v>
      </c>
      <c r="F17" s="185">
        <f>'[51]TABLEAU FINAL'!F16</f>
        <v>0</v>
      </c>
      <c r="G17" s="117">
        <f>'[51]TABLEAU FINAL'!G16</f>
        <v>6.9632253715529613E-2</v>
      </c>
      <c r="H17" s="118">
        <f>'[51]TABLEAU FINAL'!H16</f>
        <v>6.8032111238136794E-2</v>
      </c>
    </row>
    <row r="18" spans="2:8" ht="15">
      <c r="B18" s="282"/>
      <c r="C18" s="310"/>
      <c r="D18" s="186" t="str">
        <f>'[51]TABLEAU FINAL'!D17</f>
        <v>3 et plus</v>
      </c>
      <c r="E18" s="187">
        <f>'[51]TABLEAU FINAL'!E17</f>
        <v>0</v>
      </c>
      <c r="F18" s="188">
        <f>'[51]TABLEAU FINAL'!F17</f>
        <v>0</v>
      </c>
      <c r="G18" s="122">
        <f>'[51]TABLEAU FINAL'!G17</f>
        <v>-7.2433902285984342E-4</v>
      </c>
      <c r="H18" s="123">
        <f>'[51]TABLEAU FINAL'!H17</f>
        <v>-1.3838432161933367E-3</v>
      </c>
    </row>
    <row r="19" spans="2:8" ht="15">
      <c r="B19" s="282"/>
      <c r="C19" s="309" t="str">
        <f>'[51]TABLEAU FINAL'!C18</f>
        <v>Mono MSAE-PLIB</v>
      </c>
      <c r="D19" s="180">
        <f>'[51]TABLEAU FINAL'!D18</f>
        <v>1</v>
      </c>
      <c r="E19" s="184">
        <f>'[51]TABLEAU FINAL'!E18</f>
        <v>0</v>
      </c>
      <c r="F19" s="185">
        <f>'[51]TABLEAU FINAL'!F18</f>
        <v>0</v>
      </c>
      <c r="G19" s="117">
        <f>'[51]TABLEAU FINAL'!G18</f>
        <v>4.6791747923221605E-2</v>
      </c>
      <c r="H19" s="118">
        <f>'[51]TABLEAU FINAL'!H18</f>
        <v>4.7227704583631569E-2</v>
      </c>
    </row>
    <row r="20" spans="2:8" ht="15">
      <c r="B20" s="282"/>
      <c r="C20" s="310"/>
      <c r="D20" s="180">
        <f>'[51]TABLEAU FINAL'!D19</f>
        <v>2</v>
      </c>
      <c r="E20" s="184">
        <f>'[51]TABLEAU FINAL'!E19</f>
        <v>0</v>
      </c>
      <c r="F20" s="185">
        <f>'[51]TABLEAU FINAL'!F19</f>
        <v>0</v>
      </c>
      <c r="G20" s="117">
        <f>'[51]TABLEAU FINAL'!G19</f>
        <v>8.9762711569606024E-2</v>
      </c>
      <c r="H20" s="118">
        <f>'[51]TABLEAU FINAL'!H19</f>
        <v>8.7523315781740774E-2</v>
      </c>
    </row>
    <row r="21" spans="2:8" ht="15">
      <c r="B21" s="282"/>
      <c r="C21" s="310"/>
      <c r="D21" s="186" t="str">
        <f>'[51]TABLEAU FINAL'!D20</f>
        <v>3 et plus</v>
      </c>
      <c r="E21" s="187">
        <f>'[51]TABLEAU FINAL'!E20</f>
        <v>0</v>
      </c>
      <c r="F21" s="188">
        <f>'[51]TABLEAU FINAL'!F20</f>
        <v>0</v>
      </c>
      <c r="G21" s="122">
        <f>'[51]TABLEAU FINAL'!G20</f>
        <v>6.302074358129639E-2</v>
      </c>
      <c r="H21" s="123">
        <f>'[51]TABLEAU FINAL'!H20</f>
        <v>6.1030262913357669E-2</v>
      </c>
    </row>
    <row r="22" spans="2:8" ht="15">
      <c r="B22" s="282"/>
      <c r="C22" s="288" t="str">
        <f>'[51]TABLEAU FINAL'!C21</f>
        <v>Poly Lura-FP-RS</v>
      </c>
      <c r="D22" s="114">
        <f>'[51]TABLEAU FINAL'!D21</f>
        <v>1</v>
      </c>
      <c r="E22" s="115">
        <f>'[51]TABLEAU FINAL'!E21</f>
        <v>0</v>
      </c>
      <c r="F22" s="116">
        <f>'[51]TABLEAU FINAL'!F21</f>
        <v>0</v>
      </c>
      <c r="G22" s="137">
        <f>'[51]TABLEAU FINAL'!G21</f>
        <v>3.5041037101054551E-2</v>
      </c>
      <c r="H22" s="138">
        <f>'[51]TABLEAU FINAL'!H21</f>
        <v>3.4256861880979983E-2</v>
      </c>
    </row>
    <row r="23" spans="2:8" ht="15">
      <c r="B23" s="282"/>
      <c r="C23" s="287"/>
      <c r="D23" s="114">
        <f>'[51]TABLEAU FINAL'!D22</f>
        <v>2</v>
      </c>
      <c r="E23" s="115">
        <f>'[51]TABLEAU FINAL'!E22</f>
        <v>0</v>
      </c>
      <c r="F23" s="116">
        <f>'[51]TABLEAU FINAL'!F22</f>
        <v>0</v>
      </c>
      <c r="G23" s="137">
        <f>'[51]TABLEAU FINAL'!G22</f>
        <v>7.4160206064651568E-2</v>
      </c>
      <c r="H23" s="138">
        <f>'[51]TABLEAU FINAL'!H22</f>
        <v>7.1528497739509644E-2</v>
      </c>
    </row>
    <row r="24" spans="2:8" ht="15">
      <c r="B24" s="282"/>
      <c r="C24" s="287"/>
      <c r="D24" s="119" t="str">
        <f>'[51]TABLEAU FINAL'!D23</f>
        <v>3 et plus</v>
      </c>
      <c r="E24" s="120">
        <f>'[51]TABLEAU FINAL'!E23</f>
        <v>0</v>
      </c>
      <c r="F24" s="121">
        <f>'[51]TABLEAU FINAL'!F23</f>
        <v>0</v>
      </c>
      <c r="G24" s="139">
        <f>'[51]TABLEAU FINAL'!G23</f>
        <v>4.8550503313100624E-3</v>
      </c>
      <c r="H24" s="140">
        <f>'[51]TABLEAU FINAL'!H23</f>
        <v>3.340762330869218E-3</v>
      </c>
    </row>
    <row r="25" spans="2:8" ht="15">
      <c r="B25" s="282"/>
      <c r="C25" s="288" t="str">
        <f>'[51]TABLEAU FINAL'!C24</f>
        <v>Poly Lura-MSAE-PLIB</v>
      </c>
      <c r="D25" s="114">
        <f>'[51]TABLEAU FINAL'!D24</f>
        <v>1</v>
      </c>
      <c r="E25" s="115">
        <f>'[51]TABLEAU FINAL'!E24</f>
        <v>0</v>
      </c>
      <c r="F25" s="116">
        <f>'[51]TABLEAU FINAL'!F24</f>
        <v>0</v>
      </c>
      <c r="G25" s="137">
        <f>'[51]TABLEAU FINAL'!G24</f>
        <v>4.1524173278465248E-2</v>
      </c>
      <c r="H25" s="138">
        <f>'[51]TABLEAU FINAL'!H24</f>
        <v>4.0574974192879143E-2</v>
      </c>
    </row>
    <row r="26" spans="2:8" ht="15">
      <c r="B26" s="282"/>
      <c r="C26" s="287"/>
      <c r="D26" s="114">
        <f>'[51]TABLEAU FINAL'!D25</f>
        <v>2</v>
      </c>
      <c r="E26" s="115">
        <f>'[51]TABLEAU FINAL'!E25</f>
        <v>0</v>
      </c>
      <c r="F26" s="116">
        <f>'[51]TABLEAU FINAL'!F25</f>
        <v>0</v>
      </c>
      <c r="G26" s="137">
        <f>'[51]TABLEAU FINAL'!G25</f>
        <v>7.5858662982103864E-2</v>
      </c>
      <c r="H26" s="138">
        <f>'[51]TABLEAU FINAL'!H25</f>
        <v>7.4536072564185485E-2</v>
      </c>
    </row>
    <row r="27" spans="2:8" ht="15.75" thickBot="1">
      <c r="B27" s="284"/>
      <c r="C27" s="289"/>
      <c r="D27" s="107" t="str">
        <f>'[51]TABLEAU FINAL'!D26</f>
        <v>3 et plus</v>
      </c>
      <c r="E27" s="108">
        <f>'[51]TABLEAU FINAL'!E26</f>
        <v>0</v>
      </c>
      <c r="F27" s="109">
        <f>'[51]TABLEAU FINAL'!F26</f>
        <v>0</v>
      </c>
      <c r="G27" s="110">
        <f>'[51]TABLEAU FINAL'!G26</f>
        <v>1.6831323653412555E-2</v>
      </c>
      <c r="H27" s="111">
        <f>'[51]TABLEAU FINAL'!H26</f>
        <v>1.5265473054797196E-2</v>
      </c>
    </row>
    <row r="28" spans="2:8" ht="15.75" thickBot="1">
      <c r="B28" s="277" t="str">
        <f>'[51]TABLEAU FINAL'!B27</f>
        <v>Selon le quintile de pension</v>
      </c>
      <c r="C28" s="278"/>
      <c r="D28" s="278"/>
      <c r="E28" s="278"/>
      <c r="F28" s="278"/>
      <c r="G28" s="278"/>
      <c r="H28" s="279"/>
    </row>
    <row r="29" spans="2:8" ht="15">
      <c r="B29" s="282" t="str">
        <f>'[51]TABLEAU FINAL'!B28</f>
        <v>Femmes</v>
      </c>
      <c r="C29" s="310" t="str">
        <f>'[51]TABLEAU FINAL'!C28</f>
        <v>Q1</v>
      </c>
      <c r="D29" s="181">
        <f>'[51]TABLEAU FINAL'!D28</f>
        <v>1</v>
      </c>
      <c r="E29" s="182">
        <f>'[51]TABLEAU FINAL'!E28</f>
        <v>0</v>
      </c>
      <c r="F29" s="183">
        <f>'[51]TABLEAU FINAL'!F28</f>
        <v>0</v>
      </c>
      <c r="G29" s="145">
        <f>'[51]TABLEAU FINAL'!G28</f>
        <v>4.85443306826292E-2</v>
      </c>
      <c r="H29" s="146">
        <f>'[51]TABLEAU FINAL'!H28</f>
        <v>4.8086339534185507E-2</v>
      </c>
    </row>
    <row r="30" spans="2:8" ht="15">
      <c r="B30" s="282"/>
      <c r="C30" s="310"/>
      <c r="D30" s="180">
        <f>'[51]TABLEAU FINAL'!D29</f>
        <v>2</v>
      </c>
      <c r="E30" s="184">
        <f>'[51]TABLEAU FINAL'!E29</f>
        <v>0</v>
      </c>
      <c r="F30" s="185">
        <f>'[51]TABLEAU FINAL'!F29</f>
        <v>0</v>
      </c>
      <c r="G30" s="117">
        <f>'[51]TABLEAU FINAL'!G29</f>
        <v>9.6515966769589845E-2</v>
      </c>
      <c r="H30" s="118">
        <f>'[51]TABLEAU FINAL'!H29</f>
        <v>9.5969184630531057E-2</v>
      </c>
    </row>
    <row r="31" spans="2:8" ht="15">
      <c r="B31" s="282"/>
      <c r="C31" s="310"/>
      <c r="D31" s="186" t="str">
        <f>'[51]TABLEAU FINAL'!D30</f>
        <v>3 et plus</v>
      </c>
      <c r="E31" s="187">
        <f>'[51]TABLEAU FINAL'!E30</f>
        <v>0</v>
      </c>
      <c r="F31" s="188">
        <f>'[51]TABLEAU FINAL'!F30</f>
        <v>0</v>
      </c>
      <c r="G31" s="122">
        <f>'[51]TABLEAU FINAL'!G30</f>
        <v>8.9437331061358538E-2</v>
      </c>
      <c r="H31" s="123">
        <f>'[51]TABLEAU FINAL'!H30</f>
        <v>8.8589583213327217E-2</v>
      </c>
    </row>
    <row r="32" spans="2:8" ht="15">
      <c r="B32" s="282"/>
      <c r="C32" s="309" t="str">
        <f>'[51]TABLEAU FINAL'!C31</f>
        <v>Q2</v>
      </c>
      <c r="D32" s="180">
        <f>'[51]TABLEAU FINAL'!D31</f>
        <v>1</v>
      </c>
      <c r="E32" s="184">
        <f>'[51]TABLEAU FINAL'!E31</f>
        <v>0</v>
      </c>
      <c r="F32" s="185">
        <f>'[51]TABLEAU FINAL'!F31</f>
        <v>0</v>
      </c>
      <c r="G32" s="117">
        <f>'[51]TABLEAU FINAL'!G31</f>
        <v>4.1531120455557069E-2</v>
      </c>
      <c r="H32" s="118">
        <f>'[51]TABLEAU FINAL'!H31</f>
        <v>4.0271255810745199E-2</v>
      </c>
    </row>
    <row r="33" spans="2:8" ht="15">
      <c r="B33" s="282"/>
      <c r="C33" s="310"/>
      <c r="D33" s="180">
        <f>'[51]TABLEAU FINAL'!D32</f>
        <v>2</v>
      </c>
      <c r="E33" s="184">
        <f>'[51]TABLEAU FINAL'!E32</f>
        <v>0</v>
      </c>
      <c r="F33" s="185">
        <f>'[51]TABLEAU FINAL'!F32</f>
        <v>0</v>
      </c>
      <c r="G33" s="117">
        <f>'[51]TABLEAU FINAL'!G32</f>
        <v>8.7391525011480953E-2</v>
      </c>
      <c r="H33" s="118">
        <f>'[51]TABLEAU FINAL'!H32</f>
        <v>8.4761194354365132E-2</v>
      </c>
    </row>
    <row r="34" spans="2:8" ht="15">
      <c r="B34" s="282"/>
      <c r="C34" s="310"/>
      <c r="D34" s="186" t="str">
        <f>'[51]TABLEAU FINAL'!D33</f>
        <v>3 et plus</v>
      </c>
      <c r="E34" s="187">
        <f>'[51]TABLEAU FINAL'!E33</f>
        <v>0</v>
      </c>
      <c r="F34" s="188">
        <f>'[51]TABLEAU FINAL'!F33</f>
        <v>0</v>
      </c>
      <c r="G34" s="122">
        <f>'[51]TABLEAU FINAL'!G33</f>
        <v>8.2210375297348204E-2</v>
      </c>
      <c r="H34" s="123">
        <f>'[51]TABLEAU FINAL'!H33</f>
        <v>7.9506111307786842E-2</v>
      </c>
    </row>
    <row r="35" spans="2:8" ht="15">
      <c r="B35" s="282"/>
      <c r="C35" s="309" t="str">
        <f>'[51]TABLEAU FINAL'!C34</f>
        <v>Q3</v>
      </c>
      <c r="D35" s="180">
        <f>'[51]TABLEAU FINAL'!D34</f>
        <v>1</v>
      </c>
      <c r="E35" s="184">
        <f>'[51]TABLEAU FINAL'!E34</f>
        <v>0</v>
      </c>
      <c r="F35" s="185">
        <f>'[51]TABLEAU FINAL'!F34</f>
        <v>0</v>
      </c>
      <c r="G35" s="117">
        <f>'[51]TABLEAU FINAL'!G34</f>
        <v>3.9342998274510377E-2</v>
      </c>
      <c r="H35" s="118">
        <f>'[51]TABLEAU FINAL'!H34</f>
        <v>3.8914036037245969E-2</v>
      </c>
    </row>
    <row r="36" spans="2:8" ht="15">
      <c r="B36" s="282"/>
      <c r="C36" s="310"/>
      <c r="D36" s="180">
        <f>'[51]TABLEAU FINAL'!D35</f>
        <v>2</v>
      </c>
      <c r="E36" s="184">
        <f>'[51]TABLEAU FINAL'!E35</f>
        <v>0</v>
      </c>
      <c r="F36" s="185">
        <f>'[51]TABLEAU FINAL'!F35</f>
        <v>0</v>
      </c>
      <c r="G36" s="117">
        <f>'[51]TABLEAU FINAL'!G35</f>
        <v>8.3203209321791816E-2</v>
      </c>
      <c r="H36" s="118">
        <f>'[51]TABLEAU FINAL'!H35</f>
        <v>8.1859602824547961E-2</v>
      </c>
    </row>
    <row r="37" spans="2:8" ht="15">
      <c r="B37" s="282"/>
      <c r="C37" s="310"/>
      <c r="D37" s="186" t="str">
        <f>'[51]TABLEAU FINAL'!D36</f>
        <v>3 et plus</v>
      </c>
      <c r="E37" s="187">
        <f>'[51]TABLEAU FINAL'!E36</f>
        <v>0</v>
      </c>
      <c r="F37" s="188">
        <f>'[51]TABLEAU FINAL'!F36</f>
        <v>0</v>
      </c>
      <c r="G37" s="122">
        <f>'[51]TABLEAU FINAL'!G36</f>
        <v>6.1871092375405778E-2</v>
      </c>
      <c r="H37" s="123">
        <f>'[51]TABLEAU FINAL'!H36</f>
        <v>5.9910818787513476E-2</v>
      </c>
    </row>
    <row r="38" spans="2:8" ht="15">
      <c r="B38" s="282"/>
      <c r="C38" s="309" t="str">
        <f>'[51]TABLEAU FINAL'!C37</f>
        <v>Q4</v>
      </c>
      <c r="D38" s="180">
        <f>'[51]TABLEAU FINAL'!D37</f>
        <v>1</v>
      </c>
      <c r="E38" s="184">
        <f>'[51]TABLEAU FINAL'!E37</f>
        <v>0</v>
      </c>
      <c r="F38" s="185">
        <f>'[51]TABLEAU FINAL'!F37</f>
        <v>0</v>
      </c>
      <c r="G38" s="117">
        <f>'[51]TABLEAU FINAL'!G37</f>
        <v>4.0100330273200369E-2</v>
      </c>
      <c r="H38" s="118">
        <f>'[51]TABLEAU FINAL'!H37</f>
        <v>3.9599390233514997E-2</v>
      </c>
    </row>
    <row r="39" spans="2:8" ht="15">
      <c r="B39" s="282"/>
      <c r="C39" s="310"/>
      <c r="D39" s="180">
        <f>'[51]TABLEAU FINAL'!D38</f>
        <v>2</v>
      </c>
      <c r="E39" s="184">
        <f>'[51]TABLEAU FINAL'!E38</f>
        <v>0</v>
      </c>
      <c r="F39" s="185">
        <f>'[51]TABLEAU FINAL'!F38</f>
        <v>0</v>
      </c>
      <c r="G39" s="117">
        <f>'[51]TABLEAU FINAL'!G38</f>
        <v>8.3338302638943151E-2</v>
      </c>
      <c r="H39" s="118">
        <f>'[51]TABLEAU FINAL'!H38</f>
        <v>8.2389478018645823E-2</v>
      </c>
    </row>
    <row r="40" spans="2:8" ht="15">
      <c r="B40" s="282"/>
      <c r="C40" s="310"/>
      <c r="D40" s="186" t="str">
        <f>'[51]TABLEAU FINAL'!D39</f>
        <v>3 et plus</v>
      </c>
      <c r="E40" s="187">
        <f>'[51]TABLEAU FINAL'!E39</f>
        <v>0</v>
      </c>
      <c r="F40" s="188">
        <f>'[51]TABLEAU FINAL'!F39</f>
        <v>0</v>
      </c>
      <c r="G40" s="122">
        <f>'[51]TABLEAU FINAL'!G39</f>
        <v>2.5562934093538381E-2</v>
      </c>
      <c r="H40" s="123">
        <f>'[51]TABLEAU FINAL'!H39</f>
        <v>2.379995841355198E-2</v>
      </c>
    </row>
    <row r="41" spans="2:8" ht="15">
      <c r="B41" s="282"/>
      <c r="C41" s="309" t="str">
        <f>'[51]TABLEAU FINAL'!C40</f>
        <v>Q5</v>
      </c>
      <c r="D41" s="180">
        <f>'[51]TABLEAU FINAL'!D40</f>
        <v>1</v>
      </c>
      <c r="E41" s="184">
        <f>'[51]TABLEAU FINAL'!E40</f>
        <v>0</v>
      </c>
      <c r="F41" s="185">
        <f>'[51]TABLEAU FINAL'!F40</f>
        <v>0</v>
      </c>
      <c r="G41" s="117">
        <f>'[51]TABLEAU FINAL'!G40</f>
        <v>3.9318604392008405E-2</v>
      </c>
      <c r="H41" s="118">
        <f>'[51]TABLEAU FINAL'!H40</f>
        <v>3.9011335116623469E-2</v>
      </c>
    </row>
    <row r="42" spans="2:8" ht="15">
      <c r="B42" s="282"/>
      <c r="C42" s="310"/>
      <c r="D42" s="180">
        <f>'[51]TABLEAU FINAL'!D41</f>
        <v>2</v>
      </c>
      <c r="E42" s="184">
        <f>'[51]TABLEAU FINAL'!E41</f>
        <v>0</v>
      </c>
      <c r="F42" s="185">
        <f>'[51]TABLEAU FINAL'!F41</f>
        <v>0</v>
      </c>
      <c r="G42" s="117">
        <f>'[51]TABLEAU FINAL'!G41</f>
        <v>6.9301480407336413E-2</v>
      </c>
      <c r="H42" s="118">
        <f>'[51]TABLEAU FINAL'!H41</f>
        <v>6.8911068509414974E-2</v>
      </c>
    </row>
    <row r="43" spans="2:8" ht="15.75" thickBot="1">
      <c r="B43" s="284"/>
      <c r="C43" s="311"/>
      <c r="D43" s="192" t="str">
        <f>'[51]TABLEAU FINAL'!D42</f>
        <v>3 et plus</v>
      </c>
      <c r="E43" s="193">
        <f>'[51]TABLEAU FINAL'!E42</f>
        <v>0</v>
      </c>
      <c r="F43" s="194">
        <f>'[51]TABLEAU FINAL'!F42</f>
        <v>0</v>
      </c>
      <c r="G43" s="147">
        <f>'[51]TABLEAU FINAL'!G42</f>
        <v>-2.1728736356697698E-2</v>
      </c>
      <c r="H43" s="148">
        <f>'[51]TABLEAU FINAL'!H42</f>
        <v>-2.1888002626980763E-2</v>
      </c>
    </row>
    <row r="45" spans="2:8">
      <c r="B45" s="177" t="s">
        <v>36</v>
      </c>
    </row>
    <row r="46" spans="2:8">
      <c r="B46" s="177" t="s">
        <v>60</v>
      </c>
    </row>
  </sheetData>
  <mergeCells count="20">
    <mergeCell ref="B28:H28"/>
    <mergeCell ref="B29:B43"/>
    <mergeCell ref="C29:C31"/>
    <mergeCell ref="C32:C34"/>
    <mergeCell ref="C35:C37"/>
    <mergeCell ref="C38:C40"/>
    <mergeCell ref="C41:C43"/>
    <mergeCell ref="B12:H12"/>
    <mergeCell ref="B13:B27"/>
    <mergeCell ref="C13:C15"/>
    <mergeCell ref="C16:C18"/>
    <mergeCell ref="C19:C21"/>
    <mergeCell ref="C22:C24"/>
    <mergeCell ref="C25:C27"/>
    <mergeCell ref="B11:C11"/>
    <mergeCell ref="B4:C4"/>
    <mergeCell ref="B5:C5"/>
    <mergeCell ref="B6:C6"/>
    <mergeCell ref="B7:H7"/>
    <mergeCell ref="B8:C10"/>
  </mergeCells>
  <hyperlinks>
    <hyperlink ref="A2" location="SOMMAIRE!A1" display="Retour au sommaire" xr:uid="{9C88CE85-626C-4FB3-8594-F24466544EE1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AC0A-B698-4CE8-9ACB-C1EDB300FFFE}">
  <sheetPr>
    <tabColor theme="4"/>
  </sheetPr>
  <dimension ref="A1:H46"/>
  <sheetViews>
    <sheetView workbookViewId="0"/>
  </sheetViews>
  <sheetFormatPr baseColWidth="10" defaultRowHeight="14.25"/>
  <cols>
    <col min="5" max="8" width="20.625" customWidth="1"/>
  </cols>
  <sheetData>
    <row r="1" spans="1:8" ht="15.75">
      <c r="A1" s="2" t="s">
        <v>126</v>
      </c>
    </row>
    <row r="2" spans="1:8">
      <c r="A2" s="6" t="s">
        <v>2</v>
      </c>
    </row>
    <row r="3" spans="1:8" ht="15" thickBot="1"/>
    <row r="4" spans="1:8" ht="45.75" thickBot="1">
      <c r="B4" s="285"/>
      <c r="C4" s="286"/>
      <c r="D4" s="99" t="str">
        <f>'[52]TABLEAU FINAL'!D3</f>
        <v>Nombre d'enfants</v>
      </c>
      <c r="E4" s="100" t="str">
        <f>'[52]TABLEAU FINAL'!E3</f>
        <v>Durée validée totale moyenne (écart en trimestres)</v>
      </c>
      <c r="F4" s="100" t="str">
        <f>'[52]TABLEAU FINAL'!F3</f>
        <v>Âge de départ (écart en année)</v>
      </c>
      <c r="G4" s="100" t="str">
        <f>'[52]TABLEAU FINAL'!G3</f>
        <v>Pension moyenne 68 ans</v>
      </c>
      <c r="H4" s="101" t="str">
        <f>'[52]TABLEAU FINAL'!H3</f>
        <v>Pension moyenne CV</v>
      </c>
    </row>
    <row r="5" spans="1:8" ht="15">
      <c r="B5" s="307" t="str">
        <f>'[52]TABLEAU FINAL'!B4</f>
        <v>Femmes</v>
      </c>
      <c r="C5" s="308"/>
      <c r="D5" s="150" t="str">
        <f>'[52]TABLEAU FINAL'!D4</f>
        <v>Ensemble</v>
      </c>
      <c r="E5" s="151">
        <f>'[52]TABLEAU FINAL'!E4</f>
        <v>-3.7450307569988013</v>
      </c>
      <c r="F5" s="152">
        <f>'[52]TABLEAU FINAL'!F4</f>
        <v>6.2350922709939027E-2</v>
      </c>
      <c r="G5" s="153">
        <f>'[52]TABLEAU FINAL'!G4</f>
        <v>6.4769639063119167E-2</v>
      </c>
      <c r="H5" s="154">
        <f>'[52]TABLEAU FINAL'!H4</f>
        <v>6.1934520582705543E-2</v>
      </c>
    </row>
    <row r="6" spans="1:8" ht="15.75" thickBot="1">
      <c r="B6" s="293" t="str">
        <f>'[52]TABLEAU FINAL'!B5</f>
        <v>Hommes</v>
      </c>
      <c r="C6" s="294"/>
      <c r="D6" s="107" t="str">
        <f>'[52]TABLEAU FINAL'!D5</f>
        <v>Ensemble</v>
      </c>
      <c r="E6" s="108">
        <f>'[52]TABLEAU FINAL'!E5</f>
        <v>0</v>
      </c>
      <c r="F6" s="109">
        <f>'[52]TABLEAU FINAL'!F5</f>
        <v>0</v>
      </c>
      <c r="G6" s="110">
        <f>'[52]TABLEAU FINAL'!G5</f>
        <v>-2.2203435052819298E-2</v>
      </c>
      <c r="H6" s="111">
        <f>'[52]TABLEAU FINAL'!H5</f>
        <v>-2.2260540674592599E-2</v>
      </c>
    </row>
    <row r="7" spans="1:8" ht="15.75" thickBot="1">
      <c r="B7" s="277" t="str">
        <f>'[52]TABLEAU FINAL'!B6</f>
        <v>Selon le nombre d'enfants</v>
      </c>
      <c r="C7" s="278"/>
      <c r="D7" s="278"/>
      <c r="E7" s="278"/>
      <c r="F7" s="278"/>
      <c r="G7" s="278"/>
      <c r="H7" s="279"/>
    </row>
    <row r="8" spans="1:8" ht="15">
      <c r="B8" s="307" t="str">
        <f>'[52]TABLEAU FINAL'!B7</f>
        <v>Femmes</v>
      </c>
      <c r="C8" s="308"/>
      <c r="D8" s="189">
        <f>'[52]TABLEAU FINAL'!D7</f>
        <v>1</v>
      </c>
      <c r="E8" s="190">
        <f>'[52]TABLEAU FINAL'!E7</f>
        <v>-1.4361200226457811</v>
      </c>
      <c r="F8" s="191">
        <f>'[52]TABLEAU FINAL'!F7</f>
        <v>3.4424734226575993E-2</v>
      </c>
      <c r="G8" s="112">
        <f>'[52]TABLEAU FINAL'!G7</f>
        <v>4.790814715719427E-2</v>
      </c>
      <c r="H8" s="113">
        <f>'[52]TABLEAU FINAL'!H7</f>
        <v>4.62153272839676E-2</v>
      </c>
    </row>
    <row r="9" spans="1:8" ht="15">
      <c r="B9" s="313"/>
      <c r="C9" s="314"/>
      <c r="D9" s="180">
        <f>'[52]TABLEAU FINAL'!D8</f>
        <v>2</v>
      </c>
      <c r="E9" s="184">
        <f>'[52]TABLEAU FINAL'!E8</f>
        <v>-3.2427969479558101</v>
      </c>
      <c r="F9" s="185">
        <f>'[52]TABLEAU FINAL'!F8</f>
        <v>7.1100482101485341E-2</v>
      </c>
      <c r="G9" s="117">
        <f>'[52]TABLEAU FINAL'!G8</f>
        <v>0.10038700654560118</v>
      </c>
      <c r="H9" s="118">
        <f>'[52]TABLEAU FINAL'!H8</f>
        <v>9.7464756502398719E-2</v>
      </c>
    </row>
    <row r="10" spans="1:8" ht="15">
      <c r="B10" s="313"/>
      <c r="C10" s="314"/>
      <c r="D10" s="131" t="str">
        <f>'[52]TABLEAU FINAL'!D9</f>
        <v>3 et plus</v>
      </c>
      <c r="E10" s="132">
        <f>'[52]TABLEAU FINAL'!E9</f>
        <v>-8.4349336702463518</v>
      </c>
      <c r="F10" s="133">
        <f>'[52]TABLEAU FINAL'!F9</f>
        <v>0.10790429564116266</v>
      </c>
      <c r="G10" s="134">
        <f>'[52]TABLEAU FINAL'!G9</f>
        <v>6.5220814375027247E-2</v>
      </c>
      <c r="H10" s="135">
        <f>'[52]TABLEAU FINAL'!H9</f>
        <v>6.0434703592645356E-2</v>
      </c>
    </row>
    <row r="11" spans="1:8" ht="15.75" thickBot="1">
      <c r="B11" s="293" t="str">
        <f>'[52]TABLEAU FINAL'!B10</f>
        <v>Hommes</v>
      </c>
      <c r="C11" s="294"/>
      <c r="D11" s="107" t="str">
        <f>'[52]TABLEAU FINAL'!D10</f>
        <v>3 et plus</v>
      </c>
      <c r="E11" s="108">
        <f>'[52]TABLEAU FINAL'!E10</f>
        <v>0</v>
      </c>
      <c r="F11" s="109">
        <f>'[52]TABLEAU FINAL'!F10</f>
        <v>0</v>
      </c>
      <c r="G11" s="110">
        <f>'[52]TABLEAU FINAL'!G10</f>
        <v>-8.6884827588970648E-2</v>
      </c>
      <c r="H11" s="111">
        <f>'[52]TABLEAU FINAL'!H10</f>
        <v>-8.7212488224522433E-2</v>
      </c>
    </row>
    <row r="12" spans="1:8" ht="15.75" thickBot="1">
      <c r="B12" s="277" t="str">
        <f>'[52]TABLEAU FINAL'!B11</f>
        <v>Selon le régime d'affiliation</v>
      </c>
      <c r="C12" s="278"/>
      <c r="D12" s="278"/>
      <c r="E12" s="278"/>
      <c r="F12" s="278"/>
      <c r="G12" s="278"/>
      <c r="H12" s="279"/>
    </row>
    <row r="13" spans="1:8" ht="15">
      <c r="B13" s="280" t="str">
        <f>'[52]TABLEAU FINAL'!B12</f>
        <v>Femmes</v>
      </c>
      <c r="C13" s="296" t="str">
        <f>'[52]TABLEAU FINAL'!C12</f>
        <v>Mono Lura</v>
      </c>
      <c r="D13" s="189">
        <f>'[52]TABLEAU FINAL'!D12</f>
        <v>1</v>
      </c>
      <c r="E13" s="190">
        <f>'[52]TABLEAU FINAL'!E12</f>
        <v>-2.1025454545454636</v>
      </c>
      <c r="F13" s="191">
        <f>'[52]TABLEAU FINAL'!F12</f>
        <v>4.8101010101007091E-2</v>
      </c>
      <c r="G13" s="112">
        <f>'[52]TABLEAU FINAL'!G12</f>
        <v>4.2914564312901415E-2</v>
      </c>
      <c r="H13" s="113">
        <f>'[52]TABLEAU FINAL'!H12</f>
        <v>4.0233210710284961E-2</v>
      </c>
    </row>
    <row r="14" spans="1:8" ht="15">
      <c r="B14" s="282"/>
      <c r="C14" s="292"/>
      <c r="D14" s="180">
        <f>'[52]TABLEAU FINAL'!D13</f>
        <v>2</v>
      </c>
      <c r="E14" s="184">
        <f>'[52]TABLEAU FINAL'!E13</f>
        <v>-4.5596885813148731</v>
      </c>
      <c r="F14" s="185">
        <f>'[52]TABLEAU FINAL'!F13</f>
        <v>9.3101211072664114E-2</v>
      </c>
      <c r="G14" s="117">
        <f>'[52]TABLEAU FINAL'!G13</f>
        <v>8.9692535098954362E-2</v>
      </c>
      <c r="H14" s="118">
        <f>'[52]TABLEAU FINAL'!H13</f>
        <v>8.519157155104562E-2</v>
      </c>
    </row>
    <row r="15" spans="1:8" ht="15">
      <c r="B15" s="282"/>
      <c r="C15" s="292"/>
      <c r="D15" s="131" t="str">
        <f>'[52]TABLEAU FINAL'!D14</f>
        <v>3 et plus</v>
      </c>
      <c r="E15" s="132">
        <f>'[52]TABLEAU FINAL'!E14</f>
        <v>-10.38647069907671</v>
      </c>
      <c r="F15" s="133">
        <f>'[52]TABLEAU FINAL'!F14</f>
        <v>0.12626405376545335</v>
      </c>
      <c r="G15" s="134">
        <f>'[52]TABLEAU FINAL'!G14</f>
        <v>5.1401621739705083E-2</v>
      </c>
      <c r="H15" s="135">
        <f>'[52]TABLEAU FINAL'!H14</f>
        <v>4.5037845765252715E-2</v>
      </c>
    </row>
    <row r="16" spans="1:8" ht="15">
      <c r="B16" s="282"/>
      <c r="C16" s="291" t="str">
        <f>'[52]TABLEAU FINAL'!C15</f>
        <v>Mono FP-RS</v>
      </c>
      <c r="D16" s="180">
        <f>'[52]TABLEAU FINAL'!D15</f>
        <v>1</v>
      </c>
      <c r="E16" s="184">
        <f>'[52]TABLEAU FINAL'!E15</f>
        <v>1.8055555555555429</v>
      </c>
      <c r="F16" s="185">
        <f>'[52]TABLEAU FINAL'!F15</f>
        <v>-0.10648148148148096</v>
      </c>
      <c r="G16" s="117">
        <f>'[52]TABLEAU FINAL'!G15</f>
        <v>7.0745447441636466E-2</v>
      </c>
      <c r="H16" s="118">
        <f>'[52]TABLEAU FINAL'!H15</f>
        <v>7.550568413273484E-2</v>
      </c>
    </row>
    <row r="17" spans="2:8" ht="15">
      <c r="B17" s="282"/>
      <c r="C17" s="292"/>
      <c r="D17" s="180">
        <f>'[52]TABLEAU FINAL'!D16</f>
        <v>2</v>
      </c>
      <c r="E17" s="184">
        <f>'[52]TABLEAU FINAL'!E16</f>
        <v>4.1142857142857281</v>
      </c>
      <c r="F17" s="185">
        <f>'[52]TABLEAU FINAL'!F16</f>
        <v>-0.16825396825397831</v>
      </c>
      <c r="G17" s="117">
        <f>'[52]TABLEAU FINAL'!G16</f>
        <v>0.15907808447126559</v>
      </c>
      <c r="H17" s="118">
        <f>'[52]TABLEAU FINAL'!H16</f>
        <v>0.16663596254988655</v>
      </c>
    </row>
    <row r="18" spans="2:8" ht="15">
      <c r="B18" s="282"/>
      <c r="C18" s="292"/>
      <c r="D18" s="131" t="str">
        <f>'[52]TABLEAU FINAL'!D17</f>
        <v>3 et plus</v>
      </c>
      <c r="E18" s="132">
        <f>'[52]TABLEAU FINAL'!E17</f>
        <v>6.7708333333333144</v>
      </c>
      <c r="F18" s="133">
        <f>'[52]TABLEAU FINAL'!F17</f>
        <v>-4.1666666666671404E-2</v>
      </c>
      <c r="G18" s="134">
        <f>'[52]TABLEAU FINAL'!G17</f>
        <v>0.16255737892362254</v>
      </c>
      <c r="H18" s="135">
        <f>'[52]TABLEAU FINAL'!H17</f>
        <v>0.17251664407872624</v>
      </c>
    </row>
    <row r="19" spans="2:8" ht="15">
      <c r="B19" s="282"/>
      <c r="C19" s="309" t="str">
        <f>'[52]TABLEAU FINAL'!C18</f>
        <v>Mono MSAE-PLIB</v>
      </c>
      <c r="D19" s="180">
        <f>'[52]TABLEAU FINAL'!D18</f>
        <v>1</v>
      </c>
      <c r="E19" s="184">
        <f>'[52]TABLEAU FINAL'!E18</f>
        <v>-2.4000000000000057</v>
      </c>
      <c r="F19" s="185">
        <f>'[52]TABLEAU FINAL'!F18</f>
        <v>0</v>
      </c>
      <c r="G19" s="117">
        <f>'[52]TABLEAU FINAL'!G18</f>
        <v>4.7170596942346377E-2</v>
      </c>
      <c r="H19" s="118">
        <f>'[52]TABLEAU FINAL'!H18</f>
        <v>4.7939467183189644E-2</v>
      </c>
    </row>
    <row r="20" spans="2:8" ht="15">
      <c r="B20" s="282"/>
      <c r="C20" s="310"/>
      <c r="D20" s="180">
        <f>'[52]TABLEAU FINAL'!D19</f>
        <v>2</v>
      </c>
      <c r="E20" s="184">
        <f>'[52]TABLEAU FINAL'!E19</f>
        <v>-4.4444444444444571</v>
      </c>
      <c r="F20" s="185">
        <f>'[52]TABLEAU FINAL'!F19</f>
        <v>6.4814814814809552E-2</v>
      </c>
      <c r="G20" s="117">
        <f>'[52]TABLEAU FINAL'!G19</f>
        <v>9.5898120912949025E-2</v>
      </c>
      <c r="H20" s="118">
        <f>'[52]TABLEAU FINAL'!H19</f>
        <v>9.2104456914618993E-2</v>
      </c>
    </row>
    <row r="21" spans="2:8" ht="15">
      <c r="B21" s="282"/>
      <c r="C21" s="310"/>
      <c r="D21" s="186" t="str">
        <f>'[52]TABLEAU FINAL'!D20</f>
        <v>3 et plus</v>
      </c>
      <c r="E21" s="187">
        <f>'[52]TABLEAU FINAL'!E20</f>
        <v>-10.5</v>
      </c>
      <c r="F21" s="188">
        <f>'[52]TABLEAU FINAL'!F20</f>
        <v>0</v>
      </c>
      <c r="G21" s="122">
        <f>'[52]TABLEAU FINAL'!G20</f>
        <v>0.13121330327216851</v>
      </c>
      <c r="H21" s="123">
        <f>'[52]TABLEAU FINAL'!H20</f>
        <v>0.13132165754473069</v>
      </c>
    </row>
    <row r="22" spans="2:8" ht="15">
      <c r="B22" s="282"/>
      <c r="C22" s="288" t="str">
        <f>'[52]TABLEAU FINAL'!C21</f>
        <v>Poly Lura-FP-RS</v>
      </c>
      <c r="D22" s="114">
        <f>'[52]TABLEAU FINAL'!D21</f>
        <v>1</v>
      </c>
      <c r="E22" s="115">
        <f>'[52]TABLEAU FINAL'!E21</f>
        <v>1.9365721997300795</v>
      </c>
      <c r="F22" s="116">
        <f>'[52]TABLEAU FINAL'!F21</f>
        <v>-3.0251911830859513E-2</v>
      </c>
      <c r="G22" s="137">
        <f>'[52]TABLEAU FINAL'!G21</f>
        <v>6.9835620874594051E-2</v>
      </c>
      <c r="H22" s="138">
        <f>'[52]TABLEAU FINAL'!H21</f>
        <v>7.1493182367263763E-2</v>
      </c>
    </row>
    <row r="23" spans="2:8" ht="15">
      <c r="B23" s="282"/>
      <c r="C23" s="287"/>
      <c r="D23" s="114">
        <f>'[52]TABLEAU FINAL'!D22</f>
        <v>2</v>
      </c>
      <c r="E23" s="115">
        <f>'[52]TABLEAU FINAL'!E22</f>
        <v>3.8727114210985292</v>
      </c>
      <c r="F23" s="116">
        <f>'[52]TABLEAU FINAL'!F22</f>
        <v>-3.9087474571346092E-2</v>
      </c>
      <c r="G23" s="137">
        <f>'[52]TABLEAU FINAL'!G22</f>
        <v>0.14953595503429229</v>
      </c>
      <c r="H23" s="138">
        <f>'[52]TABLEAU FINAL'!H22</f>
        <v>0.15261781055122547</v>
      </c>
    </row>
    <row r="24" spans="2:8" ht="15">
      <c r="B24" s="282"/>
      <c r="C24" s="287"/>
      <c r="D24" s="119" t="str">
        <f>'[52]TABLEAU FINAL'!D23</f>
        <v>3 et plus</v>
      </c>
      <c r="E24" s="120">
        <f>'[52]TABLEAU FINAL'!E23</f>
        <v>5.8869143780290756</v>
      </c>
      <c r="F24" s="121">
        <f>'[52]TABLEAU FINAL'!F23</f>
        <v>-1.7366720516960754E-2</v>
      </c>
      <c r="G24" s="139">
        <f>'[52]TABLEAU FINAL'!G23</f>
        <v>0.13512607760157769</v>
      </c>
      <c r="H24" s="140">
        <f>'[52]TABLEAU FINAL'!H23</f>
        <v>0.13717721700059471</v>
      </c>
    </row>
    <row r="25" spans="2:8" ht="15">
      <c r="B25" s="282"/>
      <c r="C25" s="288" t="str">
        <f>'[52]TABLEAU FINAL'!C24</f>
        <v>Poly Lura-MSAE-PLIB</v>
      </c>
      <c r="D25" s="114">
        <f>'[52]TABLEAU FINAL'!D24</f>
        <v>1</v>
      </c>
      <c r="E25" s="115">
        <f>'[52]TABLEAU FINAL'!E24</f>
        <v>-2.4200743494423875</v>
      </c>
      <c r="F25" s="116">
        <f>'[52]TABLEAU FINAL'!F24</f>
        <v>5.9789343246592352E-2</v>
      </c>
      <c r="G25" s="137">
        <f>'[52]TABLEAU FINAL'!G24</f>
        <v>3.7039074891353607E-2</v>
      </c>
      <c r="H25" s="138">
        <f>'[52]TABLEAU FINAL'!H24</f>
        <v>3.3800079572615438E-2</v>
      </c>
    </row>
    <row r="26" spans="2:8" ht="15">
      <c r="B26" s="282"/>
      <c r="C26" s="287"/>
      <c r="D26" s="114">
        <f>'[52]TABLEAU FINAL'!D25</f>
        <v>2</v>
      </c>
      <c r="E26" s="115">
        <f>'[52]TABLEAU FINAL'!E25</f>
        <v>-5.022573363431178</v>
      </c>
      <c r="F26" s="116">
        <f>'[52]TABLEAU FINAL'!F25</f>
        <v>0.11587659894657065</v>
      </c>
      <c r="G26" s="137">
        <f>'[52]TABLEAU FINAL'!G25</f>
        <v>8.0290246686304467E-2</v>
      </c>
      <c r="H26" s="138">
        <f>'[52]TABLEAU FINAL'!H25</f>
        <v>7.4561402701865953E-2</v>
      </c>
    </row>
    <row r="27" spans="2:8" ht="15.75" thickBot="1">
      <c r="B27" s="284"/>
      <c r="C27" s="289"/>
      <c r="D27" s="107" t="str">
        <f>'[52]TABLEAU FINAL'!D26</f>
        <v>3 et plus</v>
      </c>
      <c r="E27" s="108">
        <f>'[52]TABLEAU FINAL'!E26</f>
        <v>-9.5531914893616943</v>
      </c>
      <c r="F27" s="109">
        <f>'[52]TABLEAU FINAL'!F26</f>
        <v>0.12204491725769628</v>
      </c>
      <c r="G27" s="110">
        <f>'[52]TABLEAU FINAL'!G26</f>
        <v>4.5574329018545523E-2</v>
      </c>
      <c r="H27" s="111">
        <f>'[52]TABLEAU FINAL'!H26</f>
        <v>3.7371453536330757E-2</v>
      </c>
    </row>
    <row r="28" spans="2:8" ht="15.75" thickBot="1">
      <c r="B28" s="277" t="str">
        <f>'[52]TABLEAU FINAL'!B27</f>
        <v>Selon le quintile de pension</v>
      </c>
      <c r="C28" s="278"/>
      <c r="D28" s="278"/>
      <c r="E28" s="278"/>
      <c r="F28" s="278"/>
      <c r="G28" s="278"/>
      <c r="H28" s="279"/>
    </row>
    <row r="29" spans="2:8" ht="15">
      <c r="B29" s="282" t="str">
        <f>'[52]TABLEAU FINAL'!B28</f>
        <v>Femmes</v>
      </c>
      <c r="C29" s="310" t="str">
        <f>'[52]TABLEAU FINAL'!C28</f>
        <v>Q1</v>
      </c>
      <c r="D29" s="181">
        <f>'[52]TABLEAU FINAL'!D28</f>
        <v>1</v>
      </c>
      <c r="E29" s="182">
        <f>'[52]TABLEAU FINAL'!E28</f>
        <v>-1.6284544524053359</v>
      </c>
      <c r="F29" s="183">
        <f>'[52]TABLEAU FINAL'!F28</f>
        <v>5.7147731149882475E-3</v>
      </c>
      <c r="G29" s="145">
        <f>'[52]TABLEAU FINAL'!G28</f>
        <v>4.6913745630037029E-2</v>
      </c>
      <c r="H29" s="146">
        <f>'[52]TABLEAU FINAL'!H28</f>
        <v>4.7620287884729606E-2</v>
      </c>
    </row>
    <row r="30" spans="2:8" ht="15">
      <c r="B30" s="282"/>
      <c r="C30" s="310"/>
      <c r="D30" s="180">
        <f>'[52]TABLEAU FINAL'!D29</f>
        <v>2</v>
      </c>
      <c r="E30" s="184">
        <f>'[52]TABLEAU FINAL'!E29</f>
        <v>-3.4833759590792823</v>
      </c>
      <c r="F30" s="185">
        <f>'[52]TABLEAU FINAL'!F29</f>
        <v>1.3800085251489236E-2</v>
      </c>
      <c r="G30" s="117">
        <f>'[52]TABLEAU FINAL'!G29</f>
        <v>9.4793373568858641E-2</v>
      </c>
      <c r="H30" s="118">
        <f>'[52]TABLEAU FINAL'!H29</f>
        <v>9.4145903368775485E-2</v>
      </c>
    </row>
    <row r="31" spans="2:8" ht="15">
      <c r="B31" s="282"/>
      <c r="C31" s="310"/>
      <c r="D31" s="186" t="str">
        <f>'[52]TABLEAU FINAL'!D30</f>
        <v>3 et plus</v>
      </c>
      <c r="E31" s="187">
        <f>'[52]TABLEAU FINAL'!E30</f>
        <v>-13.909502262443439</v>
      </c>
      <c r="F31" s="188">
        <f>'[52]TABLEAU FINAL'!F30</f>
        <v>1.3843999138117624E-2</v>
      </c>
      <c r="G31" s="122">
        <f>'[52]TABLEAU FINAL'!G30</f>
        <v>-4.5400172143847284E-2</v>
      </c>
      <c r="H31" s="123">
        <f>'[52]TABLEAU FINAL'!H30</f>
        <v>-4.7375448812637666E-2</v>
      </c>
    </row>
    <row r="32" spans="2:8" ht="15">
      <c r="B32" s="282"/>
      <c r="C32" s="309" t="str">
        <f>'[52]TABLEAU FINAL'!C31</f>
        <v>Q2</v>
      </c>
      <c r="D32" s="180">
        <f>'[52]TABLEAU FINAL'!D31</f>
        <v>1</v>
      </c>
      <c r="E32" s="184">
        <f>'[52]TABLEAU FINAL'!E31</f>
        <v>-1.5421545667447276</v>
      </c>
      <c r="F32" s="185">
        <f>'[52]TABLEAU FINAL'!F31</f>
        <v>6.1475409836077688E-2</v>
      </c>
      <c r="G32" s="117">
        <f>'[52]TABLEAU FINAL'!G31</f>
        <v>5.1217036157592322E-2</v>
      </c>
      <c r="H32" s="118">
        <f>'[52]TABLEAU FINAL'!H31</f>
        <v>4.7730813932281402E-2</v>
      </c>
    </row>
    <row r="33" spans="2:8" ht="15">
      <c r="B33" s="282"/>
      <c r="C33" s="310"/>
      <c r="D33" s="180">
        <f>'[52]TABLEAU FINAL'!D32</f>
        <v>2</v>
      </c>
      <c r="E33" s="184">
        <f>'[52]TABLEAU FINAL'!E32</f>
        <v>-3.7168610816542866</v>
      </c>
      <c r="F33" s="185">
        <f>'[52]TABLEAU FINAL'!F32</f>
        <v>0.12283492400142393</v>
      </c>
      <c r="G33" s="117">
        <f>'[52]TABLEAU FINAL'!G32</f>
        <v>0.10139650560015001</v>
      </c>
      <c r="H33" s="118">
        <f>'[52]TABLEAU FINAL'!H32</f>
        <v>9.6001894099686735E-2</v>
      </c>
    </row>
    <row r="34" spans="2:8" ht="15">
      <c r="B34" s="282"/>
      <c r="C34" s="310"/>
      <c r="D34" s="186" t="str">
        <f>'[52]TABLEAU FINAL'!D33</f>
        <v>3 et plus</v>
      </c>
      <c r="E34" s="187">
        <f>'[52]TABLEAU FINAL'!E33</f>
        <v>-8.8325722983257151</v>
      </c>
      <c r="F34" s="188">
        <f>'[52]TABLEAU FINAL'!F33</f>
        <v>0.21175799086759639</v>
      </c>
      <c r="G34" s="122">
        <f>'[52]TABLEAU FINAL'!G33</f>
        <v>7.9098055089338093E-2</v>
      </c>
      <c r="H34" s="123">
        <f>'[52]TABLEAU FINAL'!H33</f>
        <v>6.8450452294968267E-2</v>
      </c>
    </row>
    <row r="35" spans="2:8" ht="15">
      <c r="B35" s="282"/>
      <c r="C35" s="309" t="str">
        <f>'[52]TABLEAU FINAL'!C34</f>
        <v>Q3</v>
      </c>
      <c r="D35" s="180">
        <f>'[52]TABLEAU FINAL'!D34</f>
        <v>1</v>
      </c>
      <c r="E35" s="184">
        <f>'[52]TABLEAU FINAL'!E34</f>
        <v>-1.1524390243902474</v>
      </c>
      <c r="F35" s="185">
        <f>'[52]TABLEAU FINAL'!F34</f>
        <v>3.5823170731710263E-2</v>
      </c>
      <c r="G35" s="117">
        <f>'[52]TABLEAU FINAL'!G34</f>
        <v>4.9584168770475889E-2</v>
      </c>
      <c r="H35" s="118">
        <f>'[52]TABLEAU FINAL'!H34</f>
        <v>4.8427860282528545E-2</v>
      </c>
    </row>
    <row r="36" spans="2:8" ht="15">
      <c r="B36" s="282"/>
      <c r="C36" s="310"/>
      <c r="D36" s="180">
        <f>'[52]TABLEAU FINAL'!D35</f>
        <v>2</v>
      </c>
      <c r="E36" s="184">
        <f>'[52]TABLEAU FINAL'!E35</f>
        <v>-2.6200000000000045</v>
      </c>
      <c r="F36" s="185">
        <f>'[52]TABLEAU FINAL'!F35</f>
        <v>7.4027777777800452E-2</v>
      </c>
      <c r="G36" s="117">
        <f>'[52]TABLEAU FINAL'!G35</f>
        <v>0.10113600940126122</v>
      </c>
      <c r="H36" s="118">
        <f>'[52]TABLEAU FINAL'!H35</f>
        <v>9.8061752568318061E-2</v>
      </c>
    </row>
    <row r="37" spans="2:8" ht="15">
      <c r="B37" s="282"/>
      <c r="C37" s="310"/>
      <c r="D37" s="186" t="str">
        <f>'[52]TABLEAU FINAL'!D36</f>
        <v>3 et plus</v>
      </c>
      <c r="E37" s="187">
        <f>'[52]TABLEAU FINAL'!E36</f>
        <v>-6.9434523809523796</v>
      </c>
      <c r="F37" s="188">
        <f>'[52]TABLEAU FINAL'!F36</f>
        <v>0.10757688492061845</v>
      </c>
      <c r="G37" s="122">
        <f>'[52]TABLEAU FINAL'!G36</f>
        <v>6.7570689867233025E-2</v>
      </c>
      <c r="H37" s="123">
        <f>'[52]TABLEAU FINAL'!H36</f>
        <v>6.2535970321516032E-2</v>
      </c>
    </row>
    <row r="38" spans="2:8" ht="15">
      <c r="B38" s="282"/>
      <c r="C38" s="291" t="str">
        <f>'[52]TABLEAU FINAL'!C37</f>
        <v>Q4</v>
      </c>
      <c r="D38" s="180">
        <f>'[52]TABLEAU FINAL'!D37</f>
        <v>1</v>
      </c>
      <c r="E38" s="184">
        <f>'[52]TABLEAU FINAL'!E37</f>
        <v>-1.173044925124799</v>
      </c>
      <c r="F38" s="185">
        <f>'[52]TABLEAU FINAL'!F37</f>
        <v>3.1960621186925664E-2</v>
      </c>
      <c r="G38" s="117">
        <f>'[52]TABLEAU FINAL'!G37</f>
        <v>4.8724962222290502E-2</v>
      </c>
      <c r="H38" s="118">
        <f>'[52]TABLEAU FINAL'!H37</f>
        <v>4.7341701169801187E-2</v>
      </c>
    </row>
    <row r="39" spans="2:8" ht="15">
      <c r="B39" s="282"/>
      <c r="C39" s="292"/>
      <c r="D39" s="180">
        <f>'[52]TABLEAU FINAL'!D38</f>
        <v>2</v>
      </c>
      <c r="E39" s="184">
        <f>'[52]TABLEAU FINAL'!E38</f>
        <v>-2.7343215507411571</v>
      </c>
      <c r="F39" s="185">
        <f>'[52]TABLEAU FINAL'!F38</f>
        <v>5.9007981755982541E-2</v>
      </c>
      <c r="G39" s="117">
        <f>'[52]TABLEAU FINAL'!G38</f>
        <v>0.10523509092347405</v>
      </c>
      <c r="H39" s="118">
        <f>'[52]TABLEAU FINAL'!H38</f>
        <v>0.10343450619957539</v>
      </c>
    </row>
    <row r="40" spans="2:8" ht="15">
      <c r="B40" s="282"/>
      <c r="C40" s="292"/>
      <c r="D40" s="131" t="str">
        <f>'[52]TABLEAU FINAL'!D39</f>
        <v>3 et plus</v>
      </c>
      <c r="E40" s="132">
        <f>'[52]TABLEAU FINAL'!E39</f>
        <v>-4.9694519317160655</v>
      </c>
      <c r="F40" s="133">
        <f>'[52]TABLEAU FINAL'!F39</f>
        <v>0.10467205750224196</v>
      </c>
      <c r="G40" s="134">
        <f>'[52]TABLEAU FINAL'!G39</f>
        <v>7.1675130865994863E-2</v>
      </c>
      <c r="H40" s="135">
        <f>'[52]TABLEAU FINAL'!H39</f>
        <v>6.8215586852073518E-2</v>
      </c>
    </row>
    <row r="41" spans="2:8" ht="15">
      <c r="B41" s="282"/>
      <c r="C41" s="291" t="str">
        <f>'[52]TABLEAU FINAL'!C40</f>
        <v>Q5</v>
      </c>
      <c r="D41" s="180">
        <f>'[52]TABLEAU FINAL'!D40</f>
        <v>1</v>
      </c>
      <c r="E41" s="184">
        <f>'[52]TABLEAU FINAL'!E40</f>
        <v>-1.6833073322933103</v>
      </c>
      <c r="F41" s="185">
        <f>'[52]TABLEAU FINAL'!F40</f>
        <v>3.9521580863237205E-2</v>
      </c>
      <c r="G41" s="117">
        <f>'[52]TABLEAU FINAL'!G40</f>
        <v>4.5997078831198968E-2</v>
      </c>
      <c r="H41" s="118">
        <f>'[52]TABLEAU FINAL'!H40</f>
        <v>4.4093002377800783E-2</v>
      </c>
    </row>
    <row r="42" spans="2:8" ht="15">
      <c r="B42" s="282"/>
      <c r="C42" s="292"/>
      <c r="D42" s="180">
        <f>'[52]TABLEAU FINAL'!D41</f>
        <v>2</v>
      </c>
      <c r="E42" s="184">
        <f>'[52]TABLEAU FINAL'!E41</f>
        <v>-3.6606640405177018</v>
      </c>
      <c r="F42" s="185">
        <f>'[52]TABLEAU FINAL'!F41</f>
        <v>7.5595573063210963E-2</v>
      </c>
      <c r="G42" s="117">
        <f>'[52]TABLEAU FINAL'!G41</f>
        <v>9.7331821658621198E-2</v>
      </c>
      <c r="H42" s="118">
        <f>'[52]TABLEAU FINAL'!H41</f>
        <v>9.4381408716794235E-2</v>
      </c>
    </row>
    <row r="43" spans="2:8" ht="15.75" thickBot="1">
      <c r="B43" s="284"/>
      <c r="C43" s="295"/>
      <c r="D43" s="155" t="str">
        <f>'[52]TABLEAU FINAL'!D42</f>
        <v>3 et plus</v>
      </c>
      <c r="E43" s="156">
        <f>'[52]TABLEAU FINAL'!E42</f>
        <v>-5.3481262327416061</v>
      </c>
      <c r="F43" s="157">
        <f>'[52]TABLEAU FINAL'!F42</f>
        <v>0.12080867850097832</v>
      </c>
      <c r="G43" s="158">
        <f>'[52]TABLEAU FINAL'!G42</f>
        <v>8.1075690478293438E-2</v>
      </c>
      <c r="H43" s="159">
        <f>'[52]TABLEAU FINAL'!H42</f>
        <v>7.6111800676460284E-2</v>
      </c>
    </row>
    <row r="45" spans="2:8">
      <c r="B45" s="177" t="s">
        <v>36</v>
      </c>
    </row>
    <row r="46" spans="2:8">
      <c r="B46" s="177" t="s">
        <v>60</v>
      </c>
    </row>
  </sheetData>
  <mergeCells count="20">
    <mergeCell ref="B28:H28"/>
    <mergeCell ref="B29:B43"/>
    <mergeCell ref="C29:C31"/>
    <mergeCell ref="C32:C34"/>
    <mergeCell ref="C35:C37"/>
    <mergeCell ref="C38:C40"/>
    <mergeCell ref="C41:C43"/>
    <mergeCell ref="B12:H12"/>
    <mergeCell ref="B13:B27"/>
    <mergeCell ref="C13:C15"/>
    <mergeCell ref="C16:C18"/>
    <mergeCell ref="C19:C21"/>
    <mergeCell ref="C22:C24"/>
    <mergeCell ref="C25:C27"/>
    <mergeCell ref="B11:C11"/>
    <mergeCell ref="B4:C4"/>
    <mergeCell ref="B5:C5"/>
    <mergeCell ref="B6:C6"/>
    <mergeCell ref="B7:H7"/>
    <mergeCell ref="B8:C10"/>
  </mergeCells>
  <hyperlinks>
    <hyperlink ref="A2" location="SOMMAIRE!A1" display="Retour au sommaire" xr:uid="{AA692173-0194-46DC-AA48-980B986E6A64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1645-0A92-44B1-A1EB-09477D49DA32}">
  <sheetPr>
    <tabColor theme="4"/>
  </sheetPr>
  <dimension ref="A1:H20"/>
  <sheetViews>
    <sheetView workbookViewId="0"/>
  </sheetViews>
  <sheetFormatPr baseColWidth="10" defaultRowHeight="14.25"/>
  <sheetData>
    <row r="1" spans="1:8" ht="15.75">
      <c r="A1" s="2" t="s">
        <v>127</v>
      </c>
    </row>
    <row r="2" spans="1:8">
      <c r="A2" s="6" t="s">
        <v>2</v>
      </c>
    </row>
    <row r="3" spans="1:8" ht="15" thickBot="1"/>
    <row r="4" spans="1:8" ht="75.75" thickBot="1">
      <c r="B4" s="285"/>
      <c r="C4" s="286"/>
      <c r="D4" s="99" t="str">
        <f>'[53]TABLEAU FINAL'!D3</f>
        <v>Quintile</v>
      </c>
      <c r="E4" s="100" t="str">
        <f>'[53]TABLEAU FINAL'!E3</f>
        <v>Durée de perception moyenne (écart en années</v>
      </c>
      <c r="F4" s="100" t="str">
        <f>'[53]TABLEAU FINAL'!F3</f>
        <v>Âge de perception (écart en année)</v>
      </c>
      <c r="G4" s="100" t="str">
        <f>'[53]TABLEAU FINAL'!G3</f>
        <v>Pension moyenne 68 ans</v>
      </c>
      <c r="H4" s="101" t="str">
        <f>'[53]TABLEAU FINAL'!H3</f>
        <v>Pension moyenne CV</v>
      </c>
    </row>
    <row r="5" spans="1:8" ht="15">
      <c r="B5" s="280" t="str">
        <f>'[53]TABLEAU FINAL'!B4</f>
        <v>Femmes</v>
      </c>
      <c r="C5" s="281">
        <f>'[53]TABLEAU FINAL'!C4</f>
        <v>0</v>
      </c>
      <c r="D5" s="102" t="str">
        <f>'[53]TABLEAU FINAL'!D4</f>
        <v>Ensemble</v>
      </c>
      <c r="E5" s="103">
        <f>'[53]TABLEAU FINAL'!E4</f>
        <v>-2.9188314493197112</v>
      </c>
      <c r="F5" s="215">
        <f>'[53]TABLEAU FINAL'!F4</f>
        <v>2.3978217231667003</v>
      </c>
      <c r="G5" s="105">
        <f>'[53]TABLEAU FINAL'!G4</f>
        <v>-0.24472021476726036</v>
      </c>
      <c r="H5" s="106">
        <f>'[53]TABLEAU FINAL'!H4</f>
        <v>-0.30569127862719614</v>
      </c>
    </row>
    <row r="6" spans="1:8" ht="15.75" thickBot="1">
      <c r="B6" s="293" t="str">
        <f>'[53]TABLEAU FINAL'!B5</f>
        <v>Hommes</v>
      </c>
      <c r="C6" s="294">
        <f>'[53]TABLEAU FINAL'!C5</f>
        <v>0</v>
      </c>
      <c r="D6" s="107" t="str">
        <f>'[53]TABLEAU FINAL'!D5</f>
        <v>Ensemble</v>
      </c>
      <c r="E6" s="108">
        <f>'[53]TABLEAU FINAL'!E5</f>
        <v>-3.3769748734309601</v>
      </c>
      <c r="F6" s="216">
        <f>'[53]TABLEAU FINAL'!F5</f>
        <v>2.3346536364749397</v>
      </c>
      <c r="G6" s="110">
        <f>'[53]TABLEAU FINAL'!G5</f>
        <v>-1.0129339881347343E-2</v>
      </c>
      <c r="H6" s="111">
        <f>'[53]TABLEAU FINAL'!H5</f>
        <v>-0.14965273681088298</v>
      </c>
    </row>
    <row r="7" spans="1:8" ht="15.75" thickBot="1">
      <c r="B7" s="277" t="str">
        <f>'[53]TABLEAU FINAL'!B6</f>
        <v>Selon le quintile de pension</v>
      </c>
      <c r="C7" s="278">
        <f>'[53]TABLEAU FINAL'!C6</f>
        <v>0</v>
      </c>
      <c r="D7" s="278">
        <f>'[53]TABLEAU FINAL'!D6</f>
        <v>0</v>
      </c>
      <c r="E7" s="278">
        <f>'[53]TABLEAU FINAL'!E6</f>
        <v>0</v>
      </c>
      <c r="F7" s="278">
        <f>'[53]TABLEAU FINAL'!F6</f>
        <v>0</v>
      </c>
      <c r="G7" s="278">
        <f>'[53]TABLEAU FINAL'!G6</f>
        <v>0</v>
      </c>
      <c r="H7" s="279">
        <f>'[53]TABLEAU FINAL'!H6</f>
        <v>0</v>
      </c>
    </row>
    <row r="8" spans="1:8" ht="15">
      <c r="B8" s="280" t="str">
        <f>'[53]TABLEAU FINAL'!B7</f>
        <v>Femmes</v>
      </c>
      <c r="C8" s="317">
        <f>'[53]TABLEAU FINAL'!C7</f>
        <v>0</v>
      </c>
      <c r="D8" s="124" t="str">
        <f>'[53]TABLEAU FINAL'!D7</f>
        <v>Q1</v>
      </c>
      <c r="E8" s="103">
        <f>'[53]TABLEAU FINAL'!E7</f>
        <v>-2.2190151504789029</v>
      </c>
      <c r="F8" s="215">
        <f>'[53]TABLEAU FINAL'!F7</f>
        <v>-2.0229650804940462</v>
      </c>
      <c r="G8" s="105">
        <f>'[53]TABLEAU FINAL'!G7</f>
        <v>0.25626925950862689</v>
      </c>
      <c r="H8" s="217">
        <f>'[53]TABLEAU FINAL'!H7</f>
        <v>-5.7610186311857103E-2</v>
      </c>
    </row>
    <row r="9" spans="1:8" ht="15">
      <c r="B9" s="282">
        <f>'[53]TABLEAU FINAL'!B8</f>
        <v>0</v>
      </c>
      <c r="C9" s="318">
        <f>'[53]TABLEAU FINAL'!C8</f>
        <v>0</v>
      </c>
      <c r="D9" s="136" t="str">
        <f>'[53]TABLEAU FINAL'!D8</f>
        <v>Q2</v>
      </c>
      <c r="E9" s="115">
        <f>'[53]TABLEAU FINAL'!E8</f>
        <v>-2.4719790161829369</v>
      </c>
      <c r="F9" s="218">
        <f>'[53]TABLEAU FINAL'!F8</f>
        <v>0.73640843049415139</v>
      </c>
      <c r="G9" s="137">
        <f>'[53]TABLEAU FINAL'!G8</f>
        <v>-0.28128794916491473</v>
      </c>
      <c r="H9" s="219">
        <f>'[53]TABLEAU FINAL'!H8</f>
        <v>-0.36071131797514844</v>
      </c>
    </row>
    <row r="10" spans="1:8" ht="15">
      <c r="B10" s="282">
        <f>'[53]TABLEAU FINAL'!B9</f>
        <v>0</v>
      </c>
      <c r="C10" s="318">
        <f>'[53]TABLEAU FINAL'!C9</f>
        <v>0</v>
      </c>
      <c r="D10" s="136" t="str">
        <f>'[53]TABLEAU FINAL'!D9</f>
        <v>Q3</v>
      </c>
      <c r="E10" s="120">
        <f>'[53]TABLEAU FINAL'!E9</f>
        <v>-2.0487253440788873</v>
      </c>
      <c r="F10" s="220">
        <f>'[53]TABLEAU FINAL'!F9</f>
        <v>1.0030768347361629</v>
      </c>
      <c r="G10" s="137">
        <f>'[53]TABLEAU FINAL'!G9</f>
        <v>-0.26317271524214891</v>
      </c>
      <c r="H10" s="219">
        <f>'[53]TABLEAU FINAL'!H9</f>
        <v>-0.297698615964471</v>
      </c>
    </row>
    <row r="11" spans="1:8" ht="15">
      <c r="B11" s="282">
        <f>'[53]TABLEAU FINAL'!B10</f>
        <v>0</v>
      </c>
      <c r="C11" s="318">
        <f>'[53]TABLEAU FINAL'!C10</f>
        <v>0</v>
      </c>
      <c r="D11" s="136" t="str">
        <f>'[53]TABLEAU FINAL'!D10</f>
        <v>Q4</v>
      </c>
      <c r="E11" s="120">
        <f>'[53]TABLEAU FINAL'!E10</f>
        <v>-1.5255957829182076</v>
      </c>
      <c r="F11" s="220">
        <f>'[53]TABLEAU FINAL'!F10</f>
        <v>0.80443034831165505</v>
      </c>
      <c r="G11" s="137">
        <f>'[53]TABLEAU FINAL'!G10</f>
        <v>-0.29481695937582597</v>
      </c>
      <c r="H11" s="219">
        <f>'[53]TABLEAU FINAL'!H10</f>
        <v>-0.32293816275578235</v>
      </c>
    </row>
    <row r="12" spans="1:8" ht="15.75" thickBot="1">
      <c r="B12" s="282">
        <f>'[53]TABLEAU FINAL'!B11</f>
        <v>0</v>
      </c>
      <c r="C12" s="318">
        <f>'[53]TABLEAU FINAL'!C11</f>
        <v>0</v>
      </c>
      <c r="D12" s="136" t="str">
        <f>'[53]TABLEAU FINAL'!D11</f>
        <v>Q5</v>
      </c>
      <c r="E12" s="143">
        <f>'[53]TABLEAU FINAL'!E11</f>
        <v>-0.76558171451102019</v>
      </c>
      <c r="F12" s="221">
        <f>'[53]TABLEAU FINAL'!F11</f>
        <v>0.22588781220144938</v>
      </c>
      <c r="G12" s="110">
        <f>'[53]TABLEAU FINAL'!G11</f>
        <v>-0.52782219595967406</v>
      </c>
      <c r="H12" s="222">
        <f>'[53]TABLEAU FINAL'!H11</f>
        <v>-0.55602579115080475</v>
      </c>
    </row>
    <row r="13" spans="1:8" ht="15">
      <c r="B13" s="280" t="str">
        <f>'[53]TABLEAU FINAL'!B12</f>
        <v>Hommes</v>
      </c>
      <c r="C13" s="317">
        <f>'[53]TABLEAU FINAL'!C12</f>
        <v>0</v>
      </c>
      <c r="D13" s="124" t="str">
        <f>'[53]TABLEAU FINAL'!D12</f>
        <v>Q1</v>
      </c>
      <c r="E13" s="103">
        <f>'[53]TABLEAU FINAL'!E12</f>
        <v>-5.9932345360825394</v>
      </c>
      <c r="F13" s="223">
        <f>'[53]TABLEAU FINAL'!F12</f>
        <v>-8.3771477663230201</v>
      </c>
      <c r="G13" s="105">
        <f>'[53]TABLEAU FINAL'!G12</f>
        <v>1.5766118465446759</v>
      </c>
      <c r="H13" s="217">
        <f>'[53]TABLEAU FINAL'!H12</f>
        <v>-0.4475986438859525</v>
      </c>
    </row>
    <row r="14" spans="1:8" ht="15">
      <c r="B14" s="282">
        <f>'[53]TABLEAU FINAL'!B13</f>
        <v>0</v>
      </c>
      <c r="C14" s="318">
        <f>'[53]TABLEAU FINAL'!C13</f>
        <v>0</v>
      </c>
      <c r="D14" s="136" t="str">
        <f>'[53]TABLEAU FINAL'!D13</f>
        <v>Q2</v>
      </c>
      <c r="E14" s="115">
        <f>'[53]TABLEAU FINAL'!E13</f>
        <v>-4.649235723808987</v>
      </c>
      <c r="F14" s="224">
        <f>'[53]TABLEAU FINAL'!F13</f>
        <v>2.0304771562165627</v>
      </c>
      <c r="G14" s="137">
        <f>'[53]TABLEAU FINAL'!G13</f>
        <v>2.2232629062501674E-2</v>
      </c>
      <c r="H14" s="219">
        <f>'[53]TABLEAU FINAL'!H13</f>
        <v>-0.31762655537241746</v>
      </c>
    </row>
    <row r="15" spans="1:8" ht="15">
      <c r="B15" s="282">
        <f>'[53]TABLEAU FINAL'!B14</f>
        <v>0</v>
      </c>
      <c r="C15" s="318">
        <f>'[53]TABLEAU FINAL'!C14</f>
        <v>0</v>
      </c>
      <c r="D15" s="136" t="str">
        <f>'[53]TABLEAU FINAL'!D14</f>
        <v>Q3</v>
      </c>
      <c r="E15" s="120">
        <f>'[53]TABLEAU FINAL'!E14</f>
        <v>-5.5778780068728384</v>
      </c>
      <c r="F15" s="225">
        <f>'[53]TABLEAU FINAL'!F14</f>
        <v>1.0797701537941577</v>
      </c>
      <c r="G15" s="137">
        <f>'[53]TABLEAU FINAL'!G14</f>
        <v>-0.16493471765657186</v>
      </c>
      <c r="H15" s="219">
        <f>'[53]TABLEAU FINAL'!H14</f>
        <v>-0.30904092473203382</v>
      </c>
    </row>
    <row r="16" spans="1:8" ht="15">
      <c r="B16" s="282">
        <f>'[53]TABLEAU FINAL'!B15</f>
        <v>0</v>
      </c>
      <c r="C16" s="318">
        <f>'[53]TABLEAU FINAL'!C15</f>
        <v>0</v>
      </c>
      <c r="D16" s="136" t="str">
        <f>'[53]TABLEAU FINAL'!D15</f>
        <v>Q4</v>
      </c>
      <c r="E16" s="120">
        <f>'[53]TABLEAU FINAL'!E15</f>
        <v>-1.4113334680951404</v>
      </c>
      <c r="F16" s="225">
        <f>'[53]TABLEAU FINAL'!F15</f>
        <v>-0.30628663836668579</v>
      </c>
      <c r="G16" s="137">
        <f>'[53]TABLEAU FINAL'!G15</f>
        <v>-0.28342798849666939</v>
      </c>
      <c r="H16" s="219">
        <f>'[53]TABLEAU FINAL'!H15</f>
        <v>-0.37607486560277459</v>
      </c>
    </row>
    <row r="17" spans="2:8" ht="15.75" thickBot="1">
      <c r="B17" s="284">
        <f>'[53]TABLEAU FINAL'!B16</f>
        <v>0</v>
      </c>
      <c r="C17" s="319">
        <f>'[53]TABLEAU FINAL'!C16</f>
        <v>0</v>
      </c>
      <c r="D17" s="174" t="str">
        <f>'[53]TABLEAU FINAL'!D16</f>
        <v>Q5</v>
      </c>
      <c r="E17" s="226">
        <f>'[53]TABLEAU FINAL'!E16</f>
        <v>-0.24227085175360763</v>
      </c>
      <c r="F17" s="227">
        <f>'[53]TABLEAU FINAL'!F16</f>
        <v>9.5137046861182739E-2</v>
      </c>
      <c r="G17" s="110">
        <f>'[53]TABLEAU FINAL'!G16</f>
        <v>-0.4098389380944214</v>
      </c>
      <c r="H17" s="222">
        <f>'[53]TABLEAU FINAL'!H16</f>
        <v>-0.43938463211563306</v>
      </c>
    </row>
    <row r="19" spans="2:8">
      <c r="B19" s="177" t="s">
        <v>36</v>
      </c>
    </row>
    <row r="20" spans="2:8">
      <c r="B20" s="177" t="s">
        <v>61</v>
      </c>
    </row>
  </sheetData>
  <mergeCells count="6">
    <mergeCell ref="B13:C17"/>
    <mergeCell ref="B4:C4"/>
    <mergeCell ref="B5:C5"/>
    <mergeCell ref="B6:C6"/>
    <mergeCell ref="B7:H7"/>
    <mergeCell ref="B8:C12"/>
  </mergeCells>
  <hyperlinks>
    <hyperlink ref="A2" location="SOMMAIRE!A1" display="Retour au sommaire" xr:uid="{039A6355-2BEA-459C-945B-E0BE45975159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C552-F8D8-4455-BDA1-709B3E256892}">
  <sheetPr>
    <tabColor theme="4"/>
  </sheetPr>
  <dimension ref="A1:H20"/>
  <sheetViews>
    <sheetView workbookViewId="0"/>
  </sheetViews>
  <sheetFormatPr baseColWidth="10" defaultRowHeight="14.25"/>
  <sheetData>
    <row r="1" spans="1:8" ht="15.75">
      <c r="A1" s="2" t="s">
        <v>128</v>
      </c>
    </row>
    <row r="2" spans="1:8">
      <c r="A2" s="6" t="s">
        <v>2</v>
      </c>
    </row>
    <row r="3" spans="1:8" ht="15" thickBot="1"/>
    <row r="4" spans="1:8" ht="75.75" thickBot="1">
      <c r="B4" s="285"/>
      <c r="C4" s="286"/>
      <c r="D4" s="99" t="str">
        <f>'[54]TABLEAU FINAL'!D3</f>
        <v>Quintile</v>
      </c>
      <c r="E4" s="100" t="str">
        <f>'[54]TABLEAU FINAL'!E3</f>
        <v>Durée de perception moyenne (écart en années</v>
      </c>
      <c r="F4" s="100" t="str">
        <f>'[54]TABLEAU FINAL'!F3</f>
        <v>Âge de perception (écart en année)</v>
      </c>
      <c r="G4" s="100" t="str">
        <f>'[54]TABLEAU FINAL'!G3</f>
        <v>Pension moyenne 68 ans</v>
      </c>
      <c r="H4" s="101" t="str">
        <f>'[54]TABLEAU FINAL'!H3</f>
        <v>Pension moyenne CV</v>
      </c>
    </row>
    <row r="5" spans="1:8" ht="15">
      <c r="B5" s="280" t="str">
        <f>'[54]TABLEAU FINAL'!B4</f>
        <v>Femmes</v>
      </c>
      <c r="C5" s="281"/>
      <c r="D5" s="102" t="str">
        <f>'[54]TABLEAU FINAL'!D4</f>
        <v>Ensemble</v>
      </c>
      <c r="E5" s="103">
        <f>'[54]TABLEAU FINAL'!E4</f>
        <v>1.389495686927674</v>
      </c>
      <c r="F5" s="215">
        <f>'[54]TABLEAU FINAL'!F4</f>
        <v>-2.4448509879196365</v>
      </c>
      <c r="G5" s="105">
        <f>'[54]TABLEAU FINAL'!G4</f>
        <v>-0.19310092167571591</v>
      </c>
      <c r="H5" s="106">
        <f>'[54]TABLEAU FINAL'!H4</f>
        <v>-4.6839090116985393E-2</v>
      </c>
    </row>
    <row r="6" spans="1:8" ht="15.75" thickBot="1">
      <c r="B6" s="293" t="str">
        <f>'[54]TABLEAU FINAL'!B5</f>
        <v>Hommes</v>
      </c>
      <c r="C6" s="294"/>
      <c r="D6" s="107" t="str">
        <f>'[54]TABLEAU FINAL'!D5</f>
        <v>Ensemble</v>
      </c>
      <c r="E6" s="108">
        <f>'[54]TABLEAU FINAL'!E5</f>
        <v>1.682295454456618</v>
      </c>
      <c r="F6" s="216">
        <f>'[54]TABLEAU FINAL'!F5</f>
        <v>-3.3811356497290745</v>
      </c>
      <c r="G6" s="110">
        <f>'[54]TABLEAU FINAL'!G5</f>
        <v>1.3404512506952404E-2</v>
      </c>
      <c r="H6" s="111">
        <f>'[54]TABLEAU FINAL'!H5</f>
        <v>0.17762277005074578</v>
      </c>
    </row>
    <row r="7" spans="1:8" ht="15.75" thickBot="1">
      <c r="B7" s="277" t="str">
        <f>'[54]TABLEAU FINAL'!B6</f>
        <v>Selon le quintile de pension</v>
      </c>
      <c r="C7" s="278"/>
      <c r="D7" s="278"/>
      <c r="E7" s="278"/>
      <c r="F7" s="278"/>
      <c r="G7" s="278"/>
      <c r="H7" s="279"/>
    </row>
    <row r="8" spans="1:8" ht="15">
      <c r="B8" s="280" t="str">
        <f>'[54]TABLEAU FINAL'!B7</f>
        <v>Femmes</v>
      </c>
      <c r="C8" s="317"/>
      <c r="D8" s="124" t="str">
        <f>'[54]TABLEAU FINAL'!D7</f>
        <v>Q1</v>
      </c>
      <c r="E8" s="103">
        <f>'[54]TABLEAU FINAL'!E7</f>
        <v>8.6888827204841874</v>
      </c>
      <c r="F8" s="215">
        <f>'[54]TABLEAU FINAL'!F7</f>
        <v>-11.178788359442791</v>
      </c>
      <c r="G8" s="105">
        <f>'[54]TABLEAU FINAL'!G7</f>
        <v>0.24177593869474379</v>
      </c>
      <c r="H8" s="217">
        <f>'[54]TABLEAU FINAL'!H7</f>
        <v>0.76546765595525845</v>
      </c>
    </row>
    <row r="9" spans="1:8" ht="15">
      <c r="B9" s="282"/>
      <c r="C9" s="318"/>
      <c r="D9" s="136" t="str">
        <f>'[54]TABLEAU FINAL'!D8</f>
        <v>Q2</v>
      </c>
      <c r="E9" s="115">
        <f>'[54]TABLEAU FINAL'!E8</f>
        <v>2.8601629719862309</v>
      </c>
      <c r="F9" s="218">
        <f>'[54]TABLEAU FINAL'!F8</f>
        <v>-4.6755904441670424</v>
      </c>
      <c r="G9" s="137">
        <f>'[54]TABLEAU FINAL'!G8</f>
        <v>-0.20969932019815851</v>
      </c>
      <c r="H9" s="219">
        <f>'[54]TABLEAU FINAL'!H8</f>
        <v>3.6529085978406206E-2</v>
      </c>
    </row>
    <row r="10" spans="1:8" ht="15">
      <c r="B10" s="282"/>
      <c r="C10" s="318"/>
      <c r="D10" s="136" t="str">
        <f>'[54]TABLEAU FINAL'!D9</f>
        <v>Q3</v>
      </c>
      <c r="E10" s="120">
        <f>'[54]TABLEAU FINAL'!E9</f>
        <v>0.29314185923341896</v>
      </c>
      <c r="F10" s="220">
        <f>'[54]TABLEAU FINAL'!F9</f>
        <v>-2.6632204324618272</v>
      </c>
      <c r="G10" s="137">
        <f>'[54]TABLEAU FINAL'!G9</f>
        <v>-0.22615798598825565</v>
      </c>
      <c r="H10" s="219">
        <f>'[54]TABLEAU FINAL'!H9</f>
        <v>-6.8285281937466191E-2</v>
      </c>
    </row>
    <row r="11" spans="1:8" ht="15">
      <c r="B11" s="282"/>
      <c r="C11" s="318"/>
      <c r="D11" s="136" t="str">
        <f>'[54]TABLEAU FINAL'!D10</f>
        <v>Q4</v>
      </c>
      <c r="E11" s="120">
        <f>'[54]TABLEAU FINAL'!E10</f>
        <v>0.63739527022820042</v>
      </c>
      <c r="F11" s="220">
        <f>'[54]TABLEAU FINAL'!F10</f>
        <v>-1.406308382717441</v>
      </c>
      <c r="G11" s="137">
        <f>'[54]TABLEAU FINAL'!G10</f>
        <v>-0.22263847279064741</v>
      </c>
      <c r="H11" s="219">
        <f>'[54]TABLEAU FINAL'!H10</f>
        <v>-0.11219795970847468</v>
      </c>
    </row>
    <row r="12" spans="1:8" ht="15.75" thickBot="1">
      <c r="B12" s="282"/>
      <c r="C12" s="318"/>
      <c r="D12" s="136" t="str">
        <f>'[54]TABLEAU FINAL'!D11</f>
        <v>Q5</v>
      </c>
      <c r="E12" s="143">
        <f>'[54]TABLEAU FINAL'!E11</f>
        <v>0.15345434012784942</v>
      </c>
      <c r="F12" s="221">
        <f>'[54]TABLEAU FINAL'!F11</f>
        <v>-0.90916506395757324</v>
      </c>
      <c r="G12" s="110">
        <f>'[54]TABLEAU FINAL'!G11</f>
        <v>-0.41878088204925112</v>
      </c>
      <c r="H12" s="222">
        <f>'[54]TABLEAU FINAL'!H11</f>
        <v>-0.31876043976010071</v>
      </c>
    </row>
    <row r="13" spans="1:8" ht="15">
      <c r="B13" s="280" t="str">
        <f>'[54]TABLEAU FINAL'!B12</f>
        <v>Hommes</v>
      </c>
      <c r="C13" s="317"/>
      <c r="D13" s="124" t="str">
        <f>'[54]TABLEAU FINAL'!D12</f>
        <v>Q1</v>
      </c>
      <c r="E13" s="103">
        <f>'[54]TABLEAU FINAL'!E12</f>
        <v>14.434108807263813</v>
      </c>
      <c r="F13" s="223">
        <f>'[54]TABLEAU FINAL'!F12</f>
        <v>-21.425581806209145</v>
      </c>
      <c r="G13" s="105">
        <f>'[54]TABLEAU FINAL'!G12</f>
        <v>0.48503258135498517</v>
      </c>
      <c r="H13" s="217">
        <f>'[54]TABLEAU FINAL'!H12</f>
        <v>1.6670651842799202</v>
      </c>
    </row>
    <row r="14" spans="1:8" ht="15">
      <c r="B14" s="282"/>
      <c r="C14" s="318"/>
      <c r="D14" s="136" t="str">
        <f>'[54]TABLEAU FINAL'!D13</f>
        <v>Q2</v>
      </c>
      <c r="E14" s="115">
        <f>'[54]TABLEAU FINAL'!E13</f>
        <v>6.5473555452003787</v>
      </c>
      <c r="F14" s="224">
        <f>'[54]TABLEAU FINAL'!F13</f>
        <v>-10.760680826016568</v>
      </c>
      <c r="G14" s="137">
        <f>'[54]TABLEAU FINAL'!G13</f>
        <v>-0.11422092809111606</v>
      </c>
      <c r="H14" s="219">
        <f>'[54]TABLEAU FINAL'!H13</f>
        <v>0.50618986676556821</v>
      </c>
    </row>
    <row r="15" spans="1:8" ht="15">
      <c r="B15" s="282"/>
      <c r="C15" s="318"/>
      <c r="D15" s="136" t="str">
        <f>'[54]TABLEAU FINAL'!D14</f>
        <v>Q3</v>
      </c>
      <c r="E15" s="120">
        <f>'[54]TABLEAU FINAL'!E14</f>
        <v>5.4757724882498238</v>
      </c>
      <c r="F15" s="225">
        <f>'[54]TABLEAU FINAL'!F14</f>
        <v>-3.8412041238152881</v>
      </c>
      <c r="G15" s="137">
        <f>'[54]TABLEAU FINAL'!G14</f>
        <v>-0.13261751306546354</v>
      </c>
      <c r="H15" s="219">
        <f>'[54]TABLEAU FINAL'!H14</f>
        <v>3.3722602717456862E-2</v>
      </c>
    </row>
    <row r="16" spans="1:8" ht="15">
      <c r="B16" s="282"/>
      <c r="C16" s="318"/>
      <c r="D16" s="136" t="str">
        <f>'[54]TABLEAU FINAL'!D15</f>
        <v>Q4</v>
      </c>
      <c r="E16" s="120">
        <f>'[54]TABLEAU FINAL'!E15</f>
        <v>0.84921574937747124</v>
      </c>
      <c r="F16" s="225">
        <f>'[54]TABLEAU FINAL'!F15</f>
        <v>-2.1227313974591624</v>
      </c>
      <c r="G16" s="137">
        <f>'[54]TABLEAU FINAL'!G15</f>
        <v>-0.16025339065722066</v>
      </c>
      <c r="H16" s="219">
        <f>'[54]TABLEAU FINAL'!H15</f>
        <v>-3.308950291215651E-2</v>
      </c>
    </row>
    <row r="17" spans="2:8" ht="15.75" thickBot="1">
      <c r="B17" s="284"/>
      <c r="C17" s="319"/>
      <c r="D17" s="174" t="str">
        <f>'[54]TABLEAU FINAL'!D16</f>
        <v>Q5</v>
      </c>
      <c r="E17" s="226">
        <f>'[54]TABLEAU FINAL'!E16</f>
        <v>0.14037791235280039</v>
      </c>
      <c r="F17" s="227">
        <f>'[54]TABLEAU FINAL'!F16</f>
        <v>-0.63973181121465927</v>
      </c>
      <c r="G17" s="110">
        <f>'[54]TABLEAU FINAL'!G16</f>
        <v>-0.28051726746702732</v>
      </c>
      <c r="H17" s="222">
        <f>'[54]TABLEAU FINAL'!H16</f>
        <v>-0.18091805995510457</v>
      </c>
    </row>
    <row r="19" spans="2:8">
      <c r="B19" s="177" t="s">
        <v>36</v>
      </c>
    </row>
    <row r="20" spans="2:8">
      <c r="B20" s="177" t="s">
        <v>61</v>
      </c>
    </row>
  </sheetData>
  <mergeCells count="6">
    <mergeCell ref="B13:C17"/>
    <mergeCell ref="B4:C4"/>
    <mergeCell ref="B5:C5"/>
    <mergeCell ref="B6:C6"/>
    <mergeCell ref="B7:H7"/>
    <mergeCell ref="B8:C12"/>
  </mergeCells>
  <hyperlinks>
    <hyperlink ref="A2" location="SOMMAIRE!A1" display="Retour au sommaire" xr:uid="{A0E419C1-C47E-48B0-A18A-8FE56358BDAC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D034-B07E-43BD-AED9-35A52A21A4E2}">
  <sheetPr>
    <tabColor theme="4"/>
  </sheetPr>
  <dimension ref="A1:J34"/>
  <sheetViews>
    <sheetView workbookViewId="0"/>
  </sheetViews>
  <sheetFormatPr baseColWidth="10" defaultRowHeight="14.25"/>
  <sheetData>
    <row r="1" spans="1:10" ht="15.75">
      <c r="A1" s="2" t="s">
        <v>129</v>
      </c>
    </row>
    <row r="2" spans="1:10">
      <c r="A2" s="6" t="s">
        <v>2</v>
      </c>
    </row>
    <row r="3" spans="1:10" ht="15" thickBot="1"/>
    <row r="4" spans="1:10" ht="30.75" customHeight="1" thickBot="1">
      <c r="B4" s="285"/>
      <c r="C4" s="286"/>
      <c r="D4" s="99" t="str">
        <f>'[55]TABLEAU FINAL'!D3</f>
        <v>Nombre d'enfants</v>
      </c>
      <c r="E4" s="320" t="str">
        <f>'[55]TABLEAU FINAL'!G3</f>
        <v>Pension moyenne CV</v>
      </c>
      <c r="F4" s="321">
        <f>'[55]TABLEAU FINAL'!H3</f>
        <v>0</v>
      </c>
      <c r="I4" s="149"/>
      <c r="J4" s="149"/>
    </row>
    <row r="5" spans="1:10" ht="15">
      <c r="B5" s="280" t="str">
        <f>'[55]TABLEAU FINAL'!B4</f>
        <v>Femmes</v>
      </c>
      <c r="C5" s="281">
        <f>'[55]TABLEAU FINAL'!C4</f>
        <v>0</v>
      </c>
      <c r="D5" s="102" t="str">
        <f>'[55]TABLEAU FINAL'!D4</f>
        <v>Ensemble</v>
      </c>
      <c r="E5" s="322">
        <f>'[55]TABLEAU FINAL'!G4</f>
        <v>1.6560600490573396E-2</v>
      </c>
      <c r="F5" s="323">
        <f>'[55]TABLEAU FINAL'!H4</f>
        <v>0</v>
      </c>
      <c r="I5" s="149"/>
      <c r="J5" s="149"/>
    </row>
    <row r="6" spans="1:10" ht="15.75" thickBot="1">
      <c r="B6" s="293" t="str">
        <f>'[55]TABLEAU FINAL'!B5</f>
        <v>Hommes</v>
      </c>
      <c r="C6" s="294">
        <f>'[55]TABLEAU FINAL'!C5</f>
        <v>0</v>
      </c>
      <c r="D6" s="107" t="str">
        <f>'[55]TABLEAU FINAL'!D5</f>
        <v>Ensemble</v>
      </c>
      <c r="E6" s="324">
        <f>'[55]TABLEAU FINAL'!G5</f>
        <v>-2.5916777433229399E-2</v>
      </c>
      <c r="F6" s="325">
        <f>'[55]TABLEAU FINAL'!H5</f>
        <v>0</v>
      </c>
      <c r="I6" s="149"/>
      <c r="J6" s="149"/>
    </row>
    <row r="7" spans="1:10" ht="15.75" thickBot="1">
      <c r="B7" s="277" t="str">
        <f>'[55]TABLEAU FINAL'!B6</f>
        <v>Selon le nombre d'enfants</v>
      </c>
      <c r="C7" s="278"/>
      <c r="D7" s="278"/>
      <c r="E7" s="278"/>
      <c r="F7" s="279"/>
      <c r="I7" s="149"/>
      <c r="J7" s="149"/>
    </row>
    <row r="8" spans="1:10" ht="15">
      <c r="B8" s="280" t="str">
        <f>'[55]TABLEAU FINAL'!B7</f>
        <v>Femmes</v>
      </c>
      <c r="C8" s="281">
        <f>'[55]TABLEAU FINAL'!C7</f>
        <v>0</v>
      </c>
      <c r="D8" s="102">
        <f>'[55]TABLEAU FINAL'!D7</f>
        <v>1</v>
      </c>
      <c r="E8" s="332">
        <f>'[55]TABLEAU FINAL'!G7</f>
        <v>1.5596946854972815E-2</v>
      </c>
      <c r="F8" s="333">
        <f>'[55]TABLEAU FINAL'!H7</f>
        <v>0</v>
      </c>
      <c r="I8" s="149"/>
      <c r="J8" s="149"/>
    </row>
    <row r="9" spans="1:10" ht="15">
      <c r="B9" s="282">
        <f>'[55]TABLEAU FINAL'!B8</f>
        <v>0</v>
      </c>
      <c r="C9" s="283">
        <f>'[55]TABLEAU FINAL'!C8</f>
        <v>0</v>
      </c>
      <c r="D9" s="114">
        <f>'[55]TABLEAU FINAL'!D8</f>
        <v>2</v>
      </c>
      <c r="E9" s="334">
        <f>'[55]TABLEAU FINAL'!G8</f>
        <v>5.4159386366791962E-2</v>
      </c>
      <c r="F9" s="335">
        <f>'[55]TABLEAU FINAL'!H8</f>
        <v>0</v>
      </c>
      <c r="I9" s="149"/>
      <c r="J9" s="149"/>
    </row>
    <row r="10" spans="1:10" ht="15.75" thickBot="1">
      <c r="B10" s="282">
        <f>'[55]TABLEAU FINAL'!B9</f>
        <v>0</v>
      </c>
      <c r="C10" s="283">
        <f>'[55]TABLEAU FINAL'!C9</f>
        <v>0</v>
      </c>
      <c r="D10" s="114" t="str">
        <f>'[55]TABLEAU FINAL'!D9</f>
        <v>3 et plus</v>
      </c>
      <c r="E10" s="336">
        <f>'[55]TABLEAU FINAL'!G9</f>
        <v>-1.9753056876769204E-2</v>
      </c>
      <c r="F10" s="337">
        <f>'[55]TABLEAU FINAL'!H9</f>
        <v>0</v>
      </c>
      <c r="I10" s="149"/>
      <c r="J10" s="149"/>
    </row>
    <row r="11" spans="1:10" ht="15">
      <c r="B11" s="280" t="str">
        <f>'[55]TABLEAU FINAL'!B10</f>
        <v>Hommes</v>
      </c>
      <c r="C11" s="317">
        <f>'[55]TABLEAU FINAL'!C10</f>
        <v>0</v>
      </c>
      <c r="D11" s="102">
        <f>'[55]TABLEAU FINAL'!D10</f>
        <v>1</v>
      </c>
      <c r="E11" s="326">
        <f>'[55]TABLEAU FINAL'!G10</f>
        <v>-3.5082653785696305E-3</v>
      </c>
      <c r="F11" s="327">
        <f>'[55]TABLEAU FINAL'!H10</f>
        <v>0</v>
      </c>
      <c r="I11" s="149"/>
      <c r="J11" s="149"/>
    </row>
    <row r="12" spans="1:10" ht="15">
      <c r="B12" s="282">
        <f>'[55]TABLEAU FINAL'!B11</f>
        <v>0</v>
      </c>
      <c r="C12" s="318">
        <f>'[55]TABLEAU FINAL'!C11</f>
        <v>0</v>
      </c>
      <c r="D12" s="114">
        <f>'[55]TABLEAU FINAL'!D11</f>
        <v>2</v>
      </c>
      <c r="E12" s="328">
        <f>'[55]TABLEAU FINAL'!G11</f>
        <v>-4.0445371871846714E-3</v>
      </c>
      <c r="F12" s="329">
        <f>'[55]TABLEAU FINAL'!H11</f>
        <v>0</v>
      </c>
      <c r="I12" s="149"/>
      <c r="J12" s="149"/>
    </row>
    <row r="13" spans="1:10" ht="15.75" thickBot="1">
      <c r="B13" s="284">
        <f>'[55]TABLEAU FINAL'!B12</f>
        <v>0</v>
      </c>
      <c r="C13" s="319">
        <f>'[55]TABLEAU FINAL'!C12</f>
        <v>0</v>
      </c>
      <c r="D13" s="107" t="str">
        <f>'[55]TABLEAU FINAL'!D12</f>
        <v>3 et plus</v>
      </c>
      <c r="E13" s="330">
        <f>'[55]TABLEAU FINAL'!G12</f>
        <v>-8.9830235999113328E-2</v>
      </c>
      <c r="F13" s="331">
        <f>'[55]TABLEAU FINAL'!H12</f>
        <v>0</v>
      </c>
      <c r="I13" s="149"/>
      <c r="J13" s="149"/>
    </row>
    <row r="14" spans="1:10" ht="15.75" thickBot="1">
      <c r="B14" s="141"/>
      <c r="C14" s="244"/>
      <c r="D14" s="244"/>
      <c r="E14" s="245"/>
      <c r="F14" s="245"/>
      <c r="G14" s="245"/>
      <c r="H14" s="245"/>
      <c r="I14" s="149"/>
      <c r="J14" s="149"/>
    </row>
    <row r="15" spans="1:10" ht="15.75" thickBot="1">
      <c r="B15" s="338" t="str">
        <f>'[55]TABLEAU FINAL'!B21</f>
        <v>Pension moyenne sur cycle de vie selon le régime d'affiliation</v>
      </c>
      <c r="C15" s="339">
        <f>'[55]TABLEAU FINAL'!C21</f>
        <v>0</v>
      </c>
      <c r="D15" s="339">
        <f>'[55]TABLEAU FINAL'!D21</f>
        <v>0</v>
      </c>
      <c r="E15" s="339">
        <f>'[55]TABLEAU FINAL'!E21</f>
        <v>0</v>
      </c>
      <c r="F15" s="339">
        <f>'[55]TABLEAU FINAL'!F21</f>
        <v>0</v>
      </c>
      <c r="G15" s="339">
        <f>'[55]TABLEAU FINAL'!G21</f>
        <v>0</v>
      </c>
      <c r="H15" s="339">
        <f>'[55]TABLEAU FINAL'!H21</f>
        <v>0</v>
      </c>
      <c r="I15" s="339">
        <f>'[55]TABLEAU FINAL'!I21</f>
        <v>0</v>
      </c>
      <c r="J15" s="340">
        <f>'[55]TABLEAU FINAL'!J21</f>
        <v>0</v>
      </c>
    </row>
    <row r="16" spans="1:10" ht="30.75" thickBot="1">
      <c r="B16" s="342"/>
      <c r="C16" s="343"/>
      <c r="D16" s="228" t="str">
        <f>'[55]TABLEAU FINAL'!D22</f>
        <v>Nombre d'enfants</v>
      </c>
      <c r="E16" s="229" t="str">
        <f>'[55]TABLEAU FINAL'!E22</f>
        <v>Mono Lura</v>
      </c>
      <c r="F16" s="230" t="str">
        <f>'[55]TABLEAU FINAL'!F22</f>
        <v>Mono FP-RS</v>
      </c>
      <c r="G16" s="230" t="str">
        <f>'[55]TABLEAU FINAL'!G22</f>
        <v>Mono MSAE-PLIB</v>
      </c>
      <c r="H16" s="231" t="str">
        <f>'[55]TABLEAU FINAL'!H22</f>
        <v>Poly Lura-FP-RS</v>
      </c>
      <c r="I16" s="231" t="str">
        <f>'[55]TABLEAU FINAL'!I22</f>
        <v>Poly Lura-MSAE-PLIB</v>
      </c>
      <c r="J16" s="228" t="str">
        <f>'[55]TABLEAU FINAL'!J22</f>
        <v>Sans droit propre</v>
      </c>
    </row>
    <row r="17" spans="2:10" ht="15">
      <c r="B17" s="280" t="str">
        <f>'[55]TABLEAU FINAL'!B23</f>
        <v>Femmes</v>
      </c>
      <c r="C17" s="281">
        <f>'[55]TABLEAU FINAL'!C23</f>
        <v>0</v>
      </c>
      <c r="D17" s="102">
        <f>'[55]TABLEAU FINAL'!D23</f>
        <v>1</v>
      </c>
      <c r="E17" s="234">
        <f>'[55]TABLEAU FINAL'!E23</f>
        <v>8.0097237422704914E-3</v>
      </c>
      <c r="F17" s="145">
        <f>'[55]TABLEAU FINAL'!F23</f>
        <v>3.7729787567124751E-2</v>
      </c>
      <c r="G17" s="145">
        <f>'[55]TABLEAU FINAL'!G23</f>
        <v>3.3014621965233859E-2</v>
      </c>
      <c r="H17" s="145">
        <f>'[55]TABLEAU FINAL'!H23</f>
        <v>3.160116071402741E-2</v>
      </c>
      <c r="I17" s="235">
        <f>'[55]TABLEAU FINAL'!I23</f>
        <v>-1.0615728525410817E-2</v>
      </c>
      <c r="J17" s="236">
        <f>'[55]TABLEAU FINAL'!J23</f>
        <v>0.65236325147924012</v>
      </c>
    </row>
    <row r="18" spans="2:10" ht="15">
      <c r="B18" s="282">
        <f>'[55]TABLEAU FINAL'!B24</f>
        <v>0</v>
      </c>
      <c r="C18" s="283">
        <f>'[55]TABLEAU FINAL'!C24</f>
        <v>0</v>
      </c>
      <c r="D18" s="114">
        <f>'[55]TABLEAU FINAL'!D24</f>
        <v>2</v>
      </c>
      <c r="E18" s="232">
        <f>'[55]TABLEAU FINAL'!E24</f>
        <v>4.1171216146063783E-2</v>
      </c>
      <c r="F18" s="117">
        <f>'[55]TABLEAU FINAL'!F24</f>
        <v>0.13864576930398442</v>
      </c>
      <c r="G18" s="117">
        <f>'[55]TABLEAU FINAL'!G24</f>
        <v>4.0021304458637497E-2</v>
      </c>
      <c r="H18" s="117">
        <f>'[55]TABLEAU FINAL'!H24</f>
        <v>9.8398401447107542E-2</v>
      </c>
      <c r="I18" s="237">
        <f>'[55]TABLEAU FINAL'!I24</f>
        <v>3.0234119213779387E-2</v>
      </c>
      <c r="J18" s="238">
        <f>'[55]TABLEAU FINAL'!J24</f>
        <v>0.31596696493256071</v>
      </c>
    </row>
    <row r="19" spans="2:10" ht="15.75" thickBot="1">
      <c r="B19" s="282">
        <f>'[55]TABLEAU FINAL'!B25</f>
        <v>0</v>
      </c>
      <c r="C19" s="283">
        <f>'[55]TABLEAU FINAL'!C25</f>
        <v>0</v>
      </c>
      <c r="D19" s="114" t="str">
        <f>'[55]TABLEAU FINAL'!D25</f>
        <v>3 et plus</v>
      </c>
      <c r="E19" s="232">
        <f>'[55]TABLEAU FINAL'!E25</f>
        <v>-2.9795891678337072E-2</v>
      </c>
      <c r="F19" s="117">
        <f>'[55]TABLEAU FINAL'!F25</f>
        <v>9.5961588306648471E-2</v>
      </c>
      <c r="G19" s="117">
        <f>'[55]TABLEAU FINAL'!G25</f>
        <v>-5.2550063341818998E-2</v>
      </c>
      <c r="H19" s="117">
        <f>'[55]TABLEAU FINAL'!H25</f>
        <v>2.359669316165669E-2</v>
      </c>
      <c r="I19" s="237">
        <f>'[55]TABLEAU FINAL'!I25</f>
        <v>-4.9401492343916553E-2</v>
      </c>
      <c r="J19" s="238">
        <f>'[55]TABLEAU FINAL'!J25</f>
        <v>0.15258292375388405</v>
      </c>
    </row>
    <row r="20" spans="2:10" ht="15">
      <c r="B20" s="280" t="str">
        <f>'[55]TABLEAU FINAL'!B26</f>
        <v>Hommes</v>
      </c>
      <c r="C20" s="281">
        <f>'[55]TABLEAU FINAL'!C26</f>
        <v>0</v>
      </c>
      <c r="D20" s="102">
        <f>'[55]TABLEAU FINAL'!D26</f>
        <v>1</v>
      </c>
      <c r="E20" s="239">
        <f>'[55]TABLEAU FINAL'!E26</f>
        <v>-3.3605503742180076E-3</v>
      </c>
      <c r="F20" s="112">
        <f>'[55]TABLEAU FINAL'!F26</f>
        <v>-2.3868767939405622E-3</v>
      </c>
      <c r="G20" s="112">
        <f>'[55]TABLEAU FINAL'!G26</f>
        <v>4.3762771184674421E-12</v>
      </c>
      <c r="H20" s="112">
        <f>'[55]TABLEAU FINAL'!H26</f>
        <v>-4.8534214151237931E-3</v>
      </c>
      <c r="I20" s="240">
        <f>'[55]TABLEAU FINAL'!I26</f>
        <v>-4.8524555975655304E-3</v>
      </c>
      <c r="J20" s="241">
        <f>'[55]TABLEAU FINAL'!J26</f>
        <v>0.14188214081346895</v>
      </c>
    </row>
    <row r="21" spans="2:10" ht="15">
      <c r="B21" s="282">
        <f>'[55]TABLEAU FINAL'!B27</f>
        <v>0</v>
      </c>
      <c r="C21" s="283">
        <f>'[55]TABLEAU FINAL'!C27</f>
        <v>0</v>
      </c>
      <c r="D21" s="114">
        <f>'[55]TABLEAU FINAL'!D27</f>
        <v>2</v>
      </c>
      <c r="E21" s="232">
        <f>'[55]TABLEAU FINAL'!E27</f>
        <v>-4.9078256154961863E-3</v>
      </c>
      <c r="F21" s="117">
        <f>'[55]TABLEAU FINAL'!F27</f>
        <v>-6.7742571805473606E-4</v>
      </c>
      <c r="G21" s="117">
        <f>'[55]TABLEAU FINAL'!G27</f>
        <v>1.0418794269342335E-3</v>
      </c>
      <c r="H21" s="117">
        <f>'[55]TABLEAU FINAL'!H27</f>
        <v>-3.5775367611059483E-3</v>
      </c>
      <c r="I21" s="237">
        <f>'[55]TABLEAU FINAL'!I27</f>
        <v>-6.5190061531564814E-3</v>
      </c>
      <c r="J21" s="238">
        <f>'[55]TABLEAU FINAL'!J27</f>
        <v>1.0920524035246499</v>
      </c>
    </row>
    <row r="22" spans="2:10" ht="15.75" thickBot="1">
      <c r="B22" s="284">
        <f>'[55]TABLEAU FINAL'!B28</f>
        <v>0</v>
      </c>
      <c r="C22" s="341">
        <f>'[55]TABLEAU FINAL'!C28</f>
        <v>0</v>
      </c>
      <c r="D22" s="107" t="str">
        <f>'[55]TABLEAU FINAL'!D28</f>
        <v>3 et plus</v>
      </c>
      <c r="E22" s="233">
        <f>'[55]TABLEAU FINAL'!E28</f>
        <v>-8.8911643869792667E-2</v>
      </c>
      <c r="F22" s="147">
        <f>'[55]TABLEAU FINAL'!F28</f>
        <v>-0.11646232890241048</v>
      </c>
      <c r="G22" s="147">
        <f>'[55]TABLEAU FINAL'!G28</f>
        <v>-5.7011112884651438E-2</v>
      </c>
      <c r="H22" s="147">
        <f>'[55]TABLEAU FINAL'!H28</f>
        <v>-0.10641749732420669</v>
      </c>
      <c r="I22" s="242">
        <f>'[55]TABLEAU FINAL'!I28</f>
        <v>-7.8534078940588836E-2</v>
      </c>
      <c r="J22" s="243">
        <f>'[55]TABLEAU FINAL'!J28</f>
        <v>0.43569703050072062</v>
      </c>
    </row>
    <row r="23" spans="2:10" ht="15.75" thickBot="1">
      <c r="B23" s="141"/>
      <c r="C23" s="244"/>
      <c r="D23" s="244"/>
      <c r="E23" s="245"/>
      <c r="F23" s="245"/>
      <c r="G23" s="245"/>
      <c r="H23" s="245"/>
      <c r="I23" s="245"/>
      <c r="J23" s="246"/>
    </row>
    <row r="24" spans="2:10" ht="15.75" thickBot="1">
      <c r="B24" s="338" t="str">
        <f>'[55]TABLEAU FINAL'!B37</f>
        <v>Pension moyenne sur cycle de vie selon le quintile de pension</v>
      </c>
      <c r="C24" s="339">
        <f>'[55]TABLEAU FINAL'!C37</f>
        <v>0</v>
      </c>
      <c r="D24" s="339">
        <f>'[55]TABLEAU FINAL'!D37</f>
        <v>0</v>
      </c>
      <c r="E24" s="339">
        <f>'[55]TABLEAU FINAL'!E37</f>
        <v>0</v>
      </c>
      <c r="F24" s="339">
        <f>'[55]TABLEAU FINAL'!F37</f>
        <v>0</v>
      </c>
      <c r="G24" s="339">
        <f>'[55]TABLEAU FINAL'!G37</f>
        <v>0</v>
      </c>
      <c r="H24" s="339">
        <f>'[55]TABLEAU FINAL'!H37</f>
        <v>0</v>
      </c>
      <c r="I24" s="340">
        <f>'[55]TABLEAU FINAL'!I37</f>
        <v>0</v>
      </c>
      <c r="J24" s="149"/>
    </row>
    <row r="25" spans="2:10" ht="30.75" thickBot="1">
      <c r="B25" s="342"/>
      <c r="C25" s="343"/>
      <c r="D25" s="228" t="str">
        <f>'[55]TABLEAU FINAL'!D38</f>
        <v>Nombre d'enfants</v>
      </c>
      <c r="E25" s="229" t="str">
        <f>'[55]TABLEAU FINAL'!E38</f>
        <v>Q1</v>
      </c>
      <c r="F25" s="230" t="str">
        <f>'[55]TABLEAU FINAL'!F38</f>
        <v>Q2</v>
      </c>
      <c r="G25" s="230" t="str">
        <f>'[55]TABLEAU FINAL'!G38</f>
        <v>Q3</v>
      </c>
      <c r="H25" s="231" t="str">
        <f>'[55]TABLEAU FINAL'!H38</f>
        <v>Q4</v>
      </c>
      <c r="I25" s="228" t="str">
        <f>'[55]TABLEAU FINAL'!I38</f>
        <v>Q5</v>
      </c>
      <c r="J25" s="149"/>
    </row>
    <row r="26" spans="2:10" ht="15">
      <c r="B26" s="280" t="str">
        <f>'[55]TABLEAU FINAL'!B39</f>
        <v>Femmes</v>
      </c>
      <c r="C26" s="281">
        <f>'[55]TABLEAU FINAL'!C39</f>
        <v>0</v>
      </c>
      <c r="D26" s="102">
        <f>'[55]TABLEAU FINAL'!D39</f>
        <v>1</v>
      </c>
      <c r="E26" s="234">
        <f>'[55]TABLEAU FINAL'!E39</f>
        <v>0.14323165203899402</v>
      </c>
      <c r="F26" s="145">
        <f>'[55]TABLEAU FINAL'!F39</f>
        <v>5.8103984315512891E-2</v>
      </c>
      <c r="G26" s="145">
        <f>'[55]TABLEAU FINAL'!G39</f>
        <v>3.2153080854051552E-2</v>
      </c>
      <c r="H26" s="145">
        <f>'[55]TABLEAU FINAL'!H39</f>
        <v>-5.3628766949642692E-4</v>
      </c>
      <c r="I26" s="236">
        <f>'[55]TABLEAU FINAL'!I39</f>
        <v>-1.9722987078628074E-2</v>
      </c>
      <c r="J26" s="149"/>
    </row>
    <row r="27" spans="2:10" ht="15">
      <c r="B27" s="282">
        <f>'[55]TABLEAU FINAL'!B40</f>
        <v>0</v>
      </c>
      <c r="C27" s="283">
        <f>'[55]TABLEAU FINAL'!C40</f>
        <v>0</v>
      </c>
      <c r="D27" s="114">
        <f>'[55]TABLEAU FINAL'!D40</f>
        <v>2</v>
      </c>
      <c r="E27" s="232">
        <f>'[55]TABLEAU FINAL'!E40</f>
        <v>0.16794015457721101</v>
      </c>
      <c r="F27" s="117">
        <f>'[55]TABLEAU FINAL'!F40</f>
        <v>0.10480453428515313</v>
      </c>
      <c r="G27" s="117">
        <f>'[55]TABLEAU FINAL'!G40</f>
        <v>8.0859425945303931E-2</v>
      </c>
      <c r="H27" s="117">
        <f>'[55]TABLEAU FINAL'!H40</f>
        <v>3.7732988917734689E-2</v>
      </c>
      <c r="I27" s="238">
        <f>'[55]TABLEAU FINAL'!I40</f>
        <v>2.9276792324850476E-4</v>
      </c>
      <c r="J27" s="149"/>
    </row>
    <row r="28" spans="2:10" ht="15.75" thickBot="1">
      <c r="B28" s="282">
        <f>'[55]TABLEAU FINAL'!B41</f>
        <v>0</v>
      </c>
      <c r="C28" s="283">
        <f>'[55]TABLEAU FINAL'!C41</f>
        <v>0</v>
      </c>
      <c r="D28" s="114" t="str">
        <f>'[55]TABLEAU FINAL'!D41</f>
        <v>3 et plus</v>
      </c>
      <c r="E28" s="232">
        <f>'[55]TABLEAU FINAL'!E41</f>
        <v>5.2879978399075434E-2</v>
      </c>
      <c r="F28" s="117">
        <f>'[55]TABLEAU FINAL'!F41</f>
        <v>7.368786950112205E-2</v>
      </c>
      <c r="G28" s="117">
        <f>'[55]TABLEAU FINAL'!G41</f>
        <v>2.010843701565479E-2</v>
      </c>
      <c r="H28" s="117">
        <f>'[55]TABLEAU FINAL'!H41</f>
        <v>-2.7128241658450181E-2</v>
      </c>
      <c r="I28" s="238">
        <f>'[55]TABLEAU FINAL'!I41</f>
        <v>-0.10467529785410734</v>
      </c>
      <c r="J28" s="149"/>
    </row>
    <row r="29" spans="2:10" ht="15">
      <c r="B29" s="280" t="str">
        <f>'[55]TABLEAU FINAL'!B42</f>
        <v>Hommes</v>
      </c>
      <c r="C29" s="281">
        <f>'[55]TABLEAU FINAL'!C42</f>
        <v>0</v>
      </c>
      <c r="D29" s="102">
        <f>'[55]TABLEAU FINAL'!D42</f>
        <v>1</v>
      </c>
      <c r="E29" s="239">
        <f>'[55]TABLEAU FINAL'!E42</f>
        <v>7.9812892434081295E-3</v>
      </c>
      <c r="F29" s="112">
        <f>'[55]TABLEAU FINAL'!F42</f>
        <v>2.0064197724087851E-3</v>
      </c>
      <c r="G29" s="112">
        <f>'[55]TABLEAU FINAL'!G42</f>
        <v>-2.6521946103951199E-3</v>
      </c>
      <c r="H29" s="112">
        <f>'[55]TABLEAU FINAL'!H42</f>
        <v>-8.0867074103954106E-3</v>
      </c>
      <c r="I29" s="241">
        <f>'[55]TABLEAU FINAL'!I42</f>
        <v>-5.6362657127414506E-3</v>
      </c>
      <c r="J29" s="149"/>
    </row>
    <row r="30" spans="2:10" ht="15">
      <c r="B30" s="282">
        <f>'[55]TABLEAU FINAL'!B43</f>
        <v>0</v>
      </c>
      <c r="C30" s="283">
        <f>'[55]TABLEAU FINAL'!C43</f>
        <v>0</v>
      </c>
      <c r="D30" s="114">
        <f>'[55]TABLEAU FINAL'!D43</f>
        <v>2</v>
      </c>
      <c r="E30" s="232">
        <f>'[55]TABLEAU FINAL'!E43</f>
        <v>1.671754241528256E-2</v>
      </c>
      <c r="F30" s="117">
        <f>'[55]TABLEAU FINAL'!F43</f>
        <v>-3.7748542296078824E-4</v>
      </c>
      <c r="G30" s="117">
        <f>'[55]TABLEAU FINAL'!G43</f>
        <v>-2.5921060573432797E-3</v>
      </c>
      <c r="H30" s="117">
        <f>'[55]TABLEAU FINAL'!H43</f>
        <v>-7.1250029141988191E-3</v>
      </c>
      <c r="I30" s="238">
        <f>'[55]TABLEAU FINAL'!I43</f>
        <v>-9.5334175773326146E-3</v>
      </c>
      <c r="J30" s="149"/>
    </row>
    <row r="31" spans="2:10" ht="15.75" thickBot="1">
      <c r="B31" s="284">
        <f>'[55]TABLEAU FINAL'!B44</f>
        <v>0</v>
      </c>
      <c r="C31" s="341">
        <f>'[55]TABLEAU FINAL'!C44</f>
        <v>0</v>
      </c>
      <c r="D31" s="107" t="str">
        <f>'[55]TABLEAU FINAL'!D44</f>
        <v>3 et plus</v>
      </c>
      <c r="E31" s="233">
        <f>'[55]TABLEAU FINAL'!E44</f>
        <v>-6.5878698044176454E-2</v>
      </c>
      <c r="F31" s="147">
        <f>'[55]TABLEAU FINAL'!F44</f>
        <v>-8.5230635643470332E-2</v>
      </c>
      <c r="G31" s="147">
        <f>'[55]TABLEAU FINAL'!G44</f>
        <v>-9.2444915904345226E-2</v>
      </c>
      <c r="H31" s="147">
        <f>'[55]TABLEAU FINAL'!H44</f>
        <v>-9.9387801205625625E-2</v>
      </c>
      <c r="I31" s="243">
        <f>'[55]TABLEAU FINAL'!I44</f>
        <v>-9.0834845392534058E-2</v>
      </c>
      <c r="J31" s="149"/>
    </row>
    <row r="33" spans="2:2">
      <c r="B33" s="177" t="s">
        <v>36</v>
      </c>
    </row>
    <row r="34" spans="2:2">
      <c r="B34" s="177" t="s">
        <v>62</v>
      </c>
    </row>
  </sheetData>
  <mergeCells count="23">
    <mergeCell ref="B24:I24"/>
    <mergeCell ref="B26:C28"/>
    <mergeCell ref="B29:C31"/>
    <mergeCell ref="B25:C25"/>
    <mergeCell ref="B15:J15"/>
    <mergeCell ref="B17:C19"/>
    <mergeCell ref="B20:C22"/>
    <mergeCell ref="B16:C16"/>
    <mergeCell ref="B11:C13"/>
    <mergeCell ref="E11:F11"/>
    <mergeCell ref="E12:F12"/>
    <mergeCell ref="E13:F13"/>
    <mergeCell ref="B8:C10"/>
    <mergeCell ref="E8:F8"/>
    <mergeCell ref="E9:F9"/>
    <mergeCell ref="E10:F10"/>
    <mergeCell ref="B7:F7"/>
    <mergeCell ref="E4:F4"/>
    <mergeCell ref="B5:C5"/>
    <mergeCell ref="E5:F5"/>
    <mergeCell ref="B6:C6"/>
    <mergeCell ref="E6:F6"/>
    <mergeCell ref="B4:C4"/>
  </mergeCells>
  <hyperlinks>
    <hyperlink ref="A2" location="SOMMAIRE!A1" display="Retour au sommaire" xr:uid="{322FA6F1-0CCD-4820-B634-C0CC68635324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AC6B-8DDF-4041-B2BC-1FAE50055D5B}">
  <sheetPr>
    <tabColor theme="4"/>
  </sheetPr>
  <dimension ref="A1:J34"/>
  <sheetViews>
    <sheetView workbookViewId="0"/>
  </sheetViews>
  <sheetFormatPr baseColWidth="10" defaultRowHeight="14.25"/>
  <sheetData>
    <row r="1" spans="1:10" ht="15.75">
      <c r="A1" s="2" t="s">
        <v>130</v>
      </c>
    </row>
    <row r="2" spans="1:10">
      <c r="A2" s="6" t="s">
        <v>2</v>
      </c>
    </row>
    <row r="3" spans="1:10" ht="15" thickBot="1"/>
    <row r="4" spans="1:10" ht="30.75" customHeight="1" thickBot="1">
      <c r="B4" s="285"/>
      <c r="C4" s="286"/>
      <c r="D4" s="99" t="str">
        <f>'[55]TABLEAU FINAL'!D3</f>
        <v>Nombre d'enfants</v>
      </c>
      <c r="E4" s="320" t="str">
        <f>'[55]TABLEAU FINAL'!G3</f>
        <v>Pension moyenne CV</v>
      </c>
      <c r="F4" s="321">
        <f>'[55]TABLEAU FINAL'!H3</f>
        <v>0</v>
      </c>
      <c r="I4" s="149"/>
      <c r="J4" s="149"/>
    </row>
    <row r="5" spans="1:10" ht="15">
      <c r="B5" s="280" t="str">
        <f>'[55]TABLEAU FINAL'!B4</f>
        <v>Femmes</v>
      </c>
      <c r="C5" s="281">
        <f>'[55]TABLEAU FINAL'!C4</f>
        <v>0</v>
      </c>
      <c r="D5" s="102" t="str">
        <f>'[55]TABLEAU FINAL'!D4</f>
        <v>Ensemble</v>
      </c>
      <c r="E5" s="322">
        <f>'[56]TABLEAU FINAL'!G4</f>
        <v>-1.3532518162055363E-2</v>
      </c>
      <c r="F5" s="323"/>
      <c r="I5" s="149"/>
      <c r="J5" s="149"/>
    </row>
    <row r="6" spans="1:10" ht="15.75" thickBot="1">
      <c r="B6" s="293" t="str">
        <f>'[55]TABLEAU FINAL'!B5</f>
        <v>Hommes</v>
      </c>
      <c r="C6" s="294">
        <f>'[55]TABLEAU FINAL'!C5</f>
        <v>0</v>
      </c>
      <c r="D6" s="107" t="str">
        <f>'[55]TABLEAU FINAL'!D5</f>
        <v>Ensemble</v>
      </c>
      <c r="E6" s="324">
        <f>'[56]TABLEAU FINAL'!G5</f>
        <v>-3.0805863609650541E-2</v>
      </c>
      <c r="F6" s="325"/>
      <c r="I6" s="149"/>
      <c r="J6" s="149"/>
    </row>
    <row r="7" spans="1:10" ht="15.75" thickBot="1">
      <c r="B7" s="277" t="str">
        <f>'[55]TABLEAU FINAL'!B6</f>
        <v>Selon le nombre d'enfants</v>
      </c>
      <c r="C7" s="278"/>
      <c r="D7" s="278"/>
      <c r="E7" s="278"/>
      <c r="F7" s="279"/>
      <c r="I7" s="149"/>
      <c r="J7" s="149"/>
    </row>
    <row r="8" spans="1:10" ht="15">
      <c r="B8" s="280" t="str">
        <f>'[55]TABLEAU FINAL'!B7</f>
        <v>Femmes</v>
      </c>
      <c r="C8" s="281">
        <f>'[55]TABLEAU FINAL'!C7</f>
        <v>0</v>
      </c>
      <c r="D8" s="102">
        <f>'[55]TABLEAU FINAL'!D7</f>
        <v>1</v>
      </c>
      <c r="E8" s="332">
        <f>'[56]TABLEAU FINAL'!G7</f>
        <v>-1.3553143969665005E-2</v>
      </c>
      <c r="F8" s="333"/>
      <c r="I8" s="149"/>
      <c r="J8" s="149"/>
    </row>
    <row r="9" spans="1:10" ht="15">
      <c r="B9" s="282">
        <f>'[55]TABLEAU FINAL'!B8</f>
        <v>0</v>
      </c>
      <c r="C9" s="283">
        <f>'[55]TABLEAU FINAL'!C8</f>
        <v>0</v>
      </c>
      <c r="D9" s="114">
        <f>'[55]TABLEAU FINAL'!D8</f>
        <v>2</v>
      </c>
      <c r="E9" s="334">
        <f>'[56]TABLEAU FINAL'!G8</f>
        <v>1.5916892963391271E-2</v>
      </c>
      <c r="F9" s="335"/>
      <c r="I9" s="149"/>
      <c r="J9" s="149"/>
    </row>
    <row r="10" spans="1:10" ht="15.75" thickBot="1">
      <c r="B10" s="282">
        <f>'[55]TABLEAU FINAL'!B9</f>
        <v>0</v>
      </c>
      <c r="C10" s="283">
        <f>'[55]TABLEAU FINAL'!C9</f>
        <v>0</v>
      </c>
      <c r="D10" s="114" t="str">
        <f>'[55]TABLEAU FINAL'!D9</f>
        <v>3 et plus</v>
      </c>
      <c r="E10" s="336">
        <f>'[56]TABLEAU FINAL'!G9</f>
        <v>-4.42156505116581E-2</v>
      </c>
      <c r="F10" s="337"/>
      <c r="I10" s="149"/>
      <c r="J10" s="149"/>
    </row>
    <row r="11" spans="1:10" ht="15">
      <c r="B11" s="280" t="str">
        <f>'[55]TABLEAU FINAL'!B10</f>
        <v>Hommes</v>
      </c>
      <c r="C11" s="317">
        <f>'[55]TABLEAU FINAL'!C10</f>
        <v>0</v>
      </c>
      <c r="D11" s="102">
        <f>'[55]TABLEAU FINAL'!D10</f>
        <v>1</v>
      </c>
      <c r="E11" s="326">
        <f>'[56]TABLEAU FINAL'!G10</f>
        <v>-4.724077462477827E-3</v>
      </c>
      <c r="F11" s="327"/>
      <c r="I11" s="149"/>
      <c r="J11" s="149"/>
    </row>
    <row r="12" spans="1:10" ht="15">
      <c r="B12" s="282">
        <f>'[55]TABLEAU FINAL'!B11</f>
        <v>0</v>
      </c>
      <c r="C12" s="318">
        <f>'[55]TABLEAU FINAL'!C11</f>
        <v>0</v>
      </c>
      <c r="D12" s="114">
        <f>'[55]TABLEAU FINAL'!D11</f>
        <v>2</v>
      </c>
      <c r="E12" s="328">
        <f>'[56]TABLEAU FINAL'!G11</f>
        <v>-5.1999932357889023E-3</v>
      </c>
      <c r="F12" s="329"/>
      <c r="I12" s="149"/>
      <c r="J12" s="149"/>
    </row>
    <row r="13" spans="1:10" ht="15.75" thickBot="1">
      <c r="B13" s="284">
        <f>'[55]TABLEAU FINAL'!B12</f>
        <v>0</v>
      </c>
      <c r="C13" s="319">
        <f>'[55]TABLEAU FINAL'!C12</f>
        <v>0</v>
      </c>
      <c r="D13" s="107" t="str">
        <f>'[55]TABLEAU FINAL'!D12</f>
        <v>3 et plus</v>
      </c>
      <c r="E13" s="330">
        <f>'[56]TABLEAU FINAL'!G12</f>
        <v>-8.8435324806981463E-2</v>
      </c>
      <c r="F13" s="331"/>
      <c r="I13" s="149"/>
      <c r="J13" s="149"/>
    </row>
    <row r="14" spans="1:10" ht="15.75" thickBot="1">
      <c r="B14" s="141"/>
      <c r="C14" s="244"/>
      <c r="D14" s="244"/>
      <c r="E14" s="245"/>
      <c r="F14" s="245"/>
      <c r="G14" s="245"/>
      <c r="H14" s="245"/>
      <c r="I14" s="149"/>
      <c r="J14" s="149"/>
    </row>
    <row r="15" spans="1:10" ht="15.75" thickBot="1">
      <c r="B15" s="338" t="str">
        <f>'[56]TABLEAU FINAL'!B21</f>
        <v>Pension moyenne sur cycle de vie selon le régime d'affiliation</v>
      </c>
      <c r="C15" s="339"/>
      <c r="D15" s="339"/>
      <c r="E15" s="339"/>
      <c r="F15" s="339"/>
      <c r="G15" s="339"/>
      <c r="H15" s="339"/>
      <c r="I15" s="339"/>
      <c r="J15" s="340"/>
    </row>
    <row r="16" spans="1:10" ht="30.75" thickBot="1">
      <c r="B16" s="342"/>
      <c r="C16" s="343"/>
      <c r="D16" s="228" t="str">
        <f>'[56]TABLEAU FINAL'!D22</f>
        <v>Nombre d'enfants</v>
      </c>
      <c r="E16" s="229" t="str">
        <f>'[56]TABLEAU FINAL'!E22</f>
        <v>Mono Lura</v>
      </c>
      <c r="F16" s="230" t="str">
        <f>'[56]TABLEAU FINAL'!F22</f>
        <v>Mono FP-RS</v>
      </c>
      <c r="G16" s="230" t="str">
        <f>'[56]TABLEAU FINAL'!G22</f>
        <v>Mono MSAE-PLIB</v>
      </c>
      <c r="H16" s="231" t="str">
        <f>'[56]TABLEAU FINAL'!H22</f>
        <v>Poly Lura-FP-RS</v>
      </c>
      <c r="I16" s="231" t="str">
        <f>'[56]TABLEAU FINAL'!I22</f>
        <v>Poly Lura-MSAE-PLIB</v>
      </c>
      <c r="J16" s="228" t="str">
        <f>'[56]TABLEAU FINAL'!J22</f>
        <v>Sans droit propre</v>
      </c>
    </row>
    <row r="17" spans="2:10" ht="15">
      <c r="B17" s="280" t="str">
        <f>'[56]TABLEAU FINAL'!B23</f>
        <v>Femmes</v>
      </c>
      <c r="C17" s="281"/>
      <c r="D17" s="102">
        <f>'[56]TABLEAU FINAL'!D23</f>
        <v>1</v>
      </c>
      <c r="E17" s="234">
        <f>'[56]TABLEAU FINAL'!E23</f>
        <v>-1.0429940864845832E-2</v>
      </c>
      <c r="F17" s="145">
        <f>'[56]TABLEAU FINAL'!F23</f>
        <v>-1.8709439101202152E-2</v>
      </c>
      <c r="G17" s="145">
        <f>'[56]TABLEAU FINAL'!G23</f>
        <v>8.3551398953898737E-2</v>
      </c>
      <c r="H17" s="145">
        <f>'[56]TABLEAU FINAL'!H23</f>
        <v>-1.8489876307477005E-2</v>
      </c>
      <c r="I17" s="235">
        <f>'[56]TABLEAU FINAL'!I23</f>
        <v>-1.179718745076519E-2</v>
      </c>
      <c r="J17" s="236">
        <f>'[56]TABLEAU FINAL'!J23</f>
        <v>-6.4618243946010012E-2</v>
      </c>
    </row>
    <row r="18" spans="2:10" ht="15">
      <c r="B18" s="282"/>
      <c r="C18" s="283"/>
      <c r="D18" s="114">
        <f>'[56]TABLEAU FINAL'!D24</f>
        <v>2</v>
      </c>
      <c r="E18" s="232">
        <f>'[56]TABLEAU FINAL'!E24</f>
        <v>1.977108219096646E-2</v>
      </c>
      <c r="F18" s="117">
        <f>'[56]TABLEAU FINAL'!F24</f>
        <v>2.5207612967540038E-2</v>
      </c>
      <c r="G18" s="117">
        <f>'[56]TABLEAU FINAL'!G24</f>
        <v>2.6282153779610073E-2</v>
      </c>
      <c r="H18" s="117">
        <f>'[56]TABLEAU FINAL'!H24</f>
        <v>8.9683541793388333E-3</v>
      </c>
      <c r="I18" s="237">
        <f>'[56]TABLEAU FINAL'!I24</f>
        <v>2.2920766996105346E-2</v>
      </c>
      <c r="J18" s="238">
        <f>'[56]TABLEAU FINAL'!J24</f>
        <v>-7.8519614893845402E-2</v>
      </c>
    </row>
    <row r="19" spans="2:10" ht="15.75" thickBot="1">
      <c r="B19" s="282"/>
      <c r="C19" s="283"/>
      <c r="D19" s="114" t="str">
        <f>'[56]TABLEAU FINAL'!D25</f>
        <v>3 et plus</v>
      </c>
      <c r="E19" s="232">
        <f>'[56]TABLEAU FINAL'!E25</f>
        <v>-3.8798139950655508E-2</v>
      </c>
      <c r="F19" s="117">
        <f>'[56]TABLEAU FINAL'!F25</f>
        <v>-5.3539282868412252E-2</v>
      </c>
      <c r="G19" s="117">
        <f>'[56]TABLEAU FINAL'!G25</f>
        <v>-0.15483116270588859</v>
      </c>
      <c r="H19" s="117">
        <f>'[56]TABLEAU FINAL'!H25</f>
        <v>-5.4800418606707368E-2</v>
      </c>
      <c r="I19" s="237">
        <f>'[56]TABLEAU FINAL'!I25</f>
        <v>-4.0434984657074957E-2</v>
      </c>
      <c r="J19" s="238">
        <f>'[56]TABLEAU FINAL'!J25</f>
        <v>-0.10135416229369287</v>
      </c>
    </row>
    <row r="20" spans="2:10" ht="15">
      <c r="B20" s="280" t="str">
        <f>'[56]TABLEAU FINAL'!B26</f>
        <v>Hommes</v>
      </c>
      <c r="C20" s="281"/>
      <c r="D20" s="102">
        <f>'[56]TABLEAU FINAL'!D26</f>
        <v>1</v>
      </c>
      <c r="E20" s="239">
        <f>'[56]TABLEAU FINAL'!E26</f>
        <v>-4.8872806284829817E-3</v>
      </c>
      <c r="F20" s="112">
        <f>'[56]TABLEAU FINAL'!F26</f>
        <v>-1.7806285603036986E-3</v>
      </c>
      <c r="G20" s="112">
        <f>'[56]TABLEAU FINAL'!G26</f>
        <v>-2.8932344528000975E-3</v>
      </c>
      <c r="H20" s="112">
        <f>'[56]TABLEAU FINAL'!H26</f>
        <v>-5.5108410159259158E-3</v>
      </c>
      <c r="I20" s="240">
        <f>'[56]TABLEAU FINAL'!I26</f>
        <v>-4.6084804680295299E-3</v>
      </c>
      <c r="J20" s="241">
        <f>'[56]TABLEAU FINAL'!J26</f>
        <v>6.6571126176995676E-2</v>
      </c>
    </row>
    <row r="21" spans="2:10" ht="15">
      <c r="B21" s="282"/>
      <c r="C21" s="283"/>
      <c r="D21" s="114">
        <f>'[56]TABLEAU FINAL'!D27</f>
        <v>2</v>
      </c>
      <c r="E21" s="232">
        <f>'[56]TABLEAU FINAL'!E27</f>
        <v>-5.566284326526949E-3</v>
      </c>
      <c r="F21" s="117">
        <f>'[56]TABLEAU FINAL'!F27</f>
        <v>-4.1956891136919472E-3</v>
      </c>
      <c r="G21" s="117">
        <f>'[56]TABLEAU FINAL'!G27</f>
        <v>-3.5041673872570067E-3</v>
      </c>
      <c r="H21" s="117">
        <f>'[56]TABLEAU FINAL'!H27</f>
        <v>-5.9107393642174877E-3</v>
      </c>
      <c r="I21" s="237">
        <f>'[56]TABLEAU FINAL'!I27</f>
        <v>-3.4515625567119734E-3</v>
      </c>
      <c r="J21" s="238">
        <f>'[56]TABLEAU FINAL'!J27</f>
        <v>0.13913032653381574</v>
      </c>
    </row>
    <row r="22" spans="2:10" ht="15.75" thickBot="1">
      <c r="B22" s="284"/>
      <c r="C22" s="341"/>
      <c r="D22" s="107" t="str">
        <f>'[56]TABLEAU FINAL'!D28</f>
        <v>3 et plus</v>
      </c>
      <c r="E22" s="233">
        <f>'[56]TABLEAU FINAL'!E28</f>
        <v>-8.907963278907316E-2</v>
      </c>
      <c r="F22" s="147">
        <f>'[56]TABLEAU FINAL'!F28</f>
        <v>-7.9994977105903642E-2</v>
      </c>
      <c r="G22" s="147">
        <f>'[56]TABLEAU FINAL'!G28</f>
        <v>-5.2708853075682738E-2</v>
      </c>
      <c r="H22" s="147">
        <f>'[56]TABLEAU FINAL'!H28</f>
        <v>-8.8470657557424337E-2</v>
      </c>
      <c r="I22" s="242">
        <f>'[56]TABLEAU FINAL'!I28</f>
        <v>-8.0434853731605305E-2</v>
      </c>
      <c r="J22" s="243">
        <f>'[56]TABLEAU FINAL'!J28</f>
        <v>-0.27592629146665337</v>
      </c>
    </row>
    <row r="23" spans="2:10" ht="15.75" thickBot="1">
      <c r="B23" s="141"/>
      <c r="C23" s="244"/>
      <c r="D23" s="244"/>
      <c r="E23" s="245"/>
      <c r="F23" s="245"/>
      <c r="G23" s="245"/>
      <c r="H23" s="245"/>
      <c r="I23" s="245"/>
      <c r="J23" s="246"/>
    </row>
    <row r="24" spans="2:10" ht="15.75" thickBot="1">
      <c r="B24" s="338" t="str">
        <f>'[56]TABLEAU FINAL'!B37</f>
        <v>Pension moyenne sur cycle de vie selon le quintile de pension</v>
      </c>
      <c r="C24" s="339"/>
      <c r="D24" s="339"/>
      <c r="E24" s="339"/>
      <c r="F24" s="339"/>
      <c r="G24" s="339"/>
      <c r="H24" s="339"/>
      <c r="I24" s="340"/>
      <c r="J24" s="149"/>
    </row>
    <row r="25" spans="2:10" ht="30.75" thickBot="1">
      <c r="B25" s="342"/>
      <c r="C25" s="343"/>
      <c r="D25" s="228" t="str">
        <f>'[56]TABLEAU FINAL'!D38</f>
        <v>Nombre d'enfants</v>
      </c>
      <c r="E25" s="229" t="str">
        <f>'[56]TABLEAU FINAL'!E38</f>
        <v>Q1</v>
      </c>
      <c r="F25" s="230" t="str">
        <f>'[56]TABLEAU FINAL'!F38</f>
        <v>Q2</v>
      </c>
      <c r="G25" s="230" t="str">
        <f>'[56]TABLEAU FINAL'!G38</f>
        <v>Q3</v>
      </c>
      <c r="H25" s="231" t="str">
        <f>'[56]TABLEAU FINAL'!H38</f>
        <v>Q4</v>
      </c>
      <c r="I25" s="228" t="str">
        <f>'[56]TABLEAU FINAL'!I38</f>
        <v>Q5</v>
      </c>
      <c r="J25" s="149"/>
    </row>
    <row r="26" spans="2:10" ht="15">
      <c r="B26" s="280" t="str">
        <f>'[56]TABLEAU FINAL'!B39</f>
        <v>Femmes</v>
      </c>
      <c r="C26" s="281"/>
      <c r="D26" s="102">
        <f>'[56]TABLEAU FINAL'!D39</f>
        <v>1</v>
      </c>
      <c r="E26" s="234">
        <f>'[56]TABLEAU FINAL'!E39</f>
        <v>4.617615099267236E-2</v>
      </c>
      <c r="F26" s="145">
        <f>'[56]TABLEAU FINAL'!F39</f>
        <v>3.2253316869583104E-2</v>
      </c>
      <c r="G26" s="145">
        <f>'[56]TABLEAU FINAL'!G39</f>
        <v>1.4926923366809897E-2</v>
      </c>
      <c r="H26" s="145">
        <f>'[56]TABLEAU FINAL'!H39</f>
        <v>-1.2122861552329223E-2</v>
      </c>
      <c r="I26" s="236">
        <f>'[56]TABLEAU FINAL'!I39</f>
        <v>-5.8008603350055088E-2</v>
      </c>
      <c r="J26" s="149"/>
    </row>
    <row r="27" spans="2:10" ht="15">
      <c r="B27" s="282"/>
      <c r="C27" s="283"/>
      <c r="D27" s="114">
        <f>'[56]TABLEAU FINAL'!D40</f>
        <v>2</v>
      </c>
      <c r="E27" s="232">
        <f>'[56]TABLEAU FINAL'!E40</f>
        <v>8.336645170217416E-2</v>
      </c>
      <c r="F27" s="117">
        <f>'[56]TABLEAU FINAL'!F40</f>
        <v>7.3150329951238602E-2</v>
      </c>
      <c r="G27" s="117">
        <f>'[56]TABLEAU FINAL'!G40</f>
        <v>4.8406620974277281E-2</v>
      </c>
      <c r="H27" s="117">
        <f>'[56]TABLEAU FINAL'!H40</f>
        <v>1.7643728844127793E-2</v>
      </c>
      <c r="I27" s="238">
        <f>'[56]TABLEAU FINAL'!I40</f>
        <v>-3.962103656994731E-2</v>
      </c>
      <c r="J27" s="149"/>
    </row>
    <row r="28" spans="2:10" ht="15.75" thickBot="1">
      <c r="B28" s="282"/>
      <c r="C28" s="283"/>
      <c r="D28" s="114" t="str">
        <f>'[56]TABLEAU FINAL'!D41</f>
        <v>3 et plus</v>
      </c>
      <c r="E28" s="232">
        <f>'[56]TABLEAU FINAL'!E41</f>
        <v>7.4258583674452705E-2</v>
      </c>
      <c r="F28" s="117">
        <f>'[56]TABLEAU FINAL'!F41</f>
        <v>4.9546811199148166E-2</v>
      </c>
      <c r="G28" s="117">
        <f>'[56]TABLEAU FINAL'!G41</f>
        <v>7.5212443644006033E-3</v>
      </c>
      <c r="H28" s="117">
        <f>'[56]TABLEAU FINAL'!H41</f>
        <v>-4.6048417802556751E-2</v>
      </c>
      <c r="I28" s="238">
        <f>'[56]TABLEAU FINAL'!I41</f>
        <v>-0.11397554145682542</v>
      </c>
      <c r="J28" s="149"/>
    </row>
    <row r="29" spans="2:10" ht="15">
      <c r="B29" s="280" t="str">
        <f>'[56]TABLEAU FINAL'!B42</f>
        <v>Hommes</v>
      </c>
      <c r="C29" s="281"/>
      <c r="D29" s="102">
        <f>'[56]TABLEAU FINAL'!D42</f>
        <v>1</v>
      </c>
      <c r="E29" s="239">
        <f>'[56]TABLEAU FINAL'!E42</f>
        <v>5.8347517112244951E-3</v>
      </c>
      <c r="F29" s="112">
        <f>'[56]TABLEAU FINAL'!F42</f>
        <v>3.9948289131341852E-5</v>
      </c>
      <c r="G29" s="112">
        <f>'[56]TABLEAU FINAL'!G42</f>
        <v>-3.5209673248478568E-3</v>
      </c>
      <c r="H29" s="112">
        <f>'[56]TABLEAU FINAL'!H42</f>
        <v>-8.3999488321681026E-3</v>
      </c>
      <c r="I29" s="241">
        <f>'[56]TABLEAU FINAL'!I42</f>
        <v>-6.2597021757169191E-3</v>
      </c>
      <c r="J29" s="149"/>
    </row>
    <row r="30" spans="2:10" ht="15">
      <c r="B30" s="282"/>
      <c r="C30" s="283"/>
      <c r="D30" s="114">
        <f>'[56]TABLEAU FINAL'!D43</f>
        <v>2</v>
      </c>
      <c r="E30" s="232">
        <f>'[56]TABLEAU FINAL'!E43</f>
        <v>4.3969502380847292E-3</v>
      </c>
      <c r="F30" s="117">
        <f>'[56]TABLEAU FINAL'!F43</f>
        <v>-5.0498831104373032E-4</v>
      </c>
      <c r="G30" s="117">
        <f>'[56]TABLEAU FINAL'!G43</f>
        <v>-3.8184903403628567E-3</v>
      </c>
      <c r="H30" s="117">
        <f>'[56]TABLEAU FINAL'!H43</f>
        <v>-9.3220724316612769E-3</v>
      </c>
      <c r="I30" s="238">
        <f>'[56]TABLEAU FINAL'!I43</f>
        <v>-6.5561730385311767E-3</v>
      </c>
      <c r="J30" s="149"/>
    </row>
    <row r="31" spans="2:10" ht="15.75" thickBot="1">
      <c r="B31" s="284"/>
      <c r="C31" s="341"/>
      <c r="D31" s="107" t="str">
        <f>'[56]TABLEAU FINAL'!D44</f>
        <v>3 et plus</v>
      </c>
      <c r="E31" s="233">
        <f>'[56]TABLEAU FINAL'!E44</f>
        <v>-8.6258197473979337E-2</v>
      </c>
      <c r="F31" s="147">
        <f>'[56]TABLEAU FINAL'!F44</f>
        <v>-7.9585833788768046E-2</v>
      </c>
      <c r="G31" s="147">
        <f>'[56]TABLEAU FINAL'!G44</f>
        <v>-8.7012075069305306E-2</v>
      </c>
      <c r="H31" s="147">
        <f>'[56]TABLEAU FINAL'!H44</f>
        <v>-9.4041440153122102E-2</v>
      </c>
      <c r="I31" s="243">
        <f>'[56]TABLEAU FINAL'!I44</f>
        <v>-8.8470891565669785E-2</v>
      </c>
      <c r="J31" s="149"/>
    </row>
    <row r="33" spans="2:2">
      <c r="B33" s="177" t="s">
        <v>36</v>
      </c>
    </row>
    <row r="34" spans="2:2">
      <c r="B34" s="177" t="s">
        <v>62</v>
      </c>
    </row>
  </sheetData>
  <mergeCells count="23">
    <mergeCell ref="B26:C28"/>
    <mergeCell ref="B29:C31"/>
    <mergeCell ref="B7:F7"/>
    <mergeCell ref="B4:C4"/>
    <mergeCell ref="B15:J15"/>
    <mergeCell ref="B16:C16"/>
    <mergeCell ref="B17:C19"/>
    <mergeCell ref="B20:C22"/>
    <mergeCell ref="B24:I24"/>
    <mergeCell ref="B25:C25"/>
    <mergeCell ref="B11:C13"/>
    <mergeCell ref="E11:F11"/>
    <mergeCell ref="E12:F12"/>
    <mergeCell ref="E13:F13"/>
    <mergeCell ref="B8:C10"/>
    <mergeCell ref="E8:F8"/>
    <mergeCell ref="E9:F9"/>
    <mergeCell ref="E10:F10"/>
    <mergeCell ref="E4:F4"/>
    <mergeCell ref="B5:C5"/>
    <mergeCell ref="E5:F5"/>
    <mergeCell ref="B6:C6"/>
    <mergeCell ref="E6:F6"/>
  </mergeCells>
  <hyperlinks>
    <hyperlink ref="A2" location="SOMMAIRE!A1" display="Retour au sommaire" xr:uid="{EC51287F-1696-446F-86ED-484E8D5E9652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8EF9-AFED-4FB9-AB3D-7FCA02BD6900}">
  <sheetPr>
    <tabColor theme="4"/>
  </sheetPr>
  <dimension ref="A1:J34"/>
  <sheetViews>
    <sheetView workbookViewId="0"/>
  </sheetViews>
  <sheetFormatPr baseColWidth="10" defaultRowHeight="14.25"/>
  <sheetData>
    <row r="1" spans="1:10" ht="15.75">
      <c r="A1" s="2" t="s">
        <v>131</v>
      </c>
    </row>
    <row r="2" spans="1:10">
      <c r="A2" s="6" t="s">
        <v>2</v>
      </c>
    </row>
    <row r="3" spans="1:10" ht="15" thickBot="1"/>
    <row r="4" spans="1:10" ht="30.75" customHeight="1" thickBot="1">
      <c r="B4" s="285"/>
      <c r="C4" s="286"/>
      <c r="D4" s="99" t="str">
        <f>'[55]TABLEAU FINAL'!D3</f>
        <v>Nombre d'enfants</v>
      </c>
      <c r="E4" s="320" t="str">
        <f>'[55]TABLEAU FINAL'!G3</f>
        <v>Pension moyenne CV</v>
      </c>
      <c r="F4" s="321">
        <f>'[55]TABLEAU FINAL'!H3</f>
        <v>0</v>
      </c>
      <c r="I4" s="149"/>
      <c r="J4" s="149"/>
    </row>
    <row r="5" spans="1:10" ht="15">
      <c r="B5" s="280" t="str">
        <f>'[55]TABLEAU FINAL'!B4</f>
        <v>Femmes</v>
      </c>
      <c r="C5" s="281">
        <f>'[55]TABLEAU FINAL'!C4</f>
        <v>0</v>
      </c>
      <c r="D5" s="102" t="str">
        <f>'[55]TABLEAU FINAL'!D4</f>
        <v>Ensemble</v>
      </c>
      <c r="E5" s="322">
        <f>'[57]TABLEAU FINAL'!G4</f>
        <v>2.5921874602106376E-2</v>
      </c>
      <c r="F5" s="323"/>
      <c r="I5" s="149"/>
      <c r="J5" s="149"/>
    </row>
    <row r="6" spans="1:10" ht="15.75" thickBot="1">
      <c r="B6" s="293" t="str">
        <f>'[55]TABLEAU FINAL'!B5</f>
        <v>Hommes</v>
      </c>
      <c r="C6" s="294">
        <f>'[55]TABLEAU FINAL'!C5</f>
        <v>0</v>
      </c>
      <c r="D6" s="107" t="str">
        <f>'[55]TABLEAU FINAL'!D5</f>
        <v>Ensemble</v>
      </c>
      <c r="E6" s="324">
        <f>'[57]TABLEAU FINAL'!G5</f>
        <v>-2.5916777433229399E-2</v>
      </c>
      <c r="F6" s="325"/>
      <c r="I6" s="149"/>
      <c r="J6" s="149"/>
    </row>
    <row r="7" spans="1:10" ht="15.75" thickBot="1">
      <c r="B7" s="277" t="str">
        <f>'[55]TABLEAU FINAL'!B6</f>
        <v>Selon le nombre d'enfants</v>
      </c>
      <c r="C7" s="278"/>
      <c r="D7" s="278"/>
      <c r="E7" s="278"/>
      <c r="F7" s="279"/>
      <c r="I7" s="149"/>
      <c r="J7" s="149"/>
    </row>
    <row r="8" spans="1:10" ht="15">
      <c r="B8" s="280" t="str">
        <f>'[55]TABLEAU FINAL'!B7</f>
        <v>Femmes</v>
      </c>
      <c r="C8" s="281">
        <f>'[55]TABLEAU FINAL'!C7</f>
        <v>0</v>
      </c>
      <c r="D8" s="102">
        <f>'[55]TABLEAU FINAL'!D7</f>
        <v>1</v>
      </c>
      <c r="E8" s="332">
        <f>'[57]TABLEAU FINAL'!G7</f>
        <v>1.5939180720564883E-2</v>
      </c>
      <c r="F8" s="333"/>
      <c r="I8" s="149"/>
      <c r="J8" s="149"/>
    </row>
    <row r="9" spans="1:10" ht="15">
      <c r="B9" s="282">
        <f>'[55]TABLEAU FINAL'!B8</f>
        <v>0</v>
      </c>
      <c r="C9" s="283">
        <f>'[55]TABLEAU FINAL'!C8</f>
        <v>0</v>
      </c>
      <c r="D9" s="114">
        <f>'[55]TABLEAU FINAL'!D8</f>
        <v>2</v>
      </c>
      <c r="E9" s="334">
        <f>'[57]TABLEAU FINAL'!G8</f>
        <v>5.8214515898240782E-2</v>
      </c>
      <c r="F9" s="335"/>
      <c r="I9" s="149"/>
      <c r="J9" s="149"/>
    </row>
    <row r="10" spans="1:10" ht="15.75" thickBot="1">
      <c r="B10" s="282">
        <f>'[55]TABLEAU FINAL'!B9</f>
        <v>0</v>
      </c>
      <c r="C10" s="283">
        <f>'[55]TABLEAU FINAL'!C9</f>
        <v>0</v>
      </c>
      <c r="D10" s="114" t="str">
        <f>'[55]TABLEAU FINAL'!D9</f>
        <v>3 et plus</v>
      </c>
      <c r="E10" s="336">
        <f>'[57]TABLEAU FINAL'!G9</f>
        <v>1.143086378193181E-2</v>
      </c>
      <c r="F10" s="337"/>
      <c r="I10" s="149"/>
      <c r="J10" s="149"/>
    </row>
    <row r="11" spans="1:10" ht="15">
      <c r="B11" s="280" t="str">
        <f>'[55]TABLEAU FINAL'!B10</f>
        <v>Hommes</v>
      </c>
      <c r="C11" s="317">
        <f>'[55]TABLEAU FINAL'!C10</f>
        <v>0</v>
      </c>
      <c r="D11" s="102">
        <f>'[55]TABLEAU FINAL'!D10</f>
        <v>1</v>
      </c>
      <c r="E11" s="326">
        <f>'[57]TABLEAU FINAL'!G10</f>
        <v>-3.5082653785696305E-3</v>
      </c>
      <c r="F11" s="327"/>
      <c r="I11" s="149"/>
      <c r="J11" s="149"/>
    </row>
    <row r="12" spans="1:10" ht="15">
      <c r="B12" s="282">
        <f>'[55]TABLEAU FINAL'!B11</f>
        <v>0</v>
      </c>
      <c r="C12" s="318">
        <f>'[55]TABLEAU FINAL'!C11</f>
        <v>0</v>
      </c>
      <c r="D12" s="114">
        <f>'[55]TABLEAU FINAL'!D11</f>
        <v>2</v>
      </c>
      <c r="E12" s="328">
        <f>'[57]TABLEAU FINAL'!G11</f>
        <v>-4.0445371871846714E-3</v>
      </c>
      <c r="F12" s="329"/>
      <c r="I12" s="149"/>
      <c r="J12" s="149"/>
    </row>
    <row r="13" spans="1:10" ht="15.75" thickBot="1">
      <c r="B13" s="284">
        <f>'[55]TABLEAU FINAL'!B12</f>
        <v>0</v>
      </c>
      <c r="C13" s="319">
        <f>'[55]TABLEAU FINAL'!C12</f>
        <v>0</v>
      </c>
      <c r="D13" s="107" t="str">
        <f>'[55]TABLEAU FINAL'!D12</f>
        <v>3 et plus</v>
      </c>
      <c r="E13" s="330">
        <f>'[57]TABLEAU FINAL'!G12</f>
        <v>-8.9830235999113328E-2</v>
      </c>
      <c r="F13" s="331"/>
      <c r="I13" s="149"/>
      <c r="J13" s="149"/>
    </row>
    <row r="14" spans="1:10" ht="15.75" thickBot="1">
      <c r="B14" s="141"/>
      <c r="C14" s="244"/>
      <c r="D14" s="244"/>
      <c r="E14" s="245"/>
      <c r="F14" s="245"/>
      <c r="G14" s="245"/>
      <c r="H14" s="245"/>
      <c r="I14" s="149"/>
      <c r="J14" s="149"/>
    </row>
    <row r="15" spans="1:10" ht="15.75" thickBot="1">
      <c r="B15" s="338" t="str">
        <f>'[57]TABLEAU FINAL'!B21</f>
        <v>Pension moyenne sur cycle de vie selon le régime d'affiliation</v>
      </c>
      <c r="C15" s="339"/>
      <c r="D15" s="339"/>
      <c r="E15" s="339"/>
      <c r="F15" s="339"/>
      <c r="G15" s="339"/>
      <c r="H15" s="339"/>
      <c r="I15" s="339"/>
      <c r="J15" s="340"/>
    </row>
    <row r="16" spans="1:10" ht="30.75" thickBot="1">
      <c r="B16" s="342"/>
      <c r="C16" s="343"/>
      <c r="D16" s="228" t="str">
        <f>'[57]TABLEAU FINAL'!D22</f>
        <v>Nombre d'enfants</v>
      </c>
      <c r="E16" s="229" t="str">
        <f>'[57]TABLEAU FINAL'!E22</f>
        <v>Mono Lura</v>
      </c>
      <c r="F16" s="230" t="str">
        <f>'[57]TABLEAU FINAL'!F22</f>
        <v>Mono FP-RS</v>
      </c>
      <c r="G16" s="230" t="str">
        <f>'[57]TABLEAU FINAL'!G22</f>
        <v>Mono MSAE-PLIB</v>
      </c>
      <c r="H16" s="231" t="str">
        <f>'[57]TABLEAU FINAL'!H22</f>
        <v>Poly Lura-FP-RS</v>
      </c>
      <c r="I16" s="231" t="str">
        <f>'[57]TABLEAU FINAL'!I22</f>
        <v>Poly Lura-MSAE-PLIB</v>
      </c>
      <c r="J16" s="228" t="str">
        <f>'[57]TABLEAU FINAL'!J22</f>
        <v>Sans droit propre</v>
      </c>
    </row>
    <row r="17" spans="2:10" ht="15">
      <c r="B17" s="280" t="str">
        <f>'[57]TABLEAU FINAL'!B23</f>
        <v>Femmes</v>
      </c>
      <c r="C17" s="281"/>
      <c r="D17" s="102">
        <f>'[57]TABLEAU FINAL'!D23</f>
        <v>1</v>
      </c>
      <c r="E17" s="234">
        <f>'[57]TABLEAU FINAL'!E23</f>
        <v>8.466743555920031E-3</v>
      </c>
      <c r="F17" s="145">
        <f>'[57]TABLEAU FINAL'!F23</f>
        <v>3.7729787567124751E-2</v>
      </c>
      <c r="G17" s="145">
        <f>'[57]TABLEAU FINAL'!G23</f>
        <v>3.3014621965233859E-2</v>
      </c>
      <c r="H17" s="145">
        <f>'[57]TABLEAU FINAL'!H23</f>
        <v>3.160116071402741E-2</v>
      </c>
      <c r="I17" s="235">
        <f>'[57]TABLEAU FINAL'!I23</f>
        <v>-1.0615728525410817E-2</v>
      </c>
      <c r="J17" s="236">
        <f>'[57]TABLEAU FINAL'!J23</f>
        <v>0.65236325147924012</v>
      </c>
    </row>
    <row r="18" spans="2:10" ht="15">
      <c r="B18" s="282"/>
      <c r="C18" s="283"/>
      <c r="D18" s="114">
        <f>'[57]TABLEAU FINAL'!D24</f>
        <v>2</v>
      </c>
      <c r="E18" s="232">
        <f>'[57]TABLEAU FINAL'!E24</f>
        <v>4.5909747549411462E-2</v>
      </c>
      <c r="F18" s="117">
        <f>'[57]TABLEAU FINAL'!F24</f>
        <v>0.14197047829958276</v>
      </c>
      <c r="G18" s="117">
        <f>'[57]TABLEAU FINAL'!G24</f>
        <v>4.0849742609966766E-2</v>
      </c>
      <c r="H18" s="117">
        <f>'[57]TABLEAU FINAL'!H24</f>
        <v>9.9804543507493459E-2</v>
      </c>
      <c r="I18" s="237">
        <f>'[57]TABLEAU FINAL'!I24</f>
        <v>3.422524983616082E-2</v>
      </c>
      <c r="J18" s="238">
        <f>'[57]TABLEAU FINAL'!J24</f>
        <v>0.31596696493256071</v>
      </c>
    </row>
    <row r="19" spans="2:10" ht="15.75" thickBot="1">
      <c r="B19" s="282"/>
      <c r="C19" s="283"/>
      <c r="D19" s="114" t="str">
        <f>'[57]TABLEAU FINAL'!D25</f>
        <v>3 et plus</v>
      </c>
      <c r="E19" s="232">
        <f>'[57]TABLEAU FINAL'!E25</f>
        <v>-2.4015507476807807E-3</v>
      </c>
      <c r="F19" s="117">
        <f>'[57]TABLEAU FINAL'!F25</f>
        <v>0.13607352585935395</v>
      </c>
      <c r="G19" s="117">
        <f>'[57]TABLEAU FINAL'!G25</f>
        <v>-5.2550063341818998E-2</v>
      </c>
      <c r="H19" s="117">
        <f>'[57]TABLEAU FINAL'!H25</f>
        <v>7.5279240796976898E-2</v>
      </c>
      <c r="I19" s="237">
        <f>'[57]TABLEAU FINAL'!I25</f>
        <v>-1.5989239008125988E-2</v>
      </c>
      <c r="J19" s="238">
        <f>'[57]TABLEAU FINAL'!J25</f>
        <v>0.15258292375388405</v>
      </c>
    </row>
    <row r="20" spans="2:10" ht="15">
      <c r="B20" s="280" t="str">
        <f>'[57]TABLEAU FINAL'!B26</f>
        <v>Hommes</v>
      </c>
      <c r="C20" s="281"/>
      <c r="D20" s="102">
        <f>'[57]TABLEAU FINAL'!D26</f>
        <v>1</v>
      </c>
      <c r="E20" s="239">
        <f>'[57]TABLEAU FINAL'!E26</f>
        <v>-3.3605503742180076E-3</v>
      </c>
      <c r="F20" s="112">
        <f>'[57]TABLEAU FINAL'!F26</f>
        <v>-2.3868767939405622E-3</v>
      </c>
      <c r="G20" s="112">
        <f>'[57]TABLEAU FINAL'!G26</f>
        <v>4.3762771184674421E-12</v>
      </c>
      <c r="H20" s="112">
        <f>'[57]TABLEAU FINAL'!H26</f>
        <v>-4.8534214151237931E-3</v>
      </c>
      <c r="I20" s="240">
        <f>'[57]TABLEAU FINAL'!I26</f>
        <v>-4.8524555975655304E-3</v>
      </c>
      <c r="J20" s="241">
        <f>'[57]TABLEAU FINAL'!J26</f>
        <v>0.14188214081346895</v>
      </c>
    </row>
    <row r="21" spans="2:10" ht="15">
      <c r="B21" s="282"/>
      <c r="C21" s="283"/>
      <c r="D21" s="114">
        <f>'[57]TABLEAU FINAL'!D27</f>
        <v>2</v>
      </c>
      <c r="E21" s="232">
        <f>'[57]TABLEAU FINAL'!E27</f>
        <v>-4.9078256154961863E-3</v>
      </c>
      <c r="F21" s="117">
        <f>'[57]TABLEAU FINAL'!F27</f>
        <v>-6.7742571805473606E-4</v>
      </c>
      <c r="G21" s="117">
        <f>'[57]TABLEAU FINAL'!G27</f>
        <v>1.0418794269342335E-3</v>
      </c>
      <c r="H21" s="117">
        <f>'[57]TABLEAU FINAL'!H27</f>
        <v>-3.5775367611059483E-3</v>
      </c>
      <c r="I21" s="237">
        <f>'[57]TABLEAU FINAL'!I27</f>
        <v>-6.5190061531564814E-3</v>
      </c>
      <c r="J21" s="238">
        <f>'[57]TABLEAU FINAL'!J27</f>
        <v>1.0920524035246499</v>
      </c>
    </row>
    <row r="22" spans="2:10" ht="15.75" thickBot="1">
      <c r="B22" s="284"/>
      <c r="C22" s="341"/>
      <c r="D22" s="107" t="str">
        <f>'[57]TABLEAU FINAL'!D28</f>
        <v>3 et plus</v>
      </c>
      <c r="E22" s="233">
        <f>'[57]TABLEAU FINAL'!E28</f>
        <v>-8.8911643869792667E-2</v>
      </c>
      <c r="F22" s="147">
        <f>'[57]TABLEAU FINAL'!F28</f>
        <v>-0.11646232890241048</v>
      </c>
      <c r="G22" s="147">
        <f>'[57]TABLEAU FINAL'!G28</f>
        <v>-5.7011112884651438E-2</v>
      </c>
      <c r="H22" s="147">
        <f>'[57]TABLEAU FINAL'!H28</f>
        <v>-0.10641749732420669</v>
      </c>
      <c r="I22" s="242">
        <f>'[57]TABLEAU FINAL'!I28</f>
        <v>-7.8534078940588836E-2</v>
      </c>
      <c r="J22" s="243">
        <f>'[57]TABLEAU FINAL'!J28</f>
        <v>0.43569703050072062</v>
      </c>
    </row>
    <row r="23" spans="2:10" ht="15.75" thickBot="1">
      <c r="B23" s="141"/>
      <c r="C23" s="244"/>
      <c r="D23" s="244"/>
      <c r="E23" s="245"/>
      <c r="F23" s="245"/>
      <c r="G23" s="245"/>
      <c r="H23" s="245"/>
      <c r="I23" s="245"/>
      <c r="J23" s="246"/>
    </row>
    <row r="24" spans="2:10" ht="15.75" thickBot="1">
      <c r="B24" s="338" t="str">
        <f>'[57]TABLEAU FINAL'!B37</f>
        <v>Pension moyenne sur cycle de vie selon le quintile de pension</v>
      </c>
      <c r="C24" s="339"/>
      <c r="D24" s="339"/>
      <c r="E24" s="339"/>
      <c r="F24" s="339"/>
      <c r="G24" s="339"/>
      <c r="H24" s="339"/>
      <c r="I24" s="340"/>
      <c r="J24" s="149"/>
    </row>
    <row r="25" spans="2:10" ht="30.75" thickBot="1">
      <c r="B25" s="342"/>
      <c r="C25" s="343"/>
      <c r="D25" s="228" t="str">
        <f>'[57]TABLEAU FINAL'!D38</f>
        <v>Nombre d'enfants</v>
      </c>
      <c r="E25" s="229" t="str">
        <f>'[57]TABLEAU FINAL'!E38</f>
        <v>Q1</v>
      </c>
      <c r="F25" s="230" t="str">
        <f>'[57]TABLEAU FINAL'!F38</f>
        <v>Q2</v>
      </c>
      <c r="G25" s="230" t="str">
        <f>'[57]TABLEAU FINAL'!G38</f>
        <v>Q3</v>
      </c>
      <c r="H25" s="231" t="str">
        <f>'[57]TABLEAU FINAL'!H38</f>
        <v>Q4</v>
      </c>
      <c r="I25" s="228" t="str">
        <f>'[57]TABLEAU FINAL'!I38</f>
        <v>Q5</v>
      </c>
      <c r="J25" s="149"/>
    </row>
    <row r="26" spans="2:10" ht="15">
      <c r="B26" s="280" t="str">
        <f>'[57]TABLEAU FINAL'!B39</f>
        <v>Femmes</v>
      </c>
      <c r="C26" s="281"/>
      <c r="D26" s="102">
        <f>'[57]TABLEAU FINAL'!D39</f>
        <v>1</v>
      </c>
      <c r="E26" s="234">
        <f>'[57]TABLEAU FINAL'!E39</f>
        <v>0.14323165203899402</v>
      </c>
      <c r="F26" s="145">
        <f>'[57]TABLEAU FINAL'!F39</f>
        <v>5.8103984315512891E-2</v>
      </c>
      <c r="G26" s="145">
        <f>'[57]TABLEAU FINAL'!G39</f>
        <v>3.2153080854051552E-2</v>
      </c>
      <c r="H26" s="145">
        <f>'[57]TABLEAU FINAL'!H39</f>
        <v>-5.3628766949642692E-4</v>
      </c>
      <c r="I26" s="236">
        <f>'[57]TABLEAU FINAL'!I39</f>
        <v>-1.8866453479520984E-2</v>
      </c>
      <c r="J26" s="149"/>
    </row>
    <row r="27" spans="2:10" ht="15">
      <c r="B27" s="282"/>
      <c r="C27" s="283"/>
      <c r="D27" s="114">
        <f>'[57]TABLEAU FINAL'!D40</f>
        <v>2</v>
      </c>
      <c r="E27" s="232">
        <f>'[57]TABLEAU FINAL'!E40</f>
        <v>0.16794015457721101</v>
      </c>
      <c r="F27" s="117">
        <f>'[57]TABLEAU FINAL'!F40</f>
        <v>0.10480453428515313</v>
      </c>
      <c r="G27" s="117">
        <f>'[57]TABLEAU FINAL'!G40</f>
        <v>8.0859425945303931E-2</v>
      </c>
      <c r="H27" s="117">
        <f>'[57]TABLEAU FINAL'!H40</f>
        <v>3.773396849018118E-2</v>
      </c>
      <c r="I27" s="238">
        <f>'[57]TABLEAU FINAL'!I40</f>
        <v>1.1381772909440979E-2</v>
      </c>
      <c r="J27" s="149"/>
    </row>
    <row r="28" spans="2:10" ht="15.75" thickBot="1">
      <c r="B28" s="282"/>
      <c r="C28" s="283"/>
      <c r="D28" s="114" t="str">
        <f>'[57]TABLEAU FINAL'!D41</f>
        <v>3 et plus</v>
      </c>
      <c r="E28" s="232">
        <f>'[57]TABLEAU FINAL'!E41</f>
        <v>5.2879978399075434E-2</v>
      </c>
      <c r="F28" s="117">
        <f>'[57]TABLEAU FINAL'!F41</f>
        <v>7.3858400030303306E-2</v>
      </c>
      <c r="G28" s="117">
        <f>'[57]TABLEAU FINAL'!G41</f>
        <v>2.9784849675362546E-2</v>
      </c>
      <c r="H28" s="117">
        <f>'[57]TABLEAU FINAL'!H41</f>
        <v>6.8820839986911686E-3</v>
      </c>
      <c r="I28" s="238">
        <f>'[57]TABLEAU FINAL'!I41</f>
        <v>-4.1999683824245349E-2</v>
      </c>
      <c r="J28" s="149"/>
    </row>
    <row r="29" spans="2:10" ht="15">
      <c r="B29" s="280" t="str">
        <f>'[57]TABLEAU FINAL'!B42</f>
        <v>Hommes</v>
      </c>
      <c r="C29" s="281"/>
      <c r="D29" s="102">
        <f>'[57]TABLEAU FINAL'!D42</f>
        <v>1</v>
      </c>
      <c r="E29" s="239">
        <f>'[57]TABLEAU FINAL'!E42</f>
        <v>7.9812892434081295E-3</v>
      </c>
      <c r="F29" s="112">
        <f>'[57]TABLEAU FINAL'!F42</f>
        <v>2.0064197724087851E-3</v>
      </c>
      <c r="G29" s="112">
        <f>'[57]TABLEAU FINAL'!G42</f>
        <v>-2.6521946103951199E-3</v>
      </c>
      <c r="H29" s="112">
        <f>'[57]TABLEAU FINAL'!H42</f>
        <v>-8.0867074103954106E-3</v>
      </c>
      <c r="I29" s="241">
        <f>'[57]TABLEAU FINAL'!I42</f>
        <v>-5.6362657127414506E-3</v>
      </c>
      <c r="J29" s="149"/>
    </row>
    <row r="30" spans="2:10" ht="15">
      <c r="B30" s="282"/>
      <c r="C30" s="283"/>
      <c r="D30" s="114">
        <f>'[57]TABLEAU FINAL'!D43</f>
        <v>2</v>
      </c>
      <c r="E30" s="232">
        <f>'[57]TABLEAU FINAL'!E43</f>
        <v>1.671754241528256E-2</v>
      </c>
      <c r="F30" s="117">
        <f>'[57]TABLEAU FINAL'!F43</f>
        <v>-3.7748542296078824E-4</v>
      </c>
      <c r="G30" s="117">
        <f>'[57]TABLEAU FINAL'!G43</f>
        <v>-2.5921060573432797E-3</v>
      </c>
      <c r="H30" s="117">
        <f>'[57]TABLEAU FINAL'!H43</f>
        <v>-7.1250029141988191E-3</v>
      </c>
      <c r="I30" s="238">
        <f>'[57]TABLEAU FINAL'!I43</f>
        <v>-9.5334175773326146E-3</v>
      </c>
      <c r="J30" s="149"/>
    </row>
    <row r="31" spans="2:10" ht="15.75" thickBot="1">
      <c r="B31" s="284"/>
      <c r="C31" s="341"/>
      <c r="D31" s="107" t="str">
        <f>'[57]TABLEAU FINAL'!D44</f>
        <v>3 et plus</v>
      </c>
      <c r="E31" s="233">
        <f>'[57]TABLEAU FINAL'!E44</f>
        <v>-6.5878698044176454E-2</v>
      </c>
      <c r="F31" s="147">
        <f>'[57]TABLEAU FINAL'!F44</f>
        <v>-8.5230635643470332E-2</v>
      </c>
      <c r="G31" s="147">
        <f>'[57]TABLEAU FINAL'!G44</f>
        <v>-9.2444915904345226E-2</v>
      </c>
      <c r="H31" s="147">
        <f>'[57]TABLEAU FINAL'!H44</f>
        <v>-9.9387801205625625E-2</v>
      </c>
      <c r="I31" s="243">
        <f>'[57]TABLEAU FINAL'!I44</f>
        <v>-9.0834845392534058E-2</v>
      </c>
      <c r="J31" s="149"/>
    </row>
    <row r="33" spans="2:2">
      <c r="B33" s="177" t="s">
        <v>36</v>
      </c>
    </row>
    <row r="34" spans="2:2">
      <c r="B34" s="177" t="s">
        <v>62</v>
      </c>
    </row>
  </sheetData>
  <mergeCells count="23">
    <mergeCell ref="B26:C28"/>
    <mergeCell ref="B29:C31"/>
    <mergeCell ref="B4:C4"/>
    <mergeCell ref="B15:J15"/>
    <mergeCell ref="B16:C16"/>
    <mergeCell ref="B17:C19"/>
    <mergeCell ref="B20:C22"/>
    <mergeCell ref="B24:I24"/>
    <mergeCell ref="B25:C25"/>
    <mergeCell ref="B8:C10"/>
    <mergeCell ref="E8:F8"/>
    <mergeCell ref="E9:F9"/>
    <mergeCell ref="E10:F10"/>
    <mergeCell ref="B11:C13"/>
    <mergeCell ref="E11:F11"/>
    <mergeCell ref="E12:F12"/>
    <mergeCell ref="E13:F13"/>
    <mergeCell ref="E4:F4"/>
    <mergeCell ref="B5:C5"/>
    <mergeCell ref="E5:F5"/>
    <mergeCell ref="B6:C6"/>
    <mergeCell ref="E6:F6"/>
    <mergeCell ref="B7:F7"/>
  </mergeCells>
  <hyperlinks>
    <hyperlink ref="A2" location="SOMMAIRE!A1" display="Retour au sommaire" xr:uid="{7F1029EB-7ACB-4C2A-9C0A-1DE24E55D1B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1E8D-5307-4387-AF5C-E7838A8B84BB}">
  <sheetPr>
    <tabColor theme="4"/>
  </sheetPr>
  <dimension ref="A1:AW35"/>
  <sheetViews>
    <sheetView workbookViewId="0">
      <selection activeCell="A2" sqref="A2"/>
    </sheetView>
  </sheetViews>
  <sheetFormatPr baseColWidth="10" defaultRowHeight="14.25"/>
  <cols>
    <col min="2" max="3" width="13.25" customWidth="1"/>
    <col min="4" max="4" width="25.875" bestFit="1" customWidth="1"/>
    <col min="5" max="22" width="11.125" bestFit="1" customWidth="1"/>
    <col min="23" max="23" width="11.5" bestFit="1" customWidth="1"/>
    <col min="24" max="26" width="11.125" bestFit="1" customWidth="1"/>
    <col min="27" max="32" width="11.5" bestFit="1" customWidth="1"/>
    <col min="33" max="49" width="11.125" bestFit="1" customWidth="1"/>
  </cols>
  <sheetData>
    <row r="1" spans="1:49" ht="15.75">
      <c r="A1" s="2" t="s">
        <v>132</v>
      </c>
    </row>
    <row r="2" spans="1:49">
      <c r="A2" s="6" t="s">
        <v>2</v>
      </c>
    </row>
    <row r="3" spans="1:49" ht="15" thickBot="1"/>
    <row r="4" spans="1:49" ht="15" thickBot="1">
      <c r="B4" s="301"/>
      <c r="C4" s="344"/>
      <c r="D4" s="302"/>
      <c r="E4" s="198">
        <f>[37]Ecarts_masses!D59</f>
        <v>2026</v>
      </c>
      <c r="F4" s="199">
        <f>[37]Ecarts_masses!E59</f>
        <v>2027</v>
      </c>
      <c r="G4" s="199">
        <f>[37]Ecarts_masses!F59</f>
        <v>2028</v>
      </c>
      <c r="H4" s="199">
        <f>[37]Ecarts_masses!G59</f>
        <v>2029</v>
      </c>
      <c r="I4" s="199">
        <f>[37]Ecarts_masses!H59</f>
        <v>2030</v>
      </c>
      <c r="J4" s="199">
        <f>[37]Ecarts_masses!I59</f>
        <v>2031</v>
      </c>
      <c r="K4" s="199">
        <f>[37]Ecarts_masses!J59</f>
        <v>2032</v>
      </c>
      <c r="L4" s="199">
        <f>[37]Ecarts_masses!K59</f>
        <v>2033</v>
      </c>
      <c r="M4" s="199">
        <f>[37]Ecarts_masses!L59</f>
        <v>2034</v>
      </c>
      <c r="N4" s="199">
        <f>[37]Ecarts_masses!M59</f>
        <v>2035</v>
      </c>
      <c r="O4" s="199">
        <f>[37]Ecarts_masses!N59</f>
        <v>2036</v>
      </c>
      <c r="P4" s="199">
        <f>[37]Ecarts_masses!O59</f>
        <v>2037</v>
      </c>
      <c r="Q4" s="199">
        <f>[37]Ecarts_masses!P59</f>
        <v>2038</v>
      </c>
      <c r="R4" s="199">
        <f>[37]Ecarts_masses!Q59</f>
        <v>2039</v>
      </c>
      <c r="S4" s="199">
        <f>[37]Ecarts_masses!R59</f>
        <v>2040</v>
      </c>
      <c r="T4" s="199">
        <f>[37]Ecarts_masses!S59</f>
        <v>2041</v>
      </c>
      <c r="U4" s="199">
        <f>[37]Ecarts_masses!T59</f>
        <v>2042</v>
      </c>
      <c r="V4" s="199">
        <f>[37]Ecarts_masses!U59</f>
        <v>2043</v>
      </c>
      <c r="W4" s="199">
        <f>[37]Ecarts_masses!V59</f>
        <v>2044</v>
      </c>
      <c r="X4" s="199">
        <f>[37]Ecarts_masses!W59</f>
        <v>2045</v>
      </c>
      <c r="Y4" s="199">
        <f>[37]Ecarts_masses!X59</f>
        <v>2046</v>
      </c>
      <c r="Z4" s="199">
        <f>[37]Ecarts_masses!Y59</f>
        <v>2047</v>
      </c>
      <c r="AA4" s="199">
        <f>[37]Ecarts_masses!Z59</f>
        <v>2048</v>
      </c>
      <c r="AB4" s="199">
        <f>[37]Ecarts_masses!AA59</f>
        <v>2049</v>
      </c>
      <c r="AC4" s="199">
        <f>[37]Ecarts_masses!AB59</f>
        <v>2050</v>
      </c>
      <c r="AD4" s="199">
        <f>[37]Ecarts_masses!AC59</f>
        <v>2051</v>
      </c>
      <c r="AE4" s="199">
        <f>[37]Ecarts_masses!AD59</f>
        <v>2052</v>
      </c>
      <c r="AF4" s="199">
        <f>[37]Ecarts_masses!AE59</f>
        <v>2053</v>
      </c>
      <c r="AG4" s="199">
        <f>[37]Ecarts_masses!AF59</f>
        <v>2054</v>
      </c>
      <c r="AH4" s="199">
        <f>[37]Ecarts_masses!AG59</f>
        <v>2055</v>
      </c>
      <c r="AI4" s="199">
        <f>[37]Ecarts_masses!AH59</f>
        <v>2056</v>
      </c>
      <c r="AJ4" s="199">
        <f>[37]Ecarts_masses!AI59</f>
        <v>2057</v>
      </c>
      <c r="AK4" s="199">
        <f>[37]Ecarts_masses!AJ59</f>
        <v>2058</v>
      </c>
      <c r="AL4" s="199">
        <f>[37]Ecarts_masses!AK59</f>
        <v>2059</v>
      </c>
      <c r="AM4" s="199">
        <f>[37]Ecarts_masses!AL59</f>
        <v>2060</v>
      </c>
      <c r="AN4" s="199">
        <f>[37]Ecarts_masses!AM59</f>
        <v>2061</v>
      </c>
      <c r="AO4" s="199">
        <f>[37]Ecarts_masses!AN59</f>
        <v>2062</v>
      </c>
      <c r="AP4" s="199">
        <f>[37]Ecarts_masses!AO59</f>
        <v>2063</v>
      </c>
      <c r="AQ4" s="199">
        <f>[37]Ecarts_masses!AP59</f>
        <v>2064</v>
      </c>
      <c r="AR4" s="199">
        <f>[37]Ecarts_masses!AQ59</f>
        <v>2065</v>
      </c>
      <c r="AS4" s="199">
        <f>[37]Ecarts_masses!AR59</f>
        <v>2066</v>
      </c>
      <c r="AT4" s="199">
        <f>[37]Ecarts_masses!AS59</f>
        <v>2067</v>
      </c>
      <c r="AU4" s="199">
        <f>[37]Ecarts_masses!AT59</f>
        <v>2068</v>
      </c>
      <c r="AV4" s="199">
        <f>[37]Ecarts_masses!AU59</f>
        <v>2069</v>
      </c>
      <c r="AW4" s="200">
        <f>[37]Ecarts_masses!AV59</f>
        <v>2070</v>
      </c>
    </row>
    <row r="5" spans="1:49" ht="14.25" customHeight="1">
      <c r="B5" s="298" t="s">
        <v>51</v>
      </c>
      <c r="C5" s="298" t="s">
        <v>57</v>
      </c>
      <c r="D5" s="201" t="s">
        <v>6</v>
      </c>
      <c r="E5" s="204">
        <f>[50]Ecarts_masses_tousrégimes!D54</f>
        <v>2.9453086623720814E-4</v>
      </c>
      <c r="F5" s="205">
        <f>[50]Ecarts_masses_tousrégimes!E54</f>
        <v>7.1641215525919399E-4</v>
      </c>
      <c r="G5" s="205">
        <f>[50]Ecarts_masses_tousrégimes!F54</f>
        <v>1.0522665203236414E-3</v>
      </c>
      <c r="H5" s="205">
        <f>[50]Ecarts_masses_tousrégimes!G54</f>
        <v>1.3579356695725409E-3</v>
      </c>
      <c r="I5" s="205">
        <f>[50]Ecarts_masses_tousrégimes!H54</f>
        <v>1.6408878344535971E-3</v>
      </c>
      <c r="J5" s="205">
        <f>[50]Ecarts_masses_tousrégimes!I54</f>
        <v>1.9314526712090885E-3</v>
      </c>
      <c r="K5" s="205">
        <f>[50]Ecarts_masses_tousrégimes!J54</f>
        <v>2.2537147044232597E-3</v>
      </c>
      <c r="L5" s="205">
        <f>[50]Ecarts_masses_tousrégimes!K54</f>
        <v>2.6363202146952869E-3</v>
      </c>
      <c r="M5" s="205">
        <f>[50]Ecarts_masses_tousrégimes!L54</f>
        <v>3.0282794542915159E-3</v>
      </c>
      <c r="N5" s="205">
        <f>[50]Ecarts_masses_tousrégimes!M54</f>
        <v>3.44481408728603E-3</v>
      </c>
      <c r="O5" s="205">
        <f>[50]Ecarts_masses_tousrégimes!N54</f>
        <v>3.8545302360044609E-3</v>
      </c>
      <c r="P5" s="205">
        <f>[50]Ecarts_masses_tousrégimes!O54</f>
        <v>4.2762371623903395E-3</v>
      </c>
      <c r="Q5" s="205">
        <f>[50]Ecarts_masses_tousrégimes!P54</f>
        <v>4.6826413909839548E-3</v>
      </c>
      <c r="R5" s="205">
        <f>[50]Ecarts_masses_tousrégimes!Q54</f>
        <v>5.0810859025618438E-3</v>
      </c>
      <c r="S5" s="205">
        <f>[50]Ecarts_masses_tousrégimes!R54</f>
        <v>5.4794256428152277E-3</v>
      </c>
      <c r="T5" s="205">
        <f>[50]Ecarts_masses_tousrégimes!S54</f>
        <v>5.9028449499543001E-3</v>
      </c>
      <c r="U5" s="205">
        <f>[50]Ecarts_masses_tousrégimes!T54</f>
        <v>6.3161358607064511E-3</v>
      </c>
      <c r="V5" s="205">
        <f>[50]Ecarts_masses_tousrégimes!U54</f>
        <v>6.726243752226635E-3</v>
      </c>
      <c r="W5" s="205">
        <f>[50]Ecarts_masses_tousrégimes!V54</f>
        <v>7.1494151162510011E-3</v>
      </c>
      <c r="X5" s="205">
        <f>[50]Ecarts_masses_tousrégimes!W54</f>
        <v>7.5958697128453156E-3</v>
      </c>
      <c r="Y5" s="205">
        <f>[50]Ecarts_masses_tousrégimes!X54</f>
        <v>8.024307481099946E-3</v>
      </c>
      <c r="Z5" s="205">
        <f>[50]Ecarts_masses_tousrégimes!Y54</f>
        <v>8.4400454478947839E-3</v>
      </c>
      <c r="AA5" s="205">
        <f>[50]Ecarts_masses_tousrégimes!Z54</f>
        <v>8.8503615802868474E-3</v>
      </c>
      <c r="AB5" s="205">
        <f>[50]Ecarts_masses_tousrégimes!AA54</f>
        <v>9.2333371463622083E-3</v>
      </c>
      <c r="AC5" s="205">
        <f>[50]Ecarts_masses_tousrégimes!AB54</f>
        <v>9.658739449763809E-3</v>
      </c>
      <c r="AD5" s="205">
        <f>[50]Ecarts_masses_tousrégimes!AC54</f>
        <v>9.9819482823417793E-3</v>
      </c>
      <c r="AE5" s="205">
        <f>[50]Ecarts_masses_tousrégimes!AD54</f>
        <v>1.0356594772545691E-2</v>
      </c>
      <c r="AF5" s="205">
        <f>[50]Ecarts_masses_tousrégimes!AE54</f>
        <v>1.0673878196107323E-2</v>
      </c>
      <c r="AG5" s="205">
        <f>[50]Ecarts_masses_tousrégimes!AF54</f>
        <v>1.0950789629963431E-2</v>
      </c>
      <c r="AH5" s="205">
        <f>[50]Ecarts_masses_tousrégimes!AG54</f>
        <v>1.1186868529502236E-2</v>
      </c>
      <c r="AI5" s="205">
        <f>[50]Ecarts_masses_tousrégimes!AH54</f>
        <v>1.1390537348213492E-2</v>
      </c>
      <c r="AJ5" s="205">
        <f>[50]Ecarts_masses_tousrégimes!AI54</f>
        <v>1.1609475104742639E-2</v>
      </c>
      <c r="AK5" s="205">
        <f>[50]Ecarts_masses_tousrégimes!AJ54</f>
        <v>1.1803152336550715E-2</v>
      </c>
      <c r="AL5" s="205">
        <f>[50]Ecarts_masses_tousrégimes!AK54</f>
        <v>1.1964239072812077E-2</v>
      </c>
      <c r="AM5" s="205">
        <f>[50]Ecarts_masses_tousrégimes!AL54</f>
        <v>1.2021217249099436E-2</v>
      </c>
      <c r="AN5" s="205">
        <f>[50]Ecarts_masses_tousrégimes!AM54</f>
        <v>1.2052471331564396E-2</v>
      </c>
      <c r="AO5" s="205">
        <f>[50]Ecarts_masses_tousrégimes!AN54</f>
        <v>1.2145252736107004E-2</v>
      </c>
      <c r="AP5" s="205">
        <f>[50]Ecarts_masses_tousrégimes!AO54</f>
        <v>1.2206818077189485E-2</v>
      </c>
      <c r="AQ5" s="205">
        <f>[50]Ecarts_masses_tousrégimes!AP54</f>
        <v>1.2274070571315354E-2</v>
      </c>
      <c r="AR5" s="205">
        <f>[50]Ecarts_masses_tousrégimes!AQ54</f>
        <v>1.2225449860686632E-2</v>
      </c>
      <c r="AS5" s="205">
        <f>[50]Ecarts_masses_tousrégimes!AR54</f>
        <v>1.2288809939376089E-2</v>
      </c>
      <c r="AT5" s="205">
        <f>[50]Ecarts_masses_tousrégimes!AS54</f>
        <v>1.2345152268449899E-2</v>
      </c>
      <c r="AU5" s="205">
        <f>[50]Ecarts_masses_tousrégimes!AT54</f>
        <v>1.2391825570219561E-2</v>
      </c>
      <c r="AV5" s="205">
        <f>[50]Ecarts_masses_tousrégimes!AU54</f>
        <v>1.2522506078524787E-2</v>
      </c>
      <c r="AW5" s="206">
        <f>[50]Ecarts_masses_tousrégimes!AV54</f>
        <v>1.2628090832498495E-2</v>
      </c>
    </row>
    <row r="6" spans="1:49">
      <c r="B6" s="299"/>
      <c r="C6" s="299"/>
      <c r="D6" s="202" t="s">
        <v>53</v>
      </c>
      <c r="E6" s="207">
        <f>[50]Ecarts_masses_tousrégimes!D55</f>
        <v>4.5100197918501728E-4</v>
      </c>
      <c r="F6" s="196">
        <f>[50]Ecarts_masses_tousrégimes!E55</f>
        <v>1.0444785481553698E-3</v>
      </c>
      <c r="G6" s="196">
        <f>[50]Ecarts_masses_tousrégimes!F55</f>
        <v>1.4779407856209126E-3</v>
      </c>
      <c r="H6" s="196">
        <f>[50]Ecarts_masses_tousrégimes!G55</f>
        <v>1.8644973916532859E-3</v>
      </c>
      <c r="I6" s="196">
        <f>[50]Ecarts_masses_tousrégimes!H55</f>
        <v>2.2063905729299282E-3</v>
      </c>
      <c r="J6" s="196">
        <f>[50]Ecarts_masses_tousrégimes!I55</f>
        <v>2.5396746214843002E-3</v>
      </c>
      <c r="K6" s="196">
        <f>[50]Ecarts_masses_tousrégimes!J55</f>
        <v>2.9031327563282527E-3</v>
      </c>
      <c r="L6" s="196">
        <f>[50]Ecarts_masses_tousrégimes!K55</f>
        <v>3.3182312831554484E-3</v>
      </c>
      <c r="M6" s="196">
        <f>[50]Ecarts_masses_tousrégimes!L55</f>
        <v>3.7338602424479284E-3</v>
      </c>
      <c r="N6" s="196">
        <f>[50]Ecarts_masses_tousrégimes!M55</f>
        <v>4.1837070866468373E-3</v>
      </c>
      <c r="O6" s="196">
        <f>[50]Ecarts_masses_tousrégimes!N55</f>
        <v>4.6147074672959754E-3</v>
      </c>
      <c r="P6" s="196">
        <f>[50]Ecarts_masses_tousrégimes!O55</f>
        <v>5.0481993369910771E-3</v>
      </c>
      <c r="Q6" s="196">
        <f>[50]Ecarts_masses_tousrégimes!P55</f>
        <v>5.4699654101983963E-3</v>
      </c>
      <c r="R6" s="196">
        <f>[50]Ecarts_masses_tousrégimes!Q55</f>
        <v>5.8787925253565021E-3</v>
      </c>
      <c r="S6" s="196">
        <f>[50]Ecarts_masses_tousrégimes!R55</f>
        <v>6.2827366555315844E-3</v>
      </c>
      <c r="T6" s="196">
        <f>[50]Ecarts_masses_tousrégimes!S55</f>
        <v>6.7097560071918139E-3</v>
      </c>
      <c r="U6" s="196">
        <f>[50]Ecarts_masses_tousrégimes!T55</f>
        <v>7.1200267500362013E-3</v>
      </c>
      <c r="V6" s="196">
        <f>[50]Ecarts_masses_tousrégimes!U55</f>
        <v>7.5437713405368534E-3</v>
      </c>
      <c r="W6" s="196">
        <f>[50]Ecarts_masses_tousrégimes!V55</f>
        <v>7.9598165398915288E-3</v>
      </c>
      <c r="X6" s="196">
        <f>[50]Ecarts_masses_tousrégimes!W55</f>
        <v>8.4013053373914737E-3</v>
      </c>
      <c r="Y6" s="196">
        <f>[50]Ecarts_masses_tousrégimes!X55</f>
        <v>8.8051318892432562E-3</v>
      </c>
      <c r="Z6" s="196">
        <f>[50]Ecarts_masses_tousrégimes!Y55</f>
        <v>9.1979740057646087E-3</v>
      </c>
      <c r="AA6" s="196">
        <f>[50]Ecarts_masses_tousrégimes!Z55</f>
        <v>9.5797513977355919E-3</v>
      </c>
      <c r="AB6" s="196">
        <f>[50]Ecarts_masses_tousrégimes!AA55</f>
        <v>9.9125152200465472E-3</v>
      </c>
      <c r="AC6" s="196">
        <f>[50]Ecarts_masses_tousrégimes!AB55</f>
        <v>1.0278812886084676E-2</v>
      </c>
      <c r="AD6" s="196">
        <f>[50]Ecarts_masses_tousrégimes!AC55</f>
        <v>1.0516145518955744E-2</v>
      </c>
      <c r="AE6" s="196">
        <f>[50]Ecarts_masses_tousrégimes!AD55</f>
        <v>1.0792986655425052E-2</v>
      </c>
      <c r="AF6" s="196">
        <f>[50]Ecarts_masses_tousrégimes!AE55</f>
        <v>1.0969236808048954E-2</v>
      </c>
      <c r="AG6" s="196">
        <f>[50]Ecarts_masses_tousrégimes!AF55</f>
        <v>1.109625355828614E-2</v>
      </c>
      <c r="AH6" s="196">
        <f>[50]Ecarts_masses_tousrégimes!AG55</f>
        <v>1.1178277632401645E-2</v>
      </c>
      <c r="AI6" s="196">
        <f>[50]Ecarts_masses_tousrégimes!AH55</f>
        <v>1.1182482244308289E-2</v>
      </c>
      <c r="AJ6" s="196">
        <f>[50]Ecarts_masses_tousrégimes!AI55</f>
        <v>1.1132359622171739E-2</v>
      </c>
      <c r="AK6" s="196">
        <f>[50]Ecarts_masses_tousrégimes!AJ55</f>
        <v>1.1040228175761557E-2</v>
      </c>
      <c r="AL6" s="196">
        <f>[50]Ecarts_masses_tousrégimes!AK55</f>
        <v>1.089477529340388E-2</v>
      </c>
      <c r="AM6" s="196">
        <f>[50]Ecarts_masses_tousrégimes!AL55</f>
        <v>1.0599180696496235E-2</v>
      </c>
      <c r="AN6" s="196">
        <f>[50]Ecarts_masses_tousrégimes!AM55</f>
        <v>1.0252018113900307E-2</v>
      </c>
      <c r="AO6" s="196">
        <f>[50]Ecarts_masses_tousrégimes!AN55</f>
        <v>9.9262226147747157E-3</v>
      </c>
      <c r="AP6" s="196">
        <f>[50]Ecarts_masses_tousrégimes!AO55</f>
        <v>9.5580914841228992E-3</v>
      </c>
      <c r="AQ6" s="196">
        <f>[50]Ecarts_masses_tousrégimes!AP55</f>
        <v>9.1758668338415283E-3</v>
      </c>
      <c r="AR6" s="196">
        <f>[50]Ecarts_masses_tousrégimes!AQ55</f>
        <v>8.5819911177731356E-3</v>
      </c>
      <c r="AS6" s="196">
        <f>[50]Ecarts_masses_tousrégimes!AR55</f>
        <v>8.1652166827084205E-3</v>
      </c>
      <c r="AT6" s="196">
        <f>[50]Ecarts_masses_tousrégimes!AS55</f>
        <v>7.7290288224272086E-3</v>
      </c>
      <c r="AU6" s="196">
        <f>[50]Ecarts_masses_tousrégimes!AT55</f>
        <v>7.3040459757958143E-3</v>
      </c>
      <c r="AV6" s="196">
        <f>[50]Ecarts_masses_tousrégimes!AU55</f>
        <v>6.9507069254177711E-3</v>
      </c>
      <c r="AW6" s="208">
        <f>[50]Ecarts_masses_tousrégimes!AV55</f>
        <v>6.5773442163965523E-3</v>
      </c>
    </row>
    <row r="7" spans="1:49">
      <c r="B7" s="299"/>
      <c r="C7" s="299"/>
      <c r="D7" s="202" t="s">
        <v>3</v>
      </c>
      <c r="E7" s="207">
        <f>[50]Ecarts_masses_tousrégimes!D56</f>
        <v>2.0351557095388273E-4</v>
      </c>
      <c r="F7" s="196">
        <f>[50]Ecarts_masses_tousrégimes!E56</f>
        <v>5.3408619809514057E-4</v>
      </c>
      <c r="G7" s="196">
        <f>[50]Ecarts_masses_tousrégimes!F56</f>
        <v>8.3776499954302253E-4</v>
      </c>
      <c r="H7" s="196">
        <f>[50]Ecarts_masses_tousrégimes!G56</f>
        <v>1.1345156786821686E-3</v>
      </c>
      <c r="I7" s="196">
        <f>[50]Ecarts_masses_tousrégimes!H56</f>
        <v>1.4083814726770782E-3</v>
      </c>
      <c r="J7" s="196">
        <f>[50]Ecarts_masses_tousrégimes!I56</f>
        <v>1.6720894939896702E-3</v>
      </c>
      <c r="K7" s="196">
        <f>[50]Ecarts_masses_tousrégimes!J56</f>
        <v>1.9744563379793245E-3</v>
      </c>
      <c r="L7" s="196">
        <f>[50]Ecarts_masses_tousrégimes!K56</f>
        <v>2.3669899239784353E-3</v>
      </c>
      <c r="M7" s="196">
        <f>[50]Ecarts_masses_tousrégimes!L56</f>
        <v>2.7720602977838738E-3</v>
      </c>
      <c r="N7" s="196">
        <f>[50]Ecarts_masses_tousrégimes!M56</f>
        <v>3.217874905354412E-3</v>
      </c>
      <c r="O7" s="196">
        <f>[50]Ecarts_masses_tousrégimes!N56</f>
        <v>3.6672980146281731E-3</v>
      </c>
      <c r="P7" s="196">
        <f>[50]Ecarts_masses_tousrégimes!O56</f>
        <v>4.1231201971296816E-3</v>
      </c>
      <c r="Q7" s="196">
        <f>[50]Ecarts_masses_tousrégimes!P56</f>
        <v>4.5535284478579463E-3</v>
      </c>
      <c r="R7" s="196">
        <f>[50]Ecarts_masses_tousrégimes!Q56</f>
        <v>4.9718227666377679E-3</v>
      </c>
      <c r="S7" s="196">
        <f>[50]Ecarts_masses_tousrégimes!R56</f>
        <v>5.3841194605002141E-3</v>
      </c>
      <c r="T7" s="196">
        <f>[50]Ecarts_masses_tousrégimes!S56</f>
        <v>5.834532009832305E-3</v>
      </c>
      <c r="U7" s="196">
        <f>[50]Ecarts_masses_tousrégimes!T56</f>
        <v>6.2652028038687746E-3</v>
      </c>
      <c r="V7" s="196">
        <f>[50]Ecarts_masses_tousrégimes!U56</f>
        <v>6.6918550490038253E-3</v>
      </c>
      <c r="W7" s="196">
        <f>[50]Ecarts_masses_tousrégimes!V56</f>
        <v>7.1320188356149838E-3</v>
      </c>
      <c r="X7" s="196">
        <f>[50]Ecarts_masses_tousrégimes!W56</f>
        <v>7.5951845125572515E-3</v>
      </c>
      <c r="Y7" s="196">
        <f>[50]Ecarts_masses_tousrégimes!X56</f>
        <v>8.0519526571325439E-3</v>
      </c>
      <c r="Z7" s="196">
        <f>[50]Ecarts_masses_tousrégimes!Y56</f>
        <v>8.4406319439973565E-3</v>
      </c>
      <c r="AA7" s="196">
        <f>[50]Ecarts_masses_tousrégimes!Z56</f>
        <v>8.8468018748733002E-3</v>
      </c>
      <c r="AB7" s="196">
        <f>[50]Ecarts_masses_tousrégimes!AA56</f>
        <v>9.2129878886137995E-3</v>
      </c>
      <c r="AC7" s="196">
        <f>[50]Ecarts_masses_tousrégimes!AB56</f>
        <v>9.6118164922589511E-3</v>
      </c>
      <c r="AD7" s="196">
        <f>[50]Ecarts_masses_tousrégimes!AC56</f>
        <v>9.8838186306680065E-3</v>
      </c>
      <c r="AE7" s="196">
        <f>[50]Ecarts_masses_tousrégimes!AD56</f>
        <v>1.0221846516566213E-2</v>
      </c>
      <c r="AF7" s="196">
        <f>[50]Ecarts_masses_tousrégimes!AE56</f>
        <v>1.052905472086807E-2</v>
      </c>
      <c r="AG7" s="196">
        <f>[50]Ecarts_masses_tousrégimes!AF56</f>
        <v>1.0771712668131483E-2</v>
      </c>
      <c r="AH7" s="196">
        <f>[50]Ecarts_masses_tousrégimes!AG56</f>
        <v>1.1060601163771056E-2</v>
      </c>
      <c r="AI7" s="196">
        <f>[50]Ecarts_masses_tousrégimes!AH56</f>
        <v>1.1248527991805757E-2</v>
      </c>
      <c r="AJ7" s="196">
        <f>[50]Ecarts_masses_tousrégimes!AI56</f>
        <v>1.1505341623325505E-2</v>
      </c>
      <c r="AK7" s="196">
        <f>[50]Ecarts_masses_tousrégimes!AJ56</f>
        <v>1.1791026462509402E-2</v>
      </c>
      <c r="AL7" s="196">
        <f>[50]Ecarts_masses_tousrégimes!AK56</f>
        <v>1.205579746816654E-2</v>
      </c>
      <c r="AM7" s="196">
        <f>[50]Ecarts_masses_tousrégimes!AL56</f>
        <v>1.221822707384157E-2</v>
      </c>
      <c r="AN7" s="196">
        <f>[50]Ecarts_masses_tousrégimes!AM56</f>
        <v>1.2455623121236048E-2</v>
      </c>
      <c r="AO7" s="196">
        <f>[50]Ecarts_masses_tousrégimes!AN56</f>
        <v>1.2774077740029366E-2</v>
      </c>
      <c r="AP7" s="196">
        <f>[50]Ecarts_masses_tousrégimes!AO56</f>
        <v>1.3056981857738847E-2</v>
      </c>
      <c r="AQ7" s="196">
        <f>[50]Ecarts_masses_tousrégimes!AP56</f>
        <v>1.3368579448053808E-2</v>
      </c>
      <c r="AR7" s="196">
        <f>[50]Ecarts_masses_tousrégimes!AQ56</f>
        <v>1.3615340397955311E-2</v>
      </c>
      <c r="AS7" s="196">
        <f>[50]Ecarts_masses_tousrégimes!AR56</f>
        <v>1.4016756363236293E-2</v>
      </c>
      <c r="AT7" s="196">
        <f>[50]Ecarts_masses_tousrégimes!AS56</f>
        <v>1.4306694050651547E-2</v>
      </c>
      <c r="AU7" s="196">
        <f>[50]Ecarts_masses_tousrégimes!AT56</f>
        <v>1.4630787568182368E-2</v>
      </c>
      <c r="AV7" s="196">
        <f>[50]Ecarts_masses_tousrégimes!AU56</f>
        <v>1.5063097159251804E-2</v>
      </c>
      <c r="AW7" s="208">
        <f>[50]Ecarts_masses_tousrégimes!AV56</f>
        <v>1.5577385080028483E-2</v>
      </c>
    </row>
    <row r="8" spans="1:49">
      <c r="B8" s="299"/>
      <c r="C8" s="299"/>
      <c r="D8" s="202" t="s">
        <v>38</v>
      </c>
      <c r="E8" s="207">
        <f>[50]Ecarts_masses_tousrégimes!D57</f>
        <v>2.9302361657457254E-4</v>
      </c>
      <c r="F8" s="196">
        <f>[50]Ecarts_masses_tousrégimes!E57</f>
        <v>7.0199128712333803E-4</v>
      </c>
      <c r="G8" s="196">
        <f>[50]Ecarts_masses_tousrégimes!F57</f>
        <v>9.9300854409634098E-4</v>
      </c>
      <c r="H8" s="196">
        <f>[50]Ecarts_masses_tousrégimes!G57</f>
        <v>1.2050902058544644E-3</v>
      </c>
      <c r="I8" s="196">
        <f>[50]Ecarts_masses_tousrégimes!H57</f>
        <v>1.5382840227875505E-3</v>
      </c>
      <c r="J8" s="196">
        <f>[50]Ecarts_masses_tousrégimes!I57</f>
        <v>1.9328486616108087E-3</v>
      </c>
      <c r="K8" s="196">
        <f>[50]Ecarts_masses_tousrégimes!J57</f>
        <v>2.3062599645369275E-3</v>
      </c>
      <c r="L8" s="196">
        <f>[50]Ecarts_masses_tousrégimes!K57</f>
        <v>2.7589995334809103E-3</v>
      </c>
      <c r="M8" s="196">
        <f>[50]Ecarts_masses_tousrégimes!L57</f>
        <v>3.2189033016150059E-3</v>
      </c>
      <c r="N8" s="196">
        <f>[50]Ecarts_masses_tousrégimes!M57</f>
        <v>3.7164056325726946E-3</v>
      </c>
      <c r="O8" s="196">
        <f>[50]Ecarts_masses_tousrégimes!N57</f>
        <v>4.3291922055048726E-3</v>
      </c>
      <c r="P8" s="196">
        <f>[50]Ecarts_masses_tousrégimes!O57</f>
        <v>4.9375514639105056E-3</v>
      </c>
      <c r="Q8" s="196">
        <f>[50]Ecarts_masses_tousrégimes!P57</f>
        <v>5.5597808419063366E-3</v>
      </c>
      <c r="R8" s="196">
        <f>[50]Ecarts_masses_tousrégimes!Q57</f>
        <v>6.1033556868670402E-3</v>
      </c>
      <c r="S8" s="196">
        <f>[50]Ecarts_masses_tousrégimes!R57</f>
        <v>6.6278815428593152E-3</v>
      </c>
      <c r="T8" s="196">
        <f>[50]Ecarts_masses_tousrégimes!S57</f>
        <v>7.1380690970745952E-3</v>
      </c>
      <c r="U8" s="196">
        <f>[50]Ecarts_masses_tousrégimes!T57</f>
        <v>7.8665550512793114E-3</v>
      </c>
      <c r="V8" s="196">
        <f>[50]Ecarts_masses_tousrégimes!U57</f>
        <v>8.5051142558560944E-3</v>
      </c>
      <c r="W8" s="196">
        <f>[50]Ecarts_masses_tousrégimes!V57</f>
        <v>9.0484114159821161E-3</v>
      </c>
      <c r="X8" s="196">
        <f>[50]Ecarts_masses_tousrégimes!W57</f>
        <v>9.5118107038645316E-3</v>
      </c>
      <c r="Y8" s="196">
        <f>[50]Ecarts_masses_tousrégimes!X57</f>
        <v>1.016477406778038E-2</v>
      </c>
      <c r="Z8" s="196">
        <f>[50]Ecarts_masses_tousrégimes!Y57</f>
        <v>1.0766779962525064E-2</v>
      </c>
      <c r="AA8" s="196">
        <f>[50]Ecarts_masses_tousrégimes!Z57</f>
        <v>1.1548145063609683E-2</v>
      </c>
      <c r="AB8" s="196">
        <f>[50]Ecarts_masses_tousrégimes!AA57</f>
        <v>1.2066290426509418E-2</v>
      </c>
      <c r="AC8" s="196">
        <f>[50]Ecarts_masses_tousrégimes!AB57</f>
        <v>1.2627342909538486E-2</v>
      </c>
      <c r="AD8" s="196">
        <f>[50]Ecarts_masses_tousrégimes!AC57</f>
        <v>1.2977770921426934E-2</v>
      </c>
      <c r="AE8" s="196">
        <f>[50]Ecarts_masses_tousrégimes!AD57</f>
        <v>1.3427956296115928E-2</v>
      </c>
      <c r="AF8" s="196">
        <f>[50]Ecarts_masses_tousrégimes!AE57</f>
        <v>1.3889262355163634E-2</v>
      </c>
      <c r="AG8" s="196">
        <f>[50]Ecarts_masses_tousrégimes!AF57</f>
        <v>1.4240342147904927E-2</v>
      </c>
      <c r="AH8" s="196">
        <f>[50]Ecarts_masses_tousrégimes!AG57</f>
        <v>1.4570151204662318E-2</v>
      </c>
      <c r="AI8" s="196">
        <f>[50]Ecarts_masses_tousrégimes!AH57</f>
        <v>1.4668213772430327E-2</v>
      </c>
      <c r="AJ8" s="196">
        <f>[50]Ecarts_masses_tousrégimes!AI57</f>
        <v>1.5017053349120957E-2</v>
      </c>
      <c r="AK8" s="196">
        <f>[50]Ecarts_masses_tousrégimes!AJ57</f>
        <v>1.5165747101682836E-2</v>
      </c>
      <c r="AL8" s="196">
        <f>[50]Ecarts_masses_tousrégimes!AK57</f>
        <v>1.5556442390003422E-2</v>
      </c>
      <c r="AM8" s="196">
        <f>[50]Ecarts_masses_tousrégimes!AL57</f>
        <v>1.5161791244488354E-2</v>
      </c>
      <c r="AN8" s="196">
        <f>[50]Ecarts_masses_tousrégimes!AM57</f>
        <v>1.4966692098579593E-2</v>
      </c>
      <c r="AO8" s="196">
        <f>[50]Ecarts_masses_tousrégimes!AN57</f>
        <v>1.5179231348952715E-2</v>
      </c>
      <c r="AP8" s="196">
        <f>[50]Ecarts_masses_tousrégimes!AO57</f>
        <v>1.507759399644315E-2</v>
      </c>
      <c r="AQ8" s="196">
        <f>[50]Ecarts_masses_tousrégimes!AP57</f>
        <v>1.5396733916766436E-2</v>
      </c>
      <c r="AR8" s="196">
        <f>[50]Ecarts_masses_tousrégimes!AQ57</f>
        <v>1.5173623034227868E-2</v>
      </c>
      <c r="AS8" s="196">
        <f>[50]Ecarts_masses_tousrégimes!AR57</f>
        <v>1.5161939391516777E-2</v>
      </c>
      <c r="AT8" s="196">
        <f>[50]Ecarts_masses_tousrégimes!AS57</f>
        <v>1.5142365456710438E-2</v>
      </c>
      <c r="AU8" s="196">
        <f>[50]Ecarts_masses_tousrégimes!AT57</f>
        <v>1.5192477711553076E-2</v>
      </c>
      <c r="AV8" s="196">
        <f>[50]Ecarts_masses_tousrégimes!AU57</f>
        <v>1.5040297141494241E-2</v>
      </c>
      <c r="AW8" s="208">
        <f>[50]Ecarts_masses_tousrégimes!AV57</f>
        <v>1.5301448105483839E-2</v>
      </c>
    </row>
    <row r="9" spans="1:49">
      <c r="B9" s="299"/>
      <c r="C9" s="299"/>
      <c r="D9" s="202" t="s">
        <v>52</v>
      </c>
      <c r="E9" s="207">
        <f>[50]Ecarts_masses_tousrégimes!D58</f>
        <v>5.2283901032113E-4</v>
      </c>
      <c r="F9" s="196">
        <f>[50]Ecarts_masses_tousrégimes!E58</f>
        <v>1.5317797677882883E-3</v>
      </c>
      <c r="G9" s="196">
        <f>[50]Ecarts_masses_tousrégimes!F58</f>
        <v>2.6357345379608432E-3</v>
      </c>
      <c r="H9" s="196">
        <f>[50]Ecarts_masses_tousrégimes!G58</f>
        <v>3.6754556708151753E-3</v>
      </c>
      <c r="I9" s="196">
        <f>[50]Ecarts_masses_tousrégimes!H58</f>
        <v>4.7116330760841318E-3</v>
      </c>
      <c r="J9" s="196">
        <f>[50]Ecarts_masses_tousrégimes!I58</f>
        <v>5.7464183330564467E-3</v>
      </c>
      <c r="K9" s="196">
        <f>[50]Ecarts_masses_tousrégimes!J58</f>
        <v>6.7420159911597555E-3</v>
      </c>
      <c r="L9" s="196">
        <f>[50]Ecarts_masses_tousrégimes!K58</f>
        <v>7.8547973589069287E-3</v>
      </c>
      <c r="M9" s="196">
        <f>[50]Ecarts_masses_tousrégimes!L58</f>
        <v>8.8948253677059164E-3</v>
      </c>
      <c r="N9" s="196">
        <f>[50]Ecarts_masses_tousrégimes!M58</f>
        <v>9.9417114366857628E-3</v>
      </c>
      <c r="O9" s="196">
        <f>[50]Ecarts_masses_tousrégimes!N58</f>
        <v>1.0920038271048149E-2</v>
      </c>
      <c r="P9" s="196">
        <f>[50]Ecarts_masses_tousrégimes!O58</f>
        <v>1.188692344256026E-2</v>
      </c>
      <c r="Q9" s="196">
        <f>[50]Ecarts_masses_tousrégimes!P58</f>
        <v>1.2820000023422207E-2</v>
      </c>
      <c r="R9" s="196">
        <f>[50]Ecarts_masses_tousrégimes!Q58</f>
        <v>1.3693426079608439E-2</v>
      </c>
      <c r="S9" s="196">
        <f>[50]Ecarts_masses_tousrégimes!R58</f>
        <v>1.4391602718899499E-2</v>
      </c>
      <c r="T9" s="196">
        <f>[50]Ecarts_masses_tousrégimes!S58</f>
        <v>1.5035637197988061E-2</v>
      </c>
      <c r="U9" s="196">
        <f>[50]Ecarts_masses_tousrégimes!T58</f>
        <v>1.5669608725711992E-2</v>
      </c>
      <c r="V9" s="196">
        <f>[50]Ecarts_masses_tousrégimes!U58</f>
        <v>1.6371165606305693E-2</v>
      </c>
      <c r="W9" s="196">
        <f>[50]Ecarts_masses_tousrégimes!V58</f>
        <v>1.6999426185773325E-2</v>
      </c>
      <c r="X9" s="196">
        <f>[50]Ecarts_masses_tousrégimes!W58</f>
        <v>1.763552522896128E-2</v>
      </c>
      <c r="Y9" s="196">
        <f>[50]Ecarts_masses_tousrégimes!X58</f>
        <v>1.8177137509273855E-2</v>
      </c>
      <c r="Z9" s="196">
        <f>[50]Ecarts_masses_tousrégimes!Y58</f>
        <v>1.8718408947040022E-2</v>
      </c>
      <c r="AA9" s="196">
        <f>[50]Ecarts_masses_tousrégimes!Z58</f>
        <v>1.9270463786828618E-2</v>
      </c>
      <c r="AB9" s="196">
        <f>[50]Ecarts_masses_tousrégimes!AA58</f>
        <v>1.96630236476798E-2</v>
      </c>
      <c r="AC9" s="196">
        <f>[50]Ecarts_masses_tousrégimes!AB58</f>
        <v>2.0036018880029483E-2</v>
      </c>
      <c r="AD9" s="196">
        <f>[50]Ecarts_masses_tousrégimes!AC58</f>
        <v>2.0442029916654558E-2</v>
      </c>
      <c r="AE9" s="196">
        <f>[50]Ecarts_masses_tousrégimes!AD58</f>
        <v>2.0956280160056018E-2</v>
      </c>
      <c r="AF9" s="196">
        <f>[50]Ecarts_masses_tousrégimes!AE58</f>
        <v>2.1339953032408987E-2</v>
      </c>
      <c r="AG9" s="196">
        <f>[50]Ecarts_masses_tousrégimes!AF58</f>
        <v>2.1594103898332939E-2</v>
      </c>
      <c r="AH9" s="196">
        <f>[50]Ecarts_masses_tousrégimes!AG58</f>
        <v>2.182188125490292E-2</v>
      </c>
      <c r="AI9" s="196">
        <f>[50]Ecarts_masses_tousrégimes!AH58</f>
        <v>2.2371647062699562E-2</v>
      </c>
      <c r="AJ9" s="196">
        <f>[50]Ecarts_masses_tousrégimes!AI58</f>
        <v>2.2601979570392672E-2</v>
      </c>
      <c r="AK9" s="196">
        <f>[50]Ecarts_masses_tousrégimes!AJ58</f>
        <v>2.2868889640387247E-2</v>
      </c>
      <c r="AL9" s="196">
        <f>[50]Ecarts_masses_tousrégimes!AK58</f>
        <v>2.2813455701511831E-2</v>
      </c>
      <c r="AM9" s="196">
        <f>[50]Ecarts_masses_tousrégimes!AL58</f>
        <v>2.308484228483465E-2</v>
      </c>
      <c r="AN9" s="196">
        <f>[50]Ecarts_masses_tousrégimes!AM58</f>
        <v>2.34242403301399E-2</v>
      </c>
      <c r="AO9" s="196">
        <f>[50]Ecarts_masses_tousrégimes!AN58</f>
        <v>2.363168066153376E-2</v>
      </c>
      <c r="AP9" s="196">
        <f>[50]Ecarts_masses_tousrégimes!AO58</f>
        <v>2.3844512702660303E-2</v>
      </c>
      <c r="AQ9" s="196">
        <f>[50]Ecarts_masses_tousrégimes!AP58</f>
        <v>2.3978088132535547E-2</v>
      </c>
      <c r="AR9" s="196">
        <f>[50]Ecarts_masses_tousrégimes!AQ58</f>
        <v>2.4028223037259044E-2</v>
      </c>
      <c r="AS9" s="196">
        <f>[50]Ecarts_masses_tousrégimes!AR58</f>
        <v>2.3977018424675034E-2</v>
      </c>
      <c r="AT9" s="196">
        <f>[50]Ecarts_masses_tousrégimes!AS58</f>
        <v>2.4055223889503985E-2</v>
      </c>
      <c r="AU9" s="196">
        <f>[50]Ecarts_masses_tousrégimes!AT58</f>
        <v>2.4457957867495494E-2</v>
      </c>
      <c r="AV9" s="196">
        <f>[50]Ecarts_masses_tousrégimes!AU58</f>
        <v>2.4787951710165235E-2</v>
      </c>
      <c r="AW9" s="208">
        <f>[50]Ecarts_masses_tousrégimes!AV58</f>
        <v>2.4903112911949243E-2</v>
      </c>
    </row>
    <row r="10" spans="1:49">
      <c r="B10" s="299"/>
      <c r="C10" s="299"/>
      <c r="D10" s="202" t="s">
        <v>54</v>
      </c>
      <c r="E10" s="207">
        <f>[50]Ecarts_masses_tousrégimes!D59</f>
        <v>2.3284983534832548E-4</v>
      </c>
      <c r="F10" s="196">
        <f>[50]Ecarts_masses_tousrégimes!E59</f>
        <v>5.5967959814506862E-4</v>
      </c>
      <c r="G10" s="196">
        <f>[50]Ecarts_masses_tousrégimes!F59</f>
        <v>8.3413140446242373E-4</v>
      </c>
      <c r="H10" s="196">
        <f>[50]Ecarts_masses_tousrégimes!G59</f>
        <v>1.1006618681845826E-3</v>
      </c>
      <c r="I10" s="196">
        <f>[50]Ecarts_masses_tousrégimes!H59</f>
        <v>1.369183513329375E-3</v>
      </c>
      <c r="J10" s="196">
        <f>[50]Ecarts_masses_tousrégimes!I59</f>
        <v>1.6573321920105855E-3</v>
      </c>
      <c r="K10" s="196">
        <f>[50]Ecarts_masses_tousrégimes!J59</f>
        <v>1.9696235788626559E-3</v>
      </c>
      <c r="L10" s="196">
        <f>[50]Ecarts_masses_tousrégimes!K59</f>
        <v>2.3220032947146585E-3</v>
      </c>
      <c r="M10" s="196">
        <f>[50]Ecarts_masses_tousrégimes!L59</f>
        <v>2.6974173234273202E-3</v>
      </c>
      <c r="N10" s="196">
        <f>[50]Ecarts_masses_tousrégimes!M59</f>
        <v>3.0987507460287222E-3</v>
      </c>
      <c r="O10" s="196">
        <f>[50]Ecarts_masses_tousrégimes!N59</f>
        <v>3.4816738840495187E-3</v>
      </c>
      <c r="P10" s="196">
        <f>[50]Ecarts_masses_tousrégimes!O59</f>
        <v>3.8708970205942883E-3</v>
      </c>
      <c r="Q10" s="196">
        <f>[50]Ecarts_masses_tousrégimes!P59</f>
        <v>4.2322442155084961E-3</v>
      </c>
      <c r="R10" s="196">
        <f>[50]Ecarts_masses_tousrégimes!Q59</f>
        <v>4.6180607782251304E-3</v>
      </c>
      <c r="S10" s="196">
        <f>[50]Ecarts_masses_tousrégimes!R59</f>
        <v>5.0149495550622092E-3</v>
      </c>
      <c r="T10" s="196">
        <f>[50]Ecarts_masses_tousrégimes!S59</f>
        <v>5.413736213663034E-3</v>
      </c>
      <c r="U10" s="196">
        <f>[50]Ecarts_masses_tousrégimes!T59</f>
        <v>5.8179008304479751E-3</v>
      </c>
      <c r="V10" s="196">
        <f>[50]Ecarts_masses_tousrégimes!U59</f>
        <v>6.1591837215115852E-3</v>
      </c>
      <c r="W10" s="196">
        <f>[50]Ecarts_masses_tousrégimes!V59</f>
        <v>6.5913142352114207E-3</v>
      </c>
      <c r="X10" s="196">
        <f>[50]Ecarts_masses_tousrégimes!W59</f>
        <v>7.0188889077826833E-3</v>
      </c>
      <c r="Y10" s="196">
        <f>[50]Ecarts_masses_tousrégimes!X59</f>
        <v>7.4326035086360598E-3</v>
      </c>
      <c r="Z10" s="196">
        <f>[50]Ecarts_masses_tousrégimes!Y59</f>
        <v>7.900842924666085E-3</v>
      </c>
      <c r="AA10" s="196">
        <f>[50]Ecarts_masses_tousrégimes!Z59</f>
        <v>8.3575623555933731E-3</v>
      </c>
      <c r="AB10" s="196">
        <f>[50]Ecarts_masses_tousrégimes!AA59</f>
        <v>8.8680602556259203E-3</v>
      </c>
      <c r="AC10" s="196">
        <f>[50]Ecarts_masses_tousrégimes!AB59</f>
        <v>9.4586892911896481E-3</v>
      </c>
      <c r="AD10" s="196">
        <f>[50]Ecarts_masses_tousrégimes!AC59</f>
        <v>1.0034438585131866E-2</v>
      </c>
      <c r="AE10" s="196">
        <f>[50]Ecarts_masses_tousrégimes!AD59</f>
        <v>1.0707332257926527E-2</v>
      </c>
      <c r="AF10" s="196">
        <f>[50]Ecarts_masses_tousrégimes!AE59</f>
        <v>1.135487098088217E-2</v>
      </c>
      <c r="AG10" s="196">
        <f>[50]Ecarts_masses_tousrégimes!AF59</f>
        <v>1.2048439634175345E-2</v>
      </c>
      <c r="AH10" s="196">
        <f>[50]Ecarts_masses_tousrégimes!AG59</f>
        <v>1.2607570791182132E-2</v>
      </c>
      <c r="AI10" s="196">
        <f>[50]Ecarts_masses_tousrégimes!AH59</f>
        <v>1.3301504426635136E-2</v>
      </c>
      <c r="AJ10" s="196">
        <f>[50]Ecarts_masses_tousrégimes!AI59</f>
        <v>1.4242480476616803E-2</v>
      </c>
      <c r="AK10" s="196">
        <f>[50]Ecarts_masses_tousrégimes!AJ59</f>
        <v>1.5139545086126471E-2</v>
      </c>
      <c r="AL10" s="196">
        <f>[50]Ecarts_masses_tousrégimes!AK59</f>
        <v>1.6052291020526521E-2</v>
      </c>
      <c r="AM10" s="196">
        <f>[50]Ecarts_masses_tousrégimes!AL59</f>
        <v>1.7018704439375032E-2</v>
      </c>
      <c r="AN10" s="196">
        <f>[50]Ecarts_masses_tousrégimes!AM59</f>
        <v>1.7906551346093424E-2</v>
      </c>
      <c r="AO10" s="196">
        <f>[50]Ecarts_masses_tousrégimes!AN59</f>
        <v>1.8990440058968439E-2</v>
      </c>
      <c r="AP10" s="196">
        <f>[50]Ecarts_masses_tousrégimes!AO59</f>
        <v>2.0178167749351328E-2</v>
      </c>
      <c r="AQ10" s="196">
        <f>[50]Ecarts_masses_tousrégimes!AP59</f>
        <v>2.1437010896032671E-2</v>
      </c>
      <c r="AR10" s="196">
        <f>[50]Ecarts_masses_tousrégimes!AQ59</f>
        <v>2.2848493838723449E-2</v>
      </c>
      <c r="AS10" s="196">
        <f>[50]Ecarts_masses_tousrégimes!AR59</f>
        <v>2.4115086258789553E-2</v>
      </c>
      <c r="AT10" s="196">
        <f>[50]Ecarts_masses_tousrégimes!AS59</f>
        <v>2.5617385932175996E-2</v>
      </c>
      <c r="AU10" s="196">
        <f>[50]Ecarts_masses_tousrégimes!AT59</f>
        <v>2.6969153838599658E-2</v>
      </c>
      <c r="AV10" s="196">
        <f>[50]Ecarts_masses_tousrégimes!AU59</f>
        <v>2.8510841213257532E-2</v>
      </c>
      <c r="AW10" s="208">
        <f>[50]Ecarts_masses_tousrégimes!AV59</f>
        <v>2.9833477539158659E-2</v>
      </c>
    </row>
    <row r="11" spans="1:49">
      <c r="B11" s="299"/>
      <c r="C11" s="299"/>
      <c r="D11" s="202" t="s">
        <v>45</v>
      </c>
      <c r="E11" s="207">
        <f>[50]Ecarts_masses_tousrégimes!D60</f>
        <v>-3.8398188241017817E-4</v>
      </c>
      <c r="F11" s="196">
        <f>[50]Ecarts_masses_tousrégimes!E60</f>
        <v>-6.6284702832308806E-4</v>
      </c>
      <c r="G11" s="196">
        <f>[50]Ecarts_masses_tousrégimes!F60</f>
        <v>-9.3181508369089006E-4</v>
      </c>
      <c r="H11" s="196">
        <f>[50]Ecarts_masses_tousrégimes!G60</f>
        <v>-1.3088756365127185E-3</v>
      </c>
      <c r="I11" s="196">
        <f>[50]Ecarts_masses_tousrégimes!H60</f>
        <v>-1.7505242034313584E-3</v>
      </c>
      <c r="J11" s="196">
        <f>[50]Ecarts_masses_tousrégimes!I60</f>
        <v>-2.0471574898969225E-3</v>
      </c>
      <c r="K11" s="196">
        <f>[50]Ecarts_masses_tousrégimes!J60</f>
        <v>-2.2257914243116739E-3</v>
      </c>
      <c r="L11" s="196">
        <f>[50]Ecarts_masses_tousrégimes!K60</f>
        <v>-2.412559298127781E-3</v>
      </c>
      <c r="M11" s="196">
        <f>[50]Ecarts_masses_tousrégimes!L60</f>
        <v>-2.6352044698587651E-3</v>
      </c>
      <c r="N11" s="196">
        <f>[50]Ecarts_masses_tousrégimes!M60</f>
        <v>-2.9765118319787787E-3</v>
      </c>
      <c r="O11" s="196">
        <f>[50]Ecarts_masses_tousrégimes!N60</f>
        <v>-3.2784320505476749E-3</v>
      </c>
      <c r="P11" s="196">
        <f>[50]Ecarts_masses_tousrégimes!O60</f>
        <v>-3.5400012652310187E-3</v>
      </c>
      <c r="Q11" s="196">
        <f>[50]Ecarts_masses_tousrégimes!P60</f>
        <v>-3.7449673707843356E-3</v>
      </c>
      <c r="R11" s="196">
        <f>[50]Ecarts_masses_tousrégimes!Q60</f>
        <v>-4.0101486282383414E-3</v>
      </c>
      <c r="S11" s="196">
        <f>[50]Ecarts_masses_tousrégimes!R60</f>
        <v>-4.2468065773958452E-3</v>
      </c>
      <c r="T11" s="196">
        <f>[50]Ecarts_masses_tousrégimes!S60</f>
        <v>-4.3764568876252241E-3</v>
      </c>
      <c r="U11" s="196">
        <f>[50]Ecarts_masses_tousrégimes!T60</f>
        <v>-4.5764403191387304E-3</v>
      </c>
      <c r="V11" s="196">
        <f>[50]Ecarts_masses_tousrégimes!U60</f>
        <v>-4.7535885233891406E-3</v>
      </c>
      <c r="W11" s="196">
        <f>[50]Ecarts_masses_tousrégimes!V60</f>
        <v>-4.9949692862796269E-3</v>
      </c>
      <c r="X11" s="196">
        <f>[50]Ecarts_masses_tousrégimes!W60</f>
        <v>-5.1080439502069197E-3</v>
      </c>
      <c r="Y11" s="196">
        <f>[50]Ecarts_masses_tousrégimes!X60</f>
        <v>-5.0789706790724809E-3</v>
      </c>
      <c r="Z11" s="196">
        <f>[50]Ecarts_masses_tousrégimes!Y60</f>
        <v>-5.1767842309105028E-3</v>
      </c>
      <c r="AA11" s="196">
        <f>[50]Ecarts_masses_tousrégimes!Z60</f>
        <v>-5.1673434278036723E-3</v>
      </c>
      <c r="AB11" s="196">
        <f>[50]Ecarts_masses_tousrégimes!AA60</f>
        <v>-5.1066664042862531E-3</v>
      </c>
      <c r="AC11" s="196">
        <f>[50]Ecarts_masses_tousrégimes!AB60</f>
        <v>-5.1094622599390238E-3</v>
      </c>
      <c r="AD11" s="196">
        <f>[50]Ecarts_masses_tousrégimes!AC60</f>
        <v>-5.1192184053644452E-3</v>
      </c>
      <c r="AE11" s="196">
        <f>[50]Ecarts_masses_tousrégimes!AD60</f>
        <v>-5.0011352044407875E-3</v>
      </c>
      <c r="AF11" s="196">
        <f>[50]Ecarts_masses_tousrégimes!AE60</f>
        <v>-4.795078968638844E-3</v>
      </c>
      <c r="AG11" s="196">
        <f>[50]Ecarts_masses_tousrégimes!AF60</f>
        <v>-4.6456760913708983E-3</v>
      </c>
      <c r="AH11" s="196">
        <f>[50]Ecarts_masses_tousrégimes!AG60</f>
        <v>-4.4413989935113696E-3</v>
      </c>
      <c r="AI11" s="196">
        <f>[50]Ecarts_masses_tousrégimes!AH60</f>
        <v>-4.1783373757192654E-3</v>
      </c>
      <c r="AJ11" s="196">
        <f>[50]Ecarts_masses_tousrégimes!AI60</f>
        <v>-4.0409061769645094E-3</v>
      </c>
      <c r="AK11" s="196">
        <f>[50]Ecarts_masses_tousrégimes!AJ60</f>
        <v>-3.8034166080141985E-3</v>
      </c>
      <c r="AL11" s="196">
        <f>[50]Ecarts_masses_tousrégimes!AK60</f>
        <v>-3.7240295714323635E-3</v>
      </c>
      <c r="AM11" s="196">
        <f>[50]Ecarts_masses_tousrégimes!AL60</f>
        <v>-3.5243080808384786E-3</v>
      </c>
      <c r="AN11" s="196">
        <f>[50]Ecarts_masses_tousrégimes!AM60</f>
        <v>-3.4289571216125081E-3</v>
      </c>
      <c r="AO11" s="196">
        <f>[50]Ecarts_masses_tousrégimes!AN60</f>
        <v>-2.9984982151006756E-3</v>
      </c>
      <c r="AP11" s="196">
        <f>[50]Ecarts_masses_tousrégimes!AO60</f>
        <v>-2.893841695176258E-3</v>
      </c>
      <c r="AQ11" s="196">
        <f>[50]Ecarts_masses_tousrégimes!AP60</f>
        <v>-2.7428175688856138E-3</v>
      </c>
      <c r="AR11" s="196">
        <f>[50]Ecarts_masses_tousrégimes!AQ60</f>
        <v>-2.671752429388996E-3</v>
      </c>
      <c r="AS11" s="196">
        <f>[50]Ecarts_masses_tousrégimes!AR60</f>
        <v>-2.5490322951039479E-3</v>
      </c>
      <c r="AT11" s="196">
        <f>[50]Ecarts_masses_tousrégimes!AS60</f>
        <v>-2.4260774585384004E-3</v>
      </c>
      <c r="AU11" s="196">
        <f>[50]Ecarts_masses_tousrégimes!AT60</f>
        <v>-2.25035005738905E-3</v>
      </c>
      <c r="AV11" s="196">
        <f>[50]Ecarts_masses_tousrégimes!AU60</f>
        <v>-1.9603985417019354E-3</v>
      </c>
      <c r="AW11" s="208">
        <f>[50]Ecarts_masses_tousrégimes!AV60</f>
        <v>-1.554400620024543E-3</v>
      </c>
    </row>
    <row r="12" spans="1:49">
      <c r="B12" s="299"/>
      <c r="C12" s="299"/>
      <c r="D12" s="202" t="s">
        <v>46</v>
      </c>
      <c r="E12" s="207">
        <f>[50]Ecarts_masses_tousrégimes!D61</f>
        <v>4.1858515261772311E-4</v>
      </c>
      <c r="F12" s="196">
        <f>[50]Ecarts_masses_tousrégimes!E61</f>
        <v>9.6168371095450844E-4</v>
      </c>
      <c r="G12" s="196">
        <f>[50]Ecarts_masses_tousrégimes!F61</f>
        <v>1.4288557568895577E-3</v>
      </c>
      <c r="H12" s="196">
        <f>[50]Ecarts_masses_tousrégimes!G61</f>
        <v>1.8163124810373077E-3</v>
      </c>
      <c r="I12" s="196">
        <f>[50]Ecarts_masses_tousrégimes!H61</f>
        <v>2.2413595558397059E-3</v>
      </c>
      <c r="J12" s="196">
        <f>[50]Ecarts_masses_tousrégimes!I61</f>
        <v>2.6763729207095466E-3</v>
      </c>
      <c r="K12" s="196">
        <f>[50]Ecarts_masses_tousrégimes!J61</f>
        <v>3.0430273925945439E-3</v>
      </c>
      <c r="L12" s="196">
        <f>[50]Ecarts_masses_tousrégimes!K61</f>
        <v>3.5474760787888027E-3</v>
      </c>
      <c r="M12" s="196">
        <f>[50]Ecarts_masses_tousrégimes!L61</f>
        <v>4.1319764531253522E-3</v>
      </c>
      <c r="N12" s="196">
        <f>[50]Ecarts_masses_tousrégimes!M61</f>
        <v>4.5516552339173177E-3</v>
      </c>
      <c r="O12" s="196">
        <f>[50]Ecarts_masses_tousrégimes!N61</f>
        <v>5.0417762841761249E-3</v>
      </c>
      <c r="P12" s="196">
        <f>[50]Ecarts_masses_tousrégimes!O61</f>
        <v>5.7335247275729362E-3</v>
      </c>
      <c r="Q12" s="196">
        <f>[50]Ecarts_masses_tousrégimes!P61</f>
        <v>6.3459103412939477E-3</v>
      </c>
      <c r="R12" s="196">
        <f>[50]Ecarts_masses_tousrégimes!Q61</f>
        <v>6.9913566131230009E-3</v>
      </c>
      <c r="S12" s="196">
        <f>[50]Ecarts_masses_tousrégimes!R61</f>
        <v>7.6587925080073838E-3</v>
      </c>
      <c r="T12" s="196">
        <f>[50]Ecarts_masses_tousrégimes!S61</f>
        <v>8.2329367268858533E-3</v>
      </c>
      <c r="U12" s="196">
        <f>[50]Ecarts_masses_tousrégimes!T61</f>
        <v>8.7420069218759888E-3</v>
      </c>
      <c r="V12" s="196">
        <f>[50]Ecarts_masses_tousrégimes!U61</f>
        <v>9.3439968055222256E-3</v>
      </c>
      <c r="W12" s="196">
        <f>[50]Ecarts_masses_tousrégimes!V61</f>
        <v>9.8625753140615391E-3</v>
      </c>
      <c r="X12" s="196">
        <f>[50]Ecarts_masses_tousrégimes!W61</f>
        <v>1.0497668111887348E-2</v>
      </c>
      <c r="Y12" s="196">
        <f>[50]Ecarts_masses_tousrégimes!X61</f>
        <v>1.1061111922832767E-2</v>
      </c>
      <c r="Z12" s="196">
        <f>[50]Ecarts_masses_tousrégimes!Y61</f>
        <v>1.1752926368347127E-2</v>
      </c>
      <c r="AA12" s="196">
        <f>[50]Ecarts_masses_tousrégimes!Z61</f>
        <v>1.2142272985513625E-2</v>
      </c>
      <c r="AB12" s="196">
        <f>[50]Ecarts_masses_tousrégimes!AA61</f>
        <v>1.2491535801283149E-2</v>
      </c>
      <c r="AC12" s="196">
        <f>[50]Ecarts_masses_tousrégimes!AB61</f>
        <v>1.3117634889967311E-2</v>
      </c>
      <c r="AD12" s="196">
        <f>[50]Ecarts_masses_tousrégimes!AC61</f>
        <v>1.3632887319274811E-2</v>
      </c>
      <c r="AE12" s="196">
        <f>[50]Ecarts_masses_tousrégimes!AD61</f>
        <v>1.3917674682042636E-2</v>
      </c>
      <c r="AF12" s="196">
        <f>[50]Ecarts_masses_tousrégimes!AE61</f>
        <v>1.4372604995415816E-2</v>
      </c>
      <c r="AG12" s="196">
        <f>[50]Ecarts_masses_tousrégimes!AF61</f>
        <v>1.47232143336673E-2</v>
      </c>
      <c r="AH12" s="196">
        <f>[50]Ecarts_masses_tousrégimes!AG61</f>
        <v>1.494354171785206E-2</v>
      </c>
      <c r="AI12" s="196">
        <f>[50]Ecarts_masses_tousrégimes!AH61</f>
        <v>1.5569192803348786E-2</v>
      </c>
      <c r="AJ12" s="196">
        <f>[50]Ecarts_masses_tousrégimes!AI61</f>
        <v>1.5734087371747085E-2</v>
      </c>
      <c r="AK12" s="196">
        <f>[50]Ecarts_masses_tousrégimes!AJ61</f>
        <v>1.5899940973391313E-2</v>
      </c>
      <c r="AL12" s="196">
        <f>[50]Ecarts_masses_tousrégimes!AK61</f>
        <v>1.6109256653023651E-2</v>
      </c>
      <c r="AM12" s="196">
        <f>[50]Ecarts_masses_tousrégimes!AL61</f>
        <v>1.6520224529144478E-2</v>
      </c>
      <c r="AN12" s="196">
        <f>[50]Ecarts_masses_tousrégimes!AM61</f>
        <v>1.6811087899958999E-2</v>
      </c>
      <c r="AO12" s="196">
        <f>[50]Ecarts_masses_tousrégimes!AN61</f>
        <v>1.68633519241006E-2</v>
      </c>
      <c r="AP12" s="196">
        <f>[50]Ecarts_masses_tousrégimes!AO61</f>
        <v>1.7005549454199187E-2</v>
      </c>
      <c r="AQ12" s="196">
        <f>[50]Ecarts_masses_tousrégimes!AP61</f>
        <v>1.6789756604229877E-2</v>
      </c>
      <c r="AR12" s="196">
        <f>[50]Ecarts_masses_tousrégimes!AQ61</f>
        <v>1.6826122921103082E-2</v>
      </c>
      <c r="AS12" s="196">
        <f>[50]Ecarts_masses_tousrégimes!AR61</f>
        <v>1.7276250041828645E-2</v>
      </c>
      <c r="AT12" s="196">
        <f>[50]Ecarts_masses_tousrégimes!AS61</f>
        <v>1.7474374434356843E-2</v>
      </c>
      <c r="AU12" s="196">
        <f>[50]Ecarts_masses_tousrégimes!AT61</f>
        <v>1.7691186496071598E-2</v>
      </c>
      <c r="AV12" s="196">
        <f>[50]Ecarts_masses_tousrégimes!AU61</f>
        <v>1.7807504998169632E-2</v>
      </c>
      <c r="AW12" s="208">
        <f>[50]Ecarts_masses_tousrégimes!AV61</f>
        <v>1.7915459672884104E-2</v>
      </c>
    </row>
    <row r="13" spans="1:49" ht="15" thickBot="1">
      <c r="B13" s="299"/>
      <c r="C13" s="300"/>
      <c r="D13" s="202" t="s">
        <v>55</v>
      </c>
      <c r="E13" s="248">
        <f>[50]Ecarts_masses_tousrégimes!D62</f>
        <v>-1.0153863379547268E-5</v>
      </c>
      <c r="F13" s="197">
        <f>[50]Ecarts_masses_tousrégimes!E62</f>
        <v>-3.0562176280835018E-5</v>
      </c>
      <c r="G13" s="197">
        <f>[50]Ecarts_masses_tousrégimes!F62</f>
        <v>-2.3599715340050231E-5</v>
      </c>
      <c r="H13" s="197">
        <f>[50]Ecarts_masses_tousrégimes!G62</f>
        <v>-6.6350030528128379E-5</v>
      </c>
      <c r="I13" s="197">
        <f>[50]Ecarts_masses_tousrégimes!H62</f>
        <v>-9.4158601211535853E-5</v>
      </c>
      <c r="J13" s="197">
        <f>[50]Ecarts_masses_tousrégimes!I62</f>
        <v>-1.0116458328579547E-4</v>
      </c>
      <c r="K13" s="197">
        <f>[50]Ecarts_masses_tousrégimes!J62</f>
        <v>-1.3775886581779417E-4</v>
      </c>
      <c r="L13" s="197">
        <f>[50]Ecarts_masses_tousrégimes!K62</f>
        <v>-1.5037530051786874E-4</v>
      </c>
      <c r="M13" s="197">
        <f>[50]Ecarts_masses_tousrégimes!L62</f>
        <v>-1.468138701594679E-4</v>
      </c>
      <c r="N13" s="197">
        <f>[50]Ecarts_masses_tousrégimes!M62</f>
        <v>-1.9105655899553931E-4</v>
      </c>
      <c r="O13" s="197">
        <f>[50]Ecarts_masses_tousrégimes!N62</f>
        <v>-2.740117970490008E-4</v>
      </c>
      <c r="P13" s="197">
        <f>[50]Ecarts_masses_tousrégimes!O62</f>
        <v>-3.2187893920532229E-4</v>
      </c>
      <c r="Q13" s="197">
        <f>[50]Ecarts_masses_tousrégimes!P62</f>
        <v>-3.0882182449532003E-4</v>
      </c>
      <c r="R13" s="197">
        <f>[50]Ecarts_masses_tousrégimes!Q62</f>
        <v>-4.183117745940601E-4</v>
      </c>
      <c r="S13" s="197">
        <f>[50]Ecarts_masses_tousrégimes!R62</f>
        <v>-5.2129193855032785E-4</v>
      </c>
      <c r="T13" s="197">
        <f>[50]Ecarts_masses_tousrégimes!S62</f>
        <v>-4.7472529124381602E-4</v>
      </c>
      <c r="U13" s="197">
        <f>[50]Ecarts_masses_tousrégimes!T62</f>
        <v>-4.6559835960047202E-4</v>
      </c>
      <c r="V13" s="197">
        <f>[50]Ecarts_masses_tousrégimes!U62</f>
        <v>-4.1223215116759082E-4</v>
      </c>
      <c r="W13" s="197">
        <f>[50]Ecarts_masses_tousrégimes!V62</f>
        <v>-4.272135044537384E-4</v>
      </c>
      <c r="X13" s="197">
        <f>[50]Ecarts_masses_tousrégimes!W62</f>
        <v>-3.9627239917405799E-4</v>
      </c>
      <c r="Y13" s="197">
        <f>[50]Ecarts_masses_tousrégimes!X62</f>
        <v>-3.4991923883687104E-4</v>
      </c>
      <c r="Z13" s="197">
        <f>[50]Ecarts_masses_tousrégimes!Y62</f>
        <v>-2.5408950034555566E-4</v>
      </c>
      <c r="AA13" s="197">
        <f>[50]Ecarts_masses_tousrégimes!Z62</f>
        <v>-2.7596349674718912E-4</v>
      </c>
      <c r="AB13" s="197">
        <f>[50]Ecarts_masses_tousrégimes!AA62</f>
        <v>-2.0492978803587913E-4</v>
      </c>
      <c r="AC13" s="197">
        <f>[50]Ecarts_masses_tousrégimes!AB62</f>
        <v>-1.9734858077102846E-4</v>
      </c>
      <c r="AD13" s="197">
        <f>[50]Ecarts_masses_tousrégimes!AC62</f>
        <v>-1.4087966607068125E-4</v>
      </c>
      <c r="AE13" s="197">
        <f>[50]Ecarts_masses_tousrégimes!AD62</f>
        <v>-3.3206654743878072E-4</v>
      </c>
      <c r="AF13" s="197">
        <f>[50]Ecarts_masses_tousrégimes!AE62</f>
        <v>-2.778382811355895E-4</v>
      </c>
      <c r="AG13" s="197">
        <f>[50]Ecarts_masses_tousrégimes!AF62</f>
        <v>-2.7444958224209781E-4</v>
      </c>
      <c r="AH13" s="197">
        <f>[50]Ecarts_masses_tousrégimes!AG62</f>
        <v>-3.0114442724704649E-4</v>
      </c>
      <c r="AI13" s="197">
        <f>[50]Ecarts_masses_tousrégimes!AH62</f>
        <v>-3.2578995844156911E-4</v>
      </c>
      <c r="AJ13" s="197">
        <f>[50]Ecarts_masses_tousrégimes!AI62</f>
        <v>-2.734686470863279E-4</v>
      </c>
      <c r="AK13" s="197">
        <f>[50]Ecarts_masses_tousrégimes!AJ62</f>
        <v>-1.395115771996025E-4</v>
      </c>
      <c r="AL13" s="197">
        <f>[50]Ecarts_masses_tousrégimes!AK62</f>
        <v>2.8515515981641926E-4</v>
      </c>
      <c r="AM13" s="197">
        <f>[50]Ecarts_masses_tousrégimes!AL62</f>
        <v>4.8782337435770984E-5</v>
      </c>
      <c r="AN13" s="197">
        <f>[50]Ecarts_masses_tousrégimes!AM62</f>
        <v>1.4731617055274704E-4</v>
      </c>
      <c r="AO13" s="197">
        <f>[50]Ecarts_masses_tousrégimes!AN62</f>
        <v>4.0420473499169773E-5</v>
      </c>
      <c r="AP13" s="197">
        <f>[50]Ecarts_masses_tousrégimes!AO62</f>
        <v>1.6034745263127093E-5</v>
      </c>
      <c r="AQ13" s="197">
        <f>[50]Ecarts_masses_tousrégimes!AP62</f>
        <v>2.5554904898195119E-4</v>
      </c>
      <c r="AR13" s="197">
        <f>[50]Ecarts_masses_tousrégimes!AQ62</f>
        <v>2.0429626833884384E-4</v>
      </c>
      <c r="AS13" s="197">
        <f>[50]Ecarts_masses_tousrégimes!AR62</f>
        <v>-2.3932860014141966E-4</v>
      </c>
      <c r="AT13" s="197">
        <f>[50]Ecarts_masses_tousrégimes!AS62</f>
        <v>-2.8720433955109481E-4</v>
      </c>
      <c r="AU13" s="197">
        <f>[50]Ecarts_masses_tousrégimes!AT62</f>
        <v>-3.0677301417270098E-4</v>
      </c>
      <c r="AV13" s="197">
        <f>[50]Ecarts_masses_tousrégimes!AU62</f>
        <v>-8.8788453701749148E-5</v>
      </c>
      <c r="AW13" s="249">
        <f>[50]Ecarts_masses_tousrégimes!AV62</f>
        <v>-4.0344598058328351E-4</v>
      </c>
    </row>
    <row r="14" spans="1:49">
      <c r="B14" s="299"/>
      <c r="C14" s="298" t="s">
        <v>58</v>
      </c>
      <c r="D14" s="201" t="s">
        <v>6</v>
      </c>
      <c r="E14" s="204">
        <f>[53]Ecarts_masses_tousrégimes!D54</f>
        <v>-7.1291642389242904E-3</v>
      </c>
      <c r="F14" s="205">
        <f>[53]Ecarts_masses_tousrégimes!E54</f>
        <v>-2.2131971141007845E-2</v>
      </c>
      <c r="G14" s="205">
        <f>[53]Ecarts_masses_tousrégimes!F54</f>
        <v>-3.7540150785724702E-2</v>
      </c>
      <c r="H14" s="205">
        <f>[53]Ecarts_masses_tousrégimes!G54</f>
        <v>-5.3213326255009186E-2</v>
      </c>
      <c r="I14" s="205">
        <f>[53]Ecarts_masses_tousrégimes!H54</f>
        <v>-6.9516644092122881E-2</v>
      </c>
      <c r="J14" s="205">
        <f>[53]Ecarts_masses_tousrégimes!I54</f>
        <v>-8.6439243235782337E-2</v>
      </c>
      <c r="K14" s="205">
        <f>[53]Ecarts_masses_tousrégimes!J54</f>
        <v>-0.10278440647764031</v>
      </c>
      <c r="L14" s="205">
        <f>[53]Ecarts_masses_tousrégimes!K54</f>
        <v>-0.11950303979396448</v>
      </c>
      <c r="M14" s="205">
        <f>[53]Ecarts_masses_tousrégimes!L54</f>
        <v>-0.13624416500141268</v>
      </c>
      <c r="N14" s="205">
        <f>[53]Ecarts_masses_tousrégimes!M54</f>
        <v>-0.15253473928256656</v>
      </c>
      <c r="O14" s="205">
        <f>[53]Ecarts_masses_tousrégimes!N54</f>
        <v>-0.17007280862148366</v>
      </c>
      <c r="P14" s="205">
        <f>[53]Ecarts_masses_tousrégimes!O54</f>
        <v>-0.18627224360911954</v>
      </c>
      <c r="Q14" s="205">
        <f>[53]Ecarts_masses_tousrégimes!P54</f>
        <v>-0.20304839048796841</v>
      </c>
      <c r="R14" s="205">
        <f>[53]Ecarts_masses_tousrégimes!Q54</f>
        <v>-0.22012458166840287</v>
      </c>
      <c r="S14" s="205">
        <f>[53]Ecarts_masses_tousrégimes!R54</f>
        <v>-0.23715554209067913</v>
      </c>
      <c r="T14" s="205">
        <f>[53]Ecarts_masses_tousrégimes!S54</f>
        <v>-0.25397954445868054</v>
      </c>
      <c r="U14" s="205">
        <f>[53]Ecarts_masses_tousrégimes!T54</f>
        <v>-0.27081946012835045</v>
      </c>
      <c r="V14" s="205">
        <f>[53]Ecarts_masses_tousrégimes!U54</f>
        <v>-0.28776079326077519</v>
      </c>
      <c r="W14" s="205">
        <f>[53]Ecarts_masses_tousrégimes!V54</f>
        <v>-0.30527737195677218</v>
      </c>
      <c r="X14" s="205">
        <f>[53]Ecarts_masses_tousrégimes!W54</f>
        <v>-0.32296604142648411</v>
      </c>
      <c r="Y14" s="205">
        <f>[53]Ecarts_masses_tousrégimes!X54</f>
        <v>-0.34045107847331724</v>
      </c>
      <c r="Z14" s="205">
        <f>[53]Ecarts_masses_tousrégimes!Y54</f>
        <v>-0.3579518192336103</v>
      </c>
      <c r="AA14" s="205">
        <f>[53]Ecarts_masses_tousrégimes!Z54</f>
        <v>-0.37510896713165309</v>
      </c>
      <c r="AB14" s="205">
        <f>[53]Ecarts_masses_tousrégimes!AA54</f>
        <v>-0.39310305953966673</v>
      </c>
      <c r="AC14" s="205">
        <f>[53]Ecarts_masses_tousrégimes!AB54</f>
        <v>-0.41133900684502644</v>
      </c>
      <c r="AD14" s="205">
        <f>[53]Ecarts_masses_tousrégimes!AC54</f>
        <v>-0.42931015008963036</v>
      </c>
      <c r="AE14" s="205">
        <f>[53]Ecarts_masses_tousrégimes!AD54</f>
        <v>-0.44513308998091139</v>
      </c>
      <c r="AF14" s="205">
        <f>[53]Ecarts_masses_tousrégimes!AE54</f>
        <v>-0.45921495431342074</v>
      </c>
      <c r="AG14" s="205">
        <f>[53]Ecarts_masses_tousrégimes!AF54</f>
        <v>-0.47223192892978627</v>
      </c>
      <c r="AH14" s="205">
        <f>[53]Ecarts_masses_tousrégimes!AG54</f>
        <v>-0.48301602019145551</v>
      </c>
      <c r="AI14" s="205">
        <f>[53]Ecarts_masses_tousrégimes!AH54</f>
        <v>-0.493852952080296</v>
      </c>
      <c r="AJ14" s="205">
        <f>[53]Ecarts_masses_tousrégimes!AI54</f>
        <v>-0.50286614464032575</v>
      </c>
      <c r="AK14" s="205">
        <f>[53]Ecarts_masses_tousrégimes!AJ54</f>
        <v>-0.51109668110490847</v>
      </c>
      <c r="AL14" s="205">
        <f>[53]Ecarts_masses_tousrégimes!AK54</f>
        <v>-0.51701513080726602</v>
      </c>
      <c r="AM14" s="205">
        <f>[53]Ecarts_masses_tousrégimes!AL54</f>
        <v>-0.52259793263548004</v>
      </c>
      <c r="AN14" s="205">
        <f>[53]Ecarts_masses_tousrégimes!AM54</f>
        <v>-0.52685426263067581</v>
      </c>
      <c r="AO14" s="205">
        <f>[53]Ecarts_masses_tousrégimes!AN54</f>
        <v>-0.52935888305731837</v>
      </c>
      <c r="AP14" s="205">
        <f>[53]Ecarts_masses_tousrégimes!AO54</f>
        <v>-0.53018220218468115</v>
      </c>
      <c r="AQ14" s="205">
        <f>[53]Ecarts_masses_tousrégimes!AP54</f>
        <v>-0.53166610927697511</v>
      </c>
      <c r="AR14" s="205">
        <f>[53]Ecarts_masses_tousrégimes!AQ54</f>
        <v>-0.53183669169604397</v>
      </c>
      <c r="AS14" s="205">
        <f>[53]Ecarts_masses_tousrégimes!AR54</f>
        <v>-0.53141747990151589</v>
      </c>
      <c r="AT14" s="205">
        <f>[53]Ecarts_masses_tousrégimes!AS54</f>
        <v>-0.53073316403169324</v>
      </c>
      <c r="AU14" s="205">
        <f>[53]Ecarts_masses_tousrégimes!AT54</f>
        <v>-0.52862751743802527</v>
      </c>
      <c r="AV14" s="205">
        <f>[53]Ecarts_masses_tousrégimes!AU54</f>
        <v>-0.52566642091129467</v>
      </c>
      <c r="AW14" s="206">
        <f>[53]Ecarts_masses_tousrégimes!AV54</f>
        <v>-0.52206701212069717</v>
      </c>
    </row>
    <row r="15" spans="1:49">
      <c r="B15" s="299"/>
      <c r="C15" s="299"/>
      <c r="D15" s="202" t="s">
        <v>53</v>
      </c>
      <c r="E15" s="213">
        <f>[53]Ecarts_masses_tousrégimes!D55</f>
        <v>-7.3923305962436681E-3</v>
      </c>
      <c r="F15" s="195">
        <f>[53]Ecarts_masses_tousrégimes!E55</f>
        <v>-1.8724136474893682E-2</v>
      </c>
      <c r="G15" s="195">
        <f>[53]Ecarts_masses_tousrégimes!F55</f>
        <v>-2.9798407604633703E-2</v>
      </c>
      <c r="H15" s="195">
        <f>[53]Ecarts_masses_tousrégimes!G55</f>
        <v>-4.0703564361707745E-2</v>
      </c>
      <c r="I15" s="195">
        <f>[53]Ecarts_masses_tousrégimes!H55</f>
        <v>-5.1460710576481716E-2</v>
      </c>
      <c r="J15" s="195">
        <f>[53]Ecarts_masses_tousrégimes!I55</f>
        <v>-6.2565626920568662E-2</v>
      </c>
      <c r="K15" s="195">
        <f>[53]Ecarts_masses_tousrégimes!J55</f>
        <v>-7.3917553492776289E-2</v>
      </c>
      <c r="L15" s="195">
        <f>[53]Ecarts_masses_tousrégimes!K55</f>
        <v>-8.6099195987280996E-2</v>
      </c>
      <c r="M15" s="195">
        <f>[53]Ecarts_masses_tousrégimes!L55</f>
        <v>-9.7998448207097688E-2</v>
      </c>
      <c r="N15" s="195">
        <f>[53]Ecarts_masses_tousrégimes!M55</f>
        <v>-0.10946556426121967</v>
      </c>
      <c r="O15" s="195">
        <f>[53]Ecarts_masses_tousrégimes!N55</f>
        <v>-0.12165303063728194</v>
      </c>
      <c r="P15" s="195">
        <f>[53]Ecarts_masses_tousrégimes!O55</f>
        <v>-0.13382908753569667</v>
      </c>
      <c r="Q15" s="195">
        <f>[53]Ecarts_masses_tousrégimes!P55</f>
        <v>-0.14677839034914109</v>
      </c>
      <c r="R15" s="195">
        <f>[53]Ecarts_masses_tousrégimes!Q55</f>
        <v>-0.16024890144654025</v>
      </c>
      <c r="S15" s="195">
        <f>[53]Ecarts_masses_tousrégimes!R55</f>
        <v>-0.17424120293504819</v>
      </c>
      <c r="T15" s="195">
        <f>[53]Ecarts_masses_tousrégimes!S55</f>
        <v>-0.18889224461624787</v>
      </c>
      <c r="U15" s="195">
        <f>[53]Ecarts_masses_tousrégimes!T55</f>
        <v>-0.20342400550419537</v>
      </c>
      <c r="V15" s="195">
        <f>[53]Ecarts_masses_tousrégimes!U55</f>
        <v>-0.21876713508926138</v>
      </c>
      <c r="W15" s="195">
        <f>[53]Ecarts_masses_tousrégimes!V55</f>
        <v>-0.23512005982636996</v>
      </c>
      <c r="X15" s="195">
        <f>[53]Ecarts_masses_tousrégimes!W55</f>
        <v>-0.25217592735876637</v>
      </c>
      <c r="Y15" s="195">
        <f>[53]Ecarts_masses_tousrégimes!X55</f>
        <v>-0.26862849198069183</v>
      </c>
      <c r="Z15" s="195">
        <f>[53]Ecarts_masses_tousrégimes!Y55</f>
        <v>-0.28510700426482594</v>
      </c>
      <c r="AA15" s="195">
        <f>[53]Ecarts_masses_tousrégimes!Z55</f>
        <v>-0.30171246827778464</v>
      </c>
      <c r="AB15" s="195">
        <f>[53]Ecarts_masses_tousrégimes!AA55</f>
        <v>-0.31854578267149358</v>
      </c>
      <c r="AC15" s="195">
        <f>[53]Ecarts_masses_tousrégimes!AB55</f>
        <v>-0.33640649301586378</v>
      </c>
      <c r="AD15" s="195">
        <f>[53]Ecarts_masses_tousrégimes!AC55</f>
        <v>-0.35397251368421334</v>
      </c>
      <c r="AE15" s="195">
        <f>[53]Ecarts_masses_tousrégimes!AD55</f>
        <v>-0.36911926458559885</v>
      </c>
      <c r="AF15" s="195">
        <f>[53]Ecarts_masses_tousrégimes!AE55</f>
        <v>-0.3829783790793051</v>
      </c>
      <c r="AG15" s="195">
        <f>[53]Ecarts_masses_tousrégimes!AF55</f>
        <v>-0.39496385861159822</v>
      </c>
      <c r="AH15" s="195">
        <f>[53]Ecarts_masses_tousrégimes!AG55</f>
        <v>-0.40483382586362737</v>
      </c>
      <c r="AI15" s="195">
        <f>[53]Ecarts_masses_tousrégimes!AH55</f>
        <v>-0.41507441526869204</v>
      </c>
      <c r="AJ15" s="195">
        <f>[53]Ecarts_masses_tousrégimes!AI55</f>
        <v>-0.4226828656877285</v>
      </c>
      <c r="AK15" s="195">
        <f>[53]Ecarts_masses_tousrégimes!AJ55</f>
        <v>-0.42948215374445131</v>
      </c>
      <c r="AL15" s="195">
        <f>[53]Ecarts_masses_tousrégimes!AK55</f>
        <v>-0.43409995144464009</v>
      </c>
      <c r="AM15" s="195">
        <f>[53]Ecarts_masses_tousrégimes!AL55</f>
        <v>-0.43867944178612128</v>
      </c>
      <c r="AN15" s="195">
        <f>[53]Ecarts_masses_tousrégimes!AM55</f>
        <v>-0.44206088117583919</v>
      </c>
      <c r="AO15" s="195">
        <f>[53]Ecarts_masses_tousrégimes!AN55</f>
        <v>-0.44377055382727792</v>
      </c>
      <c r="AP15" s="195">
        <f>[53]Ecarts_masses_tousrégimes!AO55</f>
        <v>-0.44385590243161321</v>
      </c>
      <c r="AQ15" s="195">
        <f>[53]Ecarts_masses_tousrégimes!AP55</f>
        <v>-0.44444763061911996</v>
      </c>
      <c r="AR15" s="195">
        <f>[53]Ecarts_masses_tousrégimes!AQ55</f>
        <v>-0.44428242476838498</v>
      </c>
      <c r="AS15" s="195">
        <f>[53]Ecarts_masses_tousrégimes!AR55</f>
        <v>-0.44380510606204493</v>
      </c>
      <c r="AT15" s="195">
        <f>[53]Ecarts_masses_tousrégimes!AS55</f>
        <v>-0.44245537941366253</v>
      </c>
      <c r="AU15" s="195">
        <f>[53]Ecarts_masses_tousrégimes!AT55</f>
        <v>-0.43937339464145997</v>
      </c>
      <c r="AV15" s="195">
        <f>[53]Ecarts_masses_tousrégimes!AU55</f>
        <v>-0.43564591616706294</v>
      </c>
      <c r="AW15" s="214">
        <f>[53]Ecarts_masses_tousrégimes!AV55</f>
        <v>-0.43179727375999177</v>
      </c>
    </row>
    <row r="16" spans="1:49">
      <c r="B16" s="299"/>
      <c r="C16" s="299"/>
      <c r="D16" s="202" t="s">
        <v>3</v>
      </c>
      <c r="E16" s="213">
        <f>[53]Ecarts_masses_tousrégimes!D56</f>
        <v>-1.0137370056667039E-2</v>
      </c>
      <c r="F16" s="195">
        <f>[53]Ecarts_masses_tousrégimes!E56</f>
        <v>-3.0980594643452708E-2</v>
      </c>
      <c r="G16" s="195">
        <f>[53]Ecarts_masses_tousrégimes!F56</f>
        <v>-5.1865845431543711E-2</v>
      </c>
      <c r="H16" s="195">
        <f>[53]Ecarts_masses_tousrégimes!G56</f>
        <v>-7.2812815714072276E-2</v>
      </c>
      <c r="I16" s="195">
        <f>[53]Ecarts_masses_tousrégimes!H56</f>
        <v>-9.5326972066340443E-2</v>
      </c>
      <c r="J16" s="195">
        <f>[53]Ecarts_masses_tousrégimes!I56</f>
        <v>-0.11807441354685277</v>
      </c>
      <c r="K16" s="195">
        <f>[53]Ecarts_masses_tousrégimes!J56</f>
        <v>-0.13981271482724944</v>
      </c>
      <c r="L16" s="195">
        <f>[53]Ecarts_masses_tousrégimes!K56</f>
        <v>-0.16119343904813466</v>
      </c>
      <c r="M16" s="195">
        <f>[53]Ecarts_masses_tousrégimes!L56</f>
        <v>-0.18248275428402816</v>
      </c>
      <c r="N16" s="195">
        <f>[53]Ecarts_masses_tousrégimes!M56</f>
        <v>-0.20362325711386475</v>
      </c>
      <c r="O16" s="195">
        <f>[53]Ecarts_masses_tousrégimes!N56</f>
        <v>-0.22581292722670165</v>
      </c>
      <c r="P16" s="195">
        <f>[53]Ecarts_masses_tousrégimes!O56</f>
        <v>-0.24637553421332936</v>
      </c>
      <c r="Q16" s="195">
        <f>[53]Ecarts_masses_tousrégimes!P56</f>
        <v>-0.26674221927838027</v>
      </c>
      <c r="R16" s="195">
        <f>[53]Ecarts_masses_tousrégimes!Q56</f>
        <v>-0.2871981006223836</v>
      </c>
      <c r="S16" s="195">
        <f>[53]Ecarts_masses_tousrégimes!R56</f>
        <v>-0.30819638764448465</v>
      </c>
      <c r="T16" s="195">
        <f>[53]Ecarts_masses_tousrégimes!S56</f>
        <v>-0.32795753607323475</v>
      </c>
      <c r="U16" s="195">
        <f>[53]Ecarts_masses_tousrégimes!T56</f>
        <v>-0.34723802363070044</v>
      </c>
      <c r="V16" s="195">
        <f>[53]Ecarts_masses_tousrégimes!U56</f>
        <v>-0.36699254950106142</v>
      </c>
      <c r="W16" s="195">
        <f>[53]Ecarts_masses_tousrégimes!V56</f>
        <v>-0.38673315154113641</v>
      </c>
      <c r="X16" s="195">
        <f>[53]Ecarts_masses_tousrégimes!W56</f>
        <v>-0.40596336871345851</v>
      </c>
      <c r="Y16" s="195">
        <f>[53]Ecarts_masses_tousrégimes!X56</f>
        <v>-0.42538274968015011</v>
      </c>
      <c r="Z16" s="195">
        <f>[53]Ecarts_masses_tousrégimes!Y56</f>
        <v>-0.44526337864170029</v>
      </c>
      <c r="AA16" s="195">
        <f>[53]Ecarts_masses_tousrégimes!Z56</f>
        <v>-0.46375914965839893</v>
      </c>
      <c r="AB16" s="195">
        <f>[53]Ecarts_masses_tousrégimes!AA56</f>
        <v>-0.48240125062044703</v>
      </c>
      <c r="AC16" s="195">
        <f>[53]Ecarts_masses_tousrégimes!AB56</f>
        <v>-0.50260836884638938</v>
      </c>
      <c r="AD16" s="195">
        <f>[53]Ecarts_masses_tousrégimes!AC56</f>
        <v>-0.52123343491195162</v>
      </c>
      <c r="AE16" s="195">
        <f>[53]Ecarts_masses_tousrégimes!AD56</f>
        <v>-0.5377943851665512</v>
      </c>
      <c r="AF16" s="195">
        <f>[53]Ecarts_masses_tousrégimes!AE56</f>
        <v>-0.55281007372717073</v>
      </c>
      <c r="AG16" s="195">
        <f>[53]Ecarts_masses_tousrégimes!AF56</f>
        <v>-0.56710343074341529</v>
      </c>
      <c r="AH16" s="195">
        <f>[53]Ecarts_masses_tousrégimes!AG56</f>
        <v>-0.57941638665290607</v>
      </c>
      <c r="AI16" s="195">
        <f>[53]Ecarts_masses_tousrégimes!AH56</f>
        <v>-0.59127763951926804</v>
      </c>
      <c r="AJ16" s="195">
        <f>[53]Ecarts_masses_tousrégimes!AI56</f>
        <v>-0.60131245313485937</v>
      </c>
      <c r="AK16" s="195">
        <f>[53]Ecarts_masses_tousrégimes!AJ56</f>
        <v>-0.6108941394705929</v>
      </c>
      <c r="AL16" s="195">
        <f>[53]Ecarts_masses_tousrégimes!AK56</f>
        <v>-0.61770012573592714</v>
      </c>
      <c r="AM16" s="195">
        <f>[53]Ecarts_masses_tousrégimes!AL56</f>
        <v>-0.62350575610886272</v>
      </c>
      <c r="AN16" s="195">
        <f>[53]Ecarts_masses_tousrégimes!AM56</f>
        <v>-0.62828871394373598</v>
      </c>
      <c r="AO16" s="195">
        <f>[53]Ecarts_masses_tousrégimes!AN56</f>
        <v>-0.63225705034540869</v>
      </c>
      <c r="AP16" s="195">
        <f>[53]Ecarts_masses_tousrégimes!AO56</f>
        <v>-0.63459006852672684</v>
      </c>
      <c r="AQ16" s="195">
        <f>[53]Ecarts_masses_tousrégimes!AP56</f>
        <v>-0.63766254185663451</v>
      </c>
      <c r="AR16" s="195">
        <f>[53]Ecarts_masses_tousrégimes!AQ56</f>
        <v>-0.63933736114772155</v>
      </c>
      <c r="AS16" s="195">
        <f>[53]Ecarts_masses_tousrégimes!AR56</f>
        <v>-0.64022523694775391</v>
      </c>
      <c r="AT16" s="195">
        <f>[53]Ecarts_masses_tousrégimes!AS56</f>
        <v>-0.64105434482578727</v>
      </c>
      <c r="AU16" s="195">
        <f>[53]Ecarts_masses_tousrégimes!AT56</f>
        <v>-0.63984244234056487</v>
      </c>
      <c r="AV16" s="195">
        <f>[53]Ecarts_masses_tousrégimes!AU56</f>
        <v>-0.63765648896245974</v>
      </c>
      <c r="AW16" s="214">
        <f>[53]Ecarts_masses_tousrégimes!AV56</f>
        <v>-0.63574723509923747</v>
      </c>
    </row>
    <row r="17" spans="2:49">
      <c r="B17" s="299"/>
      <c r="C17" s="299"/>
      <c r="D17" s="202" t="s">
        <v>38</v>
      </c>
      <c r="E17" s="213">
        <f>[53]Ecarts_masses_tousrégimes!D57</f>
        <v>-1.1958408399454834E-2</v>
      </c>
      <c r="F17" s="195">
        <f>[53]Ecarts_masses_tousrégimes!E57</f>
        <v>-3.9921881156762984E-2</v>
      </c>
      <c r="G17" s="195">
        <f>[53]Ecarts_masses_tousrégimes!F57</f>
        <v>-6.6812645286143835E-2</v>
      </c>
      <c r="H17" s="195">
        <f>[53]Ecarts_masses_tousrégimes!G57</f>
        <v>-9.3568875208024815E-2</v>
      </c>
      <c r="I17" s="195">
        <f>[53]Ecarts_masses_tousrégimes!H57</f>
        <v>-0.12318196603967779</v>
      </c>
      <c r="J17" s="195">
        <f>[53]Ecarts_masses_tousrégimes!I57</f>
        <v>-0.14878141815931123</v>
      </c>
      <c r="K17" s="195">
        <f>[53]Ecarts_masses_tousrégimes!J57</f>
        <v>-0.17399959632135265</v>
      </c>
      <c r="L17" s="195">
        <f>[53]Ecarts_masses_tousrégimes!K57</f>
        <v>-0.19580266389023915</v>
      </c>
      <c r="M17" s="195">
        <f>[53]Ecarts_masses_tousrégimes!L57</f>
        <v>-0.21901839280877999</v>
      </c>
      <c r="N17" s="195">
        <f>[53]Ecarts_masses_tousrégimes!M57</f>
        <v>-0.23942899594501155</v>
      </c>
      <c r="O17" s="195">
        <f>[53]Ecarts_masses_tousrégimes!N57</f>
        <v>-0.26203406244259919</v>
      </c>
      <c r="P17" s="195">
        <f>[53]Ecarts_masses_tousrégimes!O57</f>
        <v>-0.28773132491816211</v>
      </c>
      <c r="Q17" s="195">
        <f>[53]Ecarts_masses_tousrégimes!P57</f>
        <v>-0.31049264399050169</v>
      </c>
      <c r="R17" s="195">
        <f>[53]Ecarts_masses_tousrégimes!Q57</f>
        <v>-0.32961457101744807</v>
      </c>
      <c r="S17" s="195">
        <f>[53]Ecarts_masses_tousrégimes!R57</f>
        <v>-0.3505732525643015</v>
      </c>
      <c r="T17" s="195">
        <f>[53]Ecarts_masses_tousrégimes!S57</f>
        <v>-0.36732891432249237</v>
      </c>
      <c r="U17" s="195">
        <f>[53]Ecarts_masses_tousrégimes!T57</f>
        <v>-0.38654446112104124</v>
      </c>
      <c r="V17" s="195">
        <f>[53]Ecarts_masses_tousrégimes!U57</f>
        <v>-0.39998841029102961</v>
      </c>
      <c r="W17" s="195">
        <f>[53]Ecarts_masses_tousrégimes!V57</f>
        <v>-0.42177803916924228</v>
      </c>
      <c r="X17" s="195">
        <f>[53]Ecarts_masses_tousrégimes!W57</f>
        <v>-0.44256150255006133</v>
      </c>
      <c r="Y17" s="195">
        <f>[53]Ecarts_masses_tousrégimes!X57</f>
        <v>-0.45914552501999839</v>
      </c>
      <c r="Z17" s="195">
        <f>[53]Ecarts_masses_tousrégimes!Y57</f>
        <v>-0.48341176759350668</v>
      </c>
      <c r="AA17" s="195">
        <f>[53]Ecarts_masses_tousrégimes!Z57</f>
        <v>-0.50014027206062095</v>
      </c>
      <c r="AB17" s="195">
        <f>[53]Ecarts_masses_tousrégimes!AA57</f>
        <v>-0.51631639324798484</v>
      </c>
      <c r="AC17" s="195">
        <f>[53]Ecarts_masses_tousrégimes!AB57</f>
        <v>-0.53154091386557312</v>
      </c>
      <c r="AD17" s="195">
        <f>[53]Ecarts_masses_tousrégimes!AC57</f>
        <v>-0.54404099898519742</v>
      </c>
      <c r="AE17" s="195">
        <f>[53]Ecarts_masses_tousrégimes!AD57</f>
        <v>-0.5604058870384695</v>
      </c>
      <c r="AF17" s="195">
        <f>[53]Ecarts_masses_tousrégimes!AE57</f>
        <v>-0.57475260655081617</v>
      </c>
      <c r="AG17" s="195">
        <f>[53]Ecarts_masses_tousrégimes!AF57</f>
        <v>-0.58804738756767305</v>
      </c>
      <c r="AH17" s="195">
        <f>[53]Ecarts_masses_tousrégimes!AG57</f>
        <v>-0.59684376685955276</v>
      </c>
      <c r="AI17" s="195">
        <f>[53]Ecarts_masses_tousrégimes!AH57</f>
        <v>-0.60490840201051876</v>
      </c>
      <c r="AJ17" s="195">
        <f>[53]Ecarts_masses_tousrégimes!AI57</f>
        <v>-0.61090347429301506</v>
      </c>
      <c r="AK17" s="195">
        <f>[53]Ecarts_masses_tousrégimes!AJ57</f>
        <v>-0.61527952145896836</v>
      </c>
      <c r="AL17" s="195">
        <f>[53]Ecarts_masses_tousrégimes!AK57</f>
        <v>-0.6190784806492895</v>
      </c>
      <c r="AM17" s="195">
        <f>[53]Ecarts_masses_tousrégimes!AL57</f>
        <v>-0.62349822145752665</v>
      </c>
      <c r="AN17" s="195">
        <f>[53]Ecarts_masses_tousrégimes!AM57</f>
        <v>-0.62302064678295233</v>
      </c>
      <c r="AO17" s="195">
        <f>[53]Ecarts_masses_tousrégimes!AN57</f>
        <v>-0.62853424448926976</v>
      </c>
      <c r="AP17" s="195">
        <f>[53]Ecarts_masses_tousrégimes!AO57</f>
        <v>-0.62860756279415986</v>
      </c>
      <c r="AQ17" s="195">
        <f>[53]Ecarts_masses_tousrégimes!AP57</f>
        <v>-0.62994923344391229</v>
      </c>
      <c r="AR17" s="195">
        <f>[53]Ecarts_masses_tousrégimes!AQ57</f>
        <v>-0.62891306193637986</v>
      </c>
      <c r="AS17" s="195">
        <f>[53]Ecarts_masses_tousrégimes!AR57</f>
        <v>-0.62806115369930704</v>
      </c>
      <c r="AT17" s="195">
        <f>[53]Ecarts_masses_tousrégimes!AS57</f>
        <v>-0.62864138403101422</v>
      </c>
      <c r="AU17" s="195">
        <f>[53]Ecarts_masses_tousrégimes!AT57</f>
        <v>-0.63021331624082522</v>
      </c>
      <c r="AV17" s="195">
        <f>[53]Ecarts_masses_tousrégimes!AU57</f>
        <v>-0.62704386612564478</v>
      </c>
      <c r="AW17" s="214">
        <f>[53]Ecarts_masses_tousrégimes!AV57</f>
        <v>-0.62373846626379525</v>
      </c>
    </row>
    <row r="18" spans="2:49">
      <c r="B18" s="299"/>
      <c r="C18" s="299"/>
      <c r="D18" s="202" t="s">
        <v>52</v>
      </c>
      <c r="E18" s="213">
        <f>[53]Ecarts_masses_tousrégimes!D58</f>
        <v>-1.0941806935569565E-2</v>
      </c>
      <c r="F18" s="195">
        <f>[53]Ecarts_masses_tousrégimes!E58</f>
        <v>-3.5985759021328723E-2</v>
      </c>
      <c r="G18" s="195">
        <f>[53]Ecarts_masses_tousrégimes!F58</f>
        <v>-6.3181182306749961E-2</v>
      </c>
      <c r="H18" s="195">
        <f>[53]Ecarts_masses_tousrégimes!G58</f>
        <v>-8.8990257585066512E-2</v>
      </c>
      <c r="I18" s="195">
        <f>[53]Ecarts_masses_tousrégimes!H58</f>
        <v>-0.11357839276529558</v>
      </c>
      <c r="J18" s="195">
        <f>[53]Ecarts_masses_tousrégimes!I58</f>
        <v>-0.13733567259509172</v>
      </c>
      <c r="K18" s="195">
        <f>[53]Ecarts_masses_tousrégimes!J58</f>
        <v>-0.16332580577185496</v>
      </c>
      <c r="L18" s="195">
        <f>[53]Ecarts_masses_tousrégimes!K58</f>
        <v>-0.19025052017985222</v>
      </c>
      <c r="M18" s="195">
        <f>[53]Ecarts_masses_tousrégimes!L58</f>
        <v>-0.21442882125384777</v>
      </c>
      <c r="N18" s="195">
        <f>[53]Ecarts_masses_tousrégimes!M58</f>
        <v>-0.23864980449264772</v>
      </c>
      <c r="O18" s="195">
        <f>[53]Ecarts_masses_tousrégimes!N58</f>
        <v>-0.26545806582661502</v>
      </c>
      <c r="P18" s="195">
        <f>[53]Ecarts_masses_tousrégimes!O58</f>
        <v>-0.28861250160766083</v>
      </c>
      <c r="Q18" s="195">
        <f>[53]Ecarts_masses_tousrégimes!P58</f>
        <v>-0.31263328102908328</v>
      </c>
      <c r="R18" s="195">
        <f>[53]Ecarts_masses_tousrégimes!Q58</f>
        <v>-0.33506665125709612</v>
      </c>
      <c r="S18" s="195">
        <f>[53]Ecarts_masses_tousrégimes!R58</f>
        <v>-0.35903651053279562</v>
      </c>
      <c r="T18" s="195">
        <f>[53]Ecarts_masses_tousrégimes!S58</f>
        <v>-0.38065690065542168</v>
      </c>
      <c r="U18" s="195">
        <f>[53]Ecarts_masses_tousrégimes!T58</f>
        <v>-0.40329611445853042</v>
      </c>
      <c r="V18" s="195">
        <f>[53]Ecarts_masses_tousrégimes!U58</f>
        <v>-0.42604396584938986</v>
      </c>
      <c r="W18" s="195">
        <f>[53]Ecarts_masses_tousrégimes!V58</f>
        <v>-0.44583135060604451</v>
      </c>
      <c r="X18" s="195">
        <f>[53]Ecarts_masses_tousrégimes!W58</f>
        <v>-0.4662610370375867</v>
      </c>
      <c r="Y18" s="195">
        <f>[53]Ecarts_masses_tousrégimes!X58</f>
        <v>-0.48714572408630386</v>
      </c>
      <c r="Z18" s="195">
        <f>[53]Ecarts_masses_tousrégimes!Y58</f>
        <v>-0.50688136920360471</v>
      </c>
      <c r="AA18" s="195">
        <f>[53]Ecarts_masses_tousrégimes!Z58</f>
        <v>-0.5250718293145491</v>
      </c>
      <c r="AB18" s="195">
        <f>[53]Ecarts_masses_tousrégimes!AA58</f>
        <v>-0.54446627885235399</v>
      </c>
      <c r="AC18" s="195">
        <f>[53]Ecarts_masses_tousrégimes!AB58</f>
        <v>-0.5637179661848889</v>
      </c>
      <c r="AD18" s="195">
        <f>[53]Ecarts_masses_tousrégimes!AC58</f>
        <v>-0.58124844841117351</v>
      </c>
      <c r="AE18" s="195">
        <f>[53]Ecarts_masses_tousrégimes!AD58</f>
        <v>-0.59858270727161755</v>
      </c>
      <c r="AF18" s="195">
        <f>[53]Ecarts_masses_tousrégimes!AE58</f>
        <v>-0.61140053714890064</v>
      </c>
      <c r="AG18" s="195">
        <f>[53]Ecarts_masses_tousrégimes!AF58</f>
        <v>-0.62199124613011336</v>
      </c>
      <c r="AH18" s="195">
        <f>[53]Ecarts_masses_tousrégimes!AG58</f>
        <v>-0.63190924687300298</v>
      </c>
      <c r="AI18" s="195">
        <f>[53]Ecarts_masses_tousrégimes!AH58</f>
        <v>-0.64343340168015706</v>
      </c>
      <c r="AJ18" s="195">
        <f>[53]Ecarts_masses_tousrégimes!AI58</f>
        <v>-0.64890286109318085</v>
      </c>
      <c r="AK18" s="195">
        <f>[53]Ecarts_masses_tousrégimes!AJ58</f>
        <v>-0.65597073477123069</v>
      </c>
      <c r="AL18" s="195">
        <f>[53]Ecarts_masses_tousrégimes!AK58</f>
        <v>-0.66112519448926688</v>
      </c>
      <c r="AM18" s="195">
        <f>[53]Ecarts_masses_tousrégimes!AL58</f>
        <v>-0.66735889978839869</v>
      </c>
      <c r="AN18" s="195">
        <f>[53]Ecarts_masses_tousrégimes!AM58</f>
        <v>-0.66916724678159323</v>
      </c>
      <c r="AO18" s="195">
        <f>[53]Ecarts_masses_tousrégimes!AN58</f>
        <v>-0.67027404137796243</v>
      </c>
      <c r="AP18" s="195">
        <f>[53]Ecarts_masses_tousrégimes!AO58</f>
        <v>-0.67127782248635537</v>
      </c>
      <c r="AQ18" s="195">
        <f>[53]Ecarts_masses_tousrégimes!AP58</f>
        <v>-0.67165810371896928</v>
      </c>
      <c r="AR18" s="195">
        <f>[53]Ecarts_masses_tousrégimes!AQ58</f>
        <v>-0.67250868656983154</v>
      </c>
      <c r="AS18" s="195">
        <f>[53]Ecarts_masses_tousrégimes!AR58</f>
        <v>-0.67333452372971658</v>
      </c>
      <c r="AT18" s="195">
        <f>[53]Ecarts_masses_tousrégimes!AS58</f>
        <v>-0.67196658654960606</v>
      </c>
      <c r="AU18" s="195">
        <f>[53]Ecarts_masses_tousrégimes!AT58</f>
        <v>-0.66854395407112588</v>
      </c>
      <c r="AV18" s="195">
        <f>[53]Ecarts_masses_tousrégimes!AU58</f>
        <v>-0.66602784456992969</v>
      </c>
      <c r="AW18" s="214">
        <f>[53]Ecarts_masses_tousrégimes!AV58</f>
        <v>-0.6618690102347633</v>
      </c>
    </row>
    <row r="19" spans="2:49">
      <c r="B19" s="299"/>
      <c r="C19" s="299"/>
      <c r="D19" s="202" t="s">
        <v>54</v>
      </c>
      <c r="E19" s="213">
        <f>[53]Ecarts_masses_tousrégimes!D59</f>
        <v>-2.9025666521038662E-3</v>
      </c>
      <c r="F19" s="195">
        <f>[53]Ecarts_masses_tousrégimes!E59</f>
        <v>-1.6855904678974354E-2</v>
      </c>
      <c r="G19" s="195">
        <f>[53]Ecarts_masses_tousrégimes!F59</f>
        <v>-3.2344554669345826E-2</v>
      </c>
      <c r="H19" s="195">
        <f>[53]Ecarts_masses_tousrégimes!G59</f>
        <v>-4.8952613376476384E-2</v>
      </c>
      <c r="I19" s="195">
        <f>[53]Ecarts_masses_tousrégimes!H59</f>
        <v>-6.6125060493985255E-2</v>
      </c>
      <c r="J19" s="195">
        <f>[53]Ecarts_masses_tousrégimes!I59</f>
        <v>-8.4119672971217141E-2</v>
      </c>
      <c r="K19" s="195">
        <f>[53]Ecarts_masses_tousrégimes!J59</f>
        <v>-0.1003517710771421</v>
      </c>
      <c r="L19" s="195">
        <f>[53]Ecarts_masses_tousrégimes!K59</f>
        <v>-0.11803932912127502</v>
      </c>
      <c r="M19" s="195">
        <f>[53]Ecarts_masses_tousrégimes!L59</f>
        <v>-0.13544521777824359</v>
      </c>
      <c r="N19" s="195">
        <f>[53]Ecarts_masses_tousrégimes!M59</f>
        <v>-0.15213521402013053</v>
      </c>
      <c r="O19" s="195">
        <f>[53]Ecarts_masses_tousrégimes!N59</f>
        <v>-0.17096984088960887</v>
      </c>
      <c r="P19" s="195">
        <f>[53]Ecarts_masses_tousrégimes!O59</f>
        <v>-0.1868145124587276</v>
      </c>
      <c r="Q19" s="195">
        <f>[53]Ecarts_masses_tousrégimes!P59</f>
        <v>-0.20380164327274852</v>
      </c>
      <c r="R19" s="195">
        <f>[53]Ecarts_masses_tousrégimes!Q59</f>
        <v>-0.22199262901093675</v>
      </c>
      <c r="S19" s="195">
        <f>[53]Ecarts_masses_tousrégimes!R59</f>
        <v>-0.2394702189372846</v>
      </c>
      <c r="T19" s="195">
        <f>[53]Ecarts_masses_tousrégimes!S59</f>
        <v>-0.25603252255233644</v>
      </c>
      <c r="U19" s="195">
        <f>[53]Ecarts_masses_tousrégimes!T59</f>
        <v>-0.27248455556494267</v>
      </c>
      <c r="V19" s="195">
        <f>[53]Ecarts_masses_tousrégimes!U59</f>
        <v>-0.28869182913248659</v>
      </c>
      <c r="W19" s="195">
        <f>[53]Ecarts_masses_tousrégimes!V59</f>
        <v>-0.30541562941777367</v>
      </c>
      <c r="X19" s="195">
        <f>[53]Ecarts_masses_tousrégimes!W59</f>
        <v>-0.3222842837455494</v>
      </c>
      <c r="Y19" s="195">
        <f>[53]Ecarts_masses_tousrégimes!X59</f>
        <v>-0.33961444392856321</v>
      </c>
      <c r="Z19" s="195">
        <f>[53]Ecarts_masses_tousrégimes!Y59</f>
        <v>-0.35528011201242871</v>
      </c>
      <c r="AA19" s="195">
        <f>[53]Ecarts_masses_tousrégimes!Z59</f>
        <v>-0.37206903437381456</v>
      </c>
      <c r="AB19" s="195">
        <f>[53]Ecarts_masses_tousrégimes!AA59</f>
        <v>-0.39235916683953787</v>
      </c>
      <c r="AC19" s="195">
        <f>[53]Ecarts_masses_tousrégimes!AB59</f>
        <v>-0.40985919253034453</v>
      </c>
      <c r="AD19" s="195">
        <f>[53]Ecarts_masses_tousrégimes!AC59</f>
        <v>-0.42858100593539517</v>
      </c>
      <c r="AE19" s="195">
        <f>[53]Ecarts_masses_tousrégimes!AD59</f>
        <v>-0.44486013213349096</v>
      </c>
      <c r="AF19" s="195">
        <f>[53]Ecarts_masses_tousrégimes!AE59</f>
        <v>-0.45970162230358647</v>
      </c>
      <c r="AG19" s="195">
        <f>[53]Ecarts_masses_tousrégimes!AF59</f>
        <v>-0.47480387499452192</v>
      </c>
      <c r="AH19" s="195">
        <f>[53]Ecarts_masses_tousrégimes!AG59</f>
        <v>-0.48585459842649203</v>
      </c>
      <c r="AI19" s="195">
        <f>[53]Ecarts_masses_tousrégimes!AH59</f>
        <v>-0.4969037983897272</v>
      </c>
      <c r="AJ19" s="195">
        <f>[53]Ecarts_masses_tousrégimes!AI59</f>
        <v>-0.50770933093720727</v>
      </c>
      <c r="AK19" s="195">
        <f>[53]Ecarts_masses_tousrégimes!AJ59</f>
        <v>-0.51783588643976297</v>
      </c>
      <c r="AL19" s="195">
        <f>[53]Ecarts_masses_tousrégimes!AK59</f>
        <v>-0.52618603151540166</v>
      </c>
      <c r="AM19" s="195">
        <f>[53]Ecarts_masses_tousrégimes!AL59</f>
        <v>-0.53436809070002678</v>
      </c>
      <c r="AN19" s="195">
        <f>[53]Ecarts_masses_tousrégimes!AM59</f>
        <v>-0.54182276970083942</v>
      </c>
      <c r="AO19" s="195">
        <f>[53]Ecarts_masses_tousrégimes!AN59</f>
        <v>-0.54616882753115858</v>
      </c>
      <c r="AP19" s="195">
        <f>[53]Ecarts_masses_tousrégimes!AO59</f>
        <v>-0.54738275525655222</v>
      </c>
      <c r="AQ19" s="195">
        <f>[53]Ecarts_masses_tousrégimes!AP59</f>
        <v>-0.54996589176744393</v>
      </c>
      <c r="AR19" s="195">
        <f>[53]Ecarts_masses_tousrégimes!AQ59</f>
        <v>-0.54972255418633797</v>
      </c>
      <c r="AS19" s="195">
        <f>[53]Ecarts_masses_tousrégimes!AR59</f>
        <v>-0.54881309668957423</v>
      </c>
      <c r="AT19" s="195">
        <f>[53]Ecarts_masses_tousrégimes!AS59</f>
        <v>-0.54869397128022734</v>
      </c>
      <c r="AU19" s="195">
        <f>[53]Ecarts_masses_tousrégimes!AT59</f>
        <v>-0.54870206733814997</v>
      </c>
      <c r="AV19" s="195">
        <f>[53]Ecarts_masses_tousrégimes!AU59</f>
        <v>-0.54626870142444939</v>
      </c>
      <c r="AW19" s="214">
        <f>[53]Ecarts_masses_tousrégimes!AV59</f>
        <v>-0.54233279884234076</v>
      </c>
    </row>
    <row r="20" spans="2:49">
      <c r="B20" s="299"/>
      <c r="C20" s="299"/>
      <c r="D20" s="202" t="s">
        <v>45</v>
      </c>
      <c r="E20" s="213">
        <f>[53]Ecarts_masses_tousrégimes!D60</f>
        <v>-2.0051198062143172E-3</v>
      </c>
      <c r="F20" s="195">
        <f>[53]Ecarts_masses_tousrégimes!E60</f>
        <v>-9.8319773700463742E-3</v>
      </c>
      <c r="G20" s="195">
        <f>[53]Ecarts_masses_tousrégimes!F60</f>
        <v>-1.9569788234801933E-2</v>
      </c>
      <c r="H20" s="195">
        <f>[53]Ecarts_masses_tousrégimes!G60</f>
        <v>-3.0630955124005932E-2</v>
      </c>
      <c r="I20" s="195">
        <f>[53]Ecarts_masses_tousrégimes!H60</f>
        <v>-4.1582551774421939E-2</v>
      </c>
      <c r="J20" s="195">
        <f>[53]Ecarts_masses_tousrégimes!I60</f>
        <v>-5.5931464484995419E-2</v>
      </c>
      <c r="K20" s="195">
        <f>[53]Ecarts_masses_tousrégimes!J60</f>
        <v>-6.8402826356273816E-2</v>
      </c>
      <c r="L20" s="195">
        <f>[53]Ecarts_masses_tousrégimes!K60</f>
        <v>-8.3807785234093379E-2</v>
      </c>
      <c r="M20" s="195">
        <f>[53]Ecarts_masses_tousrégimes!L60</f>
        <v>-0.10158634547403189</v>
      </c>
      <c r="N20" s="195">
        <f>[53]Ecarts_masses_tousrégimes!M60</f>
        <v>-0.11913908859233835</v>
      </c>
      <c r="O20" s="195">
        <f>[53]Ecarts_masses_tousrégimes!N60</f>
        <v>-0.14046436269911777</v>
      </c>
      <c r="P20" s="195">
        <f>[53]Ecarts_masses_tousrégimes!O60</f>
        <v>-0.15765941366135383</v>
      </c>
      <c r="Q20" s="195">
        <f>[53]Ecarts_masses_tousrégimes!P60</f>
        <v>-0.17811216074153935</v>
      </c>
      <c r="R20" s="195">
        <f>[53]Ecarts_masses_tousrégimes!Q60</f>
        <v>-0.19843634656479248</v>
      </c>
      <c r="S20" s="195">
        <f>[53]Ecarts_masses_tousrégimes!R60</f>
        <v>-0.21447959535214078</v>
      </c>
      <c r="T20" s="195">
        <f>[53]Ecarts_masses_tousrégimes!S60</f>
        <v>-0.23328077039690143</v>
      </c>
      <c r="U20" s="195">
        <f>[53]Ecarts_masses_tousrégimes!T60</f>
        <v>-0.25589622977467474</v>
      </c>
      <c r="V20" s="195">
        <f>[53]Ecarts_masses_tousrégimes!U60</f>
        <v>-0.27330097160881606</v>
      </c>
      <c r="W20" s="195">
        <f>[53]Ecarts_masses_tousrégimes!V60</f>
        <v>-0.29297186753377125</v>
      </c>
      <c r="X20" s="195">
        <f>[53]Ecarts_masses_tousrégimes!W60</f>
        <v>-0.31367680915645668</v>
      </c>
      <c r="Y20" s="195">
        <f>[53]Ecarts_masses_tousrégimes!X60</f>
        <v>-0.33241041853261555</v>
      </c>
      <c r="Z20" s="195">
        <f>[53]Ecarts_masses_tousrégimes!Y60</f>
        <v>-0.35423973114892948</v>
      </c>
      <c r="AA20" s="195">
        <f>[53]Ecarts_masses_tousrégimes!Z60</f>
        <v>-0.37585807052145859</v>
      </c>
      <c r="AB20" s="195">
        <f>[53]Ecarts_masses_tousrégimes!AA60</f>
        <v>-0.39823056653569511</v>
      </c>
      <c r="AC20" s="195">
        <f>[53]Ecarts_masses_tousrégimes!AB60</f>
        <v>-0.41557333363969362</v>
      </c>
      <c r="AD20" s="195">
        <f>[53]Ecarts_masses_tousrégimes!AC60</f>
        <v>-0.43486533252411674</v>
      </c>
      <c r="AE20" s="195">
        <f>[53]Ecarts_masses_tousrégimes!AD60</f>
        <v>-0.45322856076418283</v>
      </c>
      <c r="AF20" s="195">
        <f>[53]Ecarts_masses_tousrégimes!AE60</f>
        <v>-0.4661390115482531</v>
      </c>
      <c r="AG20" s="195">
        <f>[53]Ecarts_masses_tousrégimes!AF60</f>
        <v>-0.47886864636362458</v>
      </c>
      <c r="AH20" s="195">
        <f>[53]Ecarts_masses_tousrégimes!AG60</f>
        <v>-0.48977885214615102</v>
      </c>
      <c r="AI20" s="195">
        <f>[53]Ecarts_masses_tousrégimes!AH60</f>
        <v>-0.50393246166320649</v>
      </c>
      <c r="AJ20" s="195">
        <f>[53]Ecarts_masses_tousrégimes!AI60</f>
        <v>-0.5192591035468519</v>
      </c>
      <c r="AK20" s="195">
        <f>[53]Ecarts_masses_tousrégimes!AJ60</f>
        <v>-0.53419205605445796</v>
      </c>
      <c r="AL20" s="195">
        <f>[53]Ecarts_masses_tousrégimes!AK60</f>
        <v>-0.54424389822389707</v>
      </c>
      <c r="AM20" s="195">
        <f>[53]Ecarts_masses_tousrégimes!AL60</f>
        <v>-0.55418745459373286</v>
      </c>
      <c r="AN20" s="195">
        <f>[53]Ecarts_masses_tousrégimes!AM60</f>
        <v>-0.56100006616472964</v>
      </c>
      <c r="AO20" s="195">
        <f>[53]Ecarts_masses_tousrégimes!AN60</f>
        <v>-0.55904052071338739</v>
      </c>
      <c r="AP20" s="195">
        <f>[53]Ecarts_masses_tousrégimes!AO60</f>
        <v>-0.55934554436271378</v>
      </c>
      <c r="AQ20" s="195">
        <f>[53]Ecarts_masses_tousrégimes!AP60</f>
        <v>-0.55633430397828054</v>
      </c>
      <c r="AR20" s="195">
        <f>[53]Ecarts_masses_tousrégimes!AQ60</f>
        <v>-0.55772539437473556</v>
      </c>
      <c r="AS20" s="195">
        <f>[53]Ecarts_masses_tousrégimes!AR60</f>
        <v>-0.55770178572722773</v>
      </c>
      <c r="AT20" s="195">
        <f>[53]Ecarts_masses_tousrégimes!AS60</f>
        <v>-0.56415535146773521</v>
      </c>
      <c r="AU20" s="195">
        <f>[53]Ecarts_masses_tousrégimes!AT60</f>
        <v>-0.56696300768602892</v>
      </c>
      <c r="AV20" s="195">
        <f>[53]Ecarts_masses_tousrégimes!AU60</f>
        <v>-0.57416905765447501</v>
      </c>
      <c r="AW20" s="214">
        <f>[53]Ecarts_masses_tousrégimes!AV60</f>
        <v>-0.57222092273289271</v>
      </c>
    </row>
    <row r="21" spans="2:49">
      <c r="B21" s="299"/>
      <c r="C21" s="299"/>
      <c r="D21" s="202" t="s">
        <v>46</v>
      </c>
      <c r="E21" s="213">
        <f>[53]Ecarts_masses_tousrégimes!D61</f>
        <v>-9.3410828661155687E-3</v>
      </c>
      <c r="F21" s="195">
        <f>[53]Ecarts_masses_tousrégimes!E61</f>
        <v>-2.7169467891029808E-2</v>
      </c>
      <c r="G21" s="195">
        <f>[53]Ecarts_masses_tousrégimes!F61</f>
        <v>-4.5231442259736632E-2</v>
      </c>
      <c r="H21" s="195">
        <f>[53]Ecarts_masses_tousrégimes!G61</f>
        <v>-6.4403044809200671E-2</v>
      </c>
      <c r="I21" s="195">
        <f>[53]Ecarts_masses_tousrégimes!H61</f>
        <v>-8.6198984196384054E-2</v>
      </c>
      <c r="J21" s="195">
        <f>[53]Ecarts_masses_tousrégimes!I61</f>
        <v>-0.11053636663655886</v>
      </c>
      <c r="K21" s="195">
        <f>[53]Ecarts_masses_tousrégimes!J61</f>
        <v>-0.14073776094288259</v>
      </c>
      <c r="L21" s="195">
        <f>[53]Ecarts_masses_tousrégimes!K61</f>
        <v>-0.162526619443491</v>
      </c>
      <c r="M21" s="195">
        <f>[53]Ecarts_masses_tousrégimes!L61</f>
        <v>-0.18455433410114863</v>
      </c>
      <c r="N21" s="195">
        <f>[53]Ecarts_masses_tousrégimes!M61</f>
        <v>-0.20532375096074085</v>
      </c>
      <c r="O21" s="195">
        <f>[53]Ecarts_masses_tousrégimes!N61</f>
        <v>-0.22705258508189086</v>
      </c>
      <c r="P21" s="195">
        <f>[53]Ecarts_masses_tousrégimes!O61</f>
        <v>-0.24879070267625369</v>
      </c>
      <c r="Q21" s="195">
        <f>[53]Ecarts_masses_tousrégimes!P61</f>
        <v>-0.26950489839282177</v>
      </c>
      <c r="R21" s="195">
        <f>[53]Ecarts_masses_tousrégimes!Q61</f>
        <v>-0.2890972120571017</v>
      </c>
      <c r="S21" s="195">
        <f>[53]Ecarts_masses_tousrégimes!R61</f>
        <v>-0.30404526104702134</v>
      </c>
      <c r="T21" s="195">
        <f>[53]Ecarts_masses_tousrégimes!S61</f>
        <v>-0.32257302824731993</v>
      </c>
      <c r="U21" s="195">
        <f>[53]Ecarts_masses_tousrégimes!T61</f>
        <v>-0.34181973264640408</v>
      </c>
      <c r="V21" s="195">
        <f>[53]Ecarts_masses_tousrégimes!U61</f>
        <v>-0.3635415203369442</v>
      </c>
      <c r="W21" s="195">
        <f>[53]Ecarts_masses_tousrégimes!V61</f>
        <v>-0.38072747128440743</v>
      </c>
      <c r="X21" s="195">
        <f>[53]Ecarts_masses_tousrégimes!W61</f>
        <v>-0.39972049494238804</v>
      </c>
      <c r="Y21" s="195">
        <f>[53]Ecarts_masses_tousrégimes!X61</f>
        <v>-0.4199448828408382</v>
      </c>
      <c r="Z21" s="195">
        <f>[53]Ecarts_masses_tousrégimes!Y61</f>
        <v>-0.436168787539289</v>
      </c>
      <c r="AA21" s="195">
        <f>[53]Ecarts_masses_tousrégimes!Z61</f>
        <v>-0.45405595111850383</v>
      </c>
      <c r="AB21" s="195">
        <f>[53]Ecarts_masses_tousrégimes!AA61</f>
        <v>-0.47180903085450299</v>
      </c>
      <c r="AC21" s="195">
        <f>[53]Ecarts_masses_tousrégimes!AB61</f>
        <v>-0.49123727131039374</v>
      </c>
      <c r="AD21" s="195">
        <f>[53]Ecarts_masses_tousrégimes!AC61</f>
        <v>-0.51353647676228475</v>
      </c>
      <c r="AE21" s="195">
        <f>[53]Ecarts_masses_tousrégimes!AD61</f>
        <v>-0.52851412082205951</v>
      </c>
      <c r="AF21" s="195">
        <f>[53]Ecarts_masses_tousrégimes!AE61</f>
        <v>-0.54291045752931866</v>
      </c>
      <c r="AG21" s="195">
        <f>[53]Ecarts_masses_tousrégimes!AF61</f>
        <v>-0.55222749659681702</v>
      </c>
      <c r="AH21" s="195">
        <f>[53]Ecarts_masses_tousrégimes!AG61</f>
        <v>-0.56284901243622165</v>
      </c>
      <c r="AI21" s="195">
        <f>[53]Ecarts_masses_tousrégimes!AH61</f>
        <v>-0.57321208594663742</v>
      </c>
      <c r="AJ21" s="195">
        <f>[53]Ecarts_masses_tousrégimes!AI61</f>
        <v>-0.58451308832843307</v>
      </c>
      <c r="AK21" s="195">
        <f>[53]Ecarts_masses_tousrégimes!AJ61</f>
        <v>-0.59168207684592056</v>
      </c>
      <c r="AL21" s="195">
        <f>[53]Ecarts_masses_tousrégimes!AK61</f>
        <v>-0.59887467701043273</v>
      </c>
      <c r="AM21" s="195">
        <f>[53]Ecarts_masses_tousrégimes!AL61</f>
        <v>-0.60261241287926892</v>
      </c>
      <c r="AN21" s="195">
        <f>[53]Ecarts_masses_tousrégimes!AM61</f>
        <v>-0.60565440036851614</v>
      </c>
      <c r="AO21" s="195">
        <f>[53]Ecarts_masses_tousrégimes!AN61</f>
        <v>-0.60901805508829021</v>
      </c>
      <c r="AP21" s="195">
        <f>[53]Ecarts_masses_tousrégimes!AO61</f>
        <v>-0.61088382084341675</v>
      </c>
      <c r="AQ21" s="195">
        <f>[53]Ecarts_masses_tousrégimes!AP61</f>
        <v>-0.61578585408873443</v>
      </c>
      <c r="AR21" s="195">
        <f>[53]Ecarts_masses_tousrégimes!AQ61</f>
        <v>-0.61569426443993946</v>
      </c>
      <c r="AS21" s="195">
        <f>[53]Ecarts_masses_tousrégimes!AR61</f>
        <v>-0.61379134222117382</v>
      </c>
      <c r="AT21" s="195">
        <f>[53]Ecarts_masses_tousrégimes!AS61</f>
        <v>-0.60827458375894738</v>
      </c>
      <c r="AU21" s="195">
        <f>[53]Ecarts_masses_tousrégimes!AT61</f>
        <v>-0.6098097267585636</v>
      </c>
      <c r="AV21" s="195">
        <f>[53]Ecarts_masses_tousrégimes!AU61</f>
        <v>-0.60840048027466764</v>
      </c>
      <c r="AW21" s="214">
        <f>[53]Ecarts_masses_tousrégimes!AV61</f>
        <v>-0.60261959032683121</v>
      </c>
    </row>
    <row r="22" spans="2:49" ht="15" thickBot="1">
      <c r="B22" s="299"/>
      <c r="C22" s="300"/>
      <c r="D22" s="202" t="s">
        <v>55</v>
      </c>
      <c r="E22" s="250">
        <f>[53]Ecarts_masses_tousrégimes!D62</f>
        <v>-6.0093806392107485E-3</v>
      </c>
      <c r="F22" s="251">
        <f>[53]Ecarts_masses_tousrégimes!E62</f>
        <v>-1.7351536081883112E-2</v>
      </c>
      <c r="G22" s="251">
        <f>[53]Ecarts_masses_tousrégimes!F62</f>
        <v>-3.1748212964624045E-2</v>
      </c>
      <c r="H22" s="251">
        <f>[53]Ecarts_masses_tousrégimes!G62</f>
        <v>-4.4646023102160481E-2</v>
      </c>
      <c r="I22" s="251">
        <f>[53]Ecarts_masses_tousrégimes!H62</f>
        <v>-5.799483307328912E-2</v>
      </c>
      <c r="J22" s="251">
        <f>[53]Ecarts_masses_tousrégimes!I62</f>
        <v>-7.3116529205481395E-2</v>
      </c>
      <c r="K22" s="251">
        <f>[53]Ecarts_masses_tousrégimes!J62</f>
        <v>-8.7656318005095768E-2</v>
      </c>
      <c r="L22" s="251">
        <f>[53]Ecarts_masses_tousrégimes!K62</f>
        <v>-0.10123058256436668</v>
      </c>
      <c r="M22" s="251">
        <f>[53]Ecarts_masses_tousrégimes!L62</f>
        <v>-0.11727685598067594</v>
      </c>
      <c r="N22" s="251">
        <f>[53]Ecarts_masses_tousrégimes!M62</f>
        <v>-0.13469880672056911</v>
      </c>
      <c r="O22" s="251">
        <f>[53]Ecarts_masses_tousrégimes!N62</f>
        <v>-0.14965481401824599</v>
      </c>
      <c r="P22" s="251">
        <f>[53]Ecarts_masses_tousrégimes!O62</f>
        <v>-0.16542047825340989</v>
      </c>
      <c r="Q22" s="251">
        <f>[53]Ecarts_masses_tousrégimes!P62</f>
        <v>-0.1807167826525784</v>
      </c>
      <c r="R22" s="251">
        <f>[53]Ecarts_masses_tousrégimes!Q62</f>
        <v>-0.19453770706318774</v>
      </c>
      <c r="S22" s="251">
        <f>[53]Ecarts_masses_tousrégimes!R62</f>
        <v>-0.20823590181048257</v>
      </c>
      <c r="T22" s="251">
        <f>[53]Ecarts_masses_tousrégimes!S62</f>
        <v>-0.2222717206481809</v>
      </c>
      <c r="U22" s="251">
        <f>[53]Ecarts_masses_tousrégimes!T62</f>
        <v>-0.23591238133902959</v>
      </c>
      <c r="V22" s="251">
        <f>[53]Ecarts_masses_tousrégimes!U62</f>
        <v>-0.2504652907318714</v>
      </c>
      <c r="W22" s="251">
        <f>[53]Ecarts_masses_tousrégimes!V62</f>
        <v>-0.26432947851994648</v>
      </c>
      <c r="X22" s="251">
        <f>[53]Ecarts_masses_tousrégimes!W62</f>
        <v>-0.27587098758026374</v>
      </c>
      <c r="Y22" s="251">
        <f>[53]Ecarts_masses_tousrégimes!X62</f>
        <v>-0.28871115942725445</v>
      </c>
      <c r="Z22" s="251">
        <f>[53]Ecarts_masses_tousrégimes!Y62</f>
        <v>-0.30366516004070787</v>
      </c>
      <c r="AA22" s="251">
        <f>[53]Ecarts_masses_tousrégimes!Z62</f>
        <v>-0.31225026955883894</v>
      </c>
      <c r="AB22" s="251">
        <f>[53]Ecarts_masses_tousrégimes!AA62</f>
        <v>-0.3228868982701476</v>
      </c>
      <c r="AC22" s="251">
        <f>[53]Ecarts_masses_tousrégimes!AB62</f>
        <v>-0.33489547715506995</v>
      </c>
      <c r="AD22" s="251">
        <f>[53]Ecarts_masses_tousrégimes!AC62</f>
        <v>-0.34415147790724654</v>
      </c>
      <c r="AE22" s="251">
        <f>[53]Ecarts_masses_tousrégimes!AD62</f>
        <v>-0.35758746908339178</v>
      </c>
      <c r="AF22" s="251">
        <f>[53]Ecarts_masses_tousrégimes!AE62</f>
        <v>-0.3654322916527557</v>
      </c>
      <c r="AG22" s="251">
        <f>[53]Ecarts_masses_tousrégimes!AF62</f>
        <v>-0.37334520678805871</v>
      </c>
      <c r="AH22" s="251">
        <f>[53]Ecarts_masses_tousrégimes!AG62</f>
        <v>-0.38459793778212747</v>
      </c>
      <c r="AI22" s="251">
        <f>[53]Ecarts_masses_tousrégimes!AH62</f>
        <v>-0.38829549766959282</v>
      </c>
      <c r="AJ22" s="251">
        <f>[53]Ecarts_masses_tousrégimes!AI62</f>
        <v>-0.39661064060141482</v>
      </c>
      <c r="AK22" s="251">
        <f>[53]Ecarts_masses_tousrégimes!AJ62</f>
        <v>-0.39751197451081477</v>
      </c>
      <c r="AL22" s="251">
        <f>[53]Ecarts_masses_tousrégimes!AK62</f>
        <v>-0.40246907548292354</v>
      </c>
      <c r="AM22" s="251">
        <f>[53]Ecarts_masses_tousrégimes!AL62</f>
        <v>-0.40866364715251136</v>
      </c>
      <c r="AN22" s="251">
        <f>[53]Ecarts_masses_tousrégimes!AM62</f>
        <v>-0.41031439097169786</v>
      </c>
      <c r="AO22" s="251">
        <f>[53]Ecarts_masses_tousrégimes!AN62</f>
        <v>-0.41076845210096125</v>
      </c>
      <c r="AP22" s="251">
        <f>[53]Ecarts_masses_tousrégimes!AO62</f>
        <v>-0.41709972536538387</v>
      </c>
      <c r="AQ22" s="251">
        <f>[53]Ecarts_masses_tousrégimes!AP62</f>
        <v>-0.42147490511973185</v>
      </c>
      <c r="AR22" s="251">
        <f>[53]Ecarts_masses_tousrégimes!AQ62</f>
        <v>-0.42273282912396426</v>
      </c>
      <c r="AS22" s="251">
        <f>[53]Ecarts_masses_tousrégimes!AR62</f>
        <v>-0.42032159484480069</v>
      </c>
      <c r="AT22" s="251">
        <f>[53]Ecarts_masses_tousrégimes!AS62</f>
        <v>-0.41115748472571811</v>
      </c>
      <c r="AU22" s="251">
        <f>[53]Ecarts_masses_tousrégimes!AT62</f>
        <v>-0.39514493242463355</v>
      </c>
      <c r="AV22" s="251">
        <f>[53]Ecarts_masses_tousrégimes!AU62</f>
        <v>-0.38911149653764665</v>
      </c>
      <c r="AW22" s="252">
        <f>[53]Ecarts_masses_tousrégimes!AV62</f>
        <v>-0.38244906503562925</v>
      </c>
    </row>
    <row r="23" spans="2:49" ht="26.25" thickBot="1">
      <c r="B23" s="299"/>
      <c r="C23" s="212" t="s">
        <v>59</v>
      </c>
      <c r="D23" s="247" t="s">
        <v>6</v>
      </c>
      <c r="E23" s="253">
        <f>[55]Ecarts_masses_tousrégimes_DP!D10</f>
        <v>-4.7076194445305752E-4</v>
      </c>
      <c r="F23" s="254">
        <f>[55]Ecarts_masses_tousrégimes_DP!E10</f>
        <v>-1.6243483947204762E-3</v>
      </c>
      <c r="G23" s="254">
        <f>[55]Ecarts_masses_tousrégimes_DP!F10</f>
        <v>-2.8859303936721314E-3</v>
      </c>
      <c r="H23" s="254">
        <f>[55]Ecarts_masses_tousrégimes_DP!G10</f>
        <v>-4.1980770365481757E-3</v>
      </c>
      <c r="I23" s="254">
        <f>[55]Ecarts_masses_tousrégimes_DP!H10</f>
        <v>-5.6010847851991619E-3</v>
      </c>
      <c r="J23" s="254">
        <f>[55]Ecarts_masses_tousrégimes_DP!I10</f>
        <v>-7.0726789653970945E-3</v>
      </c>
      <c r="K23" s="254">
        <f>[55]Ecarts_masses_tousrégimes_DP!J10</f>
        <v>-8.4489188976697438E-3</v>
      </c>
      <c r="L23" s="254">
        <f>[55]Ecarts_masses_tousrégimes_DP!K10</f>
        <v>-9.7526817834423518E-3</v>
      </c>
      <c r="M23" s="254">
        <f>[55]Ecarts_masses_tousrégimes_DP!L10</f>
        <v>-1.1052007203803393E-2</v>
      </c>
      <c r="N23" s="254">
        <f>[55]Ecarts_masses_tousrégimes_DP!M10</f>
        <v>-1.2251683168442495E-2</v>
      </c>
      <c r="O23" s="254">
        <f>[55]Ecarts_masses_tousrégimes_DP!N10</f>
        <v>-1.3563492469125693E-2</v>
      </c>
      <c r="P23" s="254">
        <f>[55]Ecarts_masses_tousrégimes_DP!O10</f>
        <v>-1.4713713505419834E-2</v>
      </c>
      <c r="Q23" s="254">
        <f>[55]Ecarts_masses_tousrégimes_DP!P10</f>
        <v>-1.5889637642715781E-2</v>
      </c>
      <c r="R23" s="254">
        <f>[55]Ecarts_masses_tousrégimes_DP!Q10</f>
        <v>-1.7020300849933001E-2</v>
      </c>
      <c r="S23" s="254">
        <f>[55]Ecarts_masses_tousrégimes_DP!R10</f>
        <v>-1.8118049929299551E-2</v>
      </c>
      <c r="T23" s="254">
        <f>[55]Ecarts_masses_tousrégimes_DP!S10</f>
        <v>-1.9109825345083986E-2</v>
      </c>
      <c r="U23" s="254">
        <f>[55]Ecarts_masses_tousrégimes_DP!T10</f>
        <v>-1.9992871906456045E-2</v>
      </c>
      <c r="V23" s="254">
        <f>[55]Ecarts_masses_tousrégimes_DP!U10</f>
        <v>-2.0747670613539881E-2</v>
      </c>
      <c r="W23" s="254">
        <f>[55]Ecarts_masses_tousrégimes_DP!V10</f>
        <v>-2.1480053739288962E-2</v>
      </c>
      <c r="X23" s="254">
        <f>[55]Ecarts_masses_tousrégimes_DP!W10</f>
        <v>-2.2103962356391338E-2</v>
      </c>
      <c r="Y23" s="254">
        <f>[55]Ecarts_masses_tousrégimes_DP!X10</f>
        <v>-2.2619274290149427E-2</v>
      </c>
      <c r="Z23" s="254">
        <f>[55]Ecarts_masses_tousrégimes_DP!Y10</f>
        <v>-2.3094766202304551E-2</v>
      </c>
      <c r="AA23" s="254">
        <f>[55]Ecarts_masses_tousrégimes_DP!Z10</f>
        <v>-2.3525448036786356E-2</v>
      </c>
      <c r="AB23" s="254">
        <f>[55]Ecarts_masses_tousrégimes_DP!AA10</f>
        <v>-2.3910657400176616E-2</v>
      </c>
      <c r="AC23" s="254">
        <f>[55]Ecarts_masses_tousrégimes_DP!AB10</f>
        <v>-2.4175255168124243E-2</v>
      </c>
      <c r="AD23" s="254">
        <f>[55]Ecarts_masses_tousrégimes_DP!AC10</f>
        <v>-2.4509178458112846E-2</v>
      </c>
      <c r="AE23" s="254">
        <f>[55]Ecarts_masses_tousrégimes_DP!AD10</f>
        <v>-2.4507583873074945E-2</v>
      </c>
      <c r="AF23" s="254">
        <f>[55]Ecarts_masses_tousrégimes_DP!AE10</f>
        <v>-2.432994666027688E-2</v>
      </c>
      <c r="AG23" s="254">
        <f>[55]Ecarts_masses_tousrégimes_DP!AF10</f>
        <v>-2.4041184410455885E-2</v>
      </c>
      <c r="AH23" s="254">
        <f>[55]Ecarts_masses_tousrégimes_DP!AG10</f>
        <v>-2.3706981447229936E-2</v>
      </c>
      <c r="AI23" s="254">
        <f>[55]Ecarts_masses_tousrégimes_DP!AH10</f>
        <v>-2.3438039165717295E-2</v>
      </c>
      <c r="AJ23" s="254">
        <f>[55]Ecarts_masses_tousrégimes_DP!AI10</f>
        <v>-2.3023710745194159E-2</v>
      </c>
      <c r="AK23" s="254">
        <f>[55]Ecarts_masses_tousrégimes_DP!AJ10</f>
        <v>-2.2450813713566942E-2</v>
      </c>
      <c r="AL23" s="254">
        <f>[55]Ecarts_masses_tousrégimes_DP!AK10</f>
        <v>-2.1747186884395808E-2</v>
      </c>
      <c r="AM23" s="254">
        <f>[55]Ecarts_masses_tousrégimes_DP!AL10</f>
        <v>-2.1134224378612454E-2</v>
      </c>
      <c r="AN23" s="254">
        <f>[55]Ecarts_masses_tousrégimes_DP!AM10</f>
        <v>-2.0467156884567794E-2</v>
      </c>
      <c r="AO23" s="254">
        <f>[55]Ecarts_masses_tousrégimes_DP!AN10</f>
        <v>-1.9604462756887098E-2</v>
      </c>
      <c r="AP23" s="254">
        <f>[55]Ecarts_masses_tousrégimes_DP!AO10</f>
        <v>-1.8798765898164982E-2</v>
      </c>
      <c r="AQ23" s="254">
        <f>[55]Ecarts_masses_tousrégimes_DP!AP10</f>
        <v>-1.8035167531715524E-2</v>
      </c>
      <c r="AR23" s="254">
        <f>[55]Ecarts_masses_tousrégimes_DP!AQ10</f>
        <v>-1.7289823767189239E-2</v>
      </c>
      <c r="AS23" s="254">
        <f>[55]Ecarts_masses_tousrégimes_DP!AR10</f>
        <v>-1.6479801330074095E-2</v>
      </c>
      <c r="AT23" s="254">
        <f>[55]Ecarts_masses_tousrégimes_DP!AS10</f>
        <v>-1.5723719005849568E-2</v>
      </c>
      <c r="AU23" s="254">
        <f>[55]Ecarts_masses_tousrégimes_DP!AT10</f>
        <v>-1.4965323447835299E-2</v>
      </c>
      <c r="AV23" s="254">
        <f>[55]Ecarts_masses_tousrégimes_DP!AU10</f>
        <v>-1.4119847278782127E-2</v>
      </c>
      <c r="AW23" s="255">
        <f>[55]Ecarts_masses_tousrégimes_DP!AV10</f>
        <v>-1.3272935209193482E-2</v>
      </c>
    </row>
    <row r="24" spans="2:49" ht="14.25" customHeight="1">
      <c r="B24" s="298" t="s">
        <v>50</v>
      </c>
      <c r="C24" s="298" t="s">
        <v>57</v>
      </c>
      <c r="D24" s="201" t="s">
        <v>6</v>
      </c>
      <c r="E24" s="204">
        <f>[52]Ecarts_masses_tousrégimes!D54</f>
        <v>5.4198164185947917E-4</v>
      </c>
      <c r="F24" s="205">
        <f>[52]Ecarts_masses_tousrégimes!E54</f>
        <v>1.3206320281624606E-3</v>
      </c>
      <c r="G24" s="205">
        <f>[52]Ecarts_masses_tousrégimes!F54</f>
        <v>2.0086905816665279E-3</v>
      </c>
      <c r="H24" s="205">
        <f>[52]Ecarts_masses_tousrégimes!G54</f>
        <v>2.6371022934459365E-3</v>
      </c>
      <c r="I24" s="205">
        <f>[52]Ecarts_masses_tousrégimes!H54</f>
        <v>3.2213968221086464E-3</v>
      </c>
      <c r="J24" s="205">
        <f>[52]Ecarts_masses_tousrégimes!I54</f>
        <v>3.8009738957085482E-3</v>
      </c>
      <c r="K24" s="205">
        <f>[52]Ecarts_masses_tousrégimes!J54</f>
        <v>4.3832260214520247E-3</v>
      </c>
      <c r="L24" s="205">
        <f>[52]Ecarts_masses_tousrégimes!K54</f>
        <v>5.0627029213501373E-3</v>
      </c>
      <c r="M24" s="205">
        <f>[52]Ecarts_masses_tousrégimes!L54</f>
        <v>5.7478242013619951E-3</v>
      </c>
      <c r="N24" s="205">
        <f>[52]Ecarts_masses_tousrégimes!M54</f>
        <v>6.4556376570055196E-3</v>
      </c>
      <c r="O24" s="205">
        <f>[52]Ecarts_masses_tousrégimes!N54</f>
        <v>7.1552688031293332E-3</v>
      </c>
      <c r="P24" s="205">
        <f>[52]Ecarts_masses_tousrégimes!O54</f>
        <v>7.8581981377987553E-3</v>
      </c>
      <c r="Q24" s="205">
        <f>[52]Ecarts_masses_tousrégimes!P54</f>
        <v>8.5353729074326701E-3</v>
      </c>
      <c r="R24" s="205">
        <f>[52]Ecarts_masses_tousrégimes!Q54</f>
        <v>9.1855671016869422E-3</v>
      </c>
      <c r="S24" s="205">
        <f>[52]Ecarts_masses_tousrégimes!R54</f>
        <v>9.8212738419714007E-3</v>
      </c>
      <c r="T24" s="205">
        <f>[52]Ecarts_masses_tousrégimes!S54</f>
        <v>1.048624661042874E-2</v>
      </c>
      <c r="U24" s="205">
        <f>[52]Ecarts_masses_tousrégimes!T54</f>
        <v>1.1117926256920319E-2</v>
      </c>
      <c r="V24" s="205">
        <f>[52]Ecarts_masses_tousrégimes!U54</f>
        <v>1.1729747785481193E-2</v>
      </c>
      <c r="W24" s="205">
        <f>[52]Ecarts_masses_tousrégimes!V54</f>
        <v>1.2346422163562076E-2</v>
      </c>
      <c r="X24" s="205">
        <f>[52]Ecarts_masses_tousrégimes!W54</f>
        <v>1.2988268912490275E-2</v>
      </c>
      <c r="Y24" s="205">
        <f>[52]Ecarts_masses_tousrégimes!X54</f>
        <v>1.3598250092439423E-2</v>
      </c>
      <c r="Z24" s="205">
        <f>[52]Ecarts_masses_tousrégimes!Y54</f>
        <v>1.4171826274407273E-2</v>
      </c>
      <c r="AA24" s="205">
        <f>[52]Ecarts_masses_tousrégimes!Z54</f>
        <v>1.4717674815745374E-2</v>
      </c>
      <c r="AB24" s="205">
        <f>[52]Ecarts_masses_tousrégimes!AA54</f>
        <v>1.5219310473289616E-2</v>
      </c>
      <c r="AC24" s="205">
        <f>[52]Ecarts_masses_tousrégimes!AB54</f>
        <v>1.5741888162476458E-2</v>
      </c>
      <c r="AD24" s="205">
        <f>[52]Ecarts_masses_tousrégimes!AC54</f>
        <v>1.6140150595119751E-2</v>
      </c>
      <c r="AE24" s="205">
        <f>[52]Ecarts_masses_tousrégimes!AD54</f>
        <v>1.6575111660189545E-2</v>
      </c>
      <c r="AF24" s="205">
        <f>[52]Ecarts_masses_tousrégimes!AE54</f>
        <v>1.6939044732162678E-2</v>
      </c>
      <c r="AG24" s="205">
        <f>[52]Ecarts_masses_tousrégimes!AF54</f>
        <v>1.7240528978366143E-2</v>
      </c>
      <c r="AH24" s="205">
        <f>[52]Ecarts_masses_tousrégimes!AG54</f>
        <v>1.7478068050789775E-2</v>
      </c>
      <c r="AI24" s="205">
        <f>[52]Ecarts_masses_tousrégimes!AH54</f>
        <v>1.7671558286222355E-2</v>
      </c>
      <c r="AJ24" s="205">
        <f>[52]Ecarts_masses_tousrégimes!AI54</f>
        <v>1.7868916017086844E-2</v>
      </c>
      <c r="AK24" s="205">
        <f>[52]Ecarts_masses_tousrégimes!AJ54</f>
        <v>1.8026640163386176E-2</v>
      </c>
      <c r="AL24" s="205">
        <f>[52]Ecarts_masses_tousrégimes!AK54</f>
        <v>1.8152089386276105E-2</v>
      </c>
      <c r="AM24" s="205">
        <f>[52]Ecarts_masses_tousrégimes!AL54</f>
        <v>1.8148330121208422E-2</v>
      </c>
      <c r="AN24" s="205">
        <f>[52]Ecarts_masses_tousrégimes!AM54</f>
        <v>1.8115477785522582E-2</v>
      </c>
      <c r="AO24" s="205">
        <f>[52]Ecarts_masses_tousrégimes!AN54</f>
        <v>1.8137015521035194E-2</v>
      </c>
      <c r="AP24" s="205">
        <f>[52]Ecarts_masses_tousrégimes!AO54</f>
        <v>1.8119773336550127E-2</v>
      </c>
      <c r="AQ24" s="205">
        <f>[52]Ecarts_masses_tousrégimes!AP54</f>
        <v>1.8098051125567949E-2</v>
      </c>
      <c r="AR24" s="205">
        <f>[52]Ecarts_masses_tousrégimes!AQ54</f>
        <v>1.7959892605315941E-2</v>
      </c>
      <c r="AS24" s="205">
        <f>[52]Ecarts_masses_tousrégimes!AR54</f>
        <v>1.7932399942691246E-2</v>
      </c>
      <c r="AT24" s="205">
        <f>[52]Ecarts_masses_tousrégimes!AS54</f>
        <v>1.7896741889452228E-2</v>
      </c>
      <c r="AU24" s="205">
        <f>[52]Ecarts_masses_tousrégimes!AT54</f>
        <v>1.7860325995207482E-2</v>
      </c>
      <c r="AV24" s="205">
        <f>[52]Ecarts_masses_tousrégimes!AU54</f>
        <v>1.7911542013169912E-2</v>
      </c>
      <c r="AW24" s="206">
        <f>[52]Ecarts_masses_tousrégimes!AV54</f>
        <v>1.7946166779566175E-2</v>
      </c>
    </row>
    <row r="25" spans="2:49">
      <c r="B25" s="299"/>
      <c r="C25" s="299"/>
      <c r="D25" s="202" t="s">
        <v>53</v>
      </c>
      <c r="E25" s="207">
        <f>[52]Ecarts_masses_tousrégimes!D55</f>
        <v>6.4901928017091493E-4</v>
      </c>
      <c r="F25" s="196">
        <f>[52]Ecarts_masses_tousrégimes!E55</f>
        <v>1.5660843180134165E-3</v>
      </c>
      <c r="G25" s="196">
        <f>[52]Ecarts_masses_tousrégimes!F55</f>
        <v>2.3343039640080221E-3</v>
      </c>
      <c r="H25" s="196">
        <f>[52]Ecarts_masses_tousrégimes!G55</f>
        <v>3.0278357514890164E-3</v>
      </c>
      <c r="I25" s="196">
        <f>[52]Ecarts_masses_tousrégimes!H55</f>
        <v>3.659293721386403E-3</v>
      </c>
      <c r="J25" s="196">
        <f>[52]Ecarts_masses_tousrégimes!I55</f>
        <v>4.266221978755258E-3</v>
      </c>
      <c r="K25" s="196">
        <f>[52]Ecarts_masses_tousrégimes!J55</f>
        <v>4.870605734105915E-3</v>
      </c>
      <c r="L25" s="196">
        <f>[52]Ecarts_masses_tousrégimes!K55</f>
        <v>5.5640564177548146E-3</v>
      </c>
      <c r="M25" s="196">
        <f>[52]Ecarts_masses_tousrégimes!L55</f>
        <v>6.2535893635367046E-3</v>
      </c>
      <c r="N25" s="196">
        <f>[52]Ecarts_masses_tousrégimes!M55</f>
        <v>6.9656737499561583E-3</v>
      </c>
      <c r="O25" s="196">
        <f>[52]Ecarts_masses_tousrégimes!N55</f>
        <v>7.6541126460292208E-3</v>
      </c>
      <c r="P25" s="196">
        <f>[52]Ecarts_masses_tousrégimes!O55</f>
        <v>8.3351493788181852E-3</v>
      </c>
      <c r="Q25" s="196">
        <f>[52]Ecarts_masses_tousrégimes!P55</f>
        <v>8.9843063285679481E-3</v>
      </c>
      <c r="R25" s="196">
        <f>[52]Ecarts_masses_tousrégimes!Q55</f>
        <v>9.5933462909028044E-3</v>
      </c>
      <c r="S25" s="196">
        <f>[52]Ecarts_masses_tousrégimes!R55</f>
        <v>1.0180040004130531E-2</v>
      </c>
      <c r="T25" s="196">
        <f>[52]Ecarts_masses_tousrégimes!S55</f>
        <v>1.0782275919009709E-2</v>
      </c>
      <c r="U25" s="196">
        <f>[52]Ecarts_masses_tousrégimes!T55</f>
        <v>1.1341306399052398E-2</v>
      </c>
      <c r="V25" s="196">
        <f>[52]Ecarts_masses_tousrégimes!U55</f>
        <v>1.1900184722167584E-2</v>
      </c>
      <c r="W25" s="196">
        <f>[52]Ecarts_masses_tousrégimes!V55</f>
        <v>1.2444827723633312E-2</v>
      </c>
      <c r="X25" s="196">
        <f>[52]Ecarts_masses_tousrégimes!W55</f>
        <v>1.3015980562067542E-2</v>
      </c>
      <c r="Y25" s="196">
        <f>[52]Ecarts_masses_tousrégimes!X55</f>
        <v>1.3540271892191313E-2</v>
      </c>
      <c r="Z25" s="196">
        <f>[52]Ecarts_masses_tousrégimes!Y55</f>
        <v>1.4036790226750195E-2</v>
      </c>
      <c r="AA25" s="196">
        <f>[52]Ecarts_masses_tousrégimes!Z55</f>
        <v>1.4503723755242559E-2</v>
      </c>
      <c r="AB25" s="196">
        <f>[52]Ecarts_masses_tousrégimes!AA55</f>
        <v>1.4909562359072925E-2</v>
      </c>
      <c r="AC25" s="196">
        <f>[52]Ecarts_masses_tousrégimes!AB55</f>
        <v>1.5339870825570978E-2</v>
      </c>
      <c r="AD25" s="196">
        <f>[52]Ecarts_masses_tousrégimes!AC55</f>
        <v>1.5628313161769158E-2</v>
      </c>
      <c r="AE25" s="196">
        <f>[52]Ecarts_masses_tousrégimes!AD55</f>
        <v>1.5948716990545675E-2</v>
      </c>
      <c r="AF25" s="196">
        <f>[52]Ecarts_masses_tousrégimes!AE55</f>
        <v>1.61576716531453E-2</v>
      </c>
      <c r="AG25" s="196">
        <f>[52]Ecarts_masses_tousrégimes!AF55</f>
        <v>1.6300779404144983E-2</v>
      </c>
      <c r="AH25" s="196">
        <f>[52]Ecarts_masses_tousrégimes!AG55</f>
        <v>1.6379896618744061E-2</v>
      </c>
      <c r="AI25" s="196">
        <f>[52]Ecarts_masses_tousrégimes!AH55</f>
        <v>1.6372924332352934E-2</v>
      </c>
      <c r="AJ25" s="196">
        <f>[52]Ecarts_masses_tousrégimes!AI55</f>
        <v>1.6304980074894004E-2</v>
      </c>
      <c r="AK25" s="196">
        <f>[52]Ecarts_masses_tousrégimes!AJ55</f>
        <v>1.6177831665833864E-2</v>
      </c>
      <c r="AL25" s="196">
        <f>[52]Ecarts_masses_tousrégimes!AK55</f>
        <v>1.5993504423398752E-2</v>
      </c>
      <c r="AM25" s="196">
        <f>[52]Ecarts_masses_tousrégimes!AL55</f>
        <v>1.564002681746901E-2</v>
      </c>
      <c r="AN25" s="196">
        <f>[52]Ecarts_masses_tousrégimes!AM55</f>
        <v>1.5236141257692237E-2</v>
      </c>
      <c r="AO25" s="196">
        <f>[52]Ecarts_masses_tousrégimes!AN55</f>
        <v>1.4845694747068316E-2</v>
      </c>
      <c r="AP25" s="196">
        <f>[52]Ecarts_masses_tousrégimes!AO55</f>
        <v>1.4404661008325936E-2</v>
      </c>
      <c r="AQ25" s="196">
        <f>[52]Ecarts_masses_tousrégimes!AP55</f>
        <v>1.3950644579758809E-2</v>
      </c>
      <c r="AR25" s="196">
        <f>[52]Ecarts_masses_tousrégimes!AQ55</f>
        <v>1.3277585265571545E-2</v>
      </c>
      <c r="AS25" s="196">
        <f>[52]Ecarts_masses_tousrégimes!AR55</f>
        <v>1.2781202803166192E-2</v>
      </c>
      <c r="AT25" s="196">
        <f>[52]Ecarts_masses_tousrégimes!AS55</f>
        <v>1.2265380189990793E-2</v>
      </c>
      <c r="AU25" s="196">
        <f>[52]Ecarts_masses_tousrégimes!AT55</f>
        <v>1.1768423559321395E-2</v>
      </c>
      <c r="AV25" s="196">
        <f>[52]Ecarts_masses_tousrégimes!AU55</f>
        <v>1.1350762313975915E-2</v>
      </c>
      <c r="AW25" s="208">
        <f>[52]Ecarts_masses_tousrégimes!AV55</f>
        <v>1.091854730158448E-2</v>
      </c>
    </row>
    <row r="26" spans="2:49">
      <c r="B26" s="299"/>
      <c r="C26" s="299"/>
      <c r="D26" s="202" t="s">
        <v>3</v>
      </c>
      <c r="E26" s="207">
        <f>[52]Ecarts_masses_tousrégimes!D56</f>
        <v>4.4863476643630662E-4</v>
      </c>
      <c r="F26" s="196">
        <f>[52]Ecarts_masses_tousrégimes!E56</f>
        <v>1.1719408983710267E-3</v>
      </c>
      <c r="G26" s="196">
        <f>[52]Ecarts_masses_tousrégimes!F56</f>
        <v>1.874405729458406E-3</v>
      </c>
      <c r="H26" s="196">
        <f>[52]Ecarts_masses_tousrégimes!G56</f>
        <v>2.5391201929403362E-3</v>
      </c>
      <c r="I26" s="196">
        <f>[52]Ecarts_masses_tousrégimes!H56</f>
        <v>3.164865709674114E-3</v>
      </c>
      <c r="J26" s="196">
        <f>[52]Ecarts_masses_tousrégimes!I56</f>
        <v>3.7550651407043389E-3</v>
      </c>
      <c r="K26" s="196">
        <f>[52]Ecarts_masses_tousrégimes!J56</f>
        <v>4.3431231007049487E-3</v>
      </c>
      <c r="L26" s="196">
        <f>[52]Ecarts_masses_tousrégimes!K56</f>
        <v>5.0812939557196568E-3</v>
      </c>
      <c r="M26" s="196">
        <f>[52]Ecarts_masses_tousrégimes!L56</f>
        <v>5.8266534758892874E-3</v>
      </c>
      <c r="N26" s="196">
        <f>[52]Ecarts_masses_tousrégimes!M56</f>
        <v>6.6040133225044872E-3</v>
      </c>
      <c r="O26" s="196">
        <f>[52]Ecarts_masses_tousrégimes!N56</f>
        <v>7.3789152857368645E-3</v>
      </c>
      <c r="P26" s="196">
        <f>[52]Ecarts_masses_tousrégimes!O56</f>
        <v>8.1367680199364578E-3</v>
      </c>
      <c r="Q26" s="196">
        <f>[52]Ecarts_masses_tousrégimes!P56</f>
        <v>8.8637518545680027E-3</v>
      </c>
      <c r="R26" s="196">
        <f>[52]Ecarts_masses_tousrégimes!Q56</f>
        <v>9.5351566848684843E-3</v>
      </c>
      <c r="S26" s="196">
        <f>[52]Ecarts_masses_tousrégimes!R56</f>
        <v>1.0185327047005366E-2</v>
      </c>
      <c r="T26" s="196">
        <f>[52]Ecarts_masses_tousrégimes!S56</f>
        <v>1.0871692769518493E-2</v>
      </c>
      <c r="U26" s="196">
        <f>[52]Ecarts_masses_tousrégimes!T56</f>
        <v>1.1499609332088045E-2</v>
      </c>
      <c r="V26" s="196">
        <f>[52]Ecarts_masses_tousrégimes!U56</f>
        <v>1.2111200904814767E-2</v>
      </c>
      <c r="W26" s="196">
        <f>[52]Ecarts_masses_tousrégimes!V56</f>
        <v>1.2724980506483075E-2</v>
      </c>
      <c r="X26" s="196">
        <f>[52]Ecarts_masses_tousrégimes!W56</f>
        <v>1.3380844354455412E-2</v>
      </c>
      <c r="Y26" s="196">
        <f>[52]Ecarts_masses_tousrégimes!X56</f>
        <v>1.4020557371319464E-2</v>
      </c>
      <c r="Z26" s="196">
        <f>[52]Ecarts_masses_tousrégimes!Y56</f>
        <v>1.4562516626930089E-2</v>
      </c>
      <c r="AA26" s="196">
        <f>[52]Ecarts_masses_tousrégimes!Z56</f>
        <v>1.5107320229405419E-2</v>
      </c>
      <c r="AB26" s="196">
        <f>[52]Ecarts_masses_tousrégimes!AA56</f>
        <v>1.559170244921293E-2</v>
      </c>
      <c r="AC26" s="196">
        <f>[52]Ecarts_masses_tousrégimes!AB56</f>
        <v>1.60859438519243E-2</v>
      </c>
      <c r="AD26" s="196">
        <f>[52]Ecarts_masses_tousrégimes!AC56</f>
        <v>1.6436691817448335E-2</v>
      </c>
      <c r="AE26" s="196">
        <f>[52]Ecarts_masses_tousrégimes!AD56</f>
        <v>1.6851712133616914E-2</v>
      </c>
      <c r="AF26" s="196">
        <f>[52]Ecarts_masses_tousrégimes!AE56</f>
        <v>1.7215901999732441E-2</v>
      </c>
      <c r="AG26" s="196">
        <f>[52]Ecarts_masses_tousrégimes!AF56</f>
        <v>1.7496722372325912E-2</v>
      </c>
      <c r="AH26" s="196">
        <f>[52]Ecarts_masses_tousrégimes!AG56</f>
        <v>1.7797459035729934E-2</v>
      </c>
      <c r="AI26" s="196">
        <f>[52]Ecarts_masses_tousrégimes!AH56</f>
        <v>1.7978760458310594E-2</v>
      </c>
      <c r="AJ26" s="196">
        <f>[52]Ecarts_masses_tousrégimes!AI56</f>
        <v>1.8228761609507149E-2</v>
      </c>
      <c r="AK26" s="196">
        <f>[52]Ecarts_masses_tousrégimes!AJ56</f>
        <v>1.8486943089778274E-2</v>
      </c>
      <c r="AL26" s="196">
        <f>[52]Ecarts_masses_tousrégimes!AK56</f>
        <v>1.8714012635598465E-2</v>
      </c>
      <c r="AM26" s="196">
        <f>[52]Ecarts_masses_tousrégimes!AL56</f>
        <v>1.8822126179809384E-2</v>
      </c>
      <c r="AN26" s="196">
        <f>[52]Ecarts_masses_tousrégimes!AM56</f>
        <v>1.8999168054125493E-2</v>
      </c>
      <c r="AO26" s="196">
        <f>[52]Ecarts_masses_tousrégimes!AN56</f>
        <v>1.9241363223973407E-2</v>
      </c>
      <c r="AP26" s="196">
        <f>[52]Ecarts_masses_tousrégimes!AO56</f>
        <v>1.943914963123472E-2</v>
      </c>
      <c r="AQ26" s="196">
        <f>[52]Ecarts_masses_tousrégimes!AP56</f>
        <v>1.9647916120161701E-2</v>
      </c>
      <c r="AR26" s="196">
        <f>[52]Ecarts_masses_tousrégimes!AQ56</f>
        <v>1.9805707756531232E-2</v>
      </c>
      <c r="AS26" s="196">
        <f>[52]Ecarts_masses_tousrégimes!AR56</f>
        <v>2.0108965006896851E-2</v>
      </c>
      <c r="AT26" s="196">
        <f>[52]Ecarts_masses_tousrégimes!AS56</f>
        <v>2.0297815063081259E-2</v>
      </c>
      <c r="AU26" s="196">
        <f>[52]Ecarts_masses_tousrégimes!AT56</f>
        <v>2.0531183817587007E-2</v>
      </c>
      <c r="AV26" s="196">
        <f>[52]Ecarts_masses_tousrégimes!AU56</f>
        <v>2.0886698772655921E-2</v>
      </c>
      <c r="AW26" s="208">
        <f>[52]Ecarts_masses_tousrégimes!AV56</f>
        <v>2.1338905706157485E-2</v>
      </c>
    </row>
    <row r="27" spans="2:49">
      <c r="B27" s="299"/>
      <c r="C27" s="299"/>
      <c r="D27" s="202" t="s">
        <v>38</v>
      </c>
      <c r="E27" s="207">
        <f>[52]Ecarts_masses_tousrégimes!D57</f>
        <v>6.9985107849390715E-4</v>
      </c>
      <c r="F27" s="196">
        <f>[52]Ecarts_masses_tousrégimes!E57</f>
        <v>1.688901496344819E-3</v>
      </c>
      <c r="G27" s="196">
        <f>[52]Ecarts_masses_tousrégimes!F57</f>
        <v>2.6854241939171519E-3</v>
      </c>
      <c r="H27" s="196">
        <f>[52]Ecarts_masses_tousrégimes!G57</f>
        <v>3.5551220698848418E-3</v>
      </c>
      <c r="I27" s="196">
        <f>[52]Ecarts_masses_tousrégimes!H57</f>
        <v>4.5108754501614889E-3</v>
      </c>
      <c r="J27" s="196">
        <f>[52]Ecarts_masses_tousrégimes!I57</f>
        <v>5.4555016396353739E-3</v>
      </c>
      <c r="K27" s="196">
        <f>[52]Ecarts_masses_tousrégimes!J57</f>
        <v>6.3420049108522392E-3</v>
      </c>
      <c r="L27" s="196">
        <f>[52]Ecarts_masses_tousrégimes!K57</f>
        <v>7.2893576718153774E-3</v>
      </c>
      <c r="M27" s="196">
        <f>[52]Ecarts_masses_tousrégimes!L57</f>
        <v>8.2973046011238782E-3</v>
      </c>
      <c r="N27" s="196">
        <f>[52]Ecarts_masses_tousrégimes!M57</f>
        <v>9.2994268116761702E-3</v>
      </c>
      <c r="O27" s="196">
        <f>[52]Ecarts_masses_tousrégimes!N57</f>
        <v>1.0349314898629114E-2</v>
      </c>
      <c r="P27" s="196">
        <f>[52]Ecarts_masses_tousrégimes!O57</f>
        <v>1.1389603176150453E-2</v>
      </c>
      <c r="Q27" s="196">
        <f>[52]Ecarts_masses_tousrégimes!P57</f>
        <v>1.2423874332581963E-2</v>
      </c>
      <c r="R27" s="196">
        <f>[52]Ecarts_masses_tousrégimes!Q57</f>
        <v>1.3334150645557541E-2</v>
      </c>
      <c r="S27" s="196">
        <f>[52]Ecarts_masses_tousrégimes!R57</f>
        <v>1.4252327688857536E-2</v>
      </c>
      <c r="T27" s="196">
        <f>[52]Ecarts_masses_tousrégimes!S57</f>
        <v>1.5138867172748371E-2</v>
      </c>
      <c r="U27" s="196">
        <f>[52]Ecarts_masses_tousrégimes!T57</f>
        <v>1.6132234972498383E-2</v>
      </c>
      <c r="V27" s="196">
        <f>[52]Ecarts_masses_tousrégimes!U57</f>
        <v>1.7049812891674065E-2</v>
      </c>
      <c r="W27" s="196">
        <f>[52]Ecarts_masses_tousrégimes!V57</f>
        <v>1.7867767048084682E-2</v>
      </c>
      <c r="X27" s="196">
        <f>[52]Ecarts_masses_tousrégimes!W57</f>
        <v>1.8654432510190722E-2</v>
      </c>
      <c r="Y27" s="196">
        <f>[52]Ecarts_masses_tousrégimes!X57</f>
        <v>1.9518600260396868E-2</v>
      </c>
      <c r="Z27" s="196">
        <f>[52]Ecarts_masses_tousrégimes!Y57</f>
        <v>2.0333338646495891E-2</v>
      </c>
      <c r="AA27" s="196">
        <f>[52]Ecarts_masses_tousrégimes!Z57</f>
        <v>2.1308126964191043E-2</v>
      </c>
      <c r="AB27" s="196">
        <f>[52]Ecarts_masses_tousrégimes!AA57</f>
        <v>2.2004294403134228E-2</v>
      </c>
      <c r="AC27" s="196">
        <f>[52]Ecarts_masses_tousrégimes!AB57</f>
        <v>2.2697839123916763E-2</v>
      </c>
      <c r="AD27" s="196">
        <f>[52]Ecarts_masses_tousrégimes!AC57</f>
        <v>2.3164808373893342E-2</v>
      </c>
      <c r="AE27" s="196">
        <f>[52]Ecarts_masses_tousrégimes!AD57</f>
        <v>2.3637270165779878E-2</v>
      </c>
      <c r="AF27" s="196">
        <f>[52]Ecarts_masses_tousrégimes!AE57</f>
        <v>2.4169890592883103E-2</v>
      </c>
      <c r="AG27" s="196">
        <f>[52]Ecarts_masses_tousrégimes!AF57</f>
        <v>2.4564171417182257E-2</v>
      </c>
      <c r="AH27" s="196">
        <f>[52]Ecarts_masses_tousrégimes!AG57</f>
        <v>2.4833647244133061E-2</v>
      </c>
      <c r="AI27" s="196">
        <f>[52]Ecarts_masses_tousrégimes!AH57</f>
        <v>2.4888933560584636E-2</v>
      </c>
      <c r="AJ27" s="196">
        <f>[52]Ecarts_masses_tousrégimes!AI57</f>
        <v>2.5215053210466465E-2</v>
      </c>
      <c r="AK27" s="196">
        <f>[52]Ecarts_masses_tousrégimes!AJ57</f>
        <v>2.5293498895554212E-2</v>
      </c>
      <c r="AL27" s="196">
        <f>[52]Ecarts_masses_tousrégimes!AK57</f>
        <v>2.5626748948111233E-2</v>
      </c>
      <c r="AM27" s="196">
        <f>[52]Ecarts_masses_tousrégimes!AL57</f>
        <v>2.517761688424347E-2</v>
      </c>
      <c r="AN27" s="196">
        <f>[52]Ecarts_masses_tousrégimes!AM57</f>
        <v>2.4900199909462684E-2</v>
      </c>
      <c r="AO27" s="196">
        <f>[52]Ecarts_masses_tousrégimes!AN57</f>
        <v>2.5031374287116659E-2</v>
      </c>
      <c r="AP27" s="196">
        <f>[52]Ecarts_masses_tousrégimes!AO57</f>
        <v>2.4838500917242268E-2</v>
      </c>
      <c r="AQ27" s="196">
        <f>[52]Ecarts_masses_tousrégimes!AP57</f>
        <v>2.5089856167570757E-2</v>
      </c>
      <c r="AR27" s="196">
        <f>[52]Ecarts_masses_tousrégimes!AQ57</f>
        <v>2.4729428455190439E-2</v>
      </c>
      <c r="AS27" s="196">
        <f>[52]Ecarts_masses_tousrégimes!AR57</f>
        <v>2.4588210024653501E-2</v>
      </c>
      <c r="AT27" s="196">
        <f>[52]Ecarts_masses_tousrégimes!AS57</f>
        <v>2.4447376972178025E-2</v>
      </c>
      <c r="AU27" s="196">
        <f>[52]Ecarts_masses_tousrégimes!AT57</f>
        <v>2.4438977946416474E-2</v>
      </c>
      <c r="AV27" s="196">
        <f>[52]Ecarts_masses_tousrégimes!AU57</f>
        <v>2.4158461355981542E-2</v>
      </c>
      <c r="AW27" s="208">
        <f>[52]Ecarts_masses_tousrégimes!AV57</f>
        <v>2.4333749119748393E-2</v>
      </c>
    </row>
    <row r="28" spans="2:49">
      <c r="B28" s="299"/>
      <c r="C28" s="299"/>
      <c r="D28" s="202" t="s">
        <v>52</v>
      </c>
      <c r="E28" s="207">
        <f>[52]Ecarts_masses_tousrégimes!D58</f>
        <v>5.7810906313204846E-4</v>
      </c>
      <c r="F28" s="196">
        <f>[52]Ecarts_masses_tousrégimes!E58</f>
        <v>1.7160541200196278E-3</v>
      </c>
      <c r="G28" s="196">
        <f>[52]Ecarts_masses_tousrégimes!F58</f>
        <v>3.0021107945856773E-3</v>
      </c>
      <c r="H28" s="196">
        <f>[52]Ecarts_masses_tousrégimes!G58</f>
        <v>4.204910739261436E-3</v>
      </c>
      <c r="I28" s="196">
        <f>[52]Ecarts_masses_tousrégimes!H58</f>
        <v>5.4301964039797923E-3</v>
      </c>
      <c r="J28" s="196">
        <f>[52]Ecarts_masses_tousrégimes!I58</f>
        <v>6.6353963259853099E-3</v>
      </c>
      <c r="K28" s="196">
        <f>[52]Ecarts_masses_tousrégimes!J58</f>
        <v>7.7654360416723467E-3</v>
      </c>
      <c r="L28" s="196">
        <f>[52]Ecarts_masses_tousrégimes!K58</f>
        <v>9.0419831129420203E-3</v>
      </c>
      <c r="M28" s="196">
        <f>[52]Ecarts_masses_tousrégimes!L58</f>
        <v>1.0276359144291813E-2</v>
      </c>
      <c r="N28" s="196">
        <f>[52]Ecarts_masses_tousrégimes!M58</f>
        <v>1.1460577752316237E-2</v>
      </c>
      <c r="O28" s="196">
        <f>[52]Ecarts_masses_tousrégimes!N58</f>
        <v>1.253991889149364E-2</v>
      </c>
      <c r="P28" s="196">
        <f>[52]Ecarts_masses_tousrégimes!O58</f>
        <v>1.3652008144260597E-2</v>
      </c>
      <c r="Q28" s="196">
        <f>[52]Ecarts_masses_tousrégimes!P58</f>
        <v>1.4713685815918698E-2</v>
      </c>
      <c r="R28" s="196">
        <f>[52]Ecarts_masses_tousrégimes!Q58</f>
        <v>1.5721375747979716E-2</v>
      </c>
      <c r="S28" s="196">
        <f>[52]Ecarts_masses_tousrégimes!R58</f>
        <v>1.650582927708788E-2</v>
      </c>
      <c r="T28" s="196">
        <f>[52]Ecarts_masses_tousrégimes!S58</f>
        <v>1.7284610405480239E-2</v>
      </c>
      <c r="U28" s="196">
        <f>[52]Ecarts_masses_tousrégimes!T58</f>
        <v>1.8014897944576669E-2</v>
      </c>
      <c r="V28" s="196">
        <f>[52]Ecarts_masses_tousrégimes!U58</f>
        <v>1.8828505425751541E-2</v>
      </c>
      <c r="W28" s="196">
        <f>[52]Ecarts_masses_tousrégimes!V58</f>
        <v>1.9532779732181371E-2</v>
      </c>
      <c r="X28" s="196">
        <f>[52]Ecarts_masses_tousrégimes!W58</f>
        <v>2.0222025766405194E-2</v>
      </c>
      <c r="Y28" s="196">
        <f>[52]Ecarts_masses_tousrégimes!X58</f>
        <v>2.0835220222260586E-2</v>
      </c>
      <c r="Z28" s="196">
        <f>[52]Ecarts_masses_tousrégimes!Y58</f>
        <v>2.1429793950157094E-2</v>
      </c>
      <c r="AA28" s="196">
        <f>[52]Ecarts_masses_tousrégimes!Z58</f>
        <v>2.2027518678422231E-2</v>
      </c>
      <c r="AB28" s="196">
        <f>[52]Ecarts_masses_tousrégimes!AA58</f>
        <v>2.2496261738448986E-2</v>
      </c>
      <c r="AC28" s="196">
        <f>[52]Ecarts_masses_tousrégimes!AB58</f>
        <v>2.2885060962016146E-2</v>
      </c>
      <c r="AD28" s="196">
        <f>[52]Ecarts_masses_tousrégimes!AC58</f>
        <v>2.3334547317884757E-2</v>
      </c>
      <c r="AE28" s="196">
        <f>[52]Ecarts_masses_tousrégimes!AD58</f>
        <v>2.3913756772155459E-2</v>
      </c>
      <c r="AF28" s="196">
        <f>[52]Ecarts_masses_tousrégimes!AE58</f>
        <v>2.4367850461941787E-2</v>
      </c>
      <c r="AG28" s="196">
        <f>[52]Ecarts_masses_tousrégimes!AF58</f>
        <v>2.4660596357302556E-2</v>
      </c>
      <c r="AH28" s="196">
        <f>[52]Ecarts_masses_tousrégimes!AG58</f>
        <v>2.4862008598065088E-2</v>
      </c>
      <c r="AI28" s="196">
        <f>[52]Ecarts_masses_tousrégimes!AH58</f>
        <v>2.5431313848768955E-2</v>
      </c>
      <c r="AJ28" s="196">
        <f>[52]Ecarts_masses_tousrégimes!AI58</f>
        <v>2.5642163396992546E-2</v>
      </c>
      <c r="AK28" s="196">
        <f>[52]Ecarts_masses_tousrégimes!AJ58</f>
        <v>2.589684150983218E-2</v>
      </c>
      <c r="AL28" s="196">
        <f>[52]Ecarts_masses_tousrégimes!AK58</f>
        <v>2.5875215968661269E-2</v>
      </c>
      <c r="AM28" s="196">
        <f>[52]Ecarts_masses_tousrégimes!AL58</f>
        <v>2.6151118173249444E-2</v>
      </c>
      <c r="AN28" s="196">
        <f>[52]Ecarts_masses_tousrégimes!AM58</f>
        <v>2.6478401624439929E-2</v>
      </c>
      <c r="AO28" s="196">
        <f>[52]Ecarts_masses_tousrégimes!AN58</f>
        <v>2.6665739657506959E-2</v>
      </c>
      <c r="AP28" s="196">
        <f>[52]Ecarts_masses_tousrégimes!AO58</f>
        <v>2.6866941100029074E-2</v>
      </c>
      <c r="AQ28" s="196">
        <f>[52]Ecarts_masses_tousrégimes!AP58</f>
        <v>2.6954223924553489E-2</v>
      </c>
      <c r="AR28" s="196">
        <f>[52]Ecarts_masses_tousrégimes!AQ58</f>
        <v>2.6996443629413891E-2</v>
      </c>
      <c r="AS28" s="196">
        <f>[52]Ecarts_masses_tousrégimes!AR58</f>
        <v>2.6920567565051012E-2</v>
      </c>
      <c r="AT28" s="196">
        <f>[52]Ecarts_masses_tousrégimes!AS58</f>
        <v>2.6963869205800517E-2</v>
      </c>
      <c r="AU28" s="196">
        <f>[52]Ecarts_masses_tousrégimes!AT58</f>
        <v>2.7401694964815704E-2</v>
      </c>
      <c r="AV28" s="196">
        <f>[52]Ecarts_masses_tousrégimes!AU58</f>
        <v>2.7680169942211119E-2</v>
      </c>
      <c r="AW28" s="208">
        <f>[52]Ecarts_masses_tousrégimes!AV58</f>
        <v>2.7776131141917348E-2</v>
      </c>
    </row>
    <row r="29" spans="2:49">
      <c r="B29" s="299"/>
      <c r="C29" s="299"/>
      <c r="D29" s="202" t="s">
        <v>54</v>
      </c>
      <c r="E29" s="207">
        <f>[52]Ecarts_masses_tousrégimes!D59</f>
        <v>5.3945512404585116E-4</v>
      </c>
      <c r="F29" s="196">
        <f>[52]Ecarts_masses_tousrégimes!E59</f>
        <v>1.2479144575243684E-3</v>
      </c>
      <c r="G29" s="196">
        <f>[52]Ecarts_masses_tousrégimes!F59</f>
        <v>1.8664565696948632E-3</v>
      </c>
      <c r="H29" s="196">
        <f>[52]Ecarts_masses_tousrégimes!G59</f>
        <v>2.4387289393121847E-3</v>
      </c>
      <c r="I29" s="196">
        <f>[52]Ecarts_masses_tousrégimes!H59</f>
        <v>2.9675359533820611E-3</v>
      </c>
      <c r="J29" s="196">
        <f>[52]Ecarts_masses_tousrégimes!I59</f>
        <v>3.536975156716915E-3</v>
      </c>
      <c r="K29" s="196">
        <f>[52]Ecarts_masses_tousrégimes!J59</f>
        <v>4.117291553457525E-3</v>
      </c>
      <c r="L29" s="196">
        <f>[52]Ecarts_masses_tousrégimes!K59</f>
        <v>4.7518755975834992E-3</v>
      </c>
      <c r="M29" s="196">
        <f>[52]Ecarts_masses_tousrégimes!L59</f>
        <v>5.408063060522883E-3</v>
      </c>
      <c r="N29" s="196">
        <f>[52]Ecarts_masses_tousrégimes!M59</f>
        <v>6.1097105743714852E-3</v>
      </c>
      <c r="O29" s="196">
        <f>[52]Ecarts_masses_tousrégimes!N59</f>
        <v>6.8099282788633975E-3</v>
      </c>
      <c r="P29" s="196">
        <f>[52]Ecarts_masses_tousrégimes!O59</f>
        <v>7.5338882111466443E-3</v>
      </c>
      <c r="Q29" s="196">
        <f>[52]Ecarts_masses_tousrégimes!P59</f>
        <v>8.2378067048107795E-3</v>
      </c>
      <c r="R29" s="196">
        <f>[52]Ecarts_masses_tousrégimes!Q59</f>
        <v>8.9880830681365875E-3</v>
      </c>
      <c r="S29" s="196">
        <f>[52]Ecarts_masses_tousrégimes!R59</f>
        <v>9.7414196639395989E-3</v>
      </c>
      <c r="T29" s="196">
        <f>[52]Ecarts_masses_tousrégimes!S59</f>
        <v>1.0543523738581362E-2</v>
      </c>
      <c r="U29" s="196">
        <f>[52]Ecarts_masses_tousrégimes!T59</f>
        <v>1.1361077861064661E-2</v>
      </c>
      <c r="V29" s="196">
        <f>[52]Ecarts_masses_tousrégimes!U59</f>
        <v>1.2093430679224859E-2</v>
      </c>
      <c r="W29" s="196">
        <f>[52]Ecarts_masses_tousrégimes!V59</f>
        <v>1.2914259082021484E-2</v>
      </c>
      <c r="X29" s="196">
        <f>[52]Ecarts_masses_tousrégimes!W59</f>
        <v>1.3712536297864064E-2</v>
      </c>
      <c r="Y29" s="196">
        <f>[52]Ecarts_masses_tousrégimes!X59</f>
        <v>1.4481061968437015E-2</v>
      </c>
      <c r="Z29" s="196">
        <f>[52]Ecarts_masses_tousrégimes!Y59</f>
        <v>1.5280625812778892E-2</v>
      </c>
      <c r="AA29" s="196">
        <f>[52]Ecarts_masses_tousrégimes!Z59</f>
        <v>1.6028718164521782E-2</v>
      </c>
      <c r="AB29" s="196">
        <f>[52]Ecarts_masses_tousrégimes!AA59</f>
        <v>1.6800372372106631E-2</v>
      </c>
      <c r="AC29" s="196">
        <f>[52]Ecarts_masses_tousrégimes!AB59</f>
        <v>1.7612040789114713E-2</v>
      </c>
      <c r="AD29" s="196">
        <f>[52]Ecarts_masses_tousrégimes!AC59</f>
        <v>1.8358421390039625E-2</v>
      </c>
      <c r="AE29" s="196">
        <f>[52]Ecarts_masses_tousrégimes!AD59</f>
        <v>1.9152989019124655E-2</v>
      </c>
      <c r="AF29" s="196">
        <f>[52]Ecarts_masses_tousrégimes!AE59</f>
        <v>1.9894818548443105E-2</v>
      </c>
      <c r="AG29" s="196">
        <f>[52]Ecarts_masses_tousrégimes!AF59</f>
        <v>2.0649603841828013E-2</v>
      </c>
      <c r="AH29" s="196">
        <f>[52]Ecarts_masses_tousrégimes!AG59</f>
        <v>2.1245156747992544E-2</v>
      </c>
      <c r="AI29" s="196">
        <f>[52]Ecarts_masses_tousrégimes!AH59</f>
        <v>2.1947939925335946E-2</v>
      </c>
      <c r="AJ29" s="196">
        <f>[52]Ecarts_masses_tousrégimes!AI59</f>
        <v>2.2857659170021138E-2</v>
      </c>
      <c r="AK29" s="196">
        <f>[52]Ecarts_masses_tousrégimes!AJ59</f>
        <v>2.3729219783643618E-2</v>
      </c>
      <c r="AL29" s="196">
        <f>[52]Ecarts_masses_tousrégimes!AK59</f>
        <v>2.4639877774149443E-2</v>
      </c>
      <c r="AM29" s="196">
        <f>[52]Ecarts_masses_tousrégimes!AL59</f>
        <v>2.5555119432861373E-2</v>
      </c>
      <c r="AN29" s="196">
        <f>[52]Ecarts_masses_tousrégimes!AM59</f>
        <v>2.6378030212445669E-2</v>
      </c>
      <c r="AO29" s="196">
        <f>[52]Ecarts_masses_tousrégimes!AN59</f>
        <v>2.7406113925349196E-2</v>
      </c>
      <c r="AP29" s="196">
        <f>[52]Ecarts_masses_tousrégimes!AO59</f>
        <v>2.8542837460524106E-2</v>
      </c>
      <c r="AQ29" s="196">
        <f>[52]Ecarts_masses_tousrégimes!AP59</f>
        <v>2.9719144449611878E-2</v>
      </c>
      <c r="AR29" s="196">
        <f>[52]Ecarts_masses_tousrégimes!AQ59</f>
        <v>3.1044725639877369E-2</v>
      </c>
      <c r="AS29" s="196">
        <f>[52]Ecarts_masses_tousrégimes!AR59</f>
        <v>3.2233139983434134E-2</v>
      </c>
      <c r="AT29" s="196">
        <f>[52]Ecarts_masses_tousrégimes!AS59</f>
        <v>3.3649407208088178E-2</v>
      </c>
      <c r="AU29" s="196">
        <f>[52]Ecarts_masses_tousrégimes!AT59</f>
        <v>3.4917046027399534E-2</v>
      </c>
      <c r="AV29" s="196">
        <f>[52]Ecarts_masses_tousrégimes!AU59</f>
        <v>3.6372888922797442E-2</v>
      </c>
      <c r="AW29" s="208">
        <f>[52]Ecarts_masses_tousrégimes!AV59</f>
        <v>3.7611956205208186E-2</v>
      </c>
    </row>
    <row r="30" spans="2:49">
      <c r="B30" s="299"/>
      <c r="C30" s="299"/>
      <c r="D30" s="202" t="s">
        <v>45</v>
      </c>
      <c r="E30" s="207">
        <f>[52]Ecarts_masses_tousrégimes!D60</f>
        <v>-6.0632875735433522E-5</v>
      </c>
      <c r="F30" s="196">
        <f>[52]Ecarts_masses_tousrégimes!E60</f>
        <v>-1.7301292415672354E-4</v>
      </c>
      <c r="G30" s="196">
        <f>[52]Ecarts_masses_tousrégimes!F60</f>
        <v>-2.851084510802071E-4</v>
      </c>
      <c r="H30" s="196">
        <f>[52]Ecarts_masses_tousrégimes!G60</f>
        <v>-4.7838746953721145E-4</v>
      </c>
      <c r="I30" s="196">
        <f>[52]Ecarts_masses_tousrégimes!H60</f>
        <v>-7.1158181295993828E-4</v>
      </c>
      <c r="J30" s="196">
        <f>[52]Ecarts_masses_tousrégimes!I60</f>
        <v>-8.3919265647047769E-4</v>
      </c>
      <c r="K30" s="196">
        <f>[52]Ecarts_masses_tousrégimes!J60</f>
        <v>-8.5918195615208859E-4</v>
      </c>
      <c r="L30" s="196">
        <f>[52]Ecarts_masses_tousrégimes!K60</f>
        <v>-8.5259801403447799E-4</v>
      </c>
      <c r="M30" s="196">
        <f>[52]Ecarts_masses_tousrégimes!L60</f>
        <v>-8.957462244281178E-4</v>
      </c>
      <c r="N30" s="196">
        <f>[52]Ecarts_masses_tousrégimes!M60</f>
        <v>-1.0226417639391805E-3</v>
      </c>
      <c r="O30" s="196">
        <f>[52]Ecarts_masses_tousrégimes!N60</f>
        <v>-1.10595811473857E-3</v>
      </c>
      <c r="P30" s="196">
        <f>[52]Ecarts_masses_tousrégimes!O60</f>
        <v>-1.1976022606611236E-3</v>
      </c>
      <c r="Q30" s="196">
        <f>[52]Ecarts_masses_tousrégimes!P60</f>
        <v>-1.2144697056106768E-3</v>
      </c>
      <c r="R30" s="196">
        <f>[52]Ecarts_masses_tousrégimes!Q60</f>
        <v>-1.3236108269591984E-3</v>
      </c>
      <c r="S30" s="196">
        <f>[52]Ecarts_masses_tousrégimes!R60</f>
        <v>-1.4160040809216845E-3</v>
      </c>
      <c r="T30" s="196">
        <f>[52]Ecarts_masses_tousrégimes!S60</f>
        <v>-1.3938408239768663E-3</v>
      </c>
      <c r="U30" s="196">
        <f>[52]Ecarts_masses_tousrégimes!T60</f>
        <v>-1.4236312393931527E-3</v>
      </c>
      <c r="V30" s="196">
        <f>[52]Ecarts_masses_tousrégimes!U60</f>
        <v>-1.4682412353884677E-3</v>
      </c>
      <c r="W30" s="196">
        <f>[52]Ecarts_masses_tousrégimes!V60</f>
        <v>-1.5940040275088663E-3</v>
      </c>
      <c r="X30" s="196">
        <f>[52]Ecarts_masses_tousrégimes!W60</f>
        <v>-1.5687257697993839E-3</v>
      </c>
      <c r="Y30" s="196">
        <f>[52]Ecarts_masses_tousrégimes!X60</f>
        <v>-1.3853409118278481E-3</v>
      </c>
      <c r="Z30" s="196">
        <f>[52]Ecarts_masses_tousrégimes!Y60</f>
        <v>-1.3888517344458062E-3</v>
      </c>
      <c r="AA30" s="196">
        <f>[52]Ecarts_masses_tousrégimes!Z60</f>
        <v>-1.2827038556767478E-3</v>
      </c>
      <c r="AB30" s="196">
        <f>[52]Ecarts_masses_tousrégimes!AA60</f>
        <v>-1.1503222989789341E-3</v>
      </c>
      <c r="AC30" s="196">
        <f>[52]Ecarts_masses_tousrégimes!AB60</f>
        <v>-1.0658623769708164E-3</v>
      </c>
      <c r="AD30" s="196">
        <f>[52]Ecarts_masses_tousrégimes!AC60</f>
        <v>-1.0290090155529175E-3</v>
      </c>
      <c r="AE30" s="196">
        <f>[52]Ecarts_masses_tousrégimes!AD60</f>
        <v>-8.2576389195643252E-4</v>
      </c>
      <c r="AF30" s="196">
        <f>[52]Ecarts_masses_tousrégimes!AE60</f>
        <v>-5.5002916410640257E-4</v>
      </c>
      <c r="AG30" s="196">
        <f>[52]Ecarts_masses_tousrégimes!AF60</f>
        <v>-3.7189994290343087E-4</v>
      </c>
      <c r="AH30" s="196">
        <f>[52]Ecarts_masses_tousrégimes!AG60</f>
        <v>-1.1892323997397813E-4</v>
      </c>
      <c r="AI30" s="196">
        <f>[52]Ecarts_masses_tousrégimes!AH60</f>
        <v>1.4965662582855366E-4</v>
      </c>
      <c r="AJ30" s="196">
        <f>[52]Ecarts_masses_tousrégimes!AI60</f>
        <v>2.9547598340506909E-4</v>
      </c>
      <c r="AK30" s="196">
        <f>[52]Ecarts_masses_tousrégimes!AJ60</f>
        <v>5.3778081921396215E-4</v>
      </c>
      <c r="AL30" s="196">
        <f>[52]Ecarts_masses_tousrégimes!AK60</f>
        <v>6.1207880760427713E-4</v>
      </c>
      <c r="AM30" s="196">
        <f>[52]Ecarts_masses_tousrégimes!AL60</f>
        <v>8.0077551118629131E-4</v>
      </c>
      <c r="AN30" s="196">
        <f>[52]Ecarts_masses_tousrégimes!AM60</f>
        <v>8.8852243490755711E-4</v>
      </c>
      <c r="AO30" s="196">
        <f>[52]Ecarts_masses_tousrégimes!AN60</f>
        <v>1.3371812514391124E-3</v>
      </c>
      <c r="AP30" s="196">
        <f>[52]Ecarts_masses_tousrégimes!AO60</f>
        <v>1.4594394787319498E-3</v>
      </c>
      <c r="AQ30" s="196">
        <f>[52]Ecarts_masses_tousrégimes!AP60</f>
        <v>1.5767797901704572E-3</v>
      </c>
      <c r="AR30" s="196">
        <f>[52]Ecarts_masses_tousrégimes!AQ60</f>
        <v>1.5909038132078113E-3</v>
      </c>
      <c r="AS30" s="196">
        <f>[52]Ecarts_masses_tousrégimes!AR60</f>
        <v>1.6216903532837446E-3</v>
      </c>
      <c r="AT30" s="196">
        <f>[52]Ecarts_masses_tousrégimes!AS60</f>
        <v>1.7035114870931345E-3</v>
      </c>
      <c r="AU30" s="196">
        <f>[52]Ecarts_masses_tousrégimes!AT60</f>
        <v>1.8428123264611074E-3</v>
      </c>
      <c r="AV30" s="196">
        <f>[52]Ecarts_masses_tousrégimes!AU60</f>
        <v>2.0701531544464746E-3</v>
      </c>
      <c r="AW30" s="208">
        <f>[52]Ecarts_masses_tousrégimes!AV60</f>
        <v>2.4096411115821503E-3</v>
      </c>
    </row>
    <row r="31" spans="2:49">
      <c r="B31" s="299"/>
      <c r="C31" s="299"/>
      <c r="D31" s="202" t="s">
        <v>46</v>
      </c>
      <c r="E31" s="207">
        <f>[52]Ecarts_masses_tousrégimes!D61</f>
        <v>1.0842784368598757E-3</v>
      </c>
      <c r="F31" s="196">
        <f>[52]Ecarts_masses_tousrégimes!E61</f>
        <v>2.6255631267322332E-3</v>
      </c>
      <c r="G31" s="196">
        <f>[52]Ecarts_masses_tousrégimes!F61</f>
        <v>3.8651106449145711E-3</v>
      </c>
      <c r="H31" s="196">
        <f>[52]Ecarts_masses_tousrégimes!G61</f>
        <v>4.9111795014031845E-3</v>
      </c>
      <c r="I31" s="196">
        <f>[52]Ecarts_masses_tousrégimes!H61</f>
        <v>5.9926966607666277E-3</v>
      </c>
      <c r="J31" s="196">
        <f>[52]Ecarts_masses_tousrégimes!I61</f>
        <v>6.981836050173662E-3</v>
      </c>
      <c r="K31" s="196">
        <f>[52]Ecarts_masses_tousrégimes!J61</f>
        <v>7.8512370774452833E-3</v>
      </c>
      <c r="L31" s="196">
        <f>[52]Ecarts_masses_tousrégimes!K61</f>
        <v>8.9151976624910478E-3</v>
      </c>
      <c r="M31" s="196">
        <f>[52]Ecarts_masses_tousrégimes!L61</f>
        <v>1.0027615454482941E-2</v>
      </c>
      <c r="N31" s="196">
        <f>[52]Ecarts_masses_tousrégimes!M61</f>
        <v>1.0995813930509524E-2</v>
      </c>
      <c r="O31" s="196">
        <f>[52]Ecarts_masses_tousrégimes!N61</f>
        <v>1.2020154062477806E-2</v>
      </c>
      <c r="P31" s="196">
        <f>[52]Ecarts_masses_tousrégimes!O61</f>
        <v>1.3179366486211652E-2</v>
      </c>
      <c r="Q31" s="196">
        <f>[52]Ecarts_masses_tousrégimes!P61</f>
        <v>1.4188097044034453E-2</v>
      </c>
      <c r="R31" s="196">
        <f>[52]Ecarts_masses_tousrégimes!Q61</f>
        <v>1.5291314241794085E-2</v>
      </c>
      <c r="S31" s="196">
        <f>[52]Ecarts_masses_tousrégimes!R61</f>
        <v>1.642543511253991E-2</v>
      </c>
      <c r="T31" s="196">
        <f>[52]Ecarts_masses_tousrégimes!S61</f>
        <v>1.738750163029068E-2</v>
      </c>
      <c r="U31" s="196">
        <f>[52]Ecarts_masses_tousrégimes!T61</f>
        <v>1.8220596696825853E-2</v>
      </c>
      <c r="V31" s="196">
        <f>[52]Ecarts_masses_tousrégimes!U61</f>
        <v>1.9098021067762705E-2</v>
      </c>
      <c r="W31" s="196">
        <f>[52]Ecarts_masses_tousrégimes!V61</f>
        <v>1.9910643498727731E-2</v>
      </c>
      <c r="X31" s="196">
        <f>[52]Ecarts_masses_tousrégimes!W61</f>
        <v>2.0839436896240571E-2</v>
      </c>
      <c r="Y31" s="196">
        <f>[52]Ecarts_masses_tousrégimes!X61</f>
        <v>2.1636264408096739E-2</v>
      </c>
      <c r="Z31" s="196">
        <f>[52]Ecarts_masses_tousrégimes!Y61</f>
        <v>2.2500156691598994E-2</v>
      </c>
      <c r="AA31" s="196">
        <f>[52]Ecarts_masses_tousrégimes!Z61</f>
        <v>2.302379295666479E-2</v>
      </c>
      <c r="AB31" s="196">
        <f>[52]Ecarts_masses_tousrégimes!AA61</f>
        <v>2.3551616687025545E-2</v>
      </c>
      <c r="AC31" s="196">
        <f>[52]Ecarts_masses_tousrégimes!AB61</f>
        <v>2.423818504453501E-2</v>
      </c>
      <c r="AD31" s="196">
        <f>[52]Ecarts_masses_tousrégimes!AC61</f>
        <v>2.4788027848868577E-2</v>
      </c>
      <c r="AE31" s="196">
        <f>[52]Ecarts_masses_tousrégimes!AD61</f>
        <v>2.5021393461465813E-2</v>
      </c>
      <c r="AF31" s="196">
        <f>[52]Ecarts_masses_tousrégimes!AE61</f>
        <v>2.54801717489197E-2</v>
      </c>
      <c r="AG31" s="196">
        <f>[52]Ecarts_masses_tousrégimes!AF61</f>
        <v>2.5745911134708255E-2</v>
      </c>
      <c r="AH31" s="196">
        <f>[52]Ecarts_masses_tousrégimes!AG61</f>
        <v>2.5835674581823787E-2</v>
      </c>
      <c r="AI31" s="196">
        <f>[52]Ecarts_masses_tousrégimes!AH61</f>
        <v>2.6411687718235211E-2</v>
      </c>
      <c r="AJ31" s="196">
        <f>[52]Ecarts_masses_tousrégimes!AI61</f>
        <v>2.646113732296973E-2</v>
      </c>
      <c r="AK31" s="196">
        <f>[52]Ecarts_masses_tousrégimes!AJ61</f>
        <v>2.6489474915844857E-2</v>
      </c>
      <c r="AL31" s="196">
        <f>[52]Ecarts_masses_tousrégimes!AK61</f>
        <v>2.6583530586077098E-2</v>
      </c>
      <c r="AM31" s="196">
        <f>[52]Ecarts_masses_tousrégimes!AL61</f>
        <v>2.6784575610831807E-2</v>
      </c>
      <c r="AN31" s="196">
        <f>[52]Ecarts_masses_tousrégimes!AM61</f>
        <v>2.6909080280103748E-2</v>
      </c>
      <c r="AO31" s="196">
        <f>[52]Ecarts_masses_tousrégimes!AN61</f>
        <v>2.6773504905643675E-2</v>
      </c>
      <c r="AP31" s="196">
        <f>[52]Ecarts_masses_tousrégimes!AO61</f>
        <v>2.6709242899404684E-2</v>
      </c>
      <c r="AQ31" s="196">
        <f>[52]Ecarts_masses_tousrégimes!AP61</f>
        <v>2.6252776021739255E-2</v>
      </c>
      <c r="AR31" s="196">
        <f>[52]Ecarts_masses_tousrégimes!AQ61</f>
        <v>2.6090108101410214E-2</v>
      </c>
      <c r="AS31" s="196">
        <f>[52]Ecarts_masses_tousrégimes!AR61</f>
        <v>2.6357756985108116E-2</v>
      </c>
      <c r="AT31" s="196">
        <f>[52]Ecarts_masses_tousrégimes!AS61</f>
        <v>2.6368932381957588E-2</v>
      </c>
      <c r="AU31" s="196">
        <f>[52]Ecarts_masses_tousrégimes!AT61</f>
        <v>2.6399958225117981E-2</v>
      </c>
      <c r="AV31" s="196">
        <f>[52]Ecarts_masses_tousrégimes!AU61</f>
        <v>2.6290783753189606E-2</v>
      </c>
      <c r="AW31" s="208">
        <f>[52]Ecarts_masses_tousrégimes!AV61</f>
        <v>2.6165701057043522E-2</v>
      </c>
    </row>
    <row r="32" spans="2:49" ht="15" thickBot="1">
      <c r="B32" s="299"/>
      <c r="C32" s="300"/>
      <c r="D32" s="202" t="s">
        <v>55</v>
      </c>
      <c r="E32" s="209">
        <f>[52]Ecarts_masses_tousrégimes!D62</f>
        <v>9.1973792804012078E-6</v>
      </c>
      <c r="F32" s="210">
        <f>[52]Ecarts_masses_tousrégimes!E62</f>
        <v>3.5078373497920978E-5</v>
      </c>
      <c r="G32" s="210">
        <f>[52]Ecarts_masses_tousrégimes!F62</f>
        <v>1.0406632131942928E-4</v>
      </c>
      <c r="H32" s="210">
        <f>[52]Ecarts_masses_tousrégimes!G62</f>
        <v>1.2128290937862829E-4</v>
      </c>
      <c r="I32" s="210">
        <f>[52]Ecarts_masses_tousrégimes!H62</f>
        <v>1.3423278970980945E-4</v>
      </c>
      <c r="J32" s="210">
        <f>[52]Ecarts_masses_tousrégimes!I62</f>
        <v>1.5625348548575779E-4</v>
      </c>
      <c r="K32" s="210">
        <f>[52]Ecarts_masses_tousrégimes!J62</f>
        <v>1.5202128804414627E-4</v>
      </c>
      <c r="L32" s="210">
        <f>[52]Ecarts_masses_tousrégimes!K62</f>
        <v>1.7959853422078176E-4</v>
      </c>
      <c r="M32" s="210">
        <f>[52]Ecarts_masses_tousrégimes!L62</f>
        <v>2.0910556227171639E-4</v>
      </c>
      <c r="N32" s="210">
        <f>[52]Ecarts_masses_tousrégimes!M62</f>
        <v>2.0261197229776151E-4</v>
      </c>
      <c r="O32" s="210">
        <f>[52]Ecarts_masses_tousrégimes!N62</f>
        <v>1.5213272149705581E-4</v>
      </c>
      <c r="P32" s="210">
        <f>[52]Ecarts_masses_tousrégimes!O62</f>
        <v>1.4623699261351319E-4</v>
      </c>
      <c r="Q32" s="210">
        <f>[52]Ecarts_masses_tousrégimes!P62</f>
        <v>1.8917431850784538E-4</v>
      </c>
      <c r="R32" s="210">
        <f>[52]Ecarts_masses_tousrégimes!Q62</f>
        <v>1.2469259102143582E-4</v>
      </c>
      <c r="S32" s="210">
        <f>[52]Ecarts_masses_tousrégimes!R62</f>
        <v>5.2139748364155025E-5</v>
      </c>
      <c r="T32" s="210">
        <f>[52]Ecarts_masses_tousrégimes!S62</f>
        <v>1.3982168892545666E-4</v>
      </c>
      <c r="U32" s="210">
        <f>[52]Ecarts_masses_tousrégimes!T62</f>
        <v>2.0767925880260663E-4</v>
      </c>
      <c r="V32" s="210">
        <f>[52]Ecarts_masses_tousrégimes!U62</f>
        <v>3.0983563255215785E-4</v>
      </c>
      <c r="W32" s="210">
        <f>[52]Ecarts_masses_tousrégimes!V62</f>
        <v>3.3191167166557456E-4</v>
      </c>
      <c r="X32" s="210">
        <f>[52]Ecarts_masses_tousrégimes!W62</f>
        <v>4.1645703538106815E-4</v>
      </c>
      <c r="Y32" s="210">
        <f>[52]Ecarts_masses_tousrégimes!X62</f>
        <v>5.0255527666154265E-4</v>
      </c>
      <c r="Z32" s="210">
        <f>[52]Ecarts_masses_tousrégimes!Y62</f>
        <v>6.308724106274255E-4</v>
      </c>
      <c r="AA32" s="210">
        <f>[52]Ecarts_masses_tousrégimes!Z62</f>
        <v>6.331708121374291E-4</v>
      </c>
      <c r="AB32" s="210">
        <f>[52]Ecarts_masses_tousrégimes!AA62</f>
        <v>7.3422136926604153E-4</v>
      </c>
      <c r="AC32" s="210">
        <f>[52]Ecarts_masses_tousrégimes!AB62</f>
        <v>7.6850163094932533E-4</v>
      </c>
      <c r="AD32" s="210">
        <f>[52]Ecarts_masses_tousrégimes!AC62</f>
        <v>8.5214766218233429E-4</v>
      </c>
      <c r="AE32" s="210">
        <f>[52]Ecarts_masses_tousrégimes!AD62</f>
        <v>6.7752630045769813E-4</v>
      </c>
      <c r="AF32" s="210">
        <f>[52]Ecarts_masses_tousrégimes!AE62</f>
        <v>6.7642206561258078E-4</v>
      </c>
      <c r="AG32" s="210">
        <f>[52]Ecarts_masses_tousrégimes!AF62</f>
        <v>6.7402747690059606E-4</v>
      </c>
      <c r="AH32" s="210">
        <f>[52]Ecarts_masses_tousrégimes!AG62</f>
        <v>6.5930426175886403E-4</v>
      </c>
      <c r="AI32" s="210">
        <f>[52]Ecarts_masses_tousrégimes!AH62</f>
        <v>6.4081832510787251E-4</v>
      </c>
      <c r="AJ32" s="210">
        <f>[52]Ecarts_masses_tousrégimes!AI62</f>
        <v>6.814499422456155E-4</v>
      </c>
      <c r="AK32" s="210">
        <f>[52]Ecarts_masses_tousrégimes!AJ62</f>
        <v>8.0522797169479965E-4</v>
      </c>
      <c r="AL32" s="210">
        <f>[52]Ecarts_masses_tousrégimes!AK62</f>
        <v>1.230088022694531E-3</v>
      </c>
      <c r="AM32" s="210">
        <f>[52]Ecarts_masses_tousrégimes!AL62</f>
        <v>9.9439211464980026E-4</v>
      </c>
      <c r="AN32" s="210">
        <f>[52]Ecarts_masses_tousrégimes!AM62</f>
        <v>1.0804426184074511E-3</v>
      </c>
      <c r="AO32" s="210">
        <f>[52]Ecarts_masses_tousrégimes!AN62</f>
        <v>9.5480410775117264E-4</v>
      </c>
      <c r="AP32" s="210">
        <f>[52]Ecarts_masses_tousrégimes!AO62</f>
        <v>9.2398185566611168E-4</v>
      </c>
      <c r="AQ32" s="210">
        <f>[52]Ecarts_masses_tousrégimes!AP62</f>
        <v>1.1262729878369626E-3</v>
      </c>
      <c r="AR32" s="210">
        <f>[52]Ecarts_masses_tousrégimes!AQ62</f>
        <v>1.0497244450515808E-3</v>
      </c>
      <c r="AS32" s="210">
        <f>[52]Ecarts_masses_tousrégimes!AR62</f>
        <v>5.8716996715379999E-4</v>
      </c>
      <c r="AT32" s="210">
        <f>[52]Ecarts_masses_tousrégimes!AS62</f>
        <v>5.0800007888285315E-4</v>
      </c>
      <c r="AU32" s="210">
        <f>[52]Ecarts_masses_tousrégimes!AT62</f>
        <v>4.6404992349868834E-4</v>
      </c>
      <c r="AV32" s="210">
        <f>[52]Ecarts_masses_tousrégimes!AU62</f>
        <v>6.567398015264736E-4</v>
      </c>
      <c r="AW32" s="211">
        <f>[52]Ecarts_masses_tousrégimes!AV62</f>
        <v>3.4138576564424206E-4</v>
      </c>
    </row>
    <row r="33" spans="2:49" ht="26.25" thickBot="1">
      <c r="B33" s="300"/>
      <c r="C33" s="257" t="s">
        <v>59</v>
      </c>
      <c r="D33" s="256" t="s">
        <v>6</v>
      </c>
      <c r="E33" s="253">
        <f>[57]Ecarts_masses_tousrégimes_DP!D10</f>
        <v>-2.4882033871198583E-4</v>
      </c>
      <c r="F33" s="254">
        <f>[57]Ecarts_masses_tousrégimes_DP!E10</f>
        <v>-1.0820293584614671E-3</v>
      </c>
      <c r="G33" s="254">
        <f>[57]Ecarts_masses_tousrégimes_DP!F10</f>
        <v>-2.0271054605979222E-3</v>
      </c>
      <c r="H33" s="254">
        <f>[57]Ecarts_masses_tousrégimes_DP!G10</f>
        <v>-3.0491450043780288E-3</v>
      </c>
      <c r="I33" s="254">
        <f>[57]Ecarts_masses_tousrégimes_DP!H10</f>
        <v>-4.1814302075245946E-3</v>
      </c>
      <c r="J33" s="254">
        <f>[57]Ecarts_masses_tousrégimes_DP!I10</f>
        <v>-5.3936441349455855E-3</v>
      </c>
      <c r="K33" s="254">
        <f>[57]Ecarts_masses_tousrégimes_DP!J10</f>
        <v>-6.5363895593852916E-3</v>
      </c>
      <c r="L33" s="254">
        <f>[57]Ecarts_masses_tousrégimes_DP!K10</f>
        <v>-7.5724151543473672E-3</v>
      </c>
      <c r="M33" s="254">
        <f>[57]Ecarts_masses_tousrégimes_DP!L10</f>
        <v>-8.6074053556524088E-3</v>
      </c>
      <c r="N33" s="254">
        <f>[57]Ecarts_masses_tousrégimes_DP!M10</f>
        <v>-9.5438440789229473E-3</v>
      </c>
      <c r="O33" s="254">
        <f>[57]Ecarts_masses_tousrégimes_DP!N10</f>
        <v>-1.0593307682007613E-2</v>
      </c>
      <c r="P33" s="254">
        <f>[57]Ecarts_masses_tousrégimes_DP!O10</f>
        <v>-1.1488728675618121E-2</v>
      </c>
      <c r="Q33" s="254">
        <f>[57]Ecarts_masses_tousrégimes_DP!P10</f>
        <v>-1.2418454646396238E-2</v>
      </c>
      <c r="R33" s="254">
        <f>[57]Ecarts_masses_tousrégimes_DP!Q10</f>
        <v>-1.3318628014285738E-2</v>
      </c>
      <c r="S33" s="254">
        <f>[57]Ecarts_masses_tousrégimes_DP!R10</f>
        <v>-1.4198468387643381E-2</v>
      </c>
      <c r="T33" s="254">
        <f>[57]Ecarts_masses_tousrégimes_DP!S10</f>
        <v>-1.4967558287165894E-2</v>
      </c>
      <c r="U33" s="254">
        <f>[57]Ecarts_masses_tousrégimes_DP!T10</f>
        <v>-1.5646924580055788E-2</v>
      </c>
      <c r="V33" s="254">
        <f>[57]Ecarts_masses_tousrégimes_DP!U10</f>
        <v>-1.6210964177669207E-2</v>
      </c>
      <c r="W33" s="254">
        <f>[57]Ecarts_masses_tousrégimes_DP!V10</f>
        <v>-1.6759278428689517E-2</v>
      </c>
      <c r="X33" s="254">
        <f>[57]Ecarts_masses_tousrégimes_DP!W10</f>
        <v>-1.7196051372971088E-2</v>
      </c>
      <c r="Y33" s="254">
        <f>[57]Ecarts_masses_tousrégimes_DP!X10</f>
        <v>-1.7535482699752136E-2</v>
      </c>
      <c r="Z33" s="254">
        <f>[57]Ecarts_masses_tousrégimes_DP!Y10</f>
        <v>-1.7856311364188082E-2</v>
      </c>
      <c r="AA33" s="254">
        <f>[57]Ecarts_masses_tousrégimes_DP!Z10</f>
        <v>-1.8152872139556409E-2</v>
      </c>
      <c r="AB33" s="254">
        <f>[57]Ecarts_masses_tousrégimes_DP!AA10</f>
        <v>-1.8417801447013105E-2</v>
      </c>
      <c r="AC33" s="254">
        <f>[57]Ecarts_masses_tousrégimes_DP!AB10</f>
        <v>-1.8580986081531137E-2</v>
      </c>
      <c r="AD33" s="254">
        <f>[57]Ecarts_masses_tousrégimes_DP!AC10</f>
        <v>-1.883448890882522E-2</v>
      </c>
      <c r="AE33" s="254">
        <f>[57]Ecarts_masses_tousrégimes_DP!AD10</f>
        <v>-1.8765045895467125E-2</v>
      </c>
      <c r="AF33" s="254">
        <f>[57]Ecarts_masses_tousrégimes_DP!AE10</f>
        <v>-1.8531496455726715E-2</v>
      </c>
      <c r="AG33" s="254">
        <f>[57]Ecarts_masses_tousrégimes_DP!AF10</f>
        <v>-1.820694644392451E-2</v>
      </c>
      <c r="AH33" s="254">
        <f>[57]Ecarts_masses_tousrégimes_DP!AG10</f>
        <v>-1.7859980406525144E-2</v>
      </c>
      <c r="AI33" s="254">
        <f>[57]Ecarts_masses_tousrégimes_DP!AH10</f>
        <v>-1.7589995639396561E-2</v>
      </c>
      <c r="AJ33" s="254">
        <f>[57]Ecarts_masses_tousrégimes_DP!AI10</f>
        <v>-1.7185639421833154E-2</v>
      </c>
      <c r="AK33" s="254">
        <f>[57]Ecarts_masses_tousrégimes_DP!AJ10</f>
        <v>-1.6635012267755322E-2</v>
      </c>
      <c r="AL33" s="254">
        <f>[57]Ecarts_masses_tousrégimes_DP!AK10</f>
        <v>-1.5953683249752104E-2</v>
      </c>
      <c r="AM33" s="254">
        <f>[57]Ecarts_masses_tousrégimes_DP!AL10</f>
        <v>-1.5387096273643652E-2</v>
      </c>
      <c r="AN33" s="254">
        <f>[57]Ecarts_masses_tousrégimes_DP!AM10</f>
        <v>-1.4770014694923006E-2</v>
      </c>
      <c r="AO33" s="254">
        <f>[57]Ecarts_masses_tousrégimes_DP!AN10</f>
        <v>-1.3964011718533453E-2</v>
      </c>
      <c r="AP33" s="254">
        <f>[57]Ecarts_masses_tousrégimes_DP!AO10</f>
        <v>-1.3223823806453261E-2</v>
      </c>
      <c r="AQ33" s="254">
        <f>[57]Ecarts_masses_tousrégimes_DP!AP10</f>
        <v>-1.2535708716922334E-2</v>
      </c>
      <c r="AR33" s="254">
        <f>[57]Ecarts_masses_tousrégimes_DP!AQ10</f>
        <v>-1.1866473513257425E-2</v>
      </c>
      <c r="AS33" s="254">
        <f>[57]Ecarts_masses_tousrégimes_DP!AR10</f>
        <v>-1.1134825210767918E-2</v>
      </c>
      <c r="AT33" s="254">
        <f>[57]Ecarts_masses_tousrégimes_DP!AS10</f>
        <v>-1.0459061950119364E-2</v>
      </c>
      <c r="AU33" s="254">
        <f>[57]Ecarts_masses_tousrégimes_DP!AT10</f>
        <v>-9.7733428607515993E-3</v>
      </c>
      <c r="AV33" s="254">
        <f>[57]Ecarts_masses_tousrégimes_DP!AU10</f>
        <v>-8.9975886641926461E-3</v>
      </c>
      <c r="AW33" s="255">
        <f>[57]Ecarts_masses_tousrégimes_DP!AV10</f>
        <v>-8.2124707922032192E-3</v>
      </c>
    </row>
    <row r="35" spans="2:49">
      <c r="B35" s="177" t="s">
        <v>36</v>
      </c>
    </row>
  </sheetData>
  <mergeCells count="6">
    <mergeCell ref="B5:B23"/>
    <mergeCell ref="B24:B33"/>
    <mergeCell ref="B4:D4"/>
    <mergeCell ref="C5:C13"/>
    <mergeCell ref="C14:C22"/>
    <mergeCell ref="C24:C32"/>
  </mergeCells>
  <hyperlinks>
    <hyperlink ref="A2" location="SOMMAIRE!A1" display="Retour au sommaire" xr:uid="{EDC43962-3DE4-4514-A831-866B67716C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SOMMAIRE</vt:lpstr>
      <vt:lpstr>Fig A.1</vt:lpstr>
      <vt:lpstr>Fig A.2</vt:lpstr>
      <vt:lpstr>Fig A.3</vt:lpstr>
      <vt:lpstr>Fig A.4</vt:lpstr>
      <vt:lpstr>Fig A.5</vt:lpstr>
      <vt:lpstr>Fig A.6</vt:lpstr>
      <vt:lpstr>Fig A.7</vt:lpstr>
      <vt:lpstr>Fig A.8</vt:lpstr>
      <vt:lpstr>Fig A.9</vt:lpstr>
      <vt:lpstr>Tab B.1</vt:lpstr>
      <vt:lpstr>Tab B.2</vt:lpstr>
      <vt:lpstr>Tab B.3</vt:lpstr>
      <vt:lpstr>Tab B.4</vt:lpstr>
      <vt:lpstr>Tab B.5</vt:lpstr>
      <vt:lpstr>Fig B.1</vt:lpstr>
      <vt:lpstr>Fig B.2</vt:lpstr>
      <vt:lpstr>Fig B.3</vt:lpstr>
      <vt:lpstr>Tab C.1</vt:lpstr>
      <vt:lpstr>Tab C.2</vt:lpstr>
      <vt:lpstr>Tab C.3</vt:lpstr>
      <vt:lpstr>Tab C.4</vt:lpstr>
      <vt:lpstr>Tab C.5</vt:lpstr>
      <vt:lpstr>Fig C.1</vt:lpstr>
      <vt:lpstr>Fig C.2</vt:lpstr>
      <vt:lpstr>Fig C.3</vt:lpstr>
      <vt:lpstr>Fig C.4</vt:lpstr>
      <vt:lpstr>Tab D.1</vt:lpstr>
      <vt:lpstr>Tab D.2</vt:lpstr>
      <vt:lpstr>Tab D.3</vt:lpstr>
      <vt:lpstr>Tab D.4</vt:lpstr>
      <vt:lpstr>Tab D.5</vt:lpstr>
      <vt:lpstr>Tab D.6</vt:lpstr>
      <vt:lpstr>Tab D.7</vt:lpstr>
      <vt:lpstr>Tab D.8</vt:lpstr>
      <vt:lpstr>Tab D.9</vt:lpstr>
    </vt:vector>
  </TitlesOfParts>
  <Company>SPM_PROPLUS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BERTEAU-RAPIN Caroline</dc:creator>
  <cp:lastModifiedBy>BERTEAU-RAPIN Caroline</cp:lastModifiedBy>
  <dcterms:created xsi:type="dcterms:W3CDTF">2025-09-22T08:13:02Z</dcterms:created>
  <dcterms:modified xsi:type="dcterms:W3CDTF">2025-11-06T13:53:14Z</dcterms:modified>
</cp:coreProperties>
</file>