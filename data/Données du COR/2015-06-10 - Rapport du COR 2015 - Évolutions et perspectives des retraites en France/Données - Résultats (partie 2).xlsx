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12.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drawings/drawing18.xml" ContentType="application/vnd.openxmlformats-officedocument.drawing+xml"/>
  <Override PartName="/xl/charts/chart13.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14.xml" ContentType="application/vnd.openxmlformats-officedocument.drawingml.chart+xml"/>
  <Override PartName="/xl/drawings/drawing21.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drawings/drawing22.xml" ContentType="application/vnd.openxmlformats-officedocument.drawingml.chartshapes+xml"/>
  <Override PartName="/xl/charts/chart17.xml" ContentType="application/vnd.openxmlformats-officedocument.drawingml.chart+xml"/>
  <Override PartName="/xl/drawings/drawing23.xml" ContentType="application/vnd.openxmlformats-officedocument.drawingml.chartshapes+xml"/>
  <Override PartName="/xl/charts/chart18.xml" ContentType="application/vnd.openxmlformats-officedocument.drawingml.chart+xml"/>
  <Override PartName="/xl/drawings/drawing24.xml" ContentType="application/vnd.openxmlformats-officedocument.drawingml.chartshapes+xml"/>
  <Override PartName="/xl/charts/chart19.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27.xml" ContentType="application/vnd.openxmlformats-officedocument.drawing+xml"/>
  <Override PartName="/xl/charts/chart22.xml" ContentType="application/vnd.openxmlformats-officedocument.drawingml.chart+xml"/>
  <Override PartName="/xl/drawings/drawing28.xml" ContentType="application/vnd.openxmlformats-officedocument.drawingml.chartshapes+xml"/>
  <Override PartName="/xl/charts/chart23.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24.xml" ContentType="application/vnd.openxmlformats-officedocument.drawingml.chart+xml"/>
  <Override PartName="/xl/drawings/drawing31.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34.xml" ContentType="application/vnd.openxmlformats-officedocument.drawing+xml"/>
  <Override PartName="/xl/charts/chart29.xml" ContentType="application/vnd.openxmlformats-officedocument.drawingml.chart+xml"/>
  <Override PartName="/xl/drawings/drawing35.xml" ContentType="application/vnd.openxmlformats-officedocument.drawing+xml"/>
  <Override PartName="/xl/charts/chart30.xml" ContentType="application/vnd.openxmlformats-officedocument.drawingml.chart+xml"/>
  <Override PartName="/xl/drawings/drawing3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3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38.xml" ContentType="application/vnd.openxmlformats-officedocument.drawing+xml"/>
  <Override PartName="/xl/charts/chart35.xml" ContentType="application/vnd.openxmlformats-officedocument.drawingml.chart+xml"/>
  <Override PartName="/xl/drawings/drawing39.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40.xml" ContentType="application/vnd.openxmlformats-officedocument.drawing+xml"/>
  <Override PartName="/xl/charts/chart38.xml" ContentType="application/vnd.openxmlformats-officedocument.drawingml.chart+xml"/>
  <Override PartName="/xl/drawings/drawing41.xml" ContentType="application/vnd.openxmlformats-officedocument.drawingml.chartshapes+xml"/>
  <Override PartName="/xl/charts/chart39.xml" ContentType="application/vnd.openxmlformats-officedocument.drawingml.chart+xml"/>
  <Override PartName="/xl/drawings/drawing42.xml" ContentType="application/vnd.openxmlformats-officedocument.drawingml.chartshapes+xml"/>
  <Override PartName="/xl/drawings/drawing43.xml" ContentType="application/vnd.openxmlformats-officedocument.drawing+xml"/>
  <Override PartName="/xl/charts/chart40.xml" ContentType="application/vnd.openxmlformats-officedocument.drawingml.chart+xml"/>
  <Override PartName="/xl/drawings/drawing44.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45.xml" ContentType="application/vnd.openxmlformats-officedocument.drawing+xml"/>
  <Override PartName="/xl/drawings/drawing46.xml" ContentType="application/vnd.openxmlformats-officedocument.drawing+xml"/>
  <Override PartName="/xl/charts/chart43.xml" ContentType="application/vnd.openxmlformats-officedocument.drawingml.chart+xml"/>
  <Override PartName="/xl/drawings/drawing47.xml" ContentType="application/vnd.openxmlformats-officedocument.drawingml.chartshapes+xml"/>
  <Override PartName="/xl/drawings/drawing48.xml" ContentType="application/vnd.openxmlformats-officedocument.drawing+xml"/>
  <Override PartName="/xl/charts/chart44.xml" ContentType="application/vnd.openxmlformats-officedocument.drawingml.chart+xml"/>
  <Override PartName="/xl/drawings/drawing49.xml" ContentType="application/vnd.openxmlformats-officedocument.drawing+xml"/>
  <Override PartName="/xl/charts/chart45.xml" ContentType="application/vnd.openxmlformats-officedocument.drawingml.chart+xml"/>
  <Override PartName="/xl/drawings/drawing50.xml" ContentType="application/vnd.openxmlformats-officedocument.drawing+xml"/>
  <Override PartName="/xl/charts/chart4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Users\gille\Documents\PLF\Données\COR\2015-1\"/>
    </mc:Choice>
  </mc:AlternateContent>
  <xr:revisionPtr revIDLastSave="0" documentId="13_ncr:1_{D1A1687B-5447-4334-9C45-ADF20CF37AD7}" xr6:coauthVersionLast="47" xr6:coauthVersionMax="47" xr10:uidLastSave="{00000000-0000-0000-0000-000000000000}"/>
  <bookViews>
    <workbookView xWindow="0" yWindow="0" windowWidth="11520" windowHeight="12360" tabRatio="636" xr2:uid="{00000000-000D-0000-FFFF-FFFF00000000}"/>
  </bookViews>
  <sheets>
    <sheet name="Fig 2.1" sheetId="34" r:id="rId1"/>
    <sheet name="Fig 2.2" sheetId="35" r:id="rId2"/>
    <sheet name="Fig 2.3" sheetId="55" r:id="rId3"/>
    <sheet name="Fig 2.4" sheetId="56" r:id="rId4"/>
    <sheet name="Fig 2.5" sheetId="13" r:id="rId5"/>
    <sheet name="Fig 2.6" sheetId="16" r:id="rId6"/>
    <sheet name="Fig 2.7" sheetId="19" r:id="rId7"/>
    <sheet name="Fig 2.8" sheetId="67" r:id="rId8"/>
    <sheet name="Fig 2.9" sheetId="36" r:id="rId9"/>
    <sheet name="Fig 2.10" sheetId="37" r:id="rId10"/>
    <sheet name="Fig 2.11" sheetId="38" r:id="rId11"/>
    <sheet name="Fig 2.12" sheetId="54" r:id="rId12"/>
    <sheet name="Fig 2.13" sheetId="46" r:id="rId13"/>
    <sheet name="Fig 2.14" sheetId="50" r:id="rId14"/>
    <sheet name="Fig 2.15" sheetId="1" r:id="rId15"/>
    <sheet name="Tab 2.16" sheetId="9" r:id="rId16"/>
    <sheet name="Fig 2.17" sheetId="57" r:id="rId17"/>
    <sheet name="Fig 2.18" sheetId="51" r:id="rId18"/>
    <sheet name="Fig 2.19" sheetId="8" r:id="rId19"/>
    <sheet name="Fig 2.20" sheetId="33" r:id="rId20"/>
    <sheet name="Fig 2.21" sheetId="52" r:id="rId21"/>
    <sheet name="Fig 2.22" sheetId="31" r:id="rId22"/>
    <sheet name="Fig 2.23" sheetId="53" r:id="rId23"/>
    <sheet name="Fig 2.24" sheetId="66" r:id="rId24"/>
    <sheet name="Fig 2.25" sheetId="59" r:id="rId25"/>
    <sheet name="Fig 2.26" sheetId="60" r:id="rId26"/>
    <sheet name="Fig 2.27" sheetId="61" r:id="rId27"/>
    <sheet name="Fig 2.28" sheetId="63" r:id="rId28"/>
    <sheet name="Fig 2.29" sheetId="65" r:id="rId29"/>
    <sheet name="Fig 2.30" sheetId="64" r:id="rId30"/>
    <sheet name="Fig 2.31" sheetId="62" r:id="rId31"/>
    <sheet name="Feuil1" sheetId="68" r:id="rId32"/>
  </sheets>
  <externalReferences>
    <externalReference r:id="rId33"/>
    <externalReference r:id="rId34"/>
    <externalReference r:id="rId35"/>
    <externalReference r:id="rId36"/>
    <externalReference r:id="rId37"/>
    <externalReference r:id="rId38"/>
  </externalReferences>
  <definedNames>
    <definedName name="Année" localSheetId="12">[1]TX!$C$8</definedName>
    <definedName name="Année" localSheetId="23">[2]TX!$C$8</definedName>
    <definedName name="Année" localSheetId="24">[1]TX!$C$8</definedName>
    <definedName name="Année" localSheetId="25">[1]TX!$C$8</definedName>
    <definedName name="Année" localSheetId="26">[1]TX!$C$8</definedName>
    <definedName name="Année">[2]TX!$C$8</definedName>
    <definedName name="annéean">[3]txcot!#REF!</definedName>
    <definedName name="blabla" hidden="1">{"TABL1",#N/A,TRUE,"TABLX";"TABL2",#N/A,TRUE,"TABLX"}</definedName>
    <definedName name="euro" localSheetId="12">[4]SOMMAIRE!$C$131</definedName>
    <definedName name="euro" localSheetId="23">[5]SOMMAIRE!$C$131</definedName>
    <definedName name="euro" localSheetId="24">[4]SOMMAIRE!$C$131</definedName>
    <definedName name="euro" localSheetId="25">[4]SOMMAIRE!$C$131</definedName>
    <definedName name="euro" localSheetId="26">[4]SOMMAIRE!$C$131</definedName>
    <definedName name="euro">[5]SOMMAIRE!$C$131</definedName>
    <definedName name="franc">[4]SOMMAIRE!$C$131</definedName>
    <definedName name="jjmmhh" hidden="1">{"TABL1",#N/A,TRUE,"TABLX";"TABL2",#N/A,TRUE,"TABLX"}</definedName>
    <definedName name="jmh" localSheetId="23">[6]txcot!#REF!</definedName>
    <definedName name="jmh">[3]txcot!#REF!</definedName>
    <definedName name="jmhjmh" localSheetId="23" hidden="1">{"TABL1",#N/A,TRUE,"TABLX";"TABL2",#N/A,TRUE,"TABLX"}</definedName>
    <definedName name="jmhjmh" hidden="1">{"TABL1",#N/A,TRUE,"TABLX";"TABL2",#N/A,TRUE,"TABLX"}</definedName>
    <definedName name="wrn.Rapport." localSheetId="12" hidden="1">{"TABL1",#N/A,TRUE,"TABLX";"TABL2",#N/A,TRUE,"TABLX"}</definedName>
    <definedName name="wrn.Rapport." localSheetId="23" hidden="1">{"TABL1",#N/A,TRUE,"TABLX";"TABL2",#N/A,TRUE,"TABLX"}</definedName>
    <definedName name="wrn.Rapport." localSheetId="24" hidden="1">{"TABL1",#N/A,TRUE,"TABLX";"TABL2",#N/A,TRUE,"TABLX"}</definedName>
    <definedName name="wrn.Rapport." localSheetId="25" hidden="1">{"TABL1",#N/A,TRUE,"TABLX";"TABL2",#N/A,TRUE,"TABLX"}</definedName>
    <definedName name="wrn.Rapport." localSheetId="26" hidden="1">{"TABL1",#N/A,TRUE,"TABLX";"TABL2",#N/A,TRUE,"TABLX"}</definedName>
    <definedName name="wrn.Rapport." localSheetId="27" hidden="1">{"TABL1",#N/A,TRUE,"TABLX";"TABL2",#N/A,TRUE,"TABLX"}</definedName>
    <definedName name="wrn.Rapport." hidden="1">{"TABL1",#N/A,TRUE,"TABLX";"TABL2",#N/A,TRUE,"TABLX"}</definedName>
    <definedName name="years" localSheetId="12">[3]txcot!#REF!</definedName>
    <definedName name="years" localSheetId="21">[6]txcot!#REF!</definedName>
    <definedName name="years" localSheetId="23">[6]txcot!#REF!</definedName>
    <definedName name="years" localSheetId="24">[3]txcot!#REF!</definedName>
    <definedName name="years" localSheetId="25">[3]txcot!#REF!</definedName>
    <definedName name="years" localSheetId="26">[3]txcot!#REF!</definedName>
    <definedName name="years" localSheetId="5">[6]txcot!#REF!</definedName>
    <definedName name="years" localSheetId="6">[6]txcot!#REF!</definedName>
    <definedName name="years">[6]txcot!#REF!</definedName>
  </definedNames>
  <calcPr calcId="191029"/>
</workbook>
</file>

<file path=xl/calcChain.xml><?xml version="1.0" encoding="utf-8"?>
<calcChain xmlns="http://schemas.openxmlformats.org/spreadsheetml/2006/main">
  <c r="G7" i="60" l="1"/>
  <c r="H7" i="60" s="1"/>
  <c r="I7" i="60" s="1"/>
  <c r="J7" i="60" s="1"/>
  <c r="K7" i="60" s="1"/>
  <c r="L7" i="60" s="1"/>
  <c r="G4" i="60"/>
  <c r="H4" i="60" s="1"/>
  <c r="I4" i="60" s="1"/>
  <c r="J4" i="60" s="1"/>
  <c r="K4" i="60" s="1"/>
  <c r="L4" i="60" s="1"/>
</calcChain>
</file>

<file path=xl/sharedStrings.xml><?xml version="1.0" encoding="utf-8"?>
<sst xmlns="http://schemas.openxmlformats.org/spreadsheetml/2006/main" count="576" uniqueCount="262">
  <si>
    <t>Scénario A</t>
  </si>
  <si>
    <t>Variante A'</t>
  </si>
  <si>
    <t>Scénario B</t>
  </si>
  <si>
    <t>Scénario C</t>
  </si>
  <si>
    <t>Variante C'</t>
  </si>
  <si>
    <t>ensemble</t>
  </si>
  <si>
    <t>femmes</t>
  </si>
  <si>
    <t>hommes</t>
  </si>
  <si>
    <t>Scénario central de mortalité</t>
  </si>
  <si>
    <t>Variante de mortalité haute</t>
  </si>
  <si>
    <t>Variante de mortalité basse</t>
  </si>
  <si>
    <t>Femmes</t>
  </si>
  <si>
    <t>Hommes</t>
  </si>
  <si>
    <t>Générations</t>
  </si>
  <si>
    <t>2,7*SMPT</t>
  </si>
  <si>
    <t>0,9*SMPT</t>
  </si>
  <si>
    <t>0,8*SMPT</t>
  </si>
  <si>
    <t>60 ans</t>
  </si>
  <si>
    <t>Taux de pauvreté des retraités</t>
  </si>
  <si>
    <t>CNAV</t>
  </si>
  <si>
    <t>ARRCO</t>
  </si>
  <si>
    <t>Données complémentaires : décomposition des taux de remplacement selon les régimes d'affiliation</t>
  </si>
  <si>
    <t>Tous régimes</t>
  </si>
  <si>
    <t>Taux de cotisation moyen sur toute la carrière</t>
  </si>
  <si>
    <t>61 ans et 2 mois</t>
  </si>
  <si>
    <t>62 ans et 2 mois</t>
  </si>
  <si>
    <t>63 ans et 2 mois</t>
  </si>
  <si>
    <t>64 ans et 2 mois</t>
  </si>
  <si>
    <t>65 ans et 2 mois</t>
  </si>
  <si>
    <t>66 ans et 2 mois</t>
  </si>
  <si>
    <t xml:space="preserve"> Régimes spéciaux </t>
  </si>
  <si>
    <t xml:space="preserve"> FSV</t>
  </si>
  <si>
    <t>Fonctionnaires</t>
  </si>
  <si>
    <t>Salariés privé base</t>
  </si>
  <si>
    <t>Salariés privé compl.</t>
  </si>
  <si>
    <t xml:space="preserve">Données complémentaires : durée de carrière en nombre d'années </t>
  </si>
  <si>
    <t>Besoins de financement (soldes des dépenses et des ressources, hors charges et produits financiers)</t>
  </si>
  <si>
    <t>Non-salariés</t>
  </si>
  <si>
    <t>Cas type n°1 (cadre)</t>
  </si>
  <si>
    <t>Cas type n°2 (non-cadre)</t>
  </si>
  <si>
    <t>Cas type n°3 (non-cadre avec chômage)</t>
  </si>
  <si>
    <t>Cas type n°4 (femme avec deux enfants)</t>
  </si>
  <si>
    <t>Cas type n°5 (B sédentaire)</t>
  </si>
  <si>
    <t>Cas type n°6 (A faible taux de prime)</t>
  </si>
  <si>
    <t>Cas type n°7 (A+ fort taux de prime)</t>
  </si>
  <si>
    <t>Salaire brut de fin de carrière (et part des primes pour les fonctionnaires)</t>
  </si>
  <si>
    <t>Ressources en % de PIB</t>
  </si>
  <si>
    <t>Dépenses en % de PIB</t>
  </si>
  <si>
    <t>0,8*SMPT de l’année des 56 ans</t>
  </si>
  <si>
    <t>Taux de pauvreté</t>
  </si>
  <si>
    <t>Cas type n°2 du COR</t>
  </si>
  <si>
    <t>Moyenne par génération</t>
  </si>
  <si>
    <t xml:space="preserve">Données complémentaires : décomposition des taux de remplacement selon les régimes d'affiliation pour le cas type n°2 </t>
  </si>
  <si>
    <t>Cas type de non-cadre, salarié du privé (cas n°2)</t>
  </si>
  <si>
    <t>A'</t>
  </si>
  <si>
    <t>B</t>
  </si>
  <si>
    <t>C</t>
  </si>
  <si>
    <t>C'</t>
  </si>
  <si>
    <t xml:space="preserve">Données complémentaires : décomposition des taux de remplacement selon les régimes d'affiliation </t>
  </si>
  <si>
    <t>AGIRC</t>
  </si>
  <si>
    <t>FPE</t>
  </si>
  <si>
    <t>RAFP</t>
  </si>
  <si>
    <t>1,1*SMPT                      (dont 18% primes)</t>
  </si>
  <si>
    <t>1,5*SMPT                     (dont 9% primes)</t>
  </si>
  <si>
    <t>2,7*SMPT                        (dont 34% primes)</t>
  </si>
  <si>
    <t>Régimes</t>
  </si>
  <si>
    <t>Obs</t>
  </si>
  <si>
    <t>Rapport entre le nombre de cotisants et le nombre de retraités</t>
  </si>
  <si>
    <t xml:space="preserve">Taux de prélèvement global
(en % de la masse des revenus d’activité bruts)
</t>
  </si>
  <si>
    <t>Pension moyenne de l’ensemble des retraités, relative au revenu d’activité moyen 
(en % du revenu d’activité moyen brut)</t>
  </si>
  <si>
    <t>Figure 2.2 – Âge moyen conjoncturel de départ à la retraite</t>
  </si>
  <si>
    <t>Ressources, en % du PIB</t>
  </si>
  <si>
    <t>Dépenses, en % du PIB</t>
  </si>
  <si>
    <t>Convention "COR"</t>
  </si>
  <si>
    <t>Convention "CCSS"</t>
  </si>
  <si>
    <t>Figure 2.6 – Solde financier observé du système de retraite</t>
  </si>
  <si>
    <t>Scénario économique</t>
  </si>
  <si>
    <t>A' (revenus d'activité : +2%/an, chômage : 4,5%)</t>
  </si>
  <si>
    <t>A (revenus d'activité : +1,8%/an, chômage : 4,5%)</t>
  </si>
  <si>
    <t>B (revenus d'activité : +1,5%/an, chômage : 4,5%)</t>
  </si>
  <si>
    <t>C (revenus d'activité : +1,3%/an, chômage : 7%)</t>
  </si>
  <si>
    <t>C' (revenus d'activité : +1%/an, chômage : 7%)</t>
  </si>
  <si>
    <t>A', variante (revenus d'activité : +2%/an, chômage : 10%)</t>
  </si>
  <si>
    <t>B, variante (revenus d'activité : +1,5%/an, chômage : 10%)</t>
  </si>
  <si>
    <t>C', variante (revenus d'activité : +1%/an, chômage : 10%)</t>
  </si>
  <si>
    <t>En % du PIB des 25 prochaines années</t>
  </si>
  <si>
    <t>En % de la masse des revenus d'activité bruts des 25 prochaines années</t>
  </si>
  <si>
    <t>En % de la masse des pensions de retraite des 25 prochaines années</t>
  </si>
  <si>
    <t>Scénarios économiques</t>
  </si>
  <si>
    <t>A</t>
  </si>
  <si>
    <t>Besoin de financement pour couvrir le solde initial et le cumul des effets de la démographie (vieillissement) et de l'emploi sur la période</t>
  </si>
  <si>
    <t>En % de PIB annuel</t>
  </si>
  <si>
    <t>Couverture de ce besoin de financement par la variation …</t>
  </si>
  <si>
    <t>En % du besoin de financement lié au vieillissement</t>
  </si>
  <si>
    <t>de l'âge de départ à la retraite</t>
  </si>
  <si>
    <t>du taux de prélèvement</t>
  </si>
  <si>
    <t>de la prestation moyenne relative (par retraité de droit direct)</t>
  </si>
  <si>
    <t>Besoin de financement non-couvert (à législation inchangée)</t>
  </si>
  <si>
    <t>Excédent dégagé (à législation inchangée)</t>
  </si>
  <si>
    <t>Données complémentaires : contributions des trois leviers sur la période 2016-2040 (horizon de 25 ans)</t>
  </si>
  <si>
    <r>
      <rPr>
        <b/>
        <sz val="11"/>
        <color theme="1"/>
        <rFont val="Times New Roman"/>
        <family val="1"/>
      </rPr>
      <t xml:space="preserve">Taux de prélèvement global </t>
    </r>
    <r>
      <rPr>
        <sz val="11"/>
        <color theme="1"/>
        <rFont val="Times New Roman"/>
        <family val="1"/>
      </rPr>
      <t>assurant l’équilibre financier du système de retraite, si l’on ne revient pas sur les évolutions à législation inchangée de l’âge effectif moyen de départ et de la pension moyenne relative des retraités</t>
    </r>
  </si>
  <si>
    <r>
      <rPr>
        <b/>
        <sz val="11"/>
        <color theme="1"/>
        <rFont val="Times New Roman"/>
        <family val="1"/>
      </rPr>
      <t>Âge effectif moyen de départ à la retraite</t>
    </r>
    <r>
      <rPr>
        <sz val="11"/>
        <color theme="1"/>
        <rFont val="Times New Roman"/>
        <family val="1"/>
      </rPr>
      <t xml:space="preserve"> assurant l’équilibre financier du système de retraite, si l’on ne revient pas sur les évolutions à législation inchangée du taux de prélèvement global et de la pension moyenne relative des retraités</t>
    </r>
  </si>
  <si>
    <t>Année</t>
  </si>
  <si>
    <t xml:space="preserve">Génération </t>
  </si>
  <si>
    <t>Génération ayant 65 ans (hors majorations et réversions)</t>
  </si>
  <si>
    <t>Génération ayant 65 ans (y compris majorations et réversions)</t>
  </si>
  <si>
    <t>Ensemble des retraités de droit direct (hors majorations et réversions)</t>
  </si>
  <si>
    <t>Ensemble des retraités de droit direct (y compris majorations et réversions)</t>
  </si>
  <si>
    <t>Rapport entre le niveau de vie moyen des femmes et des hommes retraités</t>
  </si>
  <si>
    <t>Ecart entre le taux de pauvreté des femmes et des hommes retraités</t>
  </si>
  <si>
    <t>Niveau de vie moyen</t>
  </si>
  <si>
    <t>Génération</t>
  </si>
  <si>
    <t>Pension hors décote/surcote</t>
  </si>
  <si>
    <t>Pension "pleine"</t>
  </si>
  <si>
    <t>Pension "pleine" (hors minima de pension)</t>
  </si>
  <si>
    <t>Durée validée (tous régimes)</t>
  </si>
  <si>
    <t>Durée validée hors majorations de durée d'assurance (tous régimes)</t>
  </si>
  <si>
    <t>Sans tenir compte des différences d'espérance de vie entre sexes</t>
  </si>
  <si>
    <t>Avec espérances de vie distinctes selon le sexe</t>
  </si>
  <si>
    <t>Ecarts d'espérance de vie avec limitation sévère d'activité</t>
  </si>
  <si>
    <t>Ecarts d'espérance de vie avec limitation modérée d'activité</t>
  </si>
  <si>
    <t>Ecarts d'espérance de vie sans limitation d'activité</t>
  </si>
  <si>
    <t>célibataires</t>
  </si>
  <si>
    <t>divorcées</t>
  </si>
  <si>
    <t>seuls</t>
  </si>
  <si>
    <t>veuves</t>
  </si>
  <si>
    <t>en couple</t>
  </si>
  <si>
    <t>seules</t>
  </si>
  <si>
    <t>en indice</t>
  </si>
  <si>
    <t>en euros</t>
  </si>
  <si>
    <t>Effectifs (milliers)</t>
  </si>
  <si>
    <t>Situation matrimoniale</t>
  </si>
  <si>
    <t>Situation conjugale</t>
  </si>
  <si>
    <t>Sexe</t>
  </si>
  <si>
    <t>Rapport entre la pension nette moyenne de l'ensemble des retraités et le revenu d'activité net moyen</t>
  </si>
  <si>
    <t>Rapport entre le niveau de vie des retraités et celui du reste de la population</t>
  </si>
  <si>
    <t>Espérance de vie par génération</t>
  </si>
  <si>
    <t>Âge moyen de départ à la retraite du cas type n°2 du COR</t>
  </si>
  <si>
    <t>Âge moyen de départ à la retraite par génération</t>
  </si>
  <si>
    <t>Ensemble (scénario B)</t>
  </si>
  <si>
    <t>Femmes (scénario B)</t>
  </si>
  <si>
    <t>Hommes (scénario B)</t>
  </si>
  <si>
    <t>Scénario central de mortalité, ensemble</t>
  </si>
  <si>
    <t>Scénario central de mortalité, femmes</t>
  </si>
  <si>
    <t>Scénario central de mortalité,hommes</t>
  </si>
  <si>
    <t>Variante de mortalité haute, ensemble</t>
  </si>
  <si>
    <t>Variante de mortalité haute, femmes</t>
  </si>
  <si>
    <t>Variante de mortalité haute, hommes</t>
  </si>
  <si>
    <t>Variante de mortalité basse, ensemble</t>
  </si>
  <si>
    <t>Variante de mortalité basse, femmes</t>
  </si>
  <si>
    <t>Variante de mortalité basse, hommes</t>
  </si>
  <si>
    <t>Cas type</t>
  </si>
  <si>
    <t>Tous scénarios</t>
  </si>
  <si>
    <t>Moyennes par génération (durée validée tous régimes, sur le champ de l'ensemble des retraités)</t>
  </si>
  <si>
    <t>Moyennes par génération (durée validée tous régimes, sur le champ des retraités de la CNAV)</t>
  </si>
  <si>
    <t>Avec taux légal ARRCO</t>
  </si>
  <si>
    <t>Avec taux moyen ARRCO</t>
  </si>
  <si>
    <t>Données complémentaires : taux légaux de cotisation (part salarié + par employeur) par régime</t>
  </si>
  <si>
    <t>ARRCO (taux moyen)</t>
  </si>
  <si>
    <t>ARRCO (taux légal)</t>
  </si>
  <si>
    <t>Militaires</t>
  </si>
  <si>
    <t>Taux de la contribution employeur au régime des Pensions civiles et militaires de retraite (PCMR)</t>
  </si>
  <si>
    <t>Civils, employés en propre ou détachés dans un ministère</t>
  </si>
  <si>
    <t>Civils, autres employeurs</t>
  </si>
  <si>
    <t>Taux de prélèvement global pour l'ensemble du système de retraite</t>
  </si>
  <si>
    <t>Taux légal de contribution des employeurs 
de fonctionnaires d’État (CAS pensions)</t>
  </si>
  <si>
    <t>A' (convention COR)</t>
  </si>
  <si>
    <t>A (convention COR)</t>
  </si>
  <si>
    <t>B (convention COR)</t>
  </si>
  <si>
    <t>C (convention COR)</t>
  </si>
  <si>
    <t>C' (convention COR)</t>
  </si>
  <si>
    <t>A' (convention CCSS)</t>
  </si>
  <si>
    <t>A (convention CCSS)</t>
  </si>
  <si>
    <t>B (convention CCSS)</t>
  </si>
  <si>
    <t>C (convention CCSS)</t>
  </si>
  <si>
    <t>C' (convention CCSS)</t>
  </si>
  <si>
    <t>Moyennes par génération</t>
  </si>
  <si>
    <t>Érosion de la pension relative en moyenne sur l’ensemble de la durée de retraite par rapport à la pension relative à la liquidation</t>
  </si>
  <si>
    <t>Taux de remplacement net moyen sur l’ensemble du cycle de vie</t>
  </si>
  <si>
    <t xml:space="preserve">Données complémentaires : décomposition des taux de remplacement moyen selon les régimes d'affiliation pour le cas type n°2 </t>
  </si>
  <si>
    <t>Ecart total d'âge de départ (observé)</t>
  </si>
  <si>
    <t>Ecart lié aux départs avant 60 ans (observé)</t>
  </si>
  <si>
    <t>Ecart total d'âge de départ (projeté)</t>
  </si>
  <si>
    <t>Ecart lié aux départs avant 60 ans (projeté)</t>
  </si>
  <si>
    <r>
      <t xml:space="preserve">Évolution de la </t>
    </r>
    <r>
      <rPr>
        <b/>
        <sz val="11"/>
        <color theme="1"/>
        <rFont val="Times New Roman"/>
        <family val="1"/>
      </rPr>
      <t>pension moyenne relative des retraités</t>
    </r>
    <r>
      <rPr>
        <sz val="11"/>
        <color theme="1"/>
        <rFont val="Times New Roman"/>
        <family val="1"/>
      </rPr>
      <t xml:space="preserve"> nécessaire pour assurer l’équilibre financier du système de retraite, si l’on ne revient pas sur les évolutions à législation inchangée de l’âge effectif moyen de départ et du taux de prélèvement global</t>
    </r>
  </si>
  <si>
    <t>observé</t>
  </si>
  <si>
    <t>données rétropolées</t>
  </si>
  <si>
    <t>données observées</t>
  </si>
  <si>
    <t>données projetées</t>
  </si>
  <si>
    <t xml:space="preserve">En niveau </t>
  </si>
  <si>
    <t>En écart par rapport à l'évolution à législation inchangée</t>
  </si>
  <si>
    <t>Écarts par rapport aux niveaux spontanément atteints à législation inchangée</t>
  </si>
  <si>
    <t>Niveaux devant être atteint pour assurer l'équilibre financier du système de retraite</t>
  </si>
  <si>
    <t>Ensemble des retraités</t>
  </si>
  <si>
    <t>Retraitées femmes</t>
  </si>
  <si>
    <t>Retraités hommes</t>
  </si>
  <si>
    <t>Pour comparaison : ensemble de la population</t>
  </si>
  <si>
    <t>veufs</t>
  </si>
  <si>
    <t>divorcés</t>
  </si>
  <si>
    <t>Ecart lié aux départs à 65 ans ou avant (observé)</t>
  </si>
  <si>
    <t>Ecart lié aux départs à 65 ans ou avant (projeté)</t>
  </si>
  <si>
    <r>
      <rPr>
        <sz val="10"/>
        <color rgb="FF002060"/>
        <rFont val="Times New Roman"/>
        <family val="1"/>
      </rPr>
      <t>Solde financier moyen                                       calculé selon la</t>
    </r>
    <r>
      <rPr>
        <b/>
        <sz val="10"/>
        <color rgb="FF002060"/>
        <rFont val="Times New Roman"/>
        <family val="1"/>
      </rPr>
      <t xml:space="preserve"> convention COR</t>
    </r>
  </si>
  <si>
    <r>
      <rPr>
        <sz val="10"/>
        <color theme="1"/>
        <rFont val="Times New Roman"/>
        <family val="1"/>
      </rPr>
      <t>Solde financier moyen                                       calculé selon la</t>
    </r>
    <r>
      <rPr>
        <b/>
        <sz val="10"/>
        <color theme="1"/>
        <rFont val="Times New Roman"/>
        <family val="1"/>
      </rPr>
      <t xml:space="preserve"> convention  CCSS</t>
    </r>
  </si>
  <si>
    <t>Figure 2.31 – Durée moyenne validée tous régimes des femmes rapportée à celle des hommes</t>
  </si>
  <si>
    <t>Figure 2.30 – Ecart entre l'âge moyen de départ des femmes et des hommes, et contribution à cet écart des départs avant 60 et 65 ans</t>
  </si>
  <si>
    <t>Figure 2.28 – Durée moyenne de retraite relative à l'espérance de vie des femmes rapportée à celle des hommes</t>
  </si>
  <si>
    <t>Figure 2.27 – Niveau de vie moyen et taux de pauvreté des femmes et des hommes retraités selon la situation conjugale et matrimoniale en 2012</t>
  </si>
  <si>
    <t>Figure 2.26 – Niveau de vie moyen à la retraite des femmes rapporté à celui des hommes et écart de taux de pauvreté à la retraite entre les femmes et les hommes</t>
  </si>
  <si>
    <t>Figure 2.25 – Montant brut moyen des pensions de droit direct des femmes rapporté à celui des hommes, pour divers éléments du montant de la pension</t>
  </si>
  <si>
    <t>Figure 2.24 – Montant brut moyen des pensions des femmes rapporté à celui des hommes</t>
  </si>
  <si>
    <t>Figure 2.19 – Taux de remplacement net à l'issue d'une carrière entièrement cotisée au SMIC</t>
  </si>
  <si>
    <t>Figure 2.14 – Taux de pauvreté des retraités</t>
  </si>
  <si>
    <t>Figure 2.13 – Pensions nettes relatives et rapport de niveau de vie projetés</t>
  </si>
  <si>
    <t>Tableau 2.9 – Solde financier moyen à l’horizon de 25 ans</t>
  </si>
  <si>
    <t>Figure 2.7 – Solde financier projeté du système de retraite  (convention COR)</t>
  </si>
  <si>
    <t>Pension effective</t>
  </si>
  <si>
    <t>Données complémentaires : Les trois facteurs de la situation financière, dans les variantes avec hypothèses de chômage à 10 % à long terme</t>
  </si>
  <si>
    <t>A', ch 10%</t>
  </si>
  <si>
    <t>B, ch 10%</t>
  </si>
  <si>
    <t>C', ch 10%</t>
  </si>
  <si>
    <t>Taux de prélèvement global
(en % de la masse des revenus d’activité bruts)</t>
  </si>
  <si>
    <t>Données complémentaires : Le solde financier projeté du système de retraite  (convention CCSS) dans les variantes avec hypothèses de chômage à 10 % à long terme</t>
  </si>
  <si>
    <t>Pension mensuelle nette moyenne de l'ensemble des retraités, en euros constants de 2015</t>
  </si>
  <si>
    <t>Niveau de vie mensuel des retraités (revenu disponible du ménage auquel appartient le retraité rapporté au nombre d'unité de consommations dans le ménage), en euros constants de 2015</t>
  </si>
  <si>
    <t>Données complémentaires : montants mensuels, en euros constants de 2015</t>
  </si>
  <si>
    <t>Pension mensuelle nette moyenne de l'ensemble des retraités de droit direct, en euros constants de 2015</t>
  </si>
  <si>
    <t>Données complémentaires : Montants mensuels nets de pension projetés, en euros constants de 2015</t>
  </si>
  <si>
    <t>Figure 2.1– Les trois facteurs de la situation financière du système de retraite</t>
  </si>
  <si>
    <t>Figure 2.3 – Taux de cotisation pour la retraite du cas type de non-cadre du secteur privé (cas type n° 2 du COR)</t>
  </si>
  <si>
    <t>Figure 2.4 – Taux de contribution des employeurs de fonctionnaires d'État et taux de prélèvement global selon la convention de la CCSS</t>
  </si>
  <si>
    <t>Taux de prélèvement global en projection, 
selon les conventions du COR et de la CCSS</t>
  </si>
  <si>
    <t>Figure 2.5 – Ressources et dépenses du système de retraite observées et projetées avec la convention du COR</t>
  </si>
  <si>
    <t xml:space="preserve">Figure 2.10 – Contribution des trois leviers à la couverture des besoins de financement liés au vieillissement. Cumul à législation inchangée sur la période 2003-2060
</t>
  </si>
  <si>
    <t>Figure 2.11 – Ajustement de l’un ou l’autre des trois leviers pour équilibrer le système de retraite chaque année jusqu’à 2060. Exemples pour trois scénarios d’équilibrage</t>
  </si>
  <si>
    <t>Figure 2.12 – Pension nette relative des retraités et niveau de vie des retraités rapporté à celui de l’ensemble de la population</t>
  </si>
  <si>
    <t>Pension nette moyenne de l'ensemble des retraités rapportée au revenu d'activité net moyen</t>
  </si>
  <si>
    <t>Niveau de vie moyen des retraités rapporté à celui de l’ensemble de la population</t>
  </si>
  <si>
    <t>Moyennes par génération : 
Pension brute à 68 ans relative au salaire moyen dans l’économie</t>
  </si>
  <si>
    <t>Cas type de salarié non-cadre à carrière complète : Taux de remplacement net à la liquidation (départ à la retraite au taux plein sans décote ni surcote)</t>
  </si>
  <si>
    <t>Figure 2.15 – Pension moyenne relative à 68 ans et taux de remplacement net à la liquidation</t>
  </si>
  <si>
    <t xml:space="preserve">Tableau 2.16 – Taux de remplacement net pour les cas types du COR (génération 1953) </t>
  </si>
  <si>
    <t>Figure 2.17 – Erosion de la pension relative au cours de la retraite et taux de remplacement net moyen sur le cycle de vie pour le cas type de non-cadre du secteur privé (cas type n° 2 du COR)</t>
  </si>
  <si>
    <t>Figure 2.18 – Rapport entre le seuil de pension nette des 10 % les moins aisés et la pension nette moyenne</t>
  </si>
  <si>
    <t xml:space="preserve">Figure 2.20 – Durée de retraite en nombre d’années </t>
  </si>
  <si>
    <t>Cas type de salarié non-cadre à carrière complète (départ à la retraite au taux plein sans décote ni surcote)</t>
  </si>
  <si>
    <t xml:space="preserve">Figure 2.21 – Durée de retraite en proportion de la durée de vie totale </t>
  </si>
  <si>
    <t>Figure 2.22 – Taux de cotisation moyen pour la retraite sur l’ensemble de la carrière pour le cas type de non-cadre du secteur privé (cas type n° 2 du COR)</t>
  </si>
  <si>
    <t xml:space="preserve">Figure 2.23 – Durée de carrière en proportion de la durée de vie totale </t>
  </si>
  <si>
    <t>Figure 2.29 – Ecart d’espérance de vie à 65 ans avec et sans limitation d’activité  entre les femmes et les hommes</t>
  </si>
  <si>
    <t>Données complémentaires : espérances de vie à 60 ans et âge moyens de départ à la retraite</t>
  </si>
  <si>
    <t>Données complémentaires : les ressources et les dépenses du système de retraite, dans les variantes avec hypothèses de chômage à 10 % à long terme</t>
  </si>
  <si>
    <t>Données complémentaires : le solde financier projeté du système de retraite  (convention COR) dans les variantes avec hypothèses de chômage à 10 % à long terme</t>
  </si>
  <si>
    <r>
      <t>Période 2016-2040                                                             (</t>
    </r>
    <r>
      <rPr>
        <b/>
        <sz val="11"/>
        <rFont val="Times New Roman"/>
        <family val="1"/>
      </rPr>
      <t>horizon de 25 ans</t>
    </r>
    <r>
      <rPr>
        <sz val="11"/>
        <rFont val="Times New Roman"/>
        <family val="1"/>
      </rPr>
      <t>)</t>
    </r>
  </si>
  <si>
    <r>
      <t xml:space="preserve">Période </t>
    </r>
    <r>
      <rPr>
        <b/>
        <sz val="11"/>
        <rFont val="Times New Roman"/>
        <family val="1"/>
      </rPr>
      <t>2003-2060</t>
    </r>
  </si>
  <si>
    <t>Figure 2.8 – Solde financier projeté du système de retraite  (convention CCSS)</t>
  </si>
  <si>
    <t>Données complémentaires : niveaux pour l'équilibre dans les trois variantes de chômage à 10 %</t>
  </si>
  <si>
    <t>En niveau</t>
  </si>
  <si>
    <t>Évolution de la pension moyenne relative des retraités nécessaire pour assurer l’équilibre financier du système de retraite, si l’on ne revient pas sur les évolutions à législation inchangée de l’âge effectif moyen de départ et du taux de prélèvement global</t>
  </si>
  <si>
    <t>Taux de prélèvement global assurant l’équilibre financier du système de retraite, si l’on ne revient pas sur les évolutions à législation inchangée de l’âge effectif moyen de départ et de la pension moyenne relative des retraités</t>
  </si>
  <si>
    <t>Âge effectif moyen de départ à la retraite assurant l’équilibre financier du système de retraite, si l’on ne revient pas sur les évolutions à législation inchangée du taux de prélèvement global et de la pension moyenne relative des retraités</t>
  </si>
  <si>
    <t>En écart par rapport à la situation à législation inchangée</t>
  </si>
  <si>
    <t>Rapport entre le niveau de vie des retraités et l'ensemble de la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</si>
</sst>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2" formatCode="_-* #,##0\ &quot;€&quot;_-;\-* #,##0\ &quot;€&quot;_-;_-* &quot;-&quot;\ &quot;€&quot;_-;_-@_-"/>
    <numFmt numFmtId="44" formatCode="_-* #,##0.00\ &quot;€&quot;_-;\-* #,##0.00\ &quot;€&quot;_-;_-* &quot;-&quot;??\ &quot;€&quot;_-;_-@_-"/>
    <numFmt numFmtId="164" formatCode="_-* #,##0\ _€_-;\-* #,##0\ _€_-;_-* &quot;-&quot;\ _€_-;_-@_-"/>
    <numFmt numFmtId="165" formatCode="_-* #,##0.00\ _€_-;\-* #,##0.00\ _€_-;_-* &quot;-&quot;??\ _€_-;_-@_-"/>
    <numFmt numFmtId="166" formatCode="0.0%"/>
    <numFmt numFmtId="167" formatCode="General_)"/>
    <numFmt numFmtId="168" formatCode="&quot;£&quot;#,##0.00;\-&quot;£&quot;#,##0.00"/>
    <numFmt numFmtId="169" formatCode="#,##0.0"/>
    <numFmt numFmtId="170" formatCode="#,##0.000"/>
    <numFmt numFmtId="171" formatCode="#,##0.00%;[Red]\(#,##0.00%\)"/>
    <numFmt numFmtId="172" formatCode="&quot;$&quot;#,##0\ ;\(&quot;$&quot;#,##0\)"/>
    <numFmt numFmtId="173" formatCode="mmmm\ d\,\ yyyy"/>
    <numFmt numFmtId="174" formatCode="0.0"/>
    <numFmt numFmtId="175" formatCode="_-* #,##0.00\ [$€]_-;\-* #,##0.00\ [$€]_-;_-* &quot;-&quot;??\ [$€]_-;_-@_-"/>
    <numFmt numFmtId="176" formatCode="0&quot; F&quot;\ ;\(0&quot; F&quot;\)"/>
    <numFmt numFmtId="177" formatCode="0_)"/>
    <numFmt numFmtId="178" formatCode="&quot;$&quot;#,##0_);\(&quot;$&quot;#,##0.0\)"/>
    <numFmt numFmtId="179" formatCode="_-* #,##0.00\ _F_-;\-* #,##0.00\ _F_-;_-* &quot;-&quot;??\ _F_-;_-@_-"/>
    <numFmt numFmtId="180" formatCode="#,##0\ &quot;F&quot;;\-#,##0\ &quot;F&quot;"/>
    <numFmt numFmtId="181" formatCode="0.00_)"/>
    <numFmt numFmtId="182" formatCode="0.000%"/>
  </numFmts>
  <fonts count="79">
    <font>
      <sz val="11"/>
      <color theme="1"/>
      <name val="Calibri"/>
      <family val="2"/>
      <scheme val="minor"/>
    </font>
    <font>
      <sz val="11"/>
      <color theme="1"/>
      <name val="Calibri"/>
      <family val="2"/>
      <scheme val="minor"/>
    </font>
    <font>
      <sz val="9"/>
      <name val="Arial"/>
      <family val="2"/>
    </font>
    <font>
      <sz val="10"/>
      <name val="Times New Roman"/>
      <family val="1"/>
    </font>
    <font>
      <sz val="9"/>
      <name val="Times New Roman"/>
      <family val="1"/>
    </font>
    <font>
      <sz val="10"/>
      <name val="Arial"/>
      <family val="2"/>
    </font>
    <font>
      <sz val="10"/>
      <name val="Arial"/>
      <family val="2"/>
    </font>
    <font>
      <b/>
      <sz val="12"/>
      <name val="Arial"/>
      <family val="2"/>
    </font>
    <font>
      <sz val="10"/>
      <color indexed="8"/>
      <name val="Arial"/>
      <family val="2"/>
    </font>
    <font>
      <sz val="10"/>
      <color indexed="9"/>
      <name val="Arial"/>
      <family val="2"/>
    </font>
    <font>
      <i/>
      <sz val="10"/>
      <name val="Times New Roman"/>
      <family val="1"/>
    </font>
    <font>
      <sz val="10"/>
      <color indexed="20"/>
      <name val="Arial"/>
      <family val="2"/>
    </font>
    <font>
      <sz val="9"/>
      <color indexed="9"/>
      <name val="Times"/>
      <family val="1"/>
    </font>
    <font>
      <b/>
      <sz val="10"/>
      <color indexed="52"/>
      <name val="Arial"/>
      <family val="2"/>
    </font>
    <font>
      <sz val="8"/>
      <name val="Arial"/>
      <family val="2"/>
    </font>
    <font>
      <b/>
      <sz val="10"/>
      <color indexed="9"/>
      <name val="Arial"/>
      <family val="2"/>
    </font>
    <font>
      <b/>
      <sz val="8"/>
      <color indexed="12"/>
      <name val="Arial"/>
      <family val="2"/>
    </font>
    <font>
      <sz val="9"/>
      <color indexed="8"/>
      <name val="Times"/>
      <family val="1"/>
    </font>
    <font>
      <sz val="9"/>
      <name val="Times"/>
      <family val="1"/>
    </font>
    <font>
      <sz val="12"/>
      <color indexed="24"/>
      <name val="Times New Roman"/>
      <family val="1"/>
    </font>
    <font>
      <b/>
      <sz val="18"/>
      <name val="Arial"/>
      <family val="2"/>
    </font>
    <font>
      <i/>
      <sz val="10"/>
      <color indexed="23"/>
      <name val="Arial"/>
      <family val="2"/>
    </font>
    <font>
      <sz val="8"/>
      <name val="Helv"/>
    </font>
    <font>
      <sz val="10"/>
      <color indexed="17"/>
      <name val="Arial"/>
      <family val="2"/>
    </font>
    <font>
      <b/>
      <sz val="12"/>
      <name val="Helvetica"/>
      <family val="2"/>
    </font>
    <font>
      <b/>
      <sz val="15"/>
      <color indexed="56"/>
      <name val="Arial"/>
      <family val="2"/>
    </font>
    <font>
      <b/>
      <sz val="13"/>
      <color indexed="56"/>
      <name val="Arial"/>
      <family val="2"/>
    </font>
    <font>
      <b/>
      <sz val="11"/>
      <color indexed="56"/>
      <name val="Arial"/>
      <family val="2"/>
    </font>
    <font>
      <sz val="10"/>
      <color indexed="62"/>
      <name val="Arial"/>
      <family val="2"/>
    </font>
    <font>
      <u/>
      <sz val="10"/>
      <color indexed="12"/>
      <name val="Arial"/>
      <family val="2"/>
    </font>
    <font>
      <sz val="10"/>
      <color indexed="52"/>
      <name val="Arial"/>
      <family val="2"/>
    </font>
    <font>
      <sz val="10"/>
      <name val="Geneva"/>
      <family val="2"/>
    </font>
    <font>
      <sz val="11"/>
      <name val="Times New Roman"/>
      <family val="1"/>
    </font>
    <font>
      <sz val="11"/>
      <color indexed="8"/>
      <name val="Calibri"/>
      <family val="2"/>
    </font>
    <font>
      <sz val="10"/>
      <color indexed="60"/>
      <name val="Arial"/>
      <family val="2"/>
    </font>
    <font>
      <b/>
      <i/>
      <sz val="16"/>
      <name val="Helv"/>
    </font>
    <font>
      <sz val="10"/>
      <color indexed="8"/>
      <name val="Times"/>
      <family val="1"/>
    </font>
    <font>
      <b/>
      <sz val="10"/>
      <color indexed="63"/>
      <name val="Arial"/>
      <family val="2"/>
    </font>
    <font>
      <sz val="9"/>
      <name val="Helvetica"/>
      <family val="2"/>
    </font>
    <font>
      <i/>
      <sz val="8"/>
      <name val="Tms Rmn"/>
    </font>
    <font>
      <b/>
      <sz val="18"/>
      <color indexed="56"/>
      <name val="Cambria"/>
      <family val="2"/>
    </font>
    <font>
      <b/>
      <i/>
      <sz val="9"/>
      <name val="Helvetica"/>
      <family val="2"/>
    </font>
    <font>
      <sz val="10"/>
      <color indexed="10"/>
      <name val="Arial"/>
      <family val="2"/>
    </font>
    <font>
      <sz val="11"/>
      <color rgb="FFFF0000"/>
      <name val="Calibri"/>
      <family val="2"/>
      <scheme val="minor"/>
    </font>
    <font>
      <b/>
      <sz val="12"/>
      <color rgb="FFFF0000"/>
      <name val="Times New Roman"/>
      <family val="1"/>
    </font>
    <font>
      <sz val="11"/>
      <color rgb="FFFF0000"/>
      <name val="Times New Roman"/>
      <family val="1"/>
    </font>
    <font>
      <i/>
      <sz val="10"/>
      <color rgb="FFFF0000"/>
      <name val="Times New Roman"/>
      <family val="1"/>
    </font>
    <font>
      <sz val="12"/>
      <color rgb="FFFF0000"/>
      <name val="Times New Roman"/>
      <family val="1"/>
    </font>
    <font>
      <b/>
      <sz val="10"/>
      <color rgb="FFFF0000"/>
      <name val="Times New Roman"/>
      <family val="1"/>
    </font>
    <font>
      <sz val="10"/>
      <color rgb="FFFF0000"/>
      <name val="Times New Roman"/>
      <family val="1"/>
    </font>
    <font>
      <sz val="9"/>
      <color rgb="FFFF0000"/>
      <name val="Times New Roman"/>
      <family val="1"/>
    </font>
    <font>
      <sz val="11"/>
      <color theme="1"/>
      <name val="Times New Roman"/>
      <family val="1"/>
    </font>
    <font>
      <b/>
      <sz val="10"/>
      <color theme="1"/>
      <name val="Times New Roman"/>
      <family val="1"/>
    </font>
    <font>
      <sz val="10"/>
      <color theme="1"/>
      <name val="Times New Roman"/>
      <family val="1"/>
    </font>
    <font>
      <sz val="9"/>
      <color theme="1"/>
      <name val="Times New Roman"/>
      <family val="1"/>
    </font>
    <font>
      <b/>
      <sz val="12"/>
      <color theme="1"/>
      <name val="Times New Roman"/>
      <family val="1"/>
    </font>
    <font>
      <b/>
      <sz val="11"/>
      <color theme="1"/>
      <name val="Times New Roman"/>
      <family val="1"/>
    </font>
    <font>
      <sz val="8"/>
      <color rgb="FFFF0000"/>
      <name val="Times New Roman"/>
      <family val="1"/>
    </font>
    <font>
      <b/>
      <sz val="9"/>
      <color theme="1"/>
      <name val="Times New Roman"/>
      <family val="1"/>
    </font>
    <font>
      <b/>
      <sz val="12"/>
      <name val="Times New Roman"/>
      <family val="1"/>
    </font>
    <font>
      <sz val="8"/>
      <color theme="1"/>
      <name val="Calibri"/>
      <family val="2"/>
      <scheme val="minor"/>
    </font>
    <font>
      <b/>
      <sz val="11"/>
      <color rgb="FFFF0000"/>
      <name val="Calibri"/>
      <family val="2"/>
      <scheme val="minor"/>
    </font>
    <font>
      <sz val="9"/>
      <color rgb="FFFF0000"/>
      <name val="Calibri"/>
      <family val="2"/>
      <scheme val="minor"/>
    </font>
    <font>
      <b/>
      <sz val="11"/>
      <name val="Times New Roman"/>
      <family val="1"/>
    </font>
    <font>
      <sz val="12"/>
      <color theme="1"/>
      <name val="Times New Roman"/>
      <family val="1"/>
    </font>
    <font>
      <sz val="12"/>
      <color rgb="FF000000"/>
      <name val="Times New Roman"/>
      <family val="1"/>
    </font>
    <font>
      <b/>
      <i/>
      <sz val="12"/>
      <color theme="1"/>
      <name val="Times New Roman"/>
      <family val="1"/>
    </font>
    <font>
      <b/>
      <sz val="10"/>
      <name val="Times New Roman"/>
      <family val="1"/>
    </font>
    <font>
      <b/>
      <sz val="11"/>
      <color rgb="FF002060"/>
      <name val="Times New Roman"/>
      <family val="1"/>
    </font>
    <font>
      <sz val="11"/>
      <color rgb="FF002060"/>
      <name val="Times New Roman"/>
      <family val="1"/>
    </font>
    <font>
      <sz val="12"/>
      <name val="Times New Roman"/>
      <family val="1"/>
    </font>
    <font>
      <sz val="11"/>
      <name val="Calibri"/>
      <family val="2"/>
      <scheme val="minor"/>
    </font>
    <font>
      <u/>
      <sz val="11"/>
      <name val="Times New Roman"/>
      <family val="1"/>
    </font>
    <font>
      <b/>
      <sz val="11"/>
      <name val="Calibri"/>
      <family val="2"/>
      <scheme val="minor"/>
    </font>
    <font>
      <b/>
      <sz val="10"/>
      <color rgb="FF002060"/>
      <name val="Times New Roman"/>
      <family val="1"/>
    </font>
    <font>
      <sz val="10"/>
      <color rgb="FF002060"/>
      <name val="Times New Roman"/>
      <family val="1"/>
    </font>
    <font>
      <sz val="9"/>
      <color rgb="FF002060"/>
      <name val="Times New Roman"/>
      <family val="1"/>
    </font>
    <font>
      <sz val="8"/>
      <name val="Times New Roman"/>
      <family val="1"/>
    </font>
    <font>
      <b/>
      <i/>
      <sz val="10"/>
      <name val="Times New Roman"/>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theme="0" tint="-4.9989318521683403E-2"/>
        <bgColor indexed="64"/>
      </patternFill>
    </fill>
    <fill>
      <patternFill patternType="solid">
        <fgColor theme="0" tint="-0.499984740745262"/>
        <bgColor indexed="64"/>
      </patternFill>
    </fill>
  </fills>
  <borders count="236">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dotted">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auto="1"/>
      </right>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style="medium">
        <color auto="1"/>
      </bottom>
      <diagonal/>
    </border>
    <border>
      <left style="medium">
        <color auto="1"/>
      </left>
      <right style="medium">
        <color auto="1"/>
      </right>
      <top style="dotted">
        <color auto="1"/>
      </top>
      <bottom/>
      <diagonal/>
    </border>
    <border>
      <left style="dotted">
        <color auto="1"/>
      </left>
      <right/>
      <top style="dotted">
        <color auto="1"/>
      </top>
      <bottom style="dotted">
        <color auto="1"/>
      </bottom>
      <diagonal/>
    </border>
    <border>
      <left style="dotted">
        <color auto="1"/>
      </left>
      <right/>
      <top style="dotted">
        <color auto="1"/>
      </top>
      <bottom style="medium">
        <color auto="1"/>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top/>
      <bottom/>
      <diagonal/>
    </border>
    <border>
      <left/>
      <right/>
      <top style="medium">
        <color indexed="64"/>
      </top>
      <bottom style="medium">
        <color indexed="64"/>
      </bottom>
      <diagonal/>
    </border>
    <border>
      <left/>
      <right/>
      <top style="thin">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thin">
        <color indexed="18"/>
      </right>
      <top/>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right style="medium">
        <color indexed="8"/>
      </right>
      <top style="medium">
        <color indexed="8"/>
      </top>
      <bottom style="dotted">
        <color indexed="8"/>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style="medium">
        <color indexed="8"/>
      </left>
      <right style="dotted">
        <color indexed="8"/>
      </right>
      <top style="medium">
        <color indexed="8"/>
      </top>
      <bottom style="medium">
        <color indexed="8"/>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dotted">
        <color indexed="64"/>
      </right>
      <top style="dotted">
        <color indexed="64"/>
      </top>
      <bottom style="medium">
        <color indexed="64"/>
      </bottom>
      <diagonal/>
    </border>
    <border>
      <left style="medium">
        <color auto="1"/>
      </left>
      <right style="medium">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style="medium">
        <color indexed="8"/>
      </left>
      <right style="medium">
        <color indexed="8"/>
      </right>
      <top style="medium">
        <color indexed="8"/>
      </top>
      <bottom style="medium">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dotted">
        <color indexed="8"/>
      </left>
      <right style="dotted">
        <color indexed="8"/>
      </right>
      <top/>
      <bottom style="dotted">
        <color indexed="8"/>
      </bottom>
      <diagonal/>
    </border>
    <border>
      <left style="dotted">
        <color indexed="8"/>
      </left>
      <right style="medium">
        <color indexed="8"/>
      </right>
      <top/>
      <bottom style="dotted">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right style="dotted">
        <color indexed="8"/>
      </right>
      <top/>
      <bottom style="dotted">
        <color indexed="8"/>
      </bottom>
      <diagonal/>
    </border>
    <border>
      <left/>
      <right style="dotted">
        <color indexed="8"/>
      </right>
      <top style="dotted">
        <color indexed="8"/>
      </top>
      <bottom style="dotted">
        <color indexed="8"/>
      </bottom>
      <diagonal/>
    </border>
    <border>
      <left/>
      <right style="dotted">
        <color indexed="8"/>
      </right>
      <top style="dotted">
        <color indexed="8"/>
      </top>
      <bottom style="medium">
        <color indexed="8"/>
      </bottom>
      <diagonal/>
    </border>
    <border>
      <left style="medium">
        <color indexed="8"/>
      </left>
      <right style="medium">
        <color indexed="8"/>
      </right>
      <top style="medium">
        <color indexed="8"/>
      </top>
      <bottom style="dotted">
        <color indexed="8"/>
      </bottom>
      <diagonal/>
    </border>
    <border>
      <left style="medium">
        <color indexed="8"/>
      </left>
      <right style="medium">
        <color indexed="8"/>
      </right>
      <top style="dotted">
        <color indexed="8"/>
      </top>
      <bottom style="dotted">
        <color indexed="8"/>
      </bottom>
      <diagonal/>
    </border>
    <border>
      <left style="medium">
        <color indexed="8"/>
      </left>
      <right style="medium">
        <color indexed="8"/>
      </right>
      <top style="dotted">
        <color indexed="8"/>
      </top>
      <bottom style="medium">
        <color indexed="8"/>
      </bottom>
      <diagonal/>
    </border>
    <border>
      <left/>
      <right style="dotted">
        <color indexed="8"/>
      </right>
      <top style="medium">
        <color indexed="8"/>
      </top>
      <bottom style="medium">
        <color indexed="8"/>
      </bottom>
      <diagonal/>
    </border>
    <border>
      <left style="medium">
        <color auto="1"/>
      </left>
      <right style="medium">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top/>
      <bottom style="dotted">
        <color auto="1"/>
      </bottom>
      <diagonal/>
    </border>
    <border>
      <left style="medium">
        <color auto="1"/>
      </left>
      <right/>
      <top style="dotted">
        <color auto="1"/>
      </top>
      <bottom style="dotted">
        <color auto="1"/>
      </bottom>
      <diagonal/>
    </border>
    <border>
      <left style="medium">
        <color auto="1"/>
      </left>
      <right/>
      <top style="dotted">
        <color auto="1"/>
      </top>
      <bottom/>
      <diagonal/>
    </border>
    <border>
      <left style="medium">
        <color auto="1"/>
      </left>
      <right/>
      <top style="dotted">
        <color auto="1"/>
      </top>
      <bottom style="medium">
        <color auto="1"/>
      </bottom>
      <diagonal/>
    </border>
    <border>
      <left style="dashed">
        <color auto="1"/>
      </left>
      <right style="dotted">
        <color auto="1"/>
      </right>
      <top style="dotted">
        <color auto="1"/>
      </top>
      <bottom style="dotted">
        <color auto="1"/>
      </bottom>
      <diagonal/>
    </border>
    <border>
      <left style="dashed">
        <color auto="1"/>
      </left>
      <right style="dotted">
        <color auto="1"/>
      </right>
      <top style="dotted">
        <color auto="1"/>
      </top>
      <bottom style="medium">
        <color indexed="64"/>
      </bottom>
      <diagonal/>
    </border>
    <border>
      <left/>
      <right style="medium">
        <color indexed="8"/>
      </right>
      <top style="dotted">
        <color indexed="8"/>
      </top>
      <bottom/>
      <diagonal/>
    </border>
    <border>
      <left style="medium">
        <color indexed="8"/>
      </left>
      <right style="dotted">
        <color indexed="8"/>
      </right>
      <top style="dotted">
        <color indexed="8"/>
      </top>
      <bottom/>
      <diagonal/>
    </border>
    <border>
      <left style="dotted">
        <color indexed="8"/>
      </left>
      <right style="dotted">
        <color indexed="8"/>
      </right>
      <top style="dotted">
        <color indexed="8"/>
      </top>
      <bottom/>
      <diagonal/>
    </border>
    <border>
      <left style="dotted">
        <color indexed="8"/>
      </left>
      <right style="medium">
        <color indexed="8"/>
      </right>
      <top style="dotted">
        <color indexed="8"/>
      </top>
      <bottom/>
      <diagonal/>
    </border>
    <border>
      <left/>
      <right style="medium">
        <color indexed="8"/>
      </right>
      <top style="dotted">
        <color indexed="8"/>
      </top>
      <bottom style="dotted">
        <color indexed="8"/>
      </bottom>
      <diagonal/>
    </border>
    <border>
      <left style="medium">
        <color indexed="8"/>
      </left>
      <right style="dotted">
        <color indexed="8"/>
      </right>
      <top style="dotted">
        <color indexed="8"/>
      </top>
      <bottom style="dotted">
        <color indexed="8"/>
      </bottom>
      <diagonal/>
    </border>
    <border>
      <left/>
      <right style="medium">
        <color indexed="8"/>
      </right>
      <top style="dotted">
        <color indexed="8"/>
      </top>
      <bottom style="medium">
        <color indexed="8"/>
      </bottom>
      <diagonal/>
    </border>
    <border>
      <left style="medium">
        <color indexed="8"/>
      </left>
      <right style="dotted">
        <color indexed="8"/>
      </right>
      <top style="dotted">
        <color indexed="8"/>
      </top>
      <bottom style="medium">
        <color indexed="8"/>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dotted">
        <color auto="1"/>
      </bottom>
      <diagonal/>
    </border>
    <border>
      <left style="medium">
        <color auto="1"/>
      </left>
      <right/>
      <top style="medium">
        <color auto="1"/>
      </top>
      <bottom style="dotted">
        <color auto="1"/>
      </bottom>
      <diagonal/>
    </border>
    <border>
      <left style="medium">
        <color auto="1"/>
      </left>
      <right style="medium">
        <color auto="1"/>
      </right>
      <top style="medium">
        <color auto="1"/>
      </top>
      <bottom style="dashed">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thick">
        <color auto="1"/>
      </left>
      <right/>
      <top style="thick">
        <color auto="1"/>
      </top>
      <bottom/>
      <diagonal/>
    </border>
    <border>
      <left/>
      <right style="thick">
        <color auto="1"/>
      </right>
      <top style="thick">
        <color auto="1"/>
      </top>
      <bottom/>
      <diagonal/>
    </border>
    <border>
      <left/>
      <right/>
      <top style="thick">
        <color auto="1"/>
      </top>
      <bottom/>
      <diagonal/>
    </border>
    <border>
      <left style="thick">
        <color auto="1"/>
      </left>
      <right/>
      <top/>
      <bottom style="thick">
        <color auto="1"/>
      </bottom>
      <diagonal/>
    </border>
    <border>
      <left/>
      <right style="thick">
        <color auto="1"/>
      </right>
      <top/>
      <bottom style="thick">
        <color auto="1"/>
      </bottom>
      <diagonal/>
    </border>
    <border>
      <left/>
      <right/>
      <top/>
      <bottom style="thick">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dashed">
        <color auto="1"/>
      </bottom>
      <diagonal/>
    </border>
    <border>
      <left style="thick">
        <color auto="1"/>
      </left>
      <right style="thick">
        <color auto="1"/>
      </right>
      <top style="thick">
        <color auto="1"/>
      </top>
      <bottom/>
      <diagonal/>
    </border>
    <border>
      <left style="thick">
        <color auto="1"/>
      </left>
      <right/>
      <top style="thick">
        <color auto="1"/>
      </top>
      <bottom style="dashed">
        <color auto="1"/>
      </bottom>
      <diagonal/>
    </border>
    <border>
      <left/>
      <right/>
      <top style="thick">
        <color auto="1"/>
      </top>
      <bottom style="dashed">
        <color auto="1"/>
      </bottom>
      <diagonal/>
    </border>
    <border>
      <left/>
      <right style="thick">
        <color auto="1"/>
      </right>
      <top style="thick">
        <color auto="1"/>
      </top>
      <bottom style="dashed">
        <color auto="1"/>
      </bottom>
      <diagonal/>
    </border>
    <border>
      <left style="thick">
        <color auto="1"/>
      </left>
      <right style="thick">
        <color auto="1"/>
      </right>
      <top style="dashed">
        <color auto="1"/>
      </top>
      <bottom style="dashed">
        <color auto="1"/>
      </bottom>
      <diagonal/>
    </border>
    <border>
      <left style="thick">
        <color auto="1"/>
      </left>
      <right style="thick">
        <color auto="1"/>
      </right>
      <top/>
      <bottom/>
      <diagonal/>
    </border>
    <border>
      <left style="thick">
        <color auto="1"/>
      </left>
      <right/>
      <top style="dashed">
        <color auto="1"/>
      </top>
      <bottom style="dashed">
        <color auto="1"/>
      </bottom>
      <diagonal/>
    </border>
    <border>
      <left/>
      <right style="thick">
        <color auto="1"/>
      </right>
      <top style="dashed">
        <color auto="1"/>
      </top>
      <bottom style="dashed">
        <color auto="1"/>
      </bottom>
      <diagonal/>
    </border>
    <border>
      <left style="thick">
        <color auto="1"/>
      </left>
      <right style="thick">
        <color auto="1"/>
      </right>
      <top style="dashed">
        <color auto="1"/>
      </top>
      <bottom style="thick">
        <color auto="1"/>
      </bottom>
      <diagonal/>
    </border>
    <border>
      <left style="thick">
        <color auto="1"/>
      </left>
      <right style="thick">
        <color auto="1"/>
      </right>
      <top/>
      <bottom style="thick">
        <color auto="1"/>
      </bottom>
      <diagonal/>
    </border>
    <border>
      <left style="thick">
        <color auto="1"/>
      </left>
      <right/>
      <top style="dashed">
        <color auto="1"/>
      </top>
      <bottom/>
      <diagonal/>
    </border>
    <border>
      <left/>
      <right/>
      <top style="dashed">
        <color auto="1"/>
      </top>
      <bottom/>
      <diagonal/>
    </border>
    <border>
      <left/>
      <right style="thick">
        <color auto="1"/>
      </right>
      <top style="dashed">
        <color auto="1"/>
      </top>
      <bottom/>
      <diagonal/>
    </border>
    <border>
      <left style="medium">
        <color auto="1"/>
      </left>
      <right style="medium">
        <color auto="1"/>
      </right>
      <top/>
      <bottom style="dotted">
        <color auto="1"/>
      </bottom>
      <diagonal/>
    </border>
    <border>
      <left style="dotted">
        <color indexed="8"/>
      </left>
      <right style="dotted">
        <color indexed="8"/>
      </right>
      <top/>
      <bottom style="medium">
        <color indexed="64"/>
      </bottom>
      <diagonal/>
    </border>
    <border>
      <left style="dotted">
        <color indexed="8"/>
      </left>
      <right style="medium">
        <color indexed="64"/>
      </right>
      <top/>
      <bottom style="medium">
        <color indexed="64"/>
      </bottom>
      <diagonal/>
    </border>
    <border>
      <left style="dotted">
        <color indexed="8"/>
      </left>
      <right/>
      <top/>
      <bottom style="medium">
        <color indexed="64"/>
      </bottom>
      <diagonal/>
    </border>
    <border>
      <left style="medium">
        <color auto="1"/>
      </left>
      <right style="medium">
        <color auto="1"/>
      </right>
      <top/>
      <bottom style="medium">
        <color indexed="64"/>
      </bottom>
      <diagonal/>
    </border>
    <border>
      <left style="medium">
        <color auto="1"/>
      </left>
      <right style="dotted">
        <color auto="1"/>
      </right>
      <top/>
      <bottom style="dotted">
        <color auto="1"/>
      </bottom>
      <diagonal/>
    </border>
    <border>
      <left style="medium">
        <color auto="1"/>
      </left>
      <right style="dotted">
        <color auto="1"/>
      </right>
      <top style="dotted">
        <color auto="1"/>
      </top>
      <bottom/>
      <diagonal/>
    </border>
    <border>
      <left style="dotted">
        <color auto="1"/>
      </left>
      <right style="dotted">
        <color auto="1"/>
      </right>
      <top style="dotted">
        <color auto="1"/>
      </top>
      <bottom/>
      <diagonal/>
    </border>
    <border>
      <left style="dotted">
        <color auto="1"/>
      </left>
      <right style="medium">
        <color auto="1"/>
      </right>
      <top style="dotted">
        <color auto="1"/>
      </top>
      <bottom/>
      <diagonal/>
    </border>
    <border>
      <left style="medium">
        <color auto="1"/>
      </left>
      <right style="medium">
        <color indexed="8"/>
      </right>
      <top style="medium">
        <color auto="1"/>
      </top>
      <bottom style="dashed">
        <color auto="1"/>
      </bottom>
      <diagonal/>
    </border>
    <border>
      <left style="medium">
        <color auto="1"/>
      </left>
      <right style="medium">
        <color indexed="8"/>
      </right>
      <top style="dashed">
        <color auto="1"/>
      </top>
      <bottom style="dashed">
        <color auto="1"/>
      </bottom>
      <diagonal/>
    </border>
    <border>
      <left style="medium">
        <color auto="1"/>
      </left>
      <right style="medium">
        <color indexed="8"/>
      </right>
      <top style="dashed">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medium">
        <color auto="1"/>
      </right>
      <top/>
      <bottom/>
      <diagonal/>
    </border>
    <border>
      <left style="dashed">
        <color auto="1"/>
      </left>
      <right style="dashed">
        <color auto="1"/>
      </right>
      <top/>
      <bottom/>
      <diagonal/>
    </border>
    <border>
      <left style="dashed">
        <color auto="1"/>
      </left>
      <right style="medium">
        <color auto="1"/>
      </right>
      <top/>
      <bottom/>
      <diagonal/>
    </border>
    <border>
      <left/>
      <right style="dashed">
        <color auto="1"/>
      </right>
      <top style="dashed">
        <color auto="1"/>
      </top>
      <bottom style="dashed">
        <color auto="1"/>
      </bottom>
      <diagonal/>
    </border>
    <border>
      <left/>
      <right style="dashed">
        <color auto="1"/>
      </right>
      <top style="dashed">
        <color auto="1"/>
      </top>
      <bottom style="medium">
        <color auto="1"/>
      </bottom>
      <diagonal/>
    </border>
    <border>
      <left style="medium">
        <color auto="1"/>
      </left>
      <right style="dashed">
        <color auto="1"/>
      </right>
      <top style="medium">
        <color auto="1"/>
      </top>
      <bottom/>
      <diagonal/>
    </border>
    <border>
      <left/>
      <right style="dashed">
        <color auto="1"/>
      </right>
      <top/>
      <bottom style="dashed">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dashed">
        <color auto="1"/>
      </right>
      <top/>
      <bottom/>
      <diagonal/>
    </border>
    <border>
      <left style="medium">
        <color auto="1"/>
      </left>
      <right style="dashed">
        <color auto="1"/>
      </right>
      <top/>
      <bottom style="medium">
        <color auto="1"/>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style="medium">
        <color indexed="8"/>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medium">
        <color auto="1"/>
      </right>
      <top style="medium">
        <color auto="1"/>
      </top>
      <bottom style="dashed">
        <color auto="1"/>
      </bottom>
      <diagonal/>
    </border>
    <border>
      <left/>
      <right/>
      <top style="medium">
        <color auto="1"/>
      </top>
      <bottom/>
      <diagonal/>
    </border>
    <border>
      <left/>
      <right style="medium">
        <color auto="1"/>
      </right>
      <top style="medium">
        <color auto="1"/>
      </top>
      <bottom/>
      <diagonal/>
    </border>
    <border>
      <left style="dashed">
        <color auto="1"/>
      </left>
      <right style="dashed">
        <color auto="1"/>
      </right>
      <top/>
      <bottom style="medium">
        <color auto="1"/>
      </bottom>
      <diagonal/>
    </border>
    <border>
      <left style="dashed">
        <color auto="1"/>
      </left>
      <right style="medium">
        <color auto="1"/>
      </right>
      <top/>
      <bottom style="medium">
        <color auto="1"/>
      </bottom>
      <diagonal/>
    </border>
    <border>
      <left style="thin">
        <color indexed="64"/>
      </left>
      <right style="thin">
        <color indexed="64"/>
      </right>
      <top style="thin">
        <color indexed="64"/>
      </top>
      <bottom/>
      <diagonal/>
    </border>
    <border>
      <left style="medium">
        <color indexed="8"/>
      </left>
      <right style="dashed">
        <color indexed="8"/>
      </right>
      <top style="medium">
        <color indexed="8"/>
      </top>
      <bottom style="dashed">
        <color indexed="8"/>
      </bottom>
      <diagonal/>
    </border>
    <border>
      <left style="dashed">
        <color indexed="8"/>
      </left>
      <right style="medium">
        <color indexed="8"/>
      </right>
      <top style="medium">
        <color indexed="8"/>
      </top>
      <bottom style="dashed">
        <color indexed="8"/>
      </bottom>
      <diagonal/>
    </border>
    <border>
      <left style="medium">
        <color indexed="8"/>
      </left>
      <right style="dashed">
        <color indexed="8"/>
      </right>
      <top style="dashed">
        <color indexed="8"/>
      </top>
      <bottom style="dashed">
        <color indexed="8"/>
      </bottom>
      <diagonal/>
    </border>
    <border>
      <left style="dashed">
        <color indexed="8"/>
      </left>
      <right style="dashed">
        <color indexed="8"/>
      </right>
      <top style="dashed">
        <color indexed="8"/>
      </top>
      <bottom style="dashed">
        <color indexed="8"/>
      </bottom>
      <diagonal/>
    </border>
    <border>
      <left style="dashed">
        <color indexed="8"/>
      </left>
      <right style="medium">
        <color indexed="8"/>
      </right>
      <top style="dashed">
        <color indexed="8"/>
      </top>
      <bottom style="dashed">
        <color indexed="8"/>
      </bottom>
      <diagonal/>
    </border>
    <border>
      <left style="medium">
        <color indexed="8"/>
      </left>
      <right style="dashed">
        <color indexed="8"/>
      </right>
      <top style="dashed">
        <color indexed="8"/>
      </top>
      <bottom style="medium">
        <color indexed="8"/>
      </bottom>
      <diagonal/>
    </border>
    <border>
      <left style="dashed">
        <color indexed="8"/>
      </left>
      <right style="dashed">
        <color indexed="8"/>
      </right>
      <top style="dashed">
        <color indexed="8"/>
      </top>
      <bottom style="medium">
        <color indexed="8"/>
      </bottom>
      <diagonal/>
    </border>
    <border>
      <left style="dashed">
        <color indexed="8"/>
      </left>
      <right style="medium">
        <color indexed="8"/>
      </right>
      <top style="dashed">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tted">
        <color indexed="8"/>
      </right>
      <top style="medium">
        <color indexed="8"/>
      </top>
      <bottom style="dotted">
        <color indexed="8"/>
      </bottom>
      <diagonal/>
    </border>
    <border>
      <left style="dotted">
        <color indexed="8"/>
      </left>
      <right style="dotted">
        <color indexed="8"/>
      </right>
      <top style="medium">
        <color indexed="8"/>
      </top>
      <bottom style="dotted">
        <color indexed="8"/>
      </bottom>
      <diagonal/>
    </border>
    <border>
      <left style="dotted">
        <color indexed="8"/>
      </left>
      <right style="medium">
        <color indexed="8"/>
      </right>
      <top style="medium">
        <color indexed="8"/>
      </top>
      <bottom style="dotted">
        <color indexed="8"/>
      </bottom>
      <diagonal/>
    </border>
    <border>
      <left style="medium">
        <color indexed="64"/>
      </left>
      <right style="medium">
        <color indexed="64"/>
      </right>
      <top style="medium">
        <color indexed="64"/>
      </top>
      <bottom style="medium">
        <color indexed="64"/>
      </bottom>
      <diagonal/>
    </border>
    <border>
      <left/>
      <right style="dashed">
        <color auto="1"/>
      </right>
      <top style="medium">
        <color indexed="64"/>
      </top>
      <bottom style="dashed">
        <color auto="1"/>
      </bottom>
      <diagonal/>
    </border>
    <border>
      <left/>
      <right style="medium">
        <color indexed="64"/>
      </right>
      <top/>
      <bottom style="dashed">
        <color auto="1"/>
      </bottom>
      <diagonal/>
    </border>
    <border>
      <left/>
      <right style="dashed">
        <color auto="1"/>
      </right>
      <top/>
      <bottom style="medium">
        <color indexed="64"/>
      </bottom>
      <diagonal/>
    </border>
    <border>
      <left/>
      <right style="medium">
        <color indexed="64"/>
      </right>
      <top/>
      <bottom style="medium">
        <color indexed="64"/>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style="dashed">
        <color indexed="8"/>
      </right>
      <top style="medium">
        <color indexed="8"/>
      </top>
      <bottom style="dashed">
        <color indexed="8"/>
      </bottom>
      <diagonal/>
    </border>
    <border>
      <left style="dashed">
        <color indexed="8"/>
      </left>
      <right style="dashed">
        <color indexed="8"/>
      </right>
      <top style="medium">
        <color indexed="8"/>
      </top>
      <bottom style="dashed">
        <color indexed="8"/>
      </bottom>
      <diagonal/>
    </border>
    <border>
      <left style="dashed">
        <color indexed="8"/>
      </left>
      <right style="medium">
        <color indexed="8"/>
      </right>
      <top style="medium">
        <color indexed="8"/>
      </top>
      <bottom style="dashed">
        <color indexed="8"/>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dashed">
        <color auto="1"/>
      </left>
      <right style="dotted">
        <color auto="1"/>
      </right>
      <top style="medium">
        <color auto="1"/>
      </top>
      <bottom style="medium">
        <color indexed="64"/>
      </bottom>
      <diagonal/>
    </border>
    <border>
      <left style="dotted">
        <color auto="1"/>
      </left>
      <right/>
      <top style="medium">
        <color auto="1"/>
      </top>
      <bottom style="medium">
        <color auto="1"/>
      </bottom>
      <diagonal/>
    </border>
    <border>
      <left style="dashed">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top style="medium">
        <color auto="1"/>
      </top>
      <bottom style="dotted">
        <color auto="1"/>
      </bottom>
      <diagonal/>
    </border>
    <border>
      <left style="dotted">
        <color auto="1"/>
      </left>
      <right style="medium">
        <color auto="1"/>
      </right>
      <top style="medium">
        <color auto="1"/>
      </top>
      <bottom style="dotted">
        <color auto="1"/>
      </bottom>
      <diagonal/>
    </border>
    <border>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dotted">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medium">
        <color auto="1"/>
      </left>
      <right style="medium">
        <color auto="1"/>
      </right>
      <top style="dotted">
        <color auto="1"/>
      </top>
      <bottom style="dotted">
        <color auto="1"/>
      </bottom>
      <diagonal/>
    </border>
    <border>
      <left style="dotted">
        <color indexed="8"/>
      </left>
      <right style="dotted">
        <color indexed="8"/>
      </right>
      <top style="medium">
        <color indexed="64"/>
      </top>
      <bottom style="medium">
        <color indexed="8"/>
      </bottom>
      <diagonal/>
    </border>
    <border>
      <left/>
      <right style="dotted">
        <color indexed="8"/>
      </right>
      <top style="medium">
        <color indexed="64"/>
      </top>
      <bottom style="medium">
        <color indexed="8"/>
      </bottom>
      <diagonal/>
    </border>
    <border>
      <left style="dotted">
        <color indexed="8"/>
      </left>
      <right style="medium">
        <color indexed="64"/>
      </right>
      <top style="medium">
        <color indexed="64"/>
      </top>
      <bottom style="medium">
        <color indexed="8"/>
      </bottom>
      <diagonal/>
    </border>
    <border>
      <left style="thin">
        <color auto="1"/>
      </left>
      <right style="thin">
        <color auto="1"/>
      </right>
      <top style="thin">
        <color auto="1"/>
      </top>
      <bottom style="thin">
        <color auto="1"/>
      </bottom>
      <diagonal/>
    </border>
    <border>
      <left style="medium">
        <color auto="1"/>
      </left>
      <right style="dashed">
        <color auto="1"/>
      </right>
      <top/>
      <bottom/>
      <diagonal/>
    </border>
  </borders>
  <cellStyleXfs count="124">
    <xf numFmtId="0" fontId="0" fillId="0" borderId="0"/>
    <xf numFmtId="9" fontId="1" fillId="0" borderId="0" applyFont="0" applyFill="0" applyBorder="0" applyAlignment="0" applyProtection="0"/>
    <xf numFmtId="0" fontId="6" fillId="0" borderId="0"/>
    <xf numFmtId="9" fontId="6" fillId="0" borderId="0" applyFont="0" applyFill="0" applyBorder="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0" borderId="0"/>
    <xf numFmtId="0" fontId="3" fillId="0" borderId="11">
      <alignment horizontal="center" vertical="center"/>
    </xf>
    <xf numFmtId="0" fontId="11" fillId="3" borderId="0" applyNumberFormat="0" applyBorder="0" applyAlignment="0" applyProtection="0"/>
    <xf numFmtId="167" fontId="12" fillId="0" borderId="0">
      <alignment vertical="top"/>
    </xf>
    <xf numFmtId="0" fontId="13" fillId="16" borderId="12" applyNumberFormat="0" applyAlignment="0" applyProtection="0"/>
    <xf numFmtId="0" fontId="14" fillId="0" borderId="13"/>
    <xf numFmtId="0" fontId="15" fillId="17" borderId="14" applyNumberFormat="0" applyAlignment="0" applyProtection="0"/>
    <xf numFmtId="0" fontId="16" fillId="18" borderId="0">
      <alignment horizontal="center"/>
    </xf>
    <xf numFmtId="168" fontId="3" fillId="0" borderId="0" applyFont="0" applyFill="0" applyBorder="0" applyProtection="0">
      <alignment horizontal="right" vertical="top"/>
    </xf>
    <xf numFmtId="164" fontId="5" fillId="0" borderId="0" applyFont="0" applyFill="0" applyBorder="0" applyAlignment="0" applyProtection="0"/>
    <xf numFmtId="1" fontId="17" fillId="0" borderId="0">
      <alignment vertical="top"/>
    </xf>
    <xf numFmtId="3" fontId="18" fillId="0" borderId="0">
      <alignment horizontal="right"/>
    </xf>
    <xf numFmtId="169" fontId="18" fillId="0" borderId="0">
      <alignment horizontal="right" vertical="top"/>
    </xf>
    <xf numFmtId="170" fontId="18" fillId="0" borderId="0">
      <alignment horizontal="right" vertical="top"/>
    </xf>
    <xf numFmtId="3" fontId="17" fillId="0" borderId="0" applyFill="0" applyBorder="0">
      <alignment horizontal="right" vertical="top"/>
    </xf>
    <xf numFmtId="169" fontId="18" fillId="0" borderId="0">
      <alignment horizontal="right" vertical="top"/>
    </xf>
    <xf numFmtId="171" fontId="4" fillId="0" borderId="0" applyFont="0" applyFill="0" applyBorder="0" applyAlignment="0" applyProtection="0">
      <alignment horizontal="right" vertical="top"/>
    </xf>
    <xf numFmtId="170" fontId="17" fillId="0" borderId="0">
      <alignment horizontal="right" vertical="top"/>
    </xf>
    <xf numFmtId="3" fontId="19" fillId="0" borderId="0" applyFont="0" applyFill="0" applyBorder="0" applyAlignment="0" applyProtection="0"/>
    <xf numFmtId="42" fontId="5" fillId="0" borderId="0" applyFont="0" applyFill="0" applyBorder="0" applyAlignment="0" applyProtection="0"/>
    <xf numFmtId="172" fontId="19" fillId="0" borderId="0" applyFont="0" applyFill="0" applyBorder="0" applyAlignment="0" applyProtection="0"/>
    <xf numFmtId="173" fontId="5" fillId="0" borderId="0" applyFill="0" applyBorder="0" applyAlignment="0" applyProtection="0"/>
    <xf numFmtId="174" fontId="3" fillId="0" borderId="0" applyBorder="0"/>
    <xf numFmtId="174" fontId="3" fillId="0" borderId="15"/>
    <xf numFmtId="0" fontId="20" fillId="0" borderId="0" applyNumberFormat="0" applyFill="0" applyBorder="0" applyAlignment="0" applyProtection="0"/>
    <xf numFmtId="0" fontId="7" fillId="0" borderId="0" applyNumberFormat="0" applyFill="0" applyBorder="0" applyAlignment="0" applyProtection="0"/>
    <xf numFmtId="175" fontId="6" fillId="0" borderId="0" applyFont="0" applyFill="0" applyBorder="0" applyAlignment="0" applyProtection="0"/>
    <xf numFmtId="44" fontId="5" fillId="0" borderId="0" applyFont="0" applyFill="0" applyBorder="0" applyAlignment="0" applyProtection="0"/>
    <xf numFmtId="44" fontId="6" fillId="0" borderId="0" applyFont="0" applyFill="0" applyBorder="0" applyAlignment="0" applyProtection="0"/>
    <xf numFmtId="0" fontId="21" fillId="0" borderId="0" applyNumberFormat="0" applyFill="0" applyBorder="0" applyAlignment="0" applyProtection="0"/>
    <xf numFmtId="169" fontId="5" fillId="0" borderId="0" applyFill="0" applyBorder="0" applyAlignment="0" applyProtection="0"/>
    <xf numFmtId="3" fontId="5" fillId="0" borderId="0" applyFill="0" applyBorder="0" applyAlignment="0" applyProtection="0"/>
    <xf numFmtId="2" fontId="19" fillId="0" borderId="0" applyFont="0" applyFill="0" applyBorder="0" applyAlignment="0" applyProtection="0"/>
    <xf numFmtId="176" fontId="22" fillId="0" borderId="0">
      <alignment horizontal="right"/>
      <protection locked="0"/>
    </xf>
    <xf numFmtId="0" fontId="23" fillId="4" borderId="0" applyNumberFormat="0" applyBorder="0" applyAlignment="0" applyProtection="0"/>
    <xf numFmtId="38" fontId="14" fillId="18" borderId="0" applyNumberFormat="0" applyBorder="0" applyAlignment="0" applyProtection="0"/>
    <xf numFmtId="0" fontId="7" fillId="0" borderId="16" applyNumberFormat="0" applyAlignment="0" applyProtection="0">
      <alignment horizontal="left" vertical="center"/>
    </xf>
    <xf numFmtId="0" fontId="7" fillId="0" borderId="11">
      <alignment horizontal="left" vertical="center"/>
    </xf>
    <xf numFmtId="177" fontId="24" fillId="0" borderId="17" applyNumberFormat="0" applyFill="0" applyBorder="0" applyProtection="0">
      <alignment horizontal="left"/>
    </xf>
    <xf numFmtId="0" fontId="25" fillId="0" borderId="18" applyNumberFormat="0" applyFill="0" applyAlignment="0" applyProtection="0"/>
    <xf numFmtId="0" fontId="26" fillId="0" borderId="19" applyNumberFormat="0" applyFill="0" applyAlignment="0" applyProtection="0"/>
    <xf numFmtId="0" fontId="27" fillId="0" borderId="20" applyNumberFormat="0" applyFill="0" applyAlignment="0" applyProtection="0"/>
    <xf numFmtId="0" fontId="27" fillId="0" borderId="0" applyNumberFormat="0" applyFill="0" applyBorder="0" applyAlignment="0" applyProtection="0"/>
    <xf numFmtId="178" fontId="4" fillId="0" borderId="0">
      <protection locked="0"/>
    </xf>
    <xf numFmtId="178" fontId="4" fillId="0" borderId="0">
      <protection locked="0"/>
    </xf>
    <xf numFmtId="0" fontId="28" fillId="7" borderId="12" applyNumberFormat="0" applyAlignment="0" applyProtection="0"/>
    <xf numFmtId="10" fontId="14" fillId="19" borderId="13" applyNumberFormat="0" applyBorder="0" applyAlignment="0" applyProtection="0"/>
    <xf numFmtId="0" fontId="14" fillId="18" borderId="21">
      <alignment horizontal="center" wrapText="1"/>
    </xf>
    <xf numFmtId="0" fontId="29" fillId="0" borderId="0" applyNumberFormat="0" applyFill="0" applyBorder="0" applyAlignment="0" applyProtection="0">
      <alignment vertical="top"/>
      <protection locked="0"/>
    </xf>
    <xf numFmtId="0" fontId="30" fillId="0" borderId="22" applyNumberFormat="0" applyFill="0" applyAlignment="0" applyProtection="0"/>
    <xf numFmtId="0" fontId="31" fillId="0" borderId="0"/>
    <xf numFmtId="179" fontId="32"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5" fillId="0" borderId="0" applyFont="0" applyFill="0" applyBorder="0" applyAlignment="0" applyProtection="0"/>
    <xf numFmtId="180" fontId="5" fillId="0" borderId="0" applyFill="0" applyBorder="0" applyAlignment="0" applyProtection="0"/>
    <xf numFmtId="0" fontId="32" fillId="0" borderId="0"/>
    <xf numFmtId="0" fontId="5" fillId="0" borderId="0"/>
    <xf numFmtId="0" fontId="34" fillId="20" borderId="0" applyNumberFormat="0" applyBorder="0" applyAlignment="0" applyProtection="0"/>
    <xf numFmtId="181" fontId="35" fillId="0" borderId="0"/>
    <xf numFmtId="0" fontId="5" fillId="0" borderId="0"/>
    <xf numFmtId="0" fontId="32" fillId="0" borderId="0"/>
    <xf numFmtId="0" fontId="5" fillId="0" borderId="0"/>
    <xf numFmtId="0" fontId="5" fillId="0" borderId="0"/>
    <xf numFmtId="0" fontId="5" fillId="0" borderId="0"/>
    <xf numFmtId="0" fontId="5" fillId="0" borderId="0"/>
    <xf numFmtId="0" fontId="5" fillId="0" borderId="0"/>
    <xf numFmtId="1" fontId="12" fillId="0" borderId="0">
      <alignment vertical="top" wrapText="1"/>
    </xf>
    <xf numFmtId="1" fontId="36" fillId="0" borderId="0" applyFill="0" applyBorder="0" applyProtection="0"/>
    <xf numFmtId="1" fontId="4" fillId="0" borderId="0" applyFont="0" applyFill="0" applyBorder="0" applyProtection="0">
      <alignment vertical="center"/>
    </xf>
    <xf numFmtId="1" fontId="18" fillId="0" borderId="0">
      <alignment horizontal="right" vertical="top"/>
    </xf>
    <xf numFmtId="167" fontId="18" fillId="0" borderId="0">
      <alignment horizontal="right" vertical="top"/>
    </xf>
    <xf numFmtId="0" fontId="5" fillId="0" borderId="0"/>
    <xf numFmtId="1" fontId="17" fillId="0" borderId="0" applyNumberFormat="0" applyFill="0" applyBorder="0">
      <alignment vertical="top"/>
    </xf>
    <xf numFmtId="0" fontId="2" fillId="21" borderId="23" applyNumberFormat="0" applyFont="0" applyAlignment="0" applyProtection="0"/>
    <xf numFmtId="0" fontId="4" fillId="0" borderId="0">
      <alignment horizontal="left"/>
    </xf>
    <xf numFmtId="0" fontId="37" fillId="16" borderId="24" applyNumberFormat="0" applyAlignment="0" applyProtection="0"/>
    <xf numFmtId="10" fontId="5" fillId="0" borderId="0" applyFont="0" applyFill="0" applyBorder="0" applyAlignment="0" applyProtection="0"/>
    <xf numFmtId="9" fontId="5" fillId="0" borderId="0" applyFont="0" applyFill="0" applyBorder="0" applyAlignment="0" applyProtection="0"/>
    <xf numFmtId="9" fontId="3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 fillId="0" borderId="0" applyFont="0" applyFill="0" applyBorder="0" applyAlignment="0" applyProtection="0"/>
    <xf numFmtId="0" fontId="3" fillId="0" borderId="25">
      <alignment horizontal="center" vertical="center"/>
    </xf>
    <xf numFmtId="167" fontId="3" fillId="0" borderId="0" applyNumberFormat="0" applyBorder="0" applyAlignment="0"/>
    <xf numFmtId="167" fontId="3" fillId="0" borderId="0" applyNumberFormat="0" applyBorder="0" applyAlignment="0"/>
    <xf numFmtId="176" fontId="22" fillId="0" borderId="0">
      <alignment vertical="top" wrapText="1"/>
      <protection locked="0"/>
    </xf>
    <xf numFmtId="177" fontId="38" fillId="0" borderId="17" applyNumberFormat="0" applyFill="0" applyBorder="0" applyProtection="0">
      <alignment horizontal="left"/>
    </xf>
    <xf numFmtId="0" fontId="5" fillId="0" borderId="0"/>
    <xf numFmtId="1" fontId="5" fillId="0" borderId="26"/>
    <xf numFmtId="0" fontId="39" fillId="0" borderId="0"/>
    <xf numFmtId="49" fontId="17" fillId="0" borderId="0" applyFill="0" applyBorder="0" applyAlignment="0" applyProtection="0">
      <alignment vertical="top"/>
    </xf>
    <xf numFmtId="0" fontId="40" fillId="0" borderId="0" applyNumberFormat="0" applyFill="0" applyBorder="0" applyAlignment="0" applyProtection="0"/>
    <xf numFmtId="177" fontId="38" fillId="0" borderId="17" applyNumberFormat="0" applyFill="0" applyBorder="0" applyProtection="0">
      <alignment horizontal="right"/>
    </xf>
    <xf numFmtId="177" fontId="41" fillId="0" borderId="0" applyNumberFormat="0" applyFill="0" applyBorder="0" applyAlignment="0" applyProtection="0">
      <alignment horizontal="left"/>
    </xf>
    <xf numFmtId="2" fontId="5" fillId="0" borderId="0" applyFill="0" applyBorder="0" applyAlignment="0" applyProtection="0"/>
    <xf numFmtId="0" fontId="42" fillId="0" borderId="0" applyNumberFormat="0" applyFill="0" applyBorder="0" applyAlignment="0" applyProtection="0"/>
    <xf numFmtId="1" fontId="18" fillId="0" borderId="0">
      <alignment vertical="top" wrapText="1"/>
    </xf>
    <xf numFmtId="0" fontId="5" fillId="0" borderId="0"/>
    <xf numFmtId="0" fontId="5" fillId="0" borderId="0"/>
    <xf numFmtId="9" fontId="5" fillId="0" borderId="0" applyFont="0" applyFill="0" applyBorder="0" applyAlignment="0" applyProtection="0"/>
  </cellStyleXfs>
  <cellXfs count="750">
    <xf numFmtId="0" fontId="0" fillId="0" borderId="0" xfId="0"/>
    <xf numFmtId="0" fontId="44" fillId="0" borderId="0" xfId="0" applyFont="1"/>
    <xf numFmtId="0" fontId="45" fillId="0" borderId="0" xfId="0" applyFont="1"/>
    <xf numFmtId="0" fontId="45" fillId="0" borderId="0" xfId="0" applyFont="1" applyAlignment="1">
      <alignment horizontal="center" vertical="center" wrapText="1"/>
    </xf>
    <xf numFmtId="166" fontId="45" fillId="0" borderId="0" xfId="1" applyNumberFormat="1" applyFont="1" applyBorder="1"/>
    <xf numFmtId="0" fontId="45" fillId="0" borderId="0" xfId="0" applyFont="1" applyAlignment="1">
      <alignment horizontal="center"/>
    </xf>
    <xf numFmtId="0" fontId="46" fillId="0" borderId="0" xfId="0" applyFont="1" applyAlignment="1">
      <alignment horizontal="justify" vertical="center"/>
    </xf>
    <xf numFmtId="0" fontId="46" fillId="0" borderId="0" xfId="0" applyFont="1"/>
    <xf numFmtId="0" fontId="44" fillId="0" borderId="0" xfId="0" applyFont="1" applyAlignment="1">
      <alignment horizontal="left" vertical="center"/>
    </xf>
    <xf numFmtId="0" fontId="48" fillId="0" borderId="1" xfId="0" applyFont="1" applyBorder="1" applyAlignment="1">
      <alignment horizontal="center"/>
    </xf>
    <xf numFmtId="0" fontId="43" fillId="0" borderId="0" xfId="0" applyFont="1"/>
    <xf numFmtId="0" fontId="43" fillId="0" borderId="0" xfId="0" applyFont="1" applyAlignment="1">
      <alignment horizontal="center"/>
    </xf>
    <xf numFmtId="10" fontId="43" fillId="0" borderId="0" xfId="0" applyNumberFormat="1" applyFont="1" applyAlignment="1">
      <alignment horizontal="center"/>
    </xf>
    <xf numFmtId="0" fontId="44" fillId="0" borderId="0" xfId="0" applyFont="1" applyAlignment="1">
      <alignment horizontal="left"/>
    </xf>
    <xf numFmtId="0" fontId="45" fillId="0" borderId="0" xfId="0" applyFont="1" applyAlignment="1">
      <alignment wrapText="1"/>
    </xf>
    <xf numFmtId="182" fontId="45" fillId="0" borderId="0" xfId="0" applyNumberFormat="1" applyFont="1" applyAlignment="1">
      <alignment horizontal="center"/>
    </xf>
    <xf numFmtId="0" fontId="49" fillId="0" borderId="0" xfId="0" applyFont="1"/>
    <xf numFmtId="0" fontId="47" fillId="0" borderId="0" xfId="0" applyFont="1"/>
    <xf numFmtId="0" fontId="51" fillId="0" borderId="0" xfId="0" applyFont="1"/>
    <xf numFmtId="0" fontId="52" fillId="0" borderId="1" xfId="0" applyFont="1" applyBorder="1" applyAlignment="1">
      <alignment horizontal="center"/>
    </xf>
    <xf numFmtId="0" fontId="53" fillId="0" borderId="2" xfId="0" applyFont="1" applyBorder="1"/>
    <xf numFmtId="166" fontId="54" fillId="0" borderId="6" xfId="1" applyNumberFormat="1" applyFont="1" applyBorder="1" applyAlignment="1">
      <alignment horizontal="center"/>
    </xf>
    <xf numFmtId="0" fontId="53" fillId="0" borderId="39" xfId="0" applyFont="1" applyBorder="1"/>
    <xf numFmtId="166" fontId="54" fillId="0" borderId="3" xfId="1" applyNumberFormat="1" applyFont="1" applyBorder="1" applyAlignment="1">
      <alignment horizontal="center"/>
    </xf>
    <xf numFmtId="166" fontId="54" fillId="0" borderId="4" xfId="1" applyNumberFormat="1" applyFont="1" applyBorder="1" applyAlignment="1">
      <alignment horizontal="center"/>
    </xf>
    <xf numFmtId="166" fontId="54" fillId="0" borderId="5" xfId="1" applyNumberFormat="1" applyFont="1" applyBorder="1" applyAlignment="1">
      <alignment horizontal="center"/>
    </xf>
    <xf numFmtId="0" fontId="53" fillId="0" borderId="40" xfId="0" applyFont="1" applyBorder="1"/>
    <xf numFmtId="166" fontId="54" fillId="0" borderId="7" xfId="1" applyNumberFormat="1" applyFont="1" applyBorder="1" applyAlignment="1">
      <alignment horizontal="center"/>
    </xf>
    <xf numFmtId="0" fontId="51" fillId="0" borderId="0" xfId="0" applyFont="1" applyAlignment="1">
      <alignment horizontal="center"/>
    </xf>
    <xf numFmtId="0" fontId="0" fillId="0" borderId="0" xfId="0" applyAlignment="1">
      <alignment horizontal="center"/>
    </xf>
    <xf numFmtId="0" fontId="55" fillId="0" borderId="0" xfId="0" applyFont="1" applyAlignment="1">
      <alignment horizontal="left"/>
    </xf>
    <xf numFmtId="0" fontId="55" fillId="0" borderId="0" xfId="0" applyFont="1" applyAlignment="1">
      <alignment horizontal="left" vertical="center"/>
    </xf>
    <xf numFmtId="0" fontId="56" fillId="0" borderId="75" xfId="0" applyFont="1" applyBorder="1" applyAlignment="1">
      <alignment horizontal="center" vertical="center"/>
    </xf>
    <xf numFmtId="0" fontId="56" fillId="0" borderId="75" xfId="0" applyFont="1" applyBorder="1" applyAlignment="1">
      <alignment horizontal="center" vertical="center" wrapText="1"/>
    </xf>
    <xf numFmtId="0" fontId="56" fillId="0" borderId="76" xfId="0" applyFont="1" applyBorder="1" applyAlignment="1">
      <alignment horizontal="center" vertical="center" wrapText="1"/>
    </xf>
    <xf numFmtId="0" fontId="51" fillId="0" borderId="57" xfId="0" applyFont="1" applyBorder="1" applyAlignment="1">
      <alignment horizontal="left" vertical="center" wrapText="1"/>
    </xf>
    <xf numFmtId="0" fontId="51" fillId="0" borderId="57" xfId="0" applyFont="1" applyBorder="1" applyAlignment="1">
      <alignment horizontal="center" vertical="center" wrapText="1"/>
    </xf>
    <xf numFmtId="0" fontId="51" fillId="0" borderId="60" xfId="0" applyFont="1" applyBorder="1" applyAlignment="1">
      <alignment horizontal="center" vertical="center" wrapText="1"/>
    </xf>
    <xf numFmtId="0" fontId="51" fillId="0" borderId="61" xfId="0" applyFont="1" applyBorder="1" applyAlignment="1">
      <alignment horizontal="center" vertical="center" wrapText="1"/>
    </xf>
    <xf numFmtId="166" fontId="51" fillId="0" borderId="64" xfId="1" applyNumberFormat="1" applyFont="1" applyBorder="1" applyAlignment="1">
      <alignment horizontal="center" vertical="center" wrapText="1"/>
    </xf>
    <xf numFmtId="166" fontId="51" fillId="0" borderId="58" xfId="1" applyNumberFormat="1" applyFont="1" applyBorder="1" applyAlignment="1">
      <alignment horizontal="center" vertical="center" wrapText="1"/>
    </xf>
    <xf numFmtId="166" fontId="51" fillId="0" borderId="9" xfId="1" applyNumberFormat="1" applyFont="1" applyBorder="1" applyAlignment="1">
      <alignment horizontal="center" vertical="center" wrapText="1"/>
    </xf>
    <xf numFmtId="166" fontId="51" fillId="0" borderId="59" xfId="1" applyNumberFormat="1" applyFont="1" applyBorder="1" applyAlignment="1">
      <alignment horizontal="center" vertical="center" wrapText="1"/>
    </xf>
    <xf numFmtId="0" fontId="51" fillId="0" borderId="8" xfId="0" applyFont="1" applyBorder="1" applyAlignment="1">
      <alignment horizontal="left" vertical="center" wrapText="1"/>
    </xf>
    <xf numFmtId="0" fontId="51" fillId="0" borderId="8" xfId="0" applyFont="1" applyBorder="1" applyAlignment="1">
      <alignment horizontal="center" vertical="center" wrapText="1"/>
    </xf>
    <xf numFmtId="0" fontId="51" fillId="0" borderId="62" xfId="0" applyFont="1" applyBorder="1" applyAlignment="1">
      <alignment horizontal="center" vertical="center" wrapText="1"/>
    </xf>
    <xf numFmtId="166" fontId="51" fillId="0" borderId="65" xfId="1" applyNumberFormat="1" applyFont="1" applyBorder="1" applyAlignment="1">
      <alignment horizontal="center" vertical="center" wrapText="1"/>
    </xf>
    <xf numFmtId="166" fontId="51" fillId="0" borderId="36" xfId="1" applyNumberFormat="1" applyFont="1" applyBorder="1" applyAlignment="1">
      <alignment horizontal="center" vertical="center" wrapText="1"/>
    </xf>
    <xf numFmtId="166" fontId="51" fillId="0" borderId="10" xfId="1" applyNumberFormat="1" applyFont="1" applyBorder="1" applyAlignment="1">
      <alignment horizontal="center" vertical="center" wrapText="1"/>
    </xf>
    <xf numFmtId="166" fontId="51" fillId="0" borderId="37" xfId="1" applyNumberFormat="1" applyFont="1" applyBorder="1" applyAlignment="1">
      <alignment horizontal="center" vertical="center" wrapText="1"/>
    </xf>
    <xf numFmtId="0" fontId="51" fillId="0" borderId="40" xfId="0" applyFont="1" applyBorder="1" applyAlignment="1">
      <alignment horizontal="left" vertical="center" wrapText="1"/>
    </xf>
    <xf numFmtId="0" fontId="51" fillId="0" borderId="40" xfId="0" applyFont="1" applyBorder="1" applyAlignment="1">
      <alignment horizontal="center" vertical="center" wrapText="1"/>
    </xf>
    <xf numFmtId="0" fontId="51" fillId="0" borderId="63" xfId="0" applyFont="1" applyBorder="1" applyAlignment="1">
      <alignment horizontal="center" vertical="center" wrapText="1"/>
    </xf>
    <xf numFmtId="166" fontId="51" fillId="0" borderId="84" xfId="1" applyNumberFormat="1" applyFont="1" applyBorder="1" applyAlignment="1">
      <alignment horizontal="center" vertical="center" wrapText="1"/>
    </xf>
    <xf numFmtId="166" fontId="51" fillId="0" borderId="85" xfId="1" applyNumberFormat="1" applyFont="1" applyBorder="1" applyAlignment="1">
      <alignment horizontal="center"/>
    </xf>
    <xf numFmtId="166" fontId="51" fillId="0" borderId="86" xfId="1" applyNumberFormat="1" applyFont="1" applyBorder="1" applyAlignment="1">
      <alignment horizontal="center"/>
    </xf>
    <xf numFmtId="166" fontId="51" fillId="0" borderId="88" xfId="1" applyNumberFormat="1" applyFont="1" applyBorder="1" applyAlignment="1">
      <alignment horizontal="center" vertical="center" wrapText="1"/>
    </xf>
    <xf numFmtId="166" fontId="51" fillId="0" borderId="89" xfId="1" applyNumberFormat="1" applyFont="1" applyBorder="1" applyAlignment="1">
      <alignment horizontal="center"/>
    </xf>
    <xf numFmtId="166" fontId="51" fillId="0" borderId="90" xfId="1" applyNumberFormat="1" applyFont="1" applyBorder="1" applyAlignment="1">
      <alignment horizontal="center"/>
    </xf>
    <xf numFmtId="0" fontId="51" fillId="0" borderId="79" xfId="0" applyFont="1" applyBorder="1" applyAlignment="1">
      <alignment horizontal="center" vertical="center" wrapText="1"/>
    </xf>
    <xf numFmtId="166" fontId="51" fillId="0" borderId="91" xfId="1" applyNumberFormat="1" applyFont="1" applyBorder="1" applyAlignment="1">
      <alignment horizontal="center" vertical="center" wrapText="1"/>
    </xf>
    <xf numFmtId="166" fontId="51" fillId="0" borderId="92" xfId="1" applyNumberFormat="1" applyFont="1" applyBorder="1" applyAlignment="1">
      <alignment horizontal="center" vertical="center" wrapText="1"/>
    </xf>
    <xf numFmtId="166" fontId="51" fillId="0" borderId="93" xfId="1" applyNumberFormat="1" applyFont="1" applyBorder="1" applyAlignment="1">
      <alignment horizontal="center" vertical="center" wrapText="1"/>
    </xf>
    <xf numFmtId="0" fontId="51" fillId="0" borderId="87" xfId="0" applyFont="1" applyBorder="1" applyAlignment="1">
      <alignment horizontal="center" vertical="center" wrapText="1"/>
    </xf>
    <xf numFmtId="166" fontId="51" fillId="0" borderId="94" xfId="1" applyNumberFormat="1" applyFont="1" applyBorder="1" applyAlignment="1">
      <alignment horizontal="center" vertical="center" wrapText="1"/>
    </xf>
    <xf numFmtId="166" fontId="51" fillId="0" borderId="95" xfId="1" applyNumberFormat="1" applyFont="1" applyBorder="1" applyAlignment="1">
      <alignment horizontal="center" vertical="center" wrapText="1"/>
    </xf>
    <xf numFmtId="166" fontId="51" fillId="0" borderId="96" xfId="1" applyNumberFormat="1" applyFont="1" applyBorder="1" applyAlignment="1">
      <alignment horizontal="center" vertical="center" wrapText="1"/>
    </xf>
    <xf numFmtId="166" fontId="51" fillId="0" borderId="89" xfId="1" applyNumberFormat="1" applyFont="1" applyBorder="1" applyAlignment="1">
      <alignment horizontal="center" vertical="center" wrapText="1"/>
    </xf>
    <xf numFmtId="166" fontId="51" fillId="0" borderId="90" xfId="1" applyNumberFormat="1" applyFont="1" applyBorder="1" applyAlignment="1">
      <alignment horizontal="center" vertical="center" wrapText="1"/>
    </xf>
    <xf numFmtId="182" fontId="57" fillId="0" borderId="0" xfId="0" applyNumberFormat="1" applyFont="1" applyAlignment="1">
      <alignment horizontal="center"/>
    </xf>
    <xf numFmtId="0" fontId="52" fillId="0" borderId="74" xfId="0" applyFont="1" applyBorder="1" applyAlignment="1">
      <alignment horizontal="center"/>
    </xf>
    <xf numFmtId="0" fontId="53" fillId="0" borderId="79" xfId="0" applyFont="1" applyBorder="1" applyAlignment="1">
      <alignment horizontal="center" vertical="center"/>
    </xf>
    <xf numFmtId="0" fontId="51" fillId="0" borderId="0" xfId="0" applyFont="1" applyAlignment="1">
      <alignment horizontal="center" vertical="center"/>
    </xf>
    <xf numFmtId="0" fontId="53" fillId="0" borderId="83" xfId="0" applyFont="1" applyBorder="1" applyAlignment="1">
      <alignment horizontal="center" vertical="center"/>
    </xf>
    <xf numFmtId="0" fontId="56" fillId="0" borderId="0" xfId="0" applyFont="1"/>
    <xf numFmtId="0" fontId="52" fillId="0" borderId="87" xfId="0" applyFont="1" applyBorder="1" applyAlignment="1">
      <alignment horizontal="center" vertical="center"/>
    </xf>
    <xf numFmtId="166" fontId="58" fillId="0" borderId="88" xfId="1" applyNumberFormat="1" applyFont="1" applyBorder="1" applyAlignment="1">
      <alignment horizontal="center" vertical="center"/>
    </xf>
    <xf numFmtId="166" fontId="58" fillId="0" borderId="89" xfId="1" applyNumberFormat="1" applyFont="1" applyBorder="1" applyAlignment="1">
      <alignment horizontal="center" vertical="center"/>
    </xf>
    <xf numFmtId="166" fontId="58" fillId="0" borderId="90" xfId="1" applyNumberFormat="1" applyFont="1" applyBorder="1" applyAlignment="1">
      <alignment horizontal="center" vertical="center"/>
    </xf>
    <xf numFmtId="0" fontId="56" fillId="0" borderId="0" xfId="0" applyFont="1" applyAlignment="1">
      <alignment horizontal="center" vertical="center"/>
    </xf>
    <xf numFmtId="166" fontId="53" fillId="0" borderId="84" xfId="0" applyNumberFormat="1" applyFont="1" applyBorder="1" applyAlignment="1">
      <alignment horizontal="center" vertical="center"/>
    </xf>
    <xf numFmtId="166" fontId="53" fillId="0" borderId="85" xfId="0" applyNumberFormat="1" applyFont="1" applyBorder="1" applyAlignment="1">
      <alignment horizontal="center" vertical="center"/>
    </xf>
    <xf numFmtId="166" fontId="53" fillId="0" borderId="86" xfId="0" applyNumberFormat="1" applyFont="1" applyBorder="1" applyAlignment="1">
      <alignment horizontal="center" vertical="center"/>
    </xf>
    <xf numFmtId="0" fontId="59" fillId="0" borderId="0" xfId="0" applyFont="1"/>
    <xf numFmtId="0" fontId="53" fillId="0" borderId="82" xfId="0" applyFont="1" applyBorder="1" applyAlignment="1">
      <alignment horizontal="center"/>
    </xf>
    <xf numFmtId="0" fontId="53" fillId="0" borderId="86" xfId="0" applyFont="1" applyBorder="1" applyAlignment="1">
      <alignment horizontal="center"/>
    </xf>
    <xf numFmtId="0" fontId="53" fillId="0" borderId="90" xfId="0" applyFont="1" applyBorder="1" applyAlignment="1">
      <alignment horizontal="center"/>
    </xf>
    <xf numFmtId="0" fontId="48" fillId="0" borderId="98" xfId="0" applyFont="1" applyBorder="1" applyAlignment="1">
      <alignment horizontal="center"/>
    </xf>
    <xf numFmtId="0" fontId="48" fillId="0" borderId="75" xfId="0" applyFont="1" applyBorder="1" applyAlignment="1">
      <alignment horizontal="center"/>
    </xf>
    <xf numFmtId="0" fontId="53" fillId="0" borderId="87" xfId="0" applyFont="1" applyBorder="1" applyAlignment="1">
      <alignment horizontal="center"/>
    </xf>
    <xf numFmtId="174" fontId="50" fillId="0" borderId="88" xfId="1" applyNumberFormat="1" applyFont="1" applyBorder="1" applyAlignment="1">
      <alignment horizontal="center"/>
    </xf>
    <xf numFmtId="174" fontId="50" fillId="0" borderId="89" xfId="1" applyNumberFormat="1" applyFont="1" applyBorder="1" applyAlignment="1">
      <alignment horizontal="center"/>
    </xf>
    <xf numFmtId="174" fontId="50" fillId="0" borderId="90" xfId="1" applyNumberFormat="1" applyFont="1" applyBorder="1" applyAlignment="1">
      <alignment horizontal="center"/>
    </xf>
    <xf numFmtId="0" fontId="0" fillId="0" borderId="0" xfId="0" applyAlignment="1">
      <alignment wrapText="1"/>
    </xf>
    <xf numFmtId="0" fontId="62" fillId="0" borderId="0" xfId="0" applyFont="1" applyAlignment="1">
      <alignment horizontal="center" vertical="center" wrapText="1"/>
    </xf>
    <xf numFmtId="166" fontId="43" fillId="0" borderId="0" xfId="0" applyNumberFormat="1" applyFont="1" applyAlignment="1">
      <alignment horizontal="center" vertical="center"/>
    </xf>
    <xf numFmtId="1" fontId="43" fillId="0" borderId="0" xfId="0" applyNumberFormat="1" applyFont="1" applyAlignment="1">
      <alignment horizontal="center" vertical="center"/>
    </xf>
    <xf numFmtId="1" fontId="61" fillId="0" borderId="0" xfId="0" applyNumberFormat="1" applyFont="1" applyAlignment="1">
      <alignment horizontal="center" vertical="center"/>
    </xf>
    <xf numFmtId="0" fontId="55" fillId="0" borderId="0" xfId="0" applyFont="1"/>
    <xf numFmtId="0" fontId="0" fillId="0" borderId="0" xfId="0" applyAlignment="1">
      <alignment vertical="center"/>
    </xf>
    <xf numFmtId="0" fontId="53" fillId="0" borderId="86" xfId="0" applyFont="1" applyBorder="1" applyAlignment="1">
      <alignment horizontal="center" vertical="center"/>
    </xf>
    <xf numFmtId="0" fontId="53" fillId="0" borderId="90" xfId="0" applyFont="1" applyBorder="1" applyAlignment="1">
      <alignment horizontal="center" vertical="center"/>
    </xf>
    <xf numFmtId="0" fontId="43" fillId="0" borderId="0" xfId="0" applyFont="1" applyAlignment="1">
      <alignment wrapText="1"/>
    </xf>
    <xf numFmtId="0" fontId="32" fillId="0" borderId="0" xfId="0" applyFont="1"/>
    <xf numFmtId="166" fontId="32" fillId="0" borderId="0" xfId="0" applyNumberFormat="1" applyFont="1"/>
    <xf numFmtId="166" fontId="32" fillId="0" borderId="0" xfId="1" applyNumberFormat="1" applyFont="1" applyBorder="1"/>
    <xf numFmtId="0" fontId="10" fillId="0" borderId="0" xfId="0" applyFont="1" applyAlignment="1">
      <alignment horizontal="justify" vertical="center"/>
    </xf>
    <xf numFmtId="174" fontId="32" fillId="0" borderId="140" xfId="1" applyNumberFormat="1" applyFont="1" applyBorder="1"/>
    <xf numFmtId="174" fontId="32" fillId="0" borderId="141" xfId="1" applyNumberFormat="1" applyFont="1" applyBorder="1"/>
    <xf numFmtId="174" fontId="32" fillId="0" borderId="139" xfId="1" applyNumberFormat="1" applyFont="1" applyBorder="1"/>
    <xf numFmtId="166" fontId="32" fillId="0" borderId="140" xfId="1" applyNumberFormat="1" applyFont="1" applyBorder="1"/>
    <xf numFmtId="166" fontId="32" fillId="0" borderId="141" xfId="1" applyNumberFormat="1" applyFont="1" applyBorder="1"/>
    <xf numFmtId="166" fontId="32" fillId="0" borderId="139" xfId="1" applyNumberFormat="1" applyFont="1" applyBorder="1"/>
    <xf numFmtId="0" fontId="59" fillId="0" borderId="0" xfId="0" applyFont="1" applyAlignment="1">
      <alignment horizontal="center" vertical="center"/>
    </xf>
    <xf numFmtId="0" fontId="59" fillId="0" borderId="0" xfId="0" applyFont="1" applyAlignment="1">
      <alignment vertical="center"/>
    </xf>
    <xf numFmtId="0" fontId="59" fillId="0" borderId="0" xfId="0" applyFont="1" applyAlignment="1">
      <alignment horizontal="center"/>
    </xf>
    <xf numFmtId="0" fontId="59" fillId="0" borderId="0" xfId="0" applyFont="1" applyAlignment="1">
      <alignment horizontal="left"/>
    </xf>
    <xf numFmtId="0" fontId="63" fillId="0" borderId="41" xfId="0" applyFont="1" applyBorder="1" applyAlignment="1">
      <alignment horizontal="center" vertical="center" wrapText="1"/>
    </xf>
    <xf numFmtId="0" fontId="63" fillId="0" borderId="56" xfId="0" applyFont="1" applyBorder="1" applyAlignment="1">
      <alignment horizontal="center" vertical="center"/>
    </xf>
    <xf numFmtId="0" fontId="63" fillId="0" borderId="48" xfId="0" applyFont="1" applyBorder="1" applyAlignment="1">
      <alignment horizontal="center" vertical="center"/>
    </xf>
    <xf numFmtId="0" fontId="63" fillId="0" borderId="49" xfId="0" applyFont="1" applyBorder="1" applyAlignment="1">
      <alignment horizontal="center" vertical="center"/>
    </xf>
    <xf numFmtId="0" fontId="32" fillId="0" borderId="53" xfId="0" applyFont="1" applyBorder="1" applyAlignment="1">
      <alignment horizontal="center" vertical="center"/>
    </xf>
    <xf numFmtId="166" fontId="32" fillId="0" borderId="50" xfId="1" applyNumberFormat="1" applyFont="1" applyBorder="1" applyAlignment="1">
      <alignment horizontal="center" vertical="center"/>
    </xf>
    <xf numFmtId="166" fontId="32" fillId="0" borderId="46" xfId="1" applyNumberFormat="1" applyFont="1" applyBorder="1" applyAlignment="1">
      <alignment horizontal="center" vertical="center"/>
    </xf>
    <xf numFmtId="166" fontId="32" fillId="0" borderId="47" xfId="1" applyNumberFormat="1" applyFont="1" applyBorder="1" applyAlignment="1">
      <alignment horizontal="center" vertical="center"/>
    </xf>
    <xf numFmtId="0" fontId="32" fillId="0" borderId="54" xfId="0" applyFont="1" applyBorder="1" applyAlignment="1">
      <alignment horizontal="center" vertical="center"/>
    </xf>
    <xf numFmtId="166" fontId="32" fillId="0" borderId="51" xfId="1" applyNumberFormat="1" applyFont="1" applyBorder="1" applyAlignment="1">
      <alignment horizontal="center" vertical="center"/>
    </xf>
    <xf numFmtId="166" fontId="32" fillId="0" borderId="42" xfId="1" applyNumberFormat="1" applyFont="1" applyBorder="1" applyAlignment="1">
      <alignment horizontal="center" vertical="center"/>
    </xf>
    <xf numFmtId="166" fontId="32" fillId="0" borderId="43" xfId="1" applyNumberFormat="1" applyFont="1" applyBorder="1" applyAlignment="1">
      <alignment horizontal="center" vertical="center"/>
    </xf>
    <xf numFmtId="0" fontId="32" fillId="0" borderId="55" xfId="0" applyFont="1" applyBorder="1" applyAlignment="1">
      <alignment horizontal="center" vertical="center"/>
    </xf>
    <xf numFmtId="166" fontId="32" fillId="0" borderId="52" xfId="1" applyNumberFormat="1" applyFont="1" applyBorder="1" applyAlignment="1">
      <alignment horizontal="center" vertical="center"/>
    </xf>
    <xf numFmtId="166" fontId="32" fillId="0" borderId="44" xfId="1" applyNumberFormat="1" applyFont="1" applyBorder="1" applyAlignment="1">
      <alignment horizontal="center" vertical="center"/>
    </xf>
    <xf numFmtId="166" fontId="32" fillId="0" borderId="45" xfId="1" applyNumberFormat="1" applyFont="1" applyBorder="1" applyAlignment="1">
      <alignment horizontal="center" vertical="center"/>
    </xf>
    <xf numFmtId="0" fontId="68" fillId="0" borderId="79" xfId="0" applyFont="1" applyBorder="1" applyAlignment="1">
      <alignment horizontal="center" vertical="center" wrapText="1"/>
    </xf>
    <xf numFmtId="0" fontId="68" fillId="0" borderId="87" xfId="0" applyFont="1" applyBorder="1" applyAlignment="1">
      <alignment horizontal="center" vertical="center" wrapText="1"/>
    </xf>
    <xf numFmtId="166" fontId="69" fillId="0" borderId="88" xfId="1" applyNumberFormat="1" applyFont="1" applyBorder="1" applyAlignment="1">
      <alignment horizontal="center" vertical="center" wrapText="1"/>
    </xf>
    <xf numFmtId="166" fontId="69" fillId="0" borderId="89" xfId="1" applyNumberFormat="1" applyFont="1" applyBorder="1" applyAlignment="1">
      <alignment horizontal="center"/>
    </xf>
    <xf numFmtId="166" fontId="69" fillId="0" borderId="90" xfId="1" applyNumberFormat="1" applyFont="1" applyBorder="1" applyAlignment="1">
      <alignment horizontal="center"/>
    </xf>
    <xf numFmtId="166" fontId="69" fillId="0" borderId="88" xfId="1" applyNumberFormat="1" applyFont="1" applyBorder="1" applyAlignment="1">
      <alignment horizontal="center"/>
    </xf>
    <xf numFmtId="0" fontId="68" fillId="0" borderId="57" xfId="0" applyFont="1" applyBorder="1" applyAlignment="1">
      <alignment horizontal="left" vertical="center" wrapText="1"/>
    </xf>
    <xf numFmtId="0" fontId="68" fillId="0" borderId="57" xfId="0" applyFont="1" applyBorder="1" applyAlignment="1">
      <alignment horizontal="center" vertical="center" wrapText="1"/>
    </xf>
    <xf numFmtId="166" fontId="68" fillId="0" borderId="61" xfId="1" applyNumberFormat="1" applyFont="1" applyBorder="1" applyAlignment="1">
      <alignment horizontal="center" vertical="center" wrapText="1"/>
    </xf>
    <xf numFmtId="166" fontId="68" fillId="0" borderId="64" xfId="1" applyNumberFormat="1" applyFont="1" applyBorder="1" applyAlignment="1">
      <alignment horizontal="center" vertical="center" wrapText="1"/>
    </xf>
    <xf numFmtId="166" fontId="68" fillId="0" borderId="58" xfId="1" applyNumberFormat="1" applyFont="1" applyBorder="1" applyAlignment="1">
      <alignment horizontal="center" vertical="center" wrapText="1"/>
    </xf>
    <xf numFmtId="166" fontId="68" fillId="0" borderId="9" xfId="1" applyNumberFormat="1" applyFont="1" applyBorder="1" applyAlignment="1">
      <alignment horizontal="center" vertical="center" wrapText="1"/>
    </xf>
    <xf numFmtId="166" fontId="68" fillId="0" borderId="59" xfId="1" applyNumberFormat="1" applyFont="1" applyBorder="1" applyAlignment="1">
      <alignment horizontal="center" vertical="center" wrapText="1"/>
    </xf>
    <xf numFmtId="0" fontId="68" fillId="0" borderId="77" xfId="0" applyFont="1" applyBorder="1" applyAlignment="1">
      <alignment horizontal="left" vertical="center" wrapText="1"/>
    </xf>
    <xf numFmtId="0" fontId="68" fillId="0" borderId="77" xfId="0" applyFont="1" applyBorder="1" applyAlignment="1">
      <alignment horizontal="center" vertical="center" wrapText="1"/>
    </xf>
    <xf numFmtId="0" fontId="68" fillId="0" borderId="78" xfId="0" applyFont="1" applyBorder="1" applyAlignment="1">
      <alignment horizontal="center" vertical="center" wrapText="1"/>
    </xf>
    <xf numFmtId="0" fontId="59" fillId="0" borderId="0" xfId="0" applyFont="1" applyAlignment="1">
      <alignment horizontal="left" vertical="center"/>
    </xf>
    <xf numFmtId="0" fontId="59" fillId="0" borderId="1" xfId="0" applyFont="1" applyBorder="1" applyAlignment="1">
      <alignment horizontal="center"/>
    </xf>
    <xf numFmtId="0" fontId="70" fillId="0" borderId="2" xfId="0" applyFont="1" applyBorder="1" applyAlignment="1">
      <alignment horizontal="center"/>
    </xf>
    <xf numFmtId="0" fontId="70" fillId="0" borderId="57" xfId="0" applyFont="1" applyBorder="1" applyAlignment="1">
      <alignment horizontal="center"/>
    </xf>
    <xf numFmtId="0" fontId="70" fillId="0" borderId="40" xfId="0" applyFont="1" applyBorder="1" applyAlignment="1">
      <alignment horizontal="center"/>
    </xf>
    <xf numFmtId="166" fontId="3" fillId="0" borderId="38" xfId="1" applyNumberFormat="1" applyFont="1" applyBorder="1" applyAlignment="1">
      <alignment horizontal="center"/>
    </xf>
    <xf numFmtId="0" fontId="71" fillId="0" borderId="0" xfId="0" applyFont="1"/>
    <xf numFmtId="174" fontId="3" fillId="0" borderId="38" xfId="1" applyNumberFormat="1" applyFont="1" applyBorder="1" applyAlignment="1">
      <alignment horizontal="center"/>
    </xf>
    <xf numFmtId="0" fontId="3" fillId="0" borderId="2" xfId="0" applyFont="1" applyBorder="1" applyAlignment="1">
      <alignment horizontal="center" vertical="center"/>
    </xf>
    <xf numFmtId="0" fontId="3" fillId="0" borderId="40" xfId="0" applyFont="1" applyBorder="1" applyAlignment="1">
      <alignment horizontal="center" vertical="center"/>
    </xf>
    <xf numFmtId="0" fontId="60" fillId="0" borderId="0" xfId="0" applyFont="1" applyAlignment="1">
      <alignment vertical="center"/>
    </xf>
    <xf numFmtId="0" fontId="56" fillId="0" borderId="154" xfId="0" applyFont="1" applyBorder="1" applyAlignment="1">
      <alignment horizontal="center"/>
    </xf>
    <xf numFmtId="0" fontId="56" fillId="0" borderId="155" xfId="0" applyFont="1" applyBorder="1" applyAlignment="1">
      <alignment horizontal="center"/>
    </xf>
    <xf numFmtId="0" fontId="56" fillId="0" borderId="156" xfId="0" applyFont="1" applyBorder="1" applyAlignment="1">
      <alignment horizontal="center"/>
    </xf>
    <xf numFmtId="0" fontId="53" fillId="0" borderId="153" xfId="0" applyFont="1" applyBorder="1"/>
    <xf numFmtId="0" fontId="54" fillId="0" borderId="86" xfId="0" applyFont="1" applyBorder="1"/>
    <xf numFmtId="0" fontId="54" fillId="0" borderId="90" xfId="0" applyFont="1" applyBorder="1"/>
    <xf numFmtId="0" fontId="54" fillId="0" borderId="93" xfId="0" applyFont="1" applyBorder="1"/>
    <xf numFmtId="0" fontId="53" fillId="0" borderId="93" xfId="0" applyFont="1" applyBorder="1"/>
    <xf numFmtId="0" fontId="54" fillId="0" borderId="153" xfId="0" applyFont="1" applyBorder="1" applyAlignment="1">
      <alignment vertical="center" wrapText="1"/>
    </xf>
    <xf numFmtId="0" fontId="54" fillId="0" borderId="86" xfId="0" applyFont="1" applyBorder="1" applyAlignment="1">
      <alignment vertical="center"/>
    </xf>
    <xf numFmtId="0" fontId="54" fillId="0" borderId="90" xfId="0" applyFont="1" applyBorder="1" applyAlignment="1">
      <alignment vertical="center"/>
    </xf>
    <xf numFmtId="166" fontId="51" fillId="0" borderId="163" xfId="1" applyNumberFormat="1" applyFont="1" applyBorder="1" applyAlignment="1">
      <alignment horizontal="center" vertical="center"/>
    </xf>
    <xf numFmtId="166" fontId="0" fillId="0" borderId="0" xfId="0" applyNumberFormat="1"/>
    <xf numFmtId="0" fontId="53" fillId="0" borderId="1" xfId="0" applyFont="1" applyBorder="1" applyAlignment="1">
      <alignment horizontal="center" wrapText="1"/>
    </xf>
    <xf numFmtId="0" fontId="45" fillId="0" borderId="0" xfId="0" applyFont="1" applyAlignment="1">
      <alignment horizontal="center" wrapText="1"/>
    </xf>
    <xf numFmtId="0" fontId="63" fillId="0" borderId="138" xfId="0" applyFont="1" applyBorder="1"/>
    <xf numFmtId="166" fontId="32" fillId="0" borderId="138" xfId="1" applyNumberFormat="1" applyFont="1" applyBorder="1"/>
    <xf numFmtId="0" fontId="63" fillId="0" borderId="40" xfId="0" applyFont="1" applyBorder="1"/>
    <xf numFmtId="166" fontId="32" fillId="0" borderId="40" xfId="1" applyNumberFormat="1" applyFont="1" applyBorder="1"/>
    <xf numFmtId="0" fontId="32" fillId="0" borderId="0" xfId="0" applyFont="1" applyAlignment="1">
      <alignment wrapText="1"/>
    </xf>
    <xf numFmtId="174" fontId="32" fillId="0" borderId="138" xfId="0" applyNumberFormat="1" applyFont="1" applyBorder="1" applyAlignment="1">
      <alignment wrapText="1"/>
    </xf>
    <xf numFmtId="0" fontId="63" fillId="0" borderId="57" xfId="0" applyFont="1" applyBorder="1"/>
    <xf numFmtId="0" fontId="63" fillId="0" borderId="8" xfId="0" applyFont="1" applyBorder="1"/>
    <xf numFmtId="174" fontId="32" fillId="0" borderId="8" xfId="0" applyNumberFormat="1" applyFont="1" applyBorder="1" applyAlignment="1">
      <alignment wrapText="1"/>
    </xf>
    <xf numFmtId="174" fontId="32" fillId="0" borderId="40" xfId="0" applyNumberFormat="1" applyFont="1" applyBorder="1" applyAlignment="1">
      <alignment wrapText="1"/>
    </xf>
    <xf numFmtId="0" fontId="70" fillId="0" borderId="0" xfId="0" applyFont="1"/>
    <xf numFmtId="0" fontId="3" fillId="0" borderId="0" xfId="0" applyFont="1"/>
    <xf numFmtId="0" fontId="70" fillId="0" borderId="138" xfId="0" applyFont="1" applyBorder="1" applyAlignment="1">
      <alignment horizontal="center"/>
    </xf>
    <xf numFmtId="174" fontId="3" fillId="0" borderId="143" xfId="1" applyNumberFormat="1" applyFont="1" applyBorder="1" applyAlignment="1">
      <alignment horizontal="center"/>
    </xf>
    <xf numFmtId="174" fontId="3" fillId="0" borderId="4" xfId="1" applyNumberFormat="1" applyFont="1" applyBorder="1" applyAlignment="1">
      <alignment horizontal="center"/>
    </xf>
    <xf numFmtId="174" fontId="3" fillId="0" borderId="144" xfId="1" applyNumberFormat="1" applyFont="1" applyBorder="1" applyAlignment="1">
      <alignment horizontal="center"/>
    </xf>
    <xf numFmtId="174" fontId="3" fillId="0" borderId="145" xfId="1" applyNumberFormat="1" applyFont="1" applyBorder="1" applyAlignment="1">
      <alignment horizontal="center"/>
    </xf>
    <xf numFmtId="0" fontId="63" fillId="0" borderId="150" xfId="0" applyFont="1" applyBorder="1"/>
    <xf numFmtId="0" fontId="63" fillId="0" borderId="150" xfId="0" applyFont="1" applyBorder="1" applyAlignment="1">
      <alignment wrapText="1"/>
    </xf>
    <xf numFmtId="166" fontId="32" fillId="0" borderId="138" xfId="0" applyNumberFormat="1" applyFont="1" applyBorder="1"/>
    <xf numFmtId="0" fontId="63" fillId="0" borderId="168" xfId="0" applyFont="1" applyBorder="1" applyAlignment="1">
      <alignment wrapText="1"/>
    </xf>
    <xf numFmtId="0" fontId="32" fillId="0" borderId="169" xfId="0" applyFont="1" applyBorder="1"/>
    <xf numFmtId="0" fontId="55" fillId="0" borderId="171" xfId="0" applyFont="1" applyBorder="1" applyAlignment="1">
      <alignment horizontal="center" vertical="top" wrapText="1"/>
    </xf>
    <xf numFmtId="3" fontId="64" fillId="0" borderId="171" xfId="0" applyNumberFormat="1" applyFont="1" applyBorder="1" applyAlignment="1">
      <alignment horizontal="center"/>
    </xf>
    <xf numFmtId="3" fontId="65" fillId="0" borderId="171" xfId="0" applyNumberFormat="1" applyFont="1" applyBorder="1" applyAlignment="1">
      <alignment horizontal="center"/>
    </xf>
    <xf numFmtId="0" fontId="64" fillId="0" borderId="171" xfId="0" applyFont="1" applyBorder="1" applyAlignment="1">
      <alignment horizontal="center"/>
    </xf>
    <xf numFmtId="0" fontId="0" fillId="0" borderId="171" xfId="0" applyBorder="1" applyAlignment="1">
      <alignment vertical="top" wrapText="1"/>
    </xf>
    <xf numFmtId="0" fontId="0" fillId="0" borderId="21" xfId="0" applyBorder="1" applyAlignment="1">
      <alignment vertical="top" wrapText="1"/>
    </xf>
    <xf numFmtId="0" fontId="55" fillId="0" borderId="21" xfId="0" applyFont="1" applyBorder="1" applyAlignment="1">
      <alignment horizontal="center" vertical="top" wrapText="1"/>
    </xf>
    <xf numFmtId="0" fontId="64" fillId="0" borderId="21" xfId="0" applyFont="1" applyBorder="1" applyAlignment="1">
      <alignment horizontal="center"/>
    </xf>
    <xf numFmtId="3" fontId="65" fillId="0" borderId="21" xfId="0" applyNumberFormat="1" applyFont="1" applyBorder="1" applyAlignment="1">
      <alignment horizontal="center"/>
    </xf>
    <xf numFmtId="166" fontId="64" fillId="0" borderId="21" xfId="0" applyNumberFormat="1" applyFont="1" applyBorder="1" applyAlignment="1">
      <alignment horizontal="center" vertical="top" wrapText="1"/>
    </xf>
    <xf numFmtId="0" fontId="63" fillId="0" borderId="150" xfId="0" applyFont="1" applyBorder="1" applyAlignment="1">
      <alignment horizontal="center" wrapText="1"/>
    </xf>
    <xf numFmtId="0" fontId="32" fillId="22" borderId="0" xfId="0" applyFont="1" applyFill="1"/>
    <xf numFmtId="0" fontId="72" fillId="0" borderId="0" xfId="0" applyFont="1"/>
    <xf numFmtId="0" fontId="63" fillId="0" borderId="164" xfId="0" applyFont="1" applyBorder="1" applyAlignment="1">
      <alignment horizontal="center"/>
    </xf>
    <xf numFmtId="0" fontId="63" fillId="0" borderId="165" xfId="0" applyFont="1" applyBorder="1" applyAlignment="1">
      <alignment horizontal="center" wrapText="1"/>
    </xf>
    <xf numFmtId="0" fontId="63" fillId="0" borderId="0" xfId="0" applyFont="1" applyAlignment="1">
      <alignment horizontal="center" wrapText="1"/>
    </xf>
    <xf numFmtId="166" fontId="32" fillId="0" borderId="8" xfId="0" applyNumberFormat="1" applyFont="1" applyBorder="1"/>
    <xf numFmtId="166" fontId="32" fillId="0" borderId="40" xfId="0" applyNumberFormat="1" applyFont="1" applyBorder="1"/>
    <xf numFmtId="174" fontId="32" fillId="0" borderId="138" xfId="0" applyNumberFormat="1" applyFont="1" applyBorder="1"/>
    <xf numFmtId="0" fontId="63" fillId="0" borderId="138" xfId="0" applyFont="1" applyBorder="1" applyAlignment="1">
      <alignment wrapText="1"/>
    </xf>
    <xf numFmtId="0" fontId="63" fillId="0" borderId="157" xfId="0" applyFont="1" applyBorder="1" applyAlignment="1">
      <alignment wrapText="1"/>
    </xf>
    <xf numFmtId="174" fontId="32" fillId="0" borderId="157" xfId="0" applyNumberFormat="1" applyFont="1" applyBorder="1"/>
    <xf numFmtId="0" fontId="63" fillId="0" borderId="142" xfId="0" applyFont="1" applyBorder="1" applyAlignment="1">
      <alignment wrapText="1"/>
    </xf>
    <xf numFmtId="0" fontId="32" fillId="0" borderId="40" xfId="0" applyFont="1" applyBorder="1"/>
    <xf numFmtId="174" fontId="32" fillId="0" borderId="40" xfId="0" applyNumberFormat="1" applyFont="1" applyBorder="1"/>
    <xf numFmtId="0" fontId="53" fillId="0" borderId="175" xfId="0" applyFont="1" applyBorder="1" applyAlignment="1">
      <alignment horizontal="center"/>
    </xf>
    <xf numFmtId="166" fontId="45" fillId="0" borderId="0" xfId="0" applyNumberFormat="1" applyFont="1"/>
    <xf numFmtId="0" fontId="71" fillId="0" borderId="0" xfId="0" applyFont="1" applyAlignment="1">
      <alignment horizontal="center"/>
    </xf>
    <xf numFmtId="0" fontId="61" fillId="0" borderId="0" xfId="0" applyFont="1" applyAlignment="1">
      <alignment horizontal="center"/>
    </xf>
    <xf numFmtId="0" fontId="73" fillId="0" borderId="0" xfId="0" applyFont="1"/>
    <xf numFmtId="0" fontId="71" fillId="0" borderId="0" xfId="0" applyFont="1" applyAlignment="1">
      <alignment wrapText="1"/>
    </xf>
    <xf numFmtId="0" fontId="63" fillId="0" borderId="164" xfId="0" applyFont="1" applyBorder="1" applyAlignment="1">
      <alignment horizontal="center" vertical="center" wrapText="1"/>
    </xf>
    <xf numFmtId="0" fontId="63" fillId="22" borderId="138" xfId="0" applyFont="1" applyFill="1" applyBorder="1" applyAlignment="1">
      <alignment horizontal="center"/>
    </xf>
    <xf numFmtId="166" fontId="32" fillId="22" borderId="138" xfId="0" applyNumberFormat="1" applyFont="1" applyFill="1" applyBorder="1" applyAlignment="1">
      <alignment horizontal="center"/>
    </xf>
    <xf numFmtId="0" fontId="32" fillId="22" borderId="138" xfId="0" applyFont="1" applyFill="1" applyBorder="1" applyAlignment="1">
      <alignment horizontal="center"/>
    </xf>
    <xf numFmtId="0" fontId="63" fillId="22" borderId="8" xfId="0" applyFont="1" applyFill="1" applyBorder="1" applyAlignment="1">
      <alignment horizontal="center"/>
    </xf>
    <xf numFmtId="166" fontId="32" fillId="22" borderId="8" xfId="0" applyNumberFormat="1" applyFont="1" applyFill="1" applyBorder="1" applyAlignment="1">
      <alignment horizontal="center"/>
    </xf>
    <xf numFmtId="0" fontId="32" fillId="22" borderId="8" xfId="0" applyFont="1" applyFill="1" applyBorder="1" applyAlignment="1">
      <alignment horizontal="center"/>
    </xf>
    <xf numFmtId="0" fontId="32" fillId="22" borderId="144" xfId="0" applyFont="1" applyFill="1" applyBorder="1" applyAlignment="1">
      <alignment horizontal="center"/>
    </xf>
    <xf numFmtId="0" fontId="32" fillId="22" borderId="145" xfId="0" applyFont="1" applyFill="1" applyBorder="1" applyAlignment="1">
      <alignment horizontal="center"/>
    </xf>
    <xf numFmtId="0" fontId="32" fillId="22" borderId="146" xfId="0" applyFont="1" applyFill="1" applyBorder="1" applyAlignment="1">
      <alignment horizontal="center"/>
    </xf>
    <xf numFmtId="0" fontId="63" fillId="0" borderId="2" xfId="0" applyFont="1" applyBorder="1" applyAlignment="1">
      <alignment horizontal="center"/>
    </xf>
    <xf numFmtId="166" fontId="32" fillId="0" borderId="2" xfId="1" applyNumberFormat="1" applyFont="1" applyBorder="1" applyAlignment="1">
      <alignment horizontal="center"/>
    </xf>
    <xf numFmtId="0" fontId="63" fillId="0" borderId="8" xfId="0" applyFont="1" applyBorder="1" applyAlignment="1">
      <alignment horizontal="center"/>
    </xf>
    <xf numFmtId="166" fontId="32" fillId="0" borderId="8" xfId="1" applyNumberFormat="1" applyFont="1" applyBorder="1" applyAlignment="1">
      <alignment horizontal="center"/>
    </xf>
    <xf numFmtId="166" fontId="32" fillId="0" borderId="144" xfId="1" applyNumberFormat="1" applyFont="1" applyBorder="1" applyAlignment="1">
      <alignment horizontal="center"/>
    </xf>
    <xf numFmtId="166" fontId="32" fillId="0" borderId="145" xfId="1" applyNumberFormat="1" applyFont="1" applyBorder="1" applyAlignment="1">
      <alignment horizontal="center"/>
    </xf>
    <xf numFmtId="166" fontId="32" fillId="0" borderId="146" xfId="1" applyNumberFormat="1" applyFont="1" applyBorder="1" applyAlignment="1">
      <alignment horizontal="center"/>
    </xf>
    <xf numFmtId="0" fontId="63" fillId="0" borderId="40" xfId="0" applyFont="1" applyBorder="1" applyAlignment="1">
      <alignment horizontal="center"/>
    </xf>
    <xf numFmtId="166" fontId="32" fillId="0" borderId="40" xfId="1" applyNumberFormat="1" applyFont="1" applyBorder="1" applyAlignment="1">
      <alignment horizontal="center"/>
    </xf>
    <xf numFmtId="166" fontId="32" fillId="0" borderId="38" xfId="1" applyNumberFormat="1" applyFont="1" applyBorder="1" applyAlignment="1">
      <alignment horizontal="center"/>
    </xf>
    <xf numFmtId="0" fontId="63" fillId="22" borderId="2" xfId="0" applyFont="1" applyFill="1" applyBorder="1" applyAlignment="1">
      <alignment horizontal="center"/>
    </xf>
    <xf numFmtId="166" fontId="32" fillId="22" borderId="8" xfId="1" applyNumberFormat="1" applyFont="1" applyFill="1" applyBorder="1" applyAlignment="1">
      <alignment horizontal="center"/>
    </xf>
    <xf numFmtId="166" fontId="32" fillId="22" borderId="144" xfId="1" applyNumberFormat="1" applyFont="1" applyFill="1" applyBorder="1" applyAlignment="1">
      <alignment horizontal="center"/>
    </xf>
    <xf numFmtId="166" fontId="32" fillId="22" borderId="145" xfId="1" applyNumberFormat="1" applyFont="1" applyFill="1" applyBorder="1" applyAlignment="1">
      <alignment horizontal="center"/>
    </xf>
    <xf numFmtId="166" fontId="32" fillId="22" borderId="146" xfId="1" applyNumberFormat="1" applyFont="1" applyFill="1" applyBorder="1" applyAlignment="1">
      <alignment horizontal="center"/>
    </xf>
    <xf numFmtId="0" fontId="63" fillId="22" borderId="142" xfId="0" applyFont="1" applyFill="1" applyBorder="1" applyAlignment="1">
      <alignment horizontal="center"/>
    </xf>
    <xf numFmtId="0" fontId="63" fillId="22" borderId="40" xfId="0" applyFont="1" applyFill="1" applyBorder="1" applyAlignment="1">
      <alignment horizontal="center"/>
    </xf>
    <xf numFmtId="166" fontId="32" fillId="22" borderId="40" xfId="1" applyNumberFormat="1" applyFont="1" applyFill="1" applyBorder="1" applyAlignment="1">
      <alignment horizontal="center"/>
    </xf>
    <xf numFmtId="166" fontId="32" fillId="22" borderId="38" xfId="1" applyNumberFormat="1" applyFont="1" applyFill="1" applyBorder="1" applyAlignment="1">
      <alignment horizontal="center"/>
    </xf>
    <xf numFmtId="0" fontId="48" fillId="0" borderId="142" xfId="0" applyFont="1" applyBorder="1" applyAlignment="1">
      <alignment horizontal="center"/>
    </xf>
    <xf numFmtId="0" fontId="48" fillId="0" borderId="167" xfId="0" applyFont="1" applyBorder="1" applyAlignment="1">
      <alignment horizontal="center"/>
    </xf>
    <xf numFmtId="0" fontId="48" fillId="0" borderId="178" xfId="0" applyFont="1" applyBorder="1" applyAlignment="1">
      <alignment horizontal="center"/>
    </xf>
    <xf numFmtId="0" fontId="48" fillId="0" borderId="179" xfId="0" applyFont="1" applyBorder="1" applyAlignment="1">
      <alignment horizontal="center"/>
    </xf>
    <xf numFmtId="174" fontId="50" fillId="0" borderId="151" xfId="1" applyNumberFormat="1" applyFont="1" applyBorder="1" applyAlignment="1">
      <alignment horizontal="center"/>
    </xf>
    <xf numFmtId="174" fontId="50" fillId="0" borderId="152" xfId="1" applyNumberFormat="1" applyFont="1" applyBorder="1" applyAlignment="1">
      <alignment horizontal="center"/>
    </xf>
    <xf numFmtId="174" fontId="50" fillId="0" borderId="153" xfId="1" applyNumberFormat="1" applyFont="1" applyBorder="1" applyAlignment="1">
      <alignment horizontal="center"/>
    </xf>
    <xf numFmtId="0" fontId="53" fillId="0" borderId="83" xfId="0" applyFont="1" applyBorder="1" applyAlignment="1">
      <alignment horizontal="center"/>
    </xf>
    <xf numFmtId="174" fontId="50" fillId="0" borderId="84" xfId="1" applyNumberFormat="1" applyFont="1" applyBorder="1" applyAlignment="1">
      <alignment horizontal="center"/>
    </xf>
    <xf numFmtId="174" fontId="50" fillId="0" borderId="85" xfId="1" applyNumberFormat="1" applyFont="1" applyBorder="1" applyAlignment="1">
      <alignment horizontal="center"/>
    </xf>
    <xf numFmtId="174" fontId="50" fillId="0" borderId="86" xfId="1" applyNumberFormat="1" applyFont="1" applyBorder="1" applyAlignment="1">
      <alignment horizontal="center"/>
    </xf>
    <xf numFmtId="166" fontId="32" fillId="0" borderId="183" xfId="1" applyNumberFormat="1" applyFont="1" applyBorder="1" applyAlignment="1">
      <alignment horizontal="center" vertical="center"/>
    </xf>
    <xf numFmtId="166" fontId="32" fillId="0" borderId="184" xfId="1" applyNumberFormat="1" applyFont="1" applyBorder="1" applyAlignment="1">
      <alignment horizontal="center" vertical="center"/>
    </xf>
    <xf numFmtId="166" fontId="32" fillId="0" borderId="185" xfId="1" applyNumberFormat="1" applyFont="1" applyBorder="1" applyAlignment="1">
      <alignment horizontal="center" vertical="center"/>
    </xf>
    <xf numFmtId="166" fontId="0" fillId="0" borderId="186" xfId="1" applyNumberFormat="1" applyFont="1" applyBorder="1" applyAlignment="1">
      <alignment horizontal="center"/>
    </xf>
    <xf numFmtId="166" fontId="0" fillId="0" borderId="187" xfId="1" applyNumberFormat="1" applyFont="1" applyBorder="1" applyAlignment="1">
      <alignment horizontal="center"/>
    </xf>
    <xf numFmtId="166" fontId="0" fillId="0" borderId="188" xfId="1" applyNumberFormat="1" applyFont="1" applyBorder="1" applyAlignment="1">
      <alignment horizontal="center"/>
    </xf>
    <xf numFmtId="0" fontId="67" fillId="0" borderId="100" xfId="0" applyFont="1" applyBorder="1" applyAlignment="1">
      <alignment horizontal="center"/>
    </xf>
    <xf numFmtId="0" fontId="67" fillId="0" borderId="98" xfId="0" applyFont="1" applyBorder="1" applyAlignment="1">
      <alignment horizontal="center"/>
    </xf>
    <xf numFmtId="166" fontId="4" fillId="0" borderId="84" xfId="1" applyNumberFormat="1" applyFont="1" applyBorder="1" applyAlignment="1">
      <alignment horizontal="center"/>
    </xf>
    <xf numFmtId="166" fontId="4" fillId="0" borderId="85" xfId="1" applyNumberFormat="1" applyFont="1" applyBorder="1" applyAlignment="1">
      <alignment horizontal="center"/>
    </xf>
    <xf numFmtId="2" fontId="4" fillId="0" borderId="85" xfId="1" applyNumberFormat="1" applyFont="1" applyBorder="1" applyAlignment="1">
      <alignment horizontal="center"/>
    </xf>
    <xf numFmtId="2" fontId="4" fillId="0" borderId="86" xfId="1" applyNumberFormat="1" applyFont="1" applyBorder="1" applyAlignment="1">
      <alignment horizontal="center"/>
    </xf>
    <xf numFmtId="166" fontId="4" fillId="0" borderId="88" xfId="1" applyNumberFormat="1" applyFont="1" applyBorder="1" applyAlignment="1">
      <alignment horizontal="center"/>
    </xf>
    <xf numFmtId="166" fontId="4" fillId="0" borderId="89" xfId="1" applyNumberFormat="1" applyFont="1" applyBorder="1" applyAlignment="1">
      <alignment horizontal="center"/>
    </xf>
    <xf numFmtId="2" fontId="4" fillId="0" borderId="89" xfId="1" applyNumberFormat="1" applyFont="1" applyBorder="1" applyAlignment="1">
      <alignment horizontal="center"/>
    </xf>
    <xf numFmtId="2" fontId="4" fillId="0" borderId="90" xfId="1" applyNumberFormat="1" applyFont="1" applyBorder="1" applyAlignment="1">
      <alignment horizontal="center"/>
    </xf>
    <xf numFmtId="166" fontId="4" fillId="0" borderId="86" xfId="1" applyNumberFormat="1" applyFont="1" applyBorder="1" applyAlignment="1">
      <alignment horizontal="center"/>
    </xf>
    <xf numFmtId="166" fontId="4" fillId="0" borderId="90" xfId="1" applyNumberFormat="1" applyFont="1" applyBorder="1" applyAlignment="1">
      <alignment horizontal="center"/>
    </xf>
    <xf numFmtId="174" fontId="4" fillId="0" borderId="172" xfId="1" applyNumberFormat="1" applyFont="1" applyBorder="1" applyAlignment="1">
      <alignment horizontal="center"/>
    </xf>
    <xf numFmtId="174" fontId="4" fillId="0" borderId="173" xfId="1" applyNumberFormat="1" applyFont="1" applyBorder="1" applyAlignment="1">
      <alignment horizontal="center"/>
    </xf>
    <xf numFmtId="174" fontId="4" fillId="0" borderId="174" xfId="1" applyNumberFormat="1" applyFont="1" applyBorder="1" applyAlignment="1">
      <alignment horizontal="center"/>
    </xf>
    <xf numFmtId="174" fontId="4" fillId="0" borderId="88" xfId="1" applyNumberFormat="1" applyFont="1" applyBorder="1" applyAlignment="1">
      <alignment horizontal="center"/>
    </xf>
    <xf numFmtId="174" fontId="4" fillId="0" borderId="89" xfId="1" applyNumberFormat="1" applyFont="1" applyBorder="1" applyAlignment="1">
      <alignment horizontal="center"/>
    </xf>
    <xf numFmtId="174" fontId="4" fillId="0" borderId="90" xfId="1" applyNumberFormat="1" applyFont="1" applyBorder="1" applyAlignment="1">
      <alignment horizontal="center"/>
    </xf>
    <xf numFmtId="0" fontId="52" fillId="0" borderId="99" xfId="0" applyFont="1" applyBorder="1" applyAlignment="1">
      <alignment horizontal="center"/>
    </xf>
    <xf numFmtId="0" fontId="52" fillId="0" borderId="100" xfId="0" applyFont="1" applyBorder="1" applyAlignment="1">
      <alignment horizontal="center"/>
    </xf>
    <xf numFmtId="166" fontId="54" fillId="0" borderId="80" xfId="1" applyNumberFormat="1" applyFont="1" applyBorder="1" applyAlignment="1">
      <alignment horizontal="center"/>
    </xf>
    <xf numFmtId="166" fontId="54" fillId="0" borderId="81" xfId="1" applyNumberFormat="1" applyFont="1" applyBorder="1" applyAlignment="1">
      <alignment horizontal="center"/>
    </xf>
    <xf numFmtId="166" fontId="54" fillId="0" borderId="84" xfId="1" applyNumberFormat="1" applyFont="1" applyBorder="1" applyAlignment="1">
      <alignment horizontal="center"/>
    </xf>
    <xf numFmtId="166" fontId="54" fillId="0" borderId="85" xfId="1" applyNumberFormat="1" applyFont="1" applyBorder="1" applyAlignment="1">
      <alignment horizontal="center"/>
    </xf>
    <xf numFmtId="166" fontId="54" fillId="0" borderId="86" xfId="1" applyNumberFormat="1" applyFont="1" applyBorder="1" applyAlignment="1">
      <alignment horizontal="center"/>
    </xf>
    <xf numFmtId="166" fontId="54" fillId="0" borderId="88" xfId="1" applyNumberFormat="1" applyFont="1" applyBorder="1" applyAlignment="1">
      <alignment horizontal="center"/>
    </xf>
    <xf numFmtId="166" fontId="54" fillId="0" borderId="89" xfId="1" applyNumberFormat="1" applyFont="1" applyBorder="1" applyAlignment="1">
      <alignment horizontal="center"/>
    </xf>
    <xf numFmtId="166" fontId="54" fillId="0" borderId="90" xfId="1" applyNumberFormat="1" applyFont="1" applyBorder="1" applyAlignment="1">
      <alignment horizontal="center"/>
    </xf>
    <xf numFmtId="0" fontId="51" fillId="0" borderId="27" xfId="0" applyFont="1" applyBorder="1"/>
    <xf numFmtId="0" fontId="51" fillId="0" borderId="28" xfId="0" applyFont="1" applyBorder="1"/>
    <xf numFmtId="0" fontId="55" fillId="0" borderId="35" xfId="0" applyFont="1" applyBorder="1"/>
    <xf numFmtId="0" fontId="55" fillId="0" borderId="29" xfId="0" applyFont="1" applyBorder="1"/>
    <xf numFmtId="0" fontId="55" fillId="0" borderId="30" xfId="0" applyFont="1" applyBorder="1"/>
    <xf numFmtId="0" fontId="56" fillId="0" borderId="31" xfId="0" applyFont="1" applyBorder="1"/>
    <xf numFmtId="0" fontId="56" fillId="0" borderId="70" xfId="0" applyFont="1" applyBorder="1"/>
    <xf numFmtId="166" fontId="51" fillId="0" borderId="71" xfId="1" applyNumberFormat="1" applyFont="1" applyBorder="1"/>
    <xf numFmtId="166" fontId="51" fillId="0" borderId="42" xfId="1" applyNumberFormat="1" applyFont="1" applyBorder="1"/>
    <xf numFmtId="166" fontId="51" fillId="0" borderId="43" xfId="1" applyNumberFormat="1" applyFont="1" applyBorder="1"/>
    <xf numFmtId="166" fontId="51" fillId="0" borderId="43" xfId="1" applyNumberFormat="1" applyFont="1" applyBorder="1" applyAlignment="1">
      <alignment horizontal="center"/>
    </xf>
    <xf numFmtId="0" fontId="56" fillId="0" borderId="66" xfId="0" applyFont="1" applyBorder="1"/>
    <xf numFmtId="166" fontId="51" fillId="0" borderId="67" xfId="1" applyNumberFormat="1" applyFont="1" applyBorder="1"/>
    <xf numFmtId="166" fontId="51" fillId="0" borderId="68" xfId="1" applyNumberFormat="1" applyFont="1" applyBorder="1"/>
    <xf numFmtId="166" fontId="51" fillId="0" borderId="69" xfId="1" applyNumberFormat="1" applyFont="1" applyBorder="1"/>
    <xf numFmtId="0" fontId="56" fillId="0" borderId="72" xfId="0" applyFont="1" applyBorder="1"/>
    <xf numFmtId="166" fontId="51" fillId="0" borderId="73" xfId="1" applyNumberFormat="1" applyFont="1" applyBorder="1"/>
    <xf numFmtId="166" fontId="51" fillId="0" borderId="44" xfId="1" applyNumberFormat="1" applyFont="1" applyBorder="1"/>
    <xf numFmtId="166" fontId="51" fillId="0" borderId="45" xfId="1" applyNumberFormat="1" applyFont="1" applyBorder="1"/>
    <xf numFmtId="166" fontId="4" fillId="0" borderId="85" xfId="1" applyNumberFormat="1" applyFont="1" applyBorder="1" applyAlignment="1">
      <alignment horizontal="center" vertical="center"/>
    </xf>
    <xf numFmtId="166" fontId="4" fillId="0" borderId="86" xfId="1" applyNumberFormat="1" applyFont="1" applyBorder="1" applyAlignment="1">
      <alignment horizontal="center" vertical="center"/>
    </xf>
    <xf numFmtId="166" fontId="4" fillId="0" borderId="89" xfId="1" applyNumberFormat="1" applyFont="1" applyBorder="1" applyAlignment="1">
      <alignment horizontal="center" vertical="center"/>
    </xf>
    <xf numFmtId="166" fontId="4" fillId="0" borderId="90" xfId="1" applyNumberFormat="1" applyFont="1" applyBorder="1" applyAlignment="1">
      <alignment horizontal="center" vertical="center"/>
    </xf>
    <xf numFmtId="174" fontId="4" fillId="0" borderId="85" xfId="1" applyNumberFormat="1" applyFont="1" applyBorder="1" applyAlignment="1">
      <alignment horizontal="center" vertical="center"/>
    </xf>
    <xf numFmtId="174" fontId="4" fillId="0" borderId="86" xfId="1" applyNumberFormat="1" applyFont="1" applyBorder="1" applyAlignment="1">
      <alignment horizontal="center" vertical="center"/>
    </xf>
    <xf numFmtId="174" fontId="4" fillId="0" borderId="89" xfId="1" applyNumberFormat="1" applyFont="1" applyBorder="1" applyAlignment="1">
      <alignment horizontal="center" vertical="center"/>
    </xf>
    <xf numFmtId="174" fontId="4" fillId="0" borderId="90" xfId="1" applyNumberFormat="1" applyFont="1" applyBorder="1" applyAlignment="1">
      <alignment horizontal="center" vertical="center"/>
    </xf>
    <xf numFmtId="166" fontId="69" fillId="0" borderId="105" xfId="1" applyNumberFormat="1" applyFont="1" applyFill="1" applyBorder="1" applyAlignment="1">
      <alignment horizontal="center"/>
    </xf>
    <xf numFmtId="166" fontId="69" fillId="0" borderId="106" xfId="1" applyNumberFormat="1" applyFont="1" applyFill="1" applyBorder="1" applyAlignment="1">
      <alignment horizontal="center"/>
    </xf>
    <xf numFmtId="166" fontId="69" fillId="0" borderId="107" xfId="1" applyNumberFormat="1" applyFont="1" applyFill="1" applyBorder="1" applyAlignment="1">
      <alignment horizontal="center"/>
    </xf>
    <xf numFmtId="166" fontId="51" fillId="0" borderId="105" xfId="1" applyNumberFormat="1" applyFont="1" applyFill="1" applyBorder="1" applyAlignment="1">
      <alignment horizontal="center"/>
    </xf>
    <xf numFmtId="166" fontId="51" fillId="0" borderId="106" xfId="1" applyNumberFormat="1" applyFont="1" applyFill="1" applyBorder="1" applyAlignment="1">
      <alignment horizontal="center"/>
    </xf>
    <xf numFmtId="166" fontId="51" fillId="0" borderId="107" xfId="1" applyNumberFormat="1" applyFont="1" applyFill="1" applyBorder="1" applyAlignment="1">
      <alignment horizontal="center"/>
    </xf>
    <xf numFmtId="166" fontId="69" fillId="0" borderId="108" xfId="1" applyNumberFormat="1" applyFont="1" applyFill="1" applyBorder="1" applyAlignment="1">
      <alignment horizontal="center"/>
    </xf>
    <xf numFmtId="166" fontId="69" fillId="0" borderId="109" xfId="1" applyNumberFormat="1" applyFont="1" applyFill="1" applyBorder="1" applyAlignment="1">
      <alignment horizontal="center"/>
    </xf>
    <xf numFmtId="166" fontId="69" fillId="0" borderId="110" xfId="1" applyNumberFormat="1" applyFont="1" applyFill="1" applyBorder="1" applyAlignment="1">
      <alignment horizontal="center"/>
    </xf>
    <xf numFmtId="166" fontId="51" fillId="0" borderId="108" xfId="1" applyNumberFormat="1" applyFont="1" applyFill="1" applyBorder="1" applyAlignment="1">
      <alignment horizontal="center"/>
    </xf>
    <xf numFmtId="166" fontId="51" fillId="0" borderId="109" xfId="1" applyNumberFormat="1" applyFont="1" applyFill="1" applyBorder="1" applyAlignment="1">
      <alignment horizontal="center"/>
    </xf>
    <xf numFmtId="166" fontId="51" fillId="0" borderId="110" xfId="1" applyNumberFormat="1" applyFont="1" applyFill="1" applyBorder="1" applyAlignment="1">
      <alignment horizontal="center"/>
    </xf>
    <xf numFmtId="166" fontId="69" fillId="0" borderId="108" xfId="1" applyNumberFormat="1" applyFont="1" applyBorder="1" applyAlignment="1">
      <alignment horizontal="center"/>
    </xf>
    <xf numFmtId="166" fontId="69" fillId="0" borderId="109" xfId="1" applyNumberFormat="1" applyFont="1" applyBorder="1" applyAlignment="1">
      <alignment horizontal="center"/>
    </xf>
    <xf numFmtId="166" fontId="69" fillId="0" borderId="110" xfId="1" applyNumberFormat="1" applyFont="1" applyBorder="1" applyAlignment="1">
      <alignment horizontal="center"/>
    </xf>
    <xf numFmtId="166" fontId="51" fillId="0" borderId="108" xfId="1" applyNumberFormat="1" applyFont="1" applyBorder="1" applyAlignment="1">
      <alignment horizontal="center"/>
    </xf>
    <xf numFmtId="166" fontId="51" fillId="0" borderId="109" xfId="1" applyNumberFormat="1" applyFont="1" applyBorder="1" applyAlignment="1">
      <alignment horizontal="center"/>
    </xf>
    <xf numFmtId="166" fontId="51" fillId="0" borderId="110" xfId="1" applyNumberFormat="1" applyFont="1" applyBorder="1" applyAlignment="1">
      <alignment horizontal="center"/>
    </xf>
    <xf numFmtId="166" fontId="69" fillId="0" borderId="111" xfId="1" applyNumberFormat="1" applyFont="1" applyBorder="1" applyAlignment="1">
      <alignment horizontal="center"/>
    </xf>
    <xf numFmtId="166" fontId="69" fillId="0" borderId="112" xfId="1" applyNumberFormat="1" applyFont="1" applyBorder="1" applyAlignment="1">
      <alignment horizontal="center"/>
    </xf>
    <xf numFmtId="166" fontId="69" fillId="0" borderId="113" xfId="1" applyNumberFormat="1" applyFont="1" applyBorder="1" applyAlignment="1">
      <alignment horizontal="center"/>
    </xf>
    <xf numFmtId="166" fontId="51" fillId="0" borderId="111" xfId="1" applyNumberFormat="1" applyFont="1" applyBorder="1" applyAlignment="1">
      <alignment horizontal="center"/>
    </xf>
    <xf numFmtId="166" fontId="51" fillId="0" borderId="112" xfId="1" applyNumberFormat="1" applyFont="1" applyBorder="1" applyAlignment="1">
      <alignment horizontal="center"/>
    </xf>
    <xf numFmtId="166" fontId="51" fillId="0" borderId="113" xfId="1" applyNumberFormat="1" applyFont="1" applyBorder="1" applyAlignment="1">
      <alignment horizontal="center"/>
    </xf>
    <xf numFmtId="0" fontId="54" fillId="0" borderId="102" xfId="0" applyFont="1" applyBorder="1"/>
    <xf numFmtId="0" fontId="54" fillId="0" borderId="104" xfId="0" applyFont="1" applyBorder="1"/>
    <xf numFmtId="0" fontId="54" fillId="0" borderId="103" xfId="0" applyFont="1" applyBorder="1"/>
    <xf numFmtId="0" fontId="76" fillId="0" borderId="111" xfId="0" applyFont="1" applyBorder="1" applyAlignment="1">
      <alignment horizontal="center" vertical="center" wrapText="1"/>
    </xf>
    <xf numFmtId="0" fontId="76" fillId="0" borderId="112" xfId="0" applyFont="1" applyBorder="1" applyAlignment="1">
      <alignment horizontal="center" vertical="center" wrapText="1"/>
    </xf>
    <xf numFmtId="0" fontId="76" fillId="0" borderId="113" xfId="0" applyFont="1" applyBorder="1" applyAlignment="1">
      <alignment horizontal="center" vertical="center" wrapText="1"/>
    </xf>
    <xf numFmtId="0" fontId="54" fillId="0" borderId="111" xfId="0" applyFont="1" applyBorder="1" applyAlignment="1">
      <alignment horizontal="center" vertical="center" wrapText="1"/>
    </xf>
    <xf numFmtId="0" fontId="54" fillId="0" borderId="112" xfId="0" applyFont="1" applyBorder="1" applyAlignment="1">
      <alignment horizontal="center" vertical="center" wrapText="1"/>
    </xf>
    <xf numFmtId="0" fontId="54" fillId="0" borderId="113" xfId="0" applyFont="1" applyBorder="1" applyAlignment="1">
      <alignment horizontal="center" vertical="center" wrapText="1"/>
    </xf>
    <xf numFmtId="9" fontId="0" fillId="0" borderId="0" xfId="1" applyFont="1"/>
    <xf numFmtId="0" fontId="52" fillId="0" borderId="164" xfId="0" applyFont="1" applyBorder="1" applyAlignment="1">
      <alignment horizontal="center"/>
    </xf>
    <xf numFmtId="0" fontId="48" fillId="0" borderId="165" xfId="0" applyFont="1" applyBorder="1" applyAlignment="1">
      <alignment horizontal="center"/>
    </xf>
    <xf numFmtId="166" fontId="4" fillId="0" borderId="6" xfId="1" applyNumberFormat="1" applyFont="1" applyBorder="1" applyAlignment="1">
      <alignment horizontal="center"/>
    </xf>
    <xf numFmtId="166" fontId="4" fillId="0" borderId="3" xfId="1" applyNumberFormat="1" applyFont="1" applyBorder="1" applyAlignment="1">
      <alignment horizontal="center"/>
    </xf>
    <xf numFmtId="166" fontId="4" fillId="0" borderId="4" xfId="1" applyNumberFormat="1" applyFont="1" applyBorder="1" applyAlignment="1">
      <alignment horizontal="center"/>
    </xf>
    <xf numFmtId="166" fontId="4" fillId="0" borderId="5" xfId="1" applyNumberFormat="1" applyFont="1" applyBorder="1" applyAlignment="1">
      <alignment horizontal="center"/>
    </xf>
    <xf numFmtId="166" fontId="4" fillId="0" borderId="7" xfId="1" applyNumberFormat="1" applyFont="1" applyBorder="1" applyAlignment="1">
      <alignment horizontal="center"/>
    </xf>
    <xf numFmtId="0" fontId="67" fillId="0" borderId="154" xfId="0" applyFont="1" applyBorder="1" applyAlignment="1">
      <alignment horizontal="center"/>
    </xf>
    <xf numFmtId="0" fontId="67" fillId="0" borderId="156" xfId="0" applyFont="1" applyBorder="1" applyAlignment="1">
      <alignment horizontal="center"/>
    </xf>
    <xf numFmtId="0" fontId="67" fillId="0" borderId="155" xfId="0" applyFont="1" applyBorder="1" applyAlignment="1">
      <alignment horizontal="center"/>
    </xf>
    <xf numFmtId="2" fontId="4" fillId="0" borderId="89" xfId="1" applyNumberFormat="1" applyFont="1" applyBorder="1" applyAlignment="1">
      <alignment horizontal="center" vertical="center"/>
    </xf>
    <xf numFmtId="2" fontId="4" fillId="0" borderId="90" xfId="1" applyNumberFormat="1" applyFont="1" applyBorder="1" applyAlignment="1">
      <alignment horizontal="center" vertical="center"/>
    </xf>
    <xf numFmtId="166" fontId="4" fillId="0" borderId="172" xfId="1" applyNumberFormat="1" applyFont="1" applyBorder="1" applyAlignment="1">
      <alignment horizontal="center" vertical="center"/>
    </xf>
    <xf numFmtId="166" fontId="4" fillId="0" borderId="173" xfId="1" applyNumberFormat="1" applyFont="1" applyBorder="1" applyAlignment="1">
      <alignment horizontal="center" vertical="center"/>
    </xf>
    <xf numFmtId="2" fontId="4" fillId="0" borderId="173" xfId="1" applyNumberFormat="1" applyFont="1" applyBorder="1" applyAlignment="1">
      <alignment horizontal="center" vertical="center"/>
    </xf>
    <xf numFmtId="2" fontId="4" fillId="0" borderId="174" xfId="1" applyNumberFormat="1" applyFont="1" applyBorder="1" applyAlignment="1">
      <alignment horizontal="center" vertical="center"/>
    </xf>
    <xf numFmtId="166" fontId="4" fillId="0" borderId="84" xfId="1" applyNumberFormat="1" applyFont="1" applyBorder="1" applyAlignment="1">
      <alignment horizontal="center" vertical="center"/>
    </xf>
    <xf numFmtId="2" fontId="4" fillId="0" borderId="85" xfId="1" applyNumberFormat="1" applyFont="1" applyBorder="1" applyAlignment="1">
      <alignment horizontal="center" vertical="center"/>
    </xf>
    <xf numFmtId="2" fontId="4" fillId="0" borderId="86" xfId="1" applyNumberFormat="1" applyFont="1" applyBorder="1" applyAlignment="1">
      <alignment horizontal="center" vertical="center"/>
    </xf>
    <xf numFmtId="166" fontId="4" fillId="0" borderId="88" xfId="1" applyNumberFormat="1" applyFont="1" applyBorder="1" applyAlignment="1">
      <alignment horizontal="center" vertical="center"/>
    </xf>
    <xf numFmtId="166" fontId="4" fillId="0" borderId="174" xfId="1" applyNumberFormat="1" applyFont="1" applyBorder="1" applyAlignment="1">
      <alignment horizontal="center" vertical="center"/>
    </xf>
    <xf numFmtId="0" fontId="3" fillId="0" borderId="174" xfId="0" applyFont="1" applyBorder="1" applyAlignment="1">
      <alignment horizontal="center"/>
    </xf>
    <xf numFmtId="0" fontId="3" fillId="0" borderId="86" xfId="0" applyFont="1" applyBorder="1" applyAlignment="1">
      <alignment horizontal="center"/>
    </xf>
    <xf numFmtId="0" fontId="3" fillId="0" borderId="90" xfId="0" applyFont="1" applyBorder="1" applyAlignment="1">
      <alignment horizontal="center"/>
    </xf>
    <xf numFmtId="0" fontId="63" fillId="0" borderId="0" xfId="0" applyFont="1"/>
    <xf numFmtId="0" fontId="0" fillId="0" borderId="0" xfId="0" applyAlignment="1">
      <alignment horizontal="center" vertical="center"/>
    </xf>
    <xf numFmtId="1" fontId="32" fillId="0" borderId="184" xfId="1" applyNumberFormat="1" applyFont="1" applyBorder="1" applyAlignment="1">
      <alignment horizontal="center" vertical="center"/>
    </xf>
    <xf numFmtId="1" fontId="32" fillId="0" borderId="185" xfId="1" applyNumberFormat="1" applyFont="1" applyBorder="1" applyAlignment="1">
      <alignment horizontal="center" vertical="center"/>
    </xf>
    <xf numFmtId="166" fontId="32" fillId="0" borderId="186" xfId="1" applyNumberFormat="1" applyFont="1" applyBorder="1" applyAlignment="1">
      <alignment horizontal="center" vertical="center"/>
    </xf>
    <xf numFmtId="166" fontId="32" fillId="0" borderId="187" xfId="1" applyNumberFormat="1" applyFont="1" applyBorder="1" applyAlignment="1">
      <alignment horizontal="center" vertical="center"/>
    </xf>
    <xf numFmtId="1" fontId="32" fillId="0" borderId="187" xfId="1" applyNumberFormat="1" applyFont="1" applyBorder="1" applyAlignment="1">
      <alignment horizontal="center" vertical="center"/>
    </xf>
    <xf numFmtId="1" fontId="32" fillId="0" borderId="188" xfId="1" applyNumberFormat="1" applyFont="1" applyBorder="1" applyAlignment="1">
      <alignment horizontal="center" vertical="center"/>
    </xf>
    <xf numFmtId="1" fontId="32" fillId="0" borderId="183" xfId="1" applyNumberFormat="1" applyFont="1" applyBorder="1" applyAlignment="1">
      <alignment horizontal="center" vertical="center"/>
    </xf>
    <xf numFmtId="1" fontId="32" fillId="0" borderId="186" xfId="1" applyNumberFormat="1" applyFont="1" applyBorder="1" applyAlignment="1">
      <alignment horizontal="center" vertical="center"/>
    </xf>
    <xf numFmtId="0" fontId="32" fillId="0" borderId="182" xfId="0" applyFont="1" applyBorder="1" applyAlignment="1">
      <alignment horizontal="center" vertical="center"/>
    </xf>
    <xf numFmtId="0" fontId="32" fillId="0" borderId="185" xfId="0" applyFont="1" applyBorder="1" applyAlignment="1">
      <alignment horizontal="center" vertical="center"/>
    </xf>
    <xf numFmtId="0" fontId="32" fillId="0" borderId="188" xfId="0" applyFont="1" applyBorder="1" applyAlignment="1">
      <alignment horizontal="center" vertical="center"/>
    </xf>
    <xf numFmtId="0" fontId="63" fillId="0" borderId="189" xfId="0" applyFont="1" applyBorder="1" applyAlignment="1">
      <alignment horizontal="center" vertical="center" wrapText="1"/>
    </xf>
    <xf numFmtId="0" fontId="63" fillId="0" borderId="190" xfId="0" applyFont="1" applyBorder="1" applyAlignment="1">
      <alignment horizontal="center" vertical="center"/>
    </xf>
    <xf numFmtId="166" fontId="4" fillId="0" borderId="173" xfId="1" applyNumberFormat="1" applyFont="1" applyBorder="1" applyAlignment="1">
      <alignment horizontal="center"/>
    </xf>
    <xf numFmtId="166" fontId="4" fillId="0" borderId="174" xfId="1" applyNumberFormat="1" applyFont="1" applyBorder="1" applyAlignment="1">
      <alignment horizontal="center"/>
    </xf>
    <xf numFmtId="1" fontId="4" fillId="0" borderId="85" xfId="1" applyNumberFormat="1" applyFont="1" applyBorder="1" applyAlignment="1">
      <alignment horizontal="center"/>
    </xf>
    <xf numFmtId="1" fontId="4" fillId="0" borderId="86" xfId="1" applyNumberFormat="1" applyFont="1" applyBorder="1" applyAlignment="1">
      <alignment horizontal="center"/>
    </xf>
    <xf numFmtId="1" fontId="4" fillId="0" borderId="89" xfId="1" applyNumberFormat="1" applyFont="1" applyBorder="1" applyAlignment="1">
      <alignment horizontal="center"/>
    </xf>
    <xf numFmtId="1" fontId="4" fillId="0" borderId="90" xfId="1" applyNumberFormat="1" applyFont="1" applyBorder="1" applyAlignment="1">
      <alignment horizontal="center"/>
    </xf>
    <xf numFmtId="0" fontId="63" fillId="0" borderId="0" xfId="0" applyFont="1" applyAlignment="1">
      <alignment horizontal="center"/>
    </xf>
    <xf numFmtId="166" fontId="4" fillId="0" borderId="172" xfId="1" applyNumberFormat="1" applyFont="1" applyBorder="1" applyAlignment="1">
      <alignment horizontal="center"/>
    </xf>
    <xf numFmtId="2" fontId="4" fillId="0" borderId="173" xfId="1" applyNumberFormat="1" applyFont="1" applyBorder="1" applyAlignment="1">
      <alignment horizontal="center"/>
    </xf>
    <xf numFmtId="166" fontId="56" fillId="0" borderId="191" xfId="1" applyNumberFormat="1" applyFont="1" applyBorder="1"/>
    <xf numFmtId="166" fontId="56" fillId="0" borderId="192" xfId="1" applyNumberFormat="1" applyFont="1" applyBorder="1"/>
    <xf numFmtId="166" fontId="56" fillId="0" borderId="193" xfId="1" quotePrefix="1" applyNumberFormat="1" applyFont="1" applyBorder="1" applyAlignment="1">
      <alignment horizontal="center"/>
    </xf>
    <xf numFmtId="166" fontId="51" fillId="0" borderId="151" xfId="1" applyNumberFormat="1" applyFont="1" applyBorder="1" applyAlignment="1">
      <alignment horizontal="center" vertical="center"/>
    </xf>
    <xf numFmtId="166" fontId="51" fillId="0" borderId="195" xfId="1" applyNumberFormat="1" applyFont="1" applyBorder="1" applyAlignment="1">
      <alignment horizontal="center" vertical="center"/>
    </xf>
    <xf numFmtId="166" fontId="51" fillId="0" borderId="107" xfId="1" applyNumberFormat="1" applyFont="1" applyBorder="1" applyAlignment="1">
      <alignment horizontal="center" vertical="center"/>
    </xf>
    <xf numFmtId="166" fontId="51" fillId="0" borderId="91" xfId="1" applyNumberFormat="1" applyFont="1" applyBorder="1" applyAlignment="1">
      <alignment horizontal="center" vertical="center"/>
    </xf>
    <xf numFmtId="166" fontId="51" fillId="0" borderId="196" xfId="1" applyNumberFormat="1" applyFont="1" applyBorder="1" applyAlignment="1">
      <alignment horizontal="center" vertical="center"/>
    </xf>
    <xf numFmtId="166" fontId="51" fillId="0" borderId="167" xfId="1" applyNumberFormat="1" applyFont="1" applyBorder="1" applyAlignment="1">
      <alignment horizontal="center" vertical="center"/>
    </xf>
    <xf numFmtId="166" fontId="51" fillId="0" borderId="197" xfId="1" applyNumberFormat="1" applyFont="1" applyBorder="1" applyAlignment="1">
      <alignment horizontal="center" vertical="center"/>
    </xf>
    <xf numFmtId="166" fontId="51" fillId="0" borderId="198" xfId="1" applyNumberFormat="1" applyFont="1" applyBorder="1" applyAlignment="1">
      <alignment horizontal="center" vertical="center"/>
    </xf>
    <xf numFmtId="0" fontId="67" fillId="0" borderId="199" xfId="0" applyFont="1" applyBorder="1" applyAlignment="1">
      <alignment horizontal="center"/>
    </xf>
    <xf numFmtId="0" fontId="67" fillId="0" borderId="200" xfId="0" applyFont="1" applyBorder="1" applyAlignment="1">
      <alignment horizontal="center"/>
    </xf>
    <xf numFmtId="0" fontId="67" fillId="0" borderId="201" xfId="0" applyFont="1" applyBorder="1" applyAlignment="1">
      <alignment horizontal="center"/>
    </xf>
    <xf numFmtId="166" fontId="4" fillId="0" borderId="151" xfId="1" applyNumberFormat="1" applyFont="1" applyBorder="1" applyAlignment="1">
      <alignment horizontal="center" vertical="center"/>
    </xf>
    <xf numFmtId="166" fontId="4" fillId="0" borderId="152" xfId="1" applyNumberFormat="1" applyFont="1" applyBorder="1" applyAlignment="1">
      <alignment horizontal="center" vertical="center"/>
    </xf>
    <xf numFmtId="166" fontId="4" fillId="0" borderId="153" xfId="1" applyNumberFormat="1" applyFont="1" applyBorder="1" applyAlignment="1">
      <alignment horizontal="center" vertical="center"/>
    </xf>
    <xf numFmtId="0" fontId="52" fillId="0" borderId="199" xfId="0" applyFont="1" applyBorder="1" applyAlignment="1">
      <alignment horizontal="center"/>
    </xf>
    <xf numFmtId="0" fontId="52" fillId="0" borderId="200" xfId="0" applyFont="1" applyBorder="1" applyAlignment="1">
      <alignment horizontal="center"/>
    </xf>
    <xf numFmtId="0" fontId="52" fillId="0" borderId="201" xfId="0" applyFont="1" applyBorder="1" applyAlignment="1">
      <alignment horizontal="center"/>
    </xf>
    <xf numFmtId="166" fontId="54" fillId="0" borderId="151" xfId="1" applyNumberFormat="1" applyFont="1" applyBorder="1" applyAlignment="1">
      <alignment horizontal="center"/>
    </xf>
    <xf numFmtId="166" fontId="54" fillId="0" borderId="152" xfId="1" applyNumberFormat="1" applyFont="1" applyBorder="1" applyAlignment="1">
      <alignment horizontal="center"/>
    </xf>
    <xf numFmtId="166" fontId="54" fillId="0" borderId="153" xfId="1" applyNumberFormat="1" applyFont="1" applyBorder="1" applyAlignment="1">
      <alignment horizontal="center"/>
    </xf>
    <xf numFmtId="0" fontId="63" fillId="0" borderId="202" xfId="0" applyFont="1" applyBorder="1" applyAlignment="1">
      <alignment horizontal="center" vertical="center"/>
    </xf>
    <xf numFmtId="0" fontId="63" fillId="0" borderId="203" xfId="0" applyFont="1" applyBorder="1" applyAlignment="1">
      <alignment horizontal="center" vertical="center"/>
    </xf>
    <xf numFmtId="0" fontId="63" fillId="0" borderId="204" xfId="0" applyFont="1" applyBorder="1" applyAlignment="1">
      <alignment horizontal="center" vertical="center"/>
    </xf>
    <xf numFmtId="166" fontId="32" fillId="0" borderId="205" xfId="1" applyNumberFormat="1" applyFont="1" applyBorder="1" applyAlignment="1">
      <alignment horizontal="center" vertical="center"/>
    </xf>
    <xf numFmtId="166" fontId="32" fillId="0" borderId="206" xfId="1" applyNumberFormat="1" applyFont="1" applyBorder="1" applyAlignment="1">
      <alignment horizontal="center" vertical="center"/>
    </xf>
    <xf numFmtId="1" fontId="32" fillId="0" borderId="206" xfId="1" applyNumberFormat="1" applyFont="1" applyBorder="1" applyAlignment="1">
      <alignment horizontal="center" vertical="center"/>
    </xf>
    <xf numFmtId="1" fontId="32" fillId="0" borderId="207" xfId="1" applyNumberFormat="1" applyFont="1" applyBorder="1" applyAlignment="1">
      <alignment horizontal="center" vertical="center"/>
    </xf>
    <xf numFmtId="1" fontId="32" fillId="0" borderId="205" xfId="1" applyNumberFormat="1" applyFont="1" applyBorder="1" applyAlignment="1">
      <alignment horizontal="center" vertical="center"/>
    </xf>
    <xf numFmtId="166" fontId="4" fillId="0" borderId="151" xfId="1" applyNumberFormat="1" applyFont="1" applyBorder="1" applyAlignment="1">
      <alignment horizontal="center"/>
    </xf>
    <xf numFmtId="166" fontId="4" fillId="0" borderId="152" xfId="1" applyNumberFormat="1" applyFont="1" applyBorder="1" applyAlignment="1">
      <alignment horizontal="center"/>
    </xf>
    <xf numFmtId="166" fontId="4" fillId="0" borderId="153" xfId="1" applyNumberFormat="1" applyFont="1" applyBorder="1" applyAlignment="1">
      <alignment horizontal="center"/>
    </xf>
    <xf numFmtId="1" fontId="4" fillId="0" borderId="151" xfId="1" applyNumberFormat="1" applyFont="1" applyBorder="1" applyAlignment="1">
      <alignment horizontal="center"/>
    </xf>
    <xf numFmtId="1" fontId="4" fillId="0" borderId="152" xfId="1" applyNumberFormat="1" applyFont="1" applyBorder="1" applyAlignment="1">
      <alignment horizontal="center"/>
    </xf>
    <xf numFmtId="166" fontId="32" fillId="0" borderId="207" xfId="1" applyNumberFormat="1" applyFont="1" applyBorder="1" applyAlignment="1">
      <alignment horizontal="center" vertical="center"/>
    </xf>
    <xf numFmtId="0" fontId="52" fillId="0" borderId="208" xfId="0" applyFont="1" applyBorder="1" applyAlignment="1">
      <alignment horizontal="center"/>
    </xf>
    <xf numFmtId="0" fontId="52" fillId="0" borderId="209" xfId="0" applyFont="1" applyBorder="1" applyAlignment="1">
      <alignment horizontal="center"/>
    </xf>
    <xf numFmtId="0" fontId="52" fillId="0" borderId="210" xfId="0" applyFont="1" applyBorder="1" applyAlignment="1">
      <alignment horizontal="center"/>
    </xf>
    <xf numFmtId="166" fontId="4" fillId="0" borderId="58" xfId="1" applyNumberFormat="1" applyFont="1" applyBorder="1" applyAlignment="1">
      <alignment horizontal="center"/>
    </xf>
    <xf numFmtId="166" fontId="4" fillId="0" borderId="59" xfId="1" applyNumberFormat="1" applyFont="1" applyBorder="1" applyAlignment="1">
      <alignment horizontal="center"/>
    </xf>
    <xf numFmtId="166" fontId="4" fillId="0" borderId="36" xfId="1" applyNumberFormat="1" applyFont="1" applyBorder="1" applyAlignment="1">
      <alignment horizontal="center"/>
    </xf>
    <xf numFmtId="166" fontId="4" fillId="0" borderId="37" xfId="1" applyNumberFormat="1" applyFont="1" applyBorder="1" applyAlignment="1">
      <alignment horizontal="center"/>
    </xf>
    <xf numFmtId="166" fontId="54" fillId="0" borderId="58" xfId="1" applyNumberFormat="1" applyFont="1" applyBorder="1" applyAlignment="1">
      <alignment horizontal="center"/>
    </xf>
    <xf numFmtId="166" fontId="54" fillId="0" borderId="59" xfId="1" applyNumberFormat="1" applyFont="1" applyBorder="1" applyAlignment="1">
      <alignment horizontal="center"/>
    </xf>
    <xf numFmtId="166" fontId="54" fillId="0" borderId="36" xfId="1" applyNumberFormat="1" applyFont="1" applyBorder="1" applyAlignment="1">
      <alignment horizontal="center"/>
    </xf>
    <xf numFmtId="166" fontId="54" fillId="0" borderId="37" xfId="1" applyNumberFormat="1" applyFont="1" applyBorder="1" applyAlignment="1">
      <alignment horizontal="center"/>
    </xf>
    <xf numFmtId="0" fontId="56" fillId="0" borderId="211" xfId="0" applyFont="1" applyBorder="1" applyAlignment="1">
      <alignment horizontal="center" vertical="center" wrapText="1"/>
    </xf>
    <xf numFmtId="0" fontId="56" fillId="0" borderId="209" xfId="0" applyFont="1" applyBorder="1" applyAlignment="1">
      <alignment horizontal="center" vertical="center" wrapText="1"/>
    </xf>
    <xf numFmtId="0" fontId="56" fillId="0" borderId="212" xfId="0" applyFont="1" applyBorder="1" applyAlignment="1">
      <alignment horizontal="center" vertical="center" wrapText="1"/>
    </xf>
    <xf numFmtId="0" fontId="56" fillId="0" borderId="210" xfId="0" applyFont="1" applyBorder="1" applyAlignment="1">
      <alignment horizontal="center" vertical="center" wrapText="1"/>
    </xf>
    <xf numFmtId="166" fontId="51" fillId="0" borderId="213" xfId="1" applyNumberFormat="1" applyFont="1" applyBorder="1" applyAlignment="1">
      <alignment horizontal="center" vertical="center" wrapText="1"/>
    </xf>
    <xf numFmtId="166" fontId="51" fillId="0" borderId="214" xfId="1" applyNumberFormat="1" applyFont="1" applyBorder="1" applyAlignment="1">
      <alignment horizontal="center" vertical="center" wrapText="1"/>
    </xf>
    <xf numFmtId="166" fontId="51" fillId="0" borderId="215" xfId="1" applyNumberFormat="1" applyFont="1" applyBorder="1" applyAlignment="1">
      <alignment horizontal="center" vertical="center" wrapText="1"/>
    </xf>
    <xf numFmtId="166" fontId="51" fillId="0" borderId="216" xfId="1" applyNumberFormat="1" applyFont="1" applyBorder="1" applyAlignment="1">
      <alignment horizontal="center" vertical="center" wrapText="1"/>
    </xf>
    <xf numFmtId="166" fontId="68" fillId="0" borderId="213" xfId="1" applyNumberFormat="1" applyFont="1" applyBorder="1" applyAlignment="1">
      <alignment horizontal="center" vertical="center" wrapText="1"/>
    </xf>
    <xf numFmtId="166" fontId="68" fillId="0" borderId="214" xfId="1" applyNumberFormat="1" applyFont="1" applyBorder="1" applyAlignment="1">
      <alignment horizontal="center" vertical="center" wrapText="1"/>
    </xf>
    <xf numFmtId="166" fontId="68" fillId="0" borderId="215" xfId="1" applyNumberFormat="1" applyFont="1" applyBorder="1" applyAlignment="1">
      <alignment horizontal="center" vertical="center" wrapText="1"/>
    </xf>
    <xf numFmtId="166" fontId="68" fillId="0" borderId="216" xfId="1" applyNumberFormat="1" applyFont="1" applyBorder="1" applyAlignment="1">
      <alignment horizontal="center" vertical="center" wrapText="1"/>
    </xf>
    <xf numFmtId="166" fontId="51" fillId="0" borderId="151" xfId="1" applyNumberFormat="1" applyFont="1" applyBorder="1" applyAlignment="1">
      <alignment horizontal="center" vertical="center" wrapText="1"/>
    </xf>
    <xf numFmtId="166" fontId="51" fillId="0" borderId="152" xfId="1" applyNumberFormat="1" applyFont="1" applyBorder="1" applyAlignment="1">
      <alignment horizontal="center" vertical="center" wrapText="1"/>
    </xf>
    <xf numFmtId="166" fontId="51" fillId="0" borderId="153" xfId="1" applyNumberFormat="1" applyFont="1" applyBorder="1" applyAlignment="1">
      <alignment horizontal="center" vertical="center" wrapText="1"/>
    </xf>
    <xf numFmtId="166" fontId="69" fillId="0" borderId="151" xfId="1" applyNumberFormat="1" applyFont="1" applyBorder="1" applyAlignment="1">
      <alignment horizontal="center" vertical="center" wrapText="1"/>
    </xf>
    <xf numFmtId="166" fontId="69" fillId="0" borderId="152" xfId="1" applyNumberFormat="1" applyFont="1" applyBorder="1" applyAlignment="1">
      <alignment horizontal="center" vertical="center" wrapText="1"/>
    </xf>
    <xf numFmtId="166" fontId="69" fillId="0" borderId="153" xfId="1" applyNumberFormat="1" applyFont="1" applyBorder="1" applyAlignment="1">
      <alignment horizontal="center" vertical="center" wrapText="1"/>
    </xf>
    <xf numFmtId="166" fontId="32" fillId="0" borderId="217" xfId="1" applyNumberFormat="1" applyFont="1" applyBorder="1" applyAlignment="1">
      <alignment horizontal="center" vertical="center"/>
    </xf>
    <xf numFmtId="166" fontId="32" fillId="0" borderId="218" xfId="1" applyNumberFormat="1" applyFont="1" applyBorder="1" applyAlignment="1">
      <alignment horizontal="center" vertical="center"/>
    </xf>
    <xf numFmtId="166" fontId="32" fillId="0" borderId="219" xfId="1" applyNumberFormat="1" applyFont="1" applyBorder="1" applyAlignment="1">
      <alignment horizontal="center" vertical="center"/>
    </xf>
    <xf numFmtId="166" fontId="32" fillId="0" borderId="220" xfId="1" applyNumberFormat="1" applyFont="1" applyBorder="1" applyAlignment="1">
      <alignment horizontal="center" vertical="center"/>
    </xf>
    <xf numFmtId="166" fontId="32" fillId="0" borderId="221" xfId="1" applyNumberFormat="1" applyFont="1" applyBorder="1" applyAlignment="1">
      <alignment horizontal="center" vertical="center"/>
    </xf>
    <xf numFmtId="166" fontId="32" fillId="0" borderId="222" xfId="1" applyNumberFormat="1" applyFont="1" applyBorder="1" applyAlignment="1">
      <alignment horizontal="center" vertical="center"/>
    </xf>
    <xf numFmtId="166" fontId="54" fillId="0" borderId="223" xfId="1" applyNumberFormat="1" applyFont="1" applyBorder="1" applyAlignment="1">
      <alignment horizontal="center"/>
    </xf>
    <xf numFmtId="166" fontId="54" fillId="0" borderId="224" xfId="1" applyNumberFormat="1" applyFont="1" applyBorder="1" applyAlignment="1">
      <alignment horizontal="center"/>
    </xf>
    <xf numFmtId="166" fontId="54" fillId="0" borderId="225" xfId="1" applyNumberFormat="1" applyFont="1" applyBorder="1" applyAlignment="1">
      <alignment horizontal="center"/>
    </xf>
    <xf numFmtId="166" fontId="54" fillId="0" borderId="226" xfId="1" applyNumberFormat="1" applyFont="1" applyBorder="1" applyAlignment="1">
      <alignment horizontal="center"/>
    </xf>
    <xf numFmtId="166" fontId="54" fillId="0" borderId="227" xfId="1" applyNumberFormat="1" applyFont="1" applyBorder="1" applyAlignment="1">
      <alignment horizontal="center"/>
    </xf>
    <xf numFmtId="0" fontId="59" fillId="0" borderId="208" xfId="0" applyFont="1" applyBorder="1" applyAlignment="1">
      <alignment horizontal="center"/>
    </xf>
    <xf numFmtId="0" fontId="59" fillId="0" borderId="209" xfId="0" applyFont="1" applyBorder="1" applyAlignment="1">
      <alignment horizontal="center"/>
    </xf>
    <xf numFmtId="174" fontId="3" fillId="0" borderId="228" xfId="1" applyNumberFormat="1" applyFont="1" applyBorder="1" applyAlignment="1">
      <alignment horizontal="center"/>
    </xf>
    <xf numFmtId="174" fontId="3" fillId="0" borderId="214" xfId="1" applyNumberFormat="1" applyFont="1" applyBorder="1" applyAlignment="1">
      <alignment horizontal="center"/>
    </xf>
    <xf numFmtId="174" fontId="3" fillId="0" borderId="229" xfId="1" applyNumberFormat="1" applyFont="1" applyBorder="1" applyAlignment="1">
      <alignment horizontal="center"/>
    </xf>
    <xf numFmtId="174" fontId="3" fillId="0" borderId="224" xfId="1" applyNumberFormat="1" applyFont="1" applyBorder="1" applyAlignment="1">
      <alignment horizontal="center"/>
    </xf>
    <xf numFmtId="174" fontId="3" fillId="0" borderId="226" xfId="1" applyNumberFormat="1" applyFont="1" applyBorder="1" applyAlignment="1">
      <alignment horizontal="center"/>
    </xf>
    <xf numFmtId="0" fontId="59" fillId="0" borderId="210" xfId="0" applyFont="1" applyBorder="1" applyAlignment="1">
      <alignment horizontal="center"/>
    </xf>
    <xf numFmtId="166" fontId="3" fillId="0" borderId="228" xfId="1" applyNumberFormat="1" applyFont="1" applyBorder="1" applyAlignment="1">
      <alignment horizontal="center"/>
    </xf>
    <xf numFmtId="166" fontId="3" fillId="0" borderId="214" xfId="1" applyNumberFormat="1" applyFont="1" applyBorder="1" applyAlignment="1">
      <alignment horizontal="center"/>
    </xf>
    <xf numFmtId="166" fontId="3" fillId="0" borderId="216" xfId="1" applyNumberFormat="1" applyFont="1" applyBorder="1" applyAlignment="1">
      <alignment horizontal="center"/>
    </xf>
    <xf numFmtId="166" fontId="3" fillId="0" borderId="229" xfId="1" applyNumberFormat="1" applyFont="1" applyBorder="1" applyAlignment="1">
      <alignment horizontal="center"/>
    </xf>
    <xf numFmtId="166" fontId="3" fillId="0" borderId="224" xfId="1" applyNumberFormat="1" applyFont="1" applyBorder="1" applyAlignment="1">
      <alignment horizontal="center"/>
    </xf>
    <xf numFmtId="166" fontId="3" fillId="0" borderId="225" xfId="1" applyNumberFormat="1" applyFont="1" applyBorder="1" applyAlignment="1">
      <alignment horizontal="center"/>
    </xf>
    <xf numFmtId="166" fontId="3" fillId="0" borderId="226" xfId="1" applyNumberFormat="1" applyFont="1" applyBorder="1" applyAlignment="1">
      <alignment horizontal="center"/>
    </xf>
    <xf numFmtId="166" fontId="3" fillId="0" borderId="227" xfId="1" applyNumberFormat="1" applyFont="1" applyBorder="1" applyAlignment="1">
      <alignment horizontal="center"/>
    </xf>
    <xf numFmtId="166" fontId="53" fillId="0" borderId="151" xfId="0" applyNumberFormat="1" applyFont="1" applyBorder="1" applyAlignment="1">
      <alignment horizontal="center" vertical="center"/>
    </xf>
    <xf numFmtId="166" fontId="53" fillId="0" borderId="152" xfId="0" applyNumberFormat="1" applyFont="1" applyBorder="1" applyAlignment="1">
      <alignment horizontal="center" vertical="center"/>
    </xf>
    <xf numFmtId="166" fontId="53" fillId="0" borderId="153" xfId="0" applyNumberFormat="1" applyFont="1" applyBorder="1" applyAlignment="1">
      <alignment horizontal="center" vertical="center"/>
    </xf>
    <xf numFmtId="0" fontId="59" fillId="0" borderId="194" xfId="0" applyFont="1" applyBorder="1" applyAlignment="1">
      <alignment horizontal="center"/>
    </xf>
    <xf numFmtId="0" fontId="70" fillId="0" borderId="230" xfId="0" applyFont="1" applyBorder="1" applyAlignment="1">
      <alignment horizontal="center"/>
    </xf>
    <xf numFmtId="0" fontId="67" fillId="0" borderId="194" xfId="0" applyFont="1" applyBorder="1" applyAlignment="1">
      <alignment horizontal="center"/>
    </xf>
    <xf numFmtId="0" fontId="67" fillId="0" borderId="208" xfId="0" applyFont="1" applyBorder="1" applyAlignment="1">
      <alignment horizontal="center"/>
    </xf>
    <xf numFmtId="0" fontId="67" fillId="0" borderId="209" xfId="0" applyFont="1" applyBorder="1" applyAlignment="1">
      <alignment horizontal="center"/>
    </xf>
    <xf numFmtId="0" fontId="67" fillId="0" borderId="210" xfId="0" applyFont="1" applyBorder="1" applyAlignment="1">
      <alignment horizontal="center"/>
    </xf>
    <xf numFmtId="0" fontId="3" fillId="0" borderId="194" xfId="0" applyFont="1" applyBorder="1" applyAlignment="1">
      <alignment horizontal="center"/>
    </xf>
    <xf numFmtId="174" fontId="4" fillId="0" borderId="208" xfId="1" applyNumberFormat="1" applyFont="1" applyBorder="1" applyAlignment="1">
      <alignment horizontal="center"/>
    </xf>
    <xf numFmtId="174" fontId="4" fillId="0" borderId="209" xfId="1" applyNumberFormat="1" applyFont="1" applyBorder="1" applyAlignment="1">
      <alignment horizontal="center"/>
    </xf>
    <xf numFmtId="174" fontId="4" fillId="0" borderId="210" xfId="1" applyNumberFormat="1" applyFont="1" applyBorder="1" applyAlignment="1">
      <alignment horizontal="center"/>
    </xf>
    <xf numFmtId="0" fontId="67" fillId="0" borderId="194" xfId="0" applyFont="1" applyBorder="1" applyAlignment="1">
      <alignment horizontal="center" vertical="center" wrapText="1"/>
    </xf>
    <xf numFmtId="0" fontId="67" fillId="0" borderId="208" xfId="0" applyFont="1" applyBorder="1" applyAlignment="1">
      <alignment horizontal="center" vertical="center"/>
    </xf>
    <xf numFmtId="0" fontId="67" fillId="0" borderId="209" xfId="0" applyFont="1" applyBorder="1" applyAlignment="1">
      <alignment horizontal="center" vertical="center"/>
    </xf>
    <xf numFmtId="0" fontId="67" fillId="0" borderId="210" xfId="0" applyFont="1" applyBorder="1" applyAlignment="1">
      <alignment horizontal="center" vertical="center"/>
    </xf>
    <xf numFmtId="174" fontId="3" fillId="0" borderId="216" xfId="1" applyNumberFormat="1" applyFont="1" applyBorder="1" applyAlignment="1">
      <alignment horizontal="center"/>
    </xf>
    <xf numFmtId="0" fontId="3" fillId="0" borderId="230" xfId="0" applyFont="1" applyBorder="1" applyAlignment="1">
      <alignment horizontal="center" vertical="center"/>
    </xf>
    <xf numFmtId="174" fontId="3" fillId="0" borderId="225" xfId="1" applyNumberFormat="1" applyFont="1" applyBorder="1" applyAlignment="1">
      <alignment horizontal="center"/>
    </xf>
    <xf numFmtId="174" fontId="3" fillId="0" borderId="227" xfId="1" applyNumberFormat="1" applyFont="1" applyBorder="1" applyAlignment="1">
      <alignment horizontal="center"/>
    </xf>
    <xf numFmtId="0" fontId="63" fillId="0" borderId="194" xfId="0" applyFont="1" applyBorder="1" applyAlignment="1">
      <alignment horizontal="center"/>
    </xf>
    <xf numFmtId="0" fontId="63" fillId="0" borderId="194" xfId="0" applyFont="1" applyBorder="1" applyAlignment="1">
      <alignment horizontal="center" wrapText="1"/>
    </xf>
    <xf numFmtId="0" fontId="63" fillId="23" borderId="194" xfId="0" applyFont="1" applyFill="1" applyBorder="1" applyAlignment="1">
      <alignment horizontal="center"/>
    </xf>
    <xf numFmtId="0" fontId="63" fillId="23" borderId="194" xfId="0" applyFont="1" applyFill="1" applyBorder="1" applyAlignment="1">
      <alignment horizontal="center" wrapText="1"/>
    </xf>
    <xf numFmtId="0" fontId="52" fillId="0" borderId="208" xfId="0" applyFont="1" applyBorder="1" applyAlignment="1">
      <alignment horizontal="center" vertical="center"/>
    </xf>
    <xf numFmtId="0" fontId="52" fillId="0" borderId="209" xfId="0" applyFont="1" applyBorder="1" applyAlignment="1">
      <alignment horizontal="center" vertical="center"/>
    </xf>
    <xf numFmtId="0" fontId="52" fillId="0" borderId="210" xfId="0" applyFont="1" applyBorder="1" applyAlignment="1">
      <alignment horizontal="center" vertical="center"/>
    </xf>
    <xf numFmtId="0" fontId="32" fillId="22" borderId="228" xfId="0" applyFont="1" applyFill="1" applyBorder="1" applyAlignment="1">
      <alignment horizontal="center"/>
    </xf>
    <xf numFmtId="0" fontId="32" fillId="22" borderId="214" xfId="0" applyFont="1" applyFill="1" applyBorder="1" applyAlignment="1">
      <alignment horizontal="center"/>
    </xf>
    <xf numFmtId="0" fontId="32" fillId="22" borderId="216" xfId="0" applyFont="1" applyFill="1" applyBorder="1" applyAlignment="1">
      <alignment horizontal="center"/>
    </xf>
    <xf numFmtId="0" fontId="63" fillId="22" borderId="230" xfId="0" applyFont="1" applyFill="1" applyBorder="1" applyAlignment="1">
      <alignment horizontal="center"/>
    </xf>
    <xf numFmtId="166" fontId="32" fillId="22" borderId="230" xfId="0" applyNumberFormat="1" applyFont="1" applyFill="1" applyBorder="1" applyAlignment="1">
      <alignment horizontal="center"/>
    </xf>
    <xf numFmtId="0" fontId="32" fillId="22" borderId="230" xfId="0" applyFont="1" applyFill="1" applyBorder="1" applyAlignment="1">
      <alignment horizontal="center"/>
    </xf>
    <xf numFmtId="0" fontId="32" fillId="22" borderId="229" xfId="0" applyFont="1" applyFill="1" applyBorder="1" applyAlignment="1">
      <alignment horizontal="center"/>
    </xf>
    <xf numFmtId="0" fontId="32" fillId="22" borderId="224" xfId="0" applyFont="1" applyFill="1" applyBorder="1" applyAlignment="1">
      <alignment horizontal="center"/>
    </xf>
    <xf numFmtId="0" fontId="32" fillId="22" borderId="225" xfId="0" applyFont="1" applyFill="1" applyBorder="1" applyAlignment="1">
      <alignment horizontal="center"/>
    </xf>
    <xf numFmtId="166" fontId="32" fillId="0" borderId="228" xfId="1" applyNumberFormat="1" applyFont="1" applyBorder="1" applyAlignment="1">
      <alignment horizontal="center"/>
    </xf>
    <xf numFmtId="166" fontId="32" fillId="0" borderId="214" xfId="1" applyNumberFormat="1" applyFont="1" applyBorder="1" applyAlignment="1">
      <alignment horizontal="center"/>
    </xf>
    <xf numFmtId="166" fontId="32" fillId="0" borderId="216" xfId="1" applyNumberFormat="1" applyFont="1" applyBorder="1" applyAlignment="1">
      <alignment horizontal="center"/>
    </xf>
    <xf numFmtId="0" fontId="63" fillId="0" borderId="230" xfId="0" applyFont="1" applyBorder="1" applyAlignment="1">
      <alignment horizontal="center"/>
    </xf>
    <xf numFmtId="166" fontId="32" fillId="0" borderId="230" xfId="1" applyNumberFormat="1" applyFont="1" applyBorder="1" applyAlignment="1">
      <alignment horizontal="center"/>
    </xf>
    <xf numFmtId="166" fontId="32" fillId="0" borderId="229" xfId="1" applyNumberFormat="1" applyFont="1" applyBorder="1" applyAlignment="1">
      <alignment horizontal="center"/>
    </xf>
    <xf numFmtId="166" fontId="32" fillId="0" borderId="224" xfId="1" applyNumberFormat="1" applyFont="1" applyBorder="1" applyAlignment="1">
      <alignment horizontal="center"/>
    </xf>
    <xf numFmtId="166" fontId="32" fillId="0" borderId="225" xfId="1" applyNumberFormat="1" applyFont="1" applyBorder="1" applyAlignment="1">
      <alignment horizontal="center"/>
    </xf>
    <xf numFmtId="166" fontId="32" fillId="0" borderId="226" xfId="1" applyNumberFormat="1" applyFont="1" applyBorder="1" applyAlignment="1">
      <alignment horizontal="center"/>
    </xf>
    <xf numFmtId="166" fontId="32" fillId="0" borderId="227" xfId="1" applyNumberFormat="1" applyFont="1" applyBorder="1" applyAlignment="1">
      <alignment horizontal="center"/>
    </xf>
    <xf numFmtId="166" fontId="32" fillId="22" borderId="228" xfId="1" applyNumberFormat="1" applyFont="1" applyFill="1" applyBorder="1" applyAlignment="1">
      <alignment horizontal="center"/>
    </xf>
    <xf numFmtId="166" fontId="32" fillId="22" borderId="214" xfId="1" applyNumberFormat="1" applyFont="1" applyFill="1" applyBorder="1" applyAlignment="1">
      <alignment horizontal="center"/>
    </xf>
    <xf numFmtId="166" fontId="32" fillId="22" borderId="216" xfId="1" applyNumberFormat="1" applyFont="1" applyFill="1" applyBorder="1" applyAlignment="1">
      <alignment horizontal="center"/>
    </xf>
    <xf numFmtId="166" fontId="32" fillId="22" borderId="229" xfId="1" applyNumberFormat="1" applyFont="1" applyFill="1" applyBorder="1" applyAlignment="1">
      <alignment horizontal="center"/>
    </xf>
    <xf numFmtId="166" fontId="32" fillId="22" borderId="224" xfId="1" applyNumberFormat="1" applyFont="1" applyFill="1" applyBorder="1" applyAlignment="1">
      <alignment horizontal="center"/>
    </xf>
    <xf numFmtId="166" fontId="32" fillId="22" borderId="225" xfId="1" applyNumberFormat="1" applyFont="1" applyFill="1" applyBorder="1" applyAlignment="1">
      <alignment horizontal="center"/>
    </xf>
    <xf numFmtId="166" fontId="32" fillId="22" borderId="230" xfId="1" applyNumberFormat="1" applyFont="1" applyFill="1" applyBorder="1" applyAlignment="1">
      <alignment horizontal="center"/>
    </xf>
    <xf numFmtId="166" fontId="32" fillId="22" borderId="226" xfId="1" applyNumberFormat="1" applyFont="1" applyFill="1" applyBorder="1" applyAlignment="1">
      <alignment horizontal="center"/>
    </xf>
    <xf numFmtId="166" fontId="32" fillId="22" borderId="227" xfId="1" applyNumberFormat="1" applyFont="1" applyFill="1" applyBorder="1" applyAlignment="1">
      <alignment horizontal="center"/>
    </xf>
    <xf numFmtId="166" fontId="32" fillId="0" borderId="230" xfId="1" applyNumberFormat="1" applyFont="1" applyBorder="1"/>
    <xf numFmtId="0" fontId="63" fillId="0" borderId="231" xfId="0" applyFont="1" applyBorder="1"/>
    <xf numFmtId="0" fontId="63" fillId="0" borderId="232" xfId="0" applyFont="1" applyBorder="1"/>
    <xf numFmtId="0" fontId="63" fillId="0" borderId="233" xfId="0" applyFont="1" applyBorder="1"/>
    <xf numFmtId="3" fontId="64" fillId="0" borderId="234" xfId="0" applyNumberFormat="1" applyFont="1" applyBorder="1" applyAlignment="1">
      <alignment horizontal="center"/>
    </xf>
    <xf numFmtId="3" fontId="65" fillId="0" borderId="234" xfId="0" applyNumberFormat="1" applyFont="1" applyBorder="1" applyAlignment="1">
      <alignment horizontal="center"/>
    </xf>
    <xf numFmtId="0" fontId="64" fillId="0" borderId="234" xfId="0" applyFont="1" applyBorder="1" applyAlignment="1">
      <alignment horizontal="center"/>
    </xf>
    <xf numFmtId="166" fontId="64" fillId="0" borderId="234" xfId="0" applyNumberFormat="1" applyFont="1" applyBorder="1" applyAlignment="1">
      <alignment horizontal="center" vertical="top" wrapText="1"/>
    </xf>
    <xf numFmtId="166" fontId="64" fillId="0" borderId="171" xfId="0" applyNumberFormat="1" applyFont="1" applyBorder="1" applyAlignment="1">
      <alignment horizontal="center" vertical="top" wrapText="1"/>
    </xf>
    <xf numFmtId="166" fontId="32" fillId="0" borderId="230" xfId="0" applyNumberFormat="1" applyFont="1" applyBorder="1"/>
    <xf numFmtId="174" fontId="32" fillId="0" borderId="230" xfId="0" applyNumberFormat="1" applyFont="1" applyBorder="1" applyAlignment="1">
      <alignment wrapText="1"/>
    </xf>
    <xf numFmtId="0" fontId="63" fillId="0" borderId="194" xfId="0" applyFont="1" applyBorder="1"/>
    <xf numFmtId="0" fontId="63" fillId="0" borderId="2" xfId="0" applyFont="1" applyBorder="1" applyAlignment="1">
      <alignment wrapText="1"/>
    </xf>
    <xf numFmtId="174" fontId="32" fillId="0" borderId="2" xfId="0" applyNumberFormat="1" applyFont="1" applyBorder="1"/>
    <xf numFmtId="174" fontId="32" fillId="0" borderId="230" xfId="0" applyNumberFormat="1" applyFont="1" applyBorder="1"/>
    <xf numFmtId="0" fontId="32" fillId="0" borderId="230" xfId="0" applyFont="1" applyBorder="1"/>
    <xf numFmtId="174" fontId="3" fillId="0" borderId="172" xfId="1" applyNumberFormat="1" applyFont="1" applyBorder="1" applyAlignment="1">
      <alignment horizontal="center"/>
    </xf>
    <xf numFmtId="174" fontId="3" fillId="0" borderId="173" xfId="1" applyNumberFormat="1" applyFont="1" applyBorder="1" applyAlignment="1">
      <alignment horizontal="center"/>
    </xf>
    <xf numFmtId="174" fontId="3" fillId="0" borderId="174" xfId="1" applyNumberFormat="1" applyFont="1" applyBorder="1" applyAlignment="1">
      <alignment horizontal="center"/>
    </xf>
    <xf numFmtId="174" fontId="3" fillId="0" borderId="84" xfId="1" applyNumberFormat="1" applyFont="1" applyBorder="1" applyAlignment="1">
      <alignment horizontal="center"/>
    </xf>
    <xf numFmtId="174" fontId="3" fillId="0" borderId="85" xfId="1" applyNumberFormat="1" applyFont="1" applyBorder="1" applyAlignment="1">
      <alignment horizontal="center"/>
    </xf>
    <xf numFmtId="174" fontId="3" fillId="0" borderId="86" xfId="1" applyNumberFormat="1" applyFont="1" applyBorder="1" applyAlignment="1">
      <alignment horizontal="center"/>
    </xf>
    <xf numFmtId="174" fontId="3" fillId="0" borderId="88" xfId="1" applyNumberFormat="1" applyFont="1" applyBorder="1" applyAlignment="1">
      <alignment horizontal="center"/>
    </xf>
    <xf numFmtId="174" fontId="3" fillId="0" borderId="89" xfId="1" applyNumberFormat="1" applyFont="1" applyBorder="1" applyAlignment="1">
      <alignment horizontal="center"/>
    </xf>
    <xf numFmtId="174" fontId="3" fillId="0" borderId="90" xfId="1" applyNumberFormat="1" applyFont="1" applyBorder="1" applyAlignment="1">
      <alignment horizontal="center"/>
    </xf>
    <xf numFmtId="0" fontId="59" fillId="0" borderId="199" xfId="0" applyFont="1" applyBorder="1" applyAlignment="1">
      <alignment horizontal="center"/>
    </xf>
    <xf numFmtId="0" fontId="59" fillId="0" borderId="200" xfId="0" applyFont="1" applyBorder="1" applyAlignment="1">
      <alignment horizontal="center"/>
    </xf>
    <xf numFmtId="0" fontId="59" fillId="0" borderId="201" xfId="0" applyFont="1" applyBorder="1" applyAlignment="1">
      <alignment horizontal="center"/>
    </xf>
    <xf numFmtId="174" fontId="3" fillId="0" borderId="199" xfId="1" applyNumberFormat="1" applyFont="1" applyBorder="1" applyAlignment="1">
      <alignment horizontal="center"/>
    </xf>
    <xf numFmtId="174" fontId="3" fillId="0" borderId="200" xfId="1" applyNumberFormat="1" applyFont="1" applyBorder="1" applyAlignment="1">
      <alignment horizontal="center"/>
    </xf>
    <xf numFmtId="174" fontId="3" fillId="0" borderId="201" xfId="1" applyNumberFormat="1" applyFont="1" applyBorder="1" applyAlignment="1">
      <alignment horizontal="center"/>
    </xf>
    <xf numFmtId="0" fontId="59" fillId="0" borderId="1" xfId="0" applyFont="1" applyBorder="1" applyAlignment="1">
      <alignment horizontal="center" vertical="center" wrapText="1"/>
    </xf>
    <xf numFmtId="0" fontId="59" fillId="0" borderId="199" xfId="0" applyFont="1" applyBorder="1" applyAlignment="1">
      <alignment horizontal="center" vertical="center"/>
    </xf>
    <xf numFmtId="0" fontId="59" fillId="0" borderId="200" xfId="0" applyFont="1" applyBorder="1" applyAlignment="1">
      <alignment horizontal="center" vertical="center"/>
    </xf>
    <xf numFmtId="0" fontId="59" fillId="0" borderId="201" xfId="0" applyFont="1" applyBorder="1" applyAlignment="1">
      <alignment horizontal="center" vertical="center"/>
    </xf>
    <xf numFmtId="0" fontId="70" fillId="0" borderId="0" xfId="0" applyFont="1" applyAlignment="1">
      <alignment vertical="center"/>
    </xf>
    <xf numFmtId="0" fontId="53" fillId="0" borderId="150" xfId="0" applyFont="1" applyBorder="1"/>
    <xf numFmtId="0" fontId="53" fillId="0" borderId="154" xfId="0" applyFont="1" applyBorder="1" applyAlignment="1">
      <alignment horizontal="center"/>
    </xf>
    <xf numFmtId="0" fontId="53" fillId="0" borderId="155" xfId="0" applyFont="1" applyBorder="1" applyAlignment="1">
      <alignment horizontal="center"/>
    </xf>
    <xf numFmtId="0" fontId="53" fillId="0" borderId="156" xfId="0" applyFont="1" applyBorder="1" applyAlignment="1">
      <alignment horizontal="center"/>
    </xf>
    <xf numFmtId="0" fontId="53" fillId="0" borderId="0" xfId="0" applyFont="1"/>
    <xf numFmtId="0" fontId="53" fillId="0" borderId="175" xfId="0" applyFont="1" applyBorder="1"/>
    <xf numFmtId="166" fontId="53" fillId="0" borderId="172" xfId="1" applyNumberFormat="1" applyFont="1" applyBorder="1" applyAlignment="1">
      <alignment horizontal="center"/>
    </xf>
    <xf numFmtId="166" fontId="53" fillId="0" borderId="173" xfId="1" applyNumberFormat="1" applyFont="1" applyBorder="1" applyAlignment="1">
      <alignment horizontal="center"/>
    </xf>
    <xf numFmtId="166" fontId="53" fillId="0" borderId="174" xfId="1" applyNumberFormat="1" applyFont="1" applyBorder="1" applyAlignment="1">
      <alignment horizontal="center"/>
    </xf>
    <xf numFmtId="0" fontId="53" fillId="0" borderId="87" xfId="0" applyFont="1" applyBorder="1"/>
    <xf numFmtId="166" fontId="53" fillId="0" borderId="88" xfId="1" applyNumberFormat="1" applyFont="1" applyBorder="1" applyAlignment="1">
      <alignment horizontal="center"/>
    </xf>
    <xf numFmtId="166" fontId="53" fillId="0" borderId="89" xfId="1" applyNumberFormat="1" applyFont="1" applyBorder="1" applyAlignment="1">
      <alignment horizontal="center"/>
    </xf>
    <xf numFmtId="166" fontId="53" fillId="0" borderId="90" xfId="1" applyNumberFormat="1" applyFont="1" applyBorder="1" applyAlignment="1">
      <alignment horizontal="center"/>
    </xf>
    <xf numFmtId="0" fontId="53" fillId="0" borderId="0" xfId="0" applyFont="1" applyAlignment="1">
      <alignment horizontal="center"/>
    </xf>
    <xf numFmtId="0" fontId="53" fillId="0" borderId="157" xfId="0" applyFont="1" applyBorder="1"/>
    <xf numFmtId="166" fontId="53" fillId="0" borderId="166" xfId="1" applyNumberFormat="1" applyFont="1" applyBorder="1" applyAlignment="1">
      <alignment horizontal="center"/>
    </xf>
    <xf numFmtId="166" fontId="53" fillId="0" borderId="158" xfId="1" applyNumberFormat="1" applyFont="1" applyBorder="1" applyAlignment="1">
      <alignment horizontal="center"/>
    </xf>
    <xf numFmtId="166" fontId="53" fillId="0" borderId="159" xfId="1" applyNumberFormat="1" applyFont="1" applyBorder="1" applyAlignment="1">
      <alignment horizontal="center"/>
    </xf>
    <xf numFmtId="0" fontId="4" fillId="0" borderId="117" xfId="0" applyFont="1" applyBorder="1" applyAlignment="1">
      <alignment horizontal="center" vertical="center" wrapText="1"/>
    </xf>
    <xf numFmtId="0" fontId="4" fillId="0" borderId="119" xfId="0" applyFont="1" applyBorder="1" applyAlignment="1">
      <alignment horizontal="center" vertical="center" wrapText="1"/>
    </xf>
    <xf numFmtId="0" fontId="4" fillId="0" borderId="118" xfId="0" applyFont="1" applyBorder="1" applyAlignment="1">
      <alignment horizontal="center" vertical="center" wrapText="1"/>
    </xf>
    <xf numFmtId="0" fontId="3" fillId="0" borderId="120" xfId="0" applyFont="1" applyBorder="1" applyAlignment="1">
      <alignment vertical="center" wrapText="1"/>
    </xf>
    <xf numFmtId="0" fontId="77" fillId="0" borderId="121" xfId="0" applyFont="1" applyBorder="1" applyAlignment="1">
      <alignment horizontal="center" vertical="center" textRotation="90" wrapText="1"/>
    </xf>
    <xf numFmtId="166" fontId="32" fillId="0" borderId="121" xfId="0" applyNumberFormat="1" applyFont="1" applyBorder="1" applyAlignment="1">
      <alignment horizontal="center" vertical="center"/>
    </xf>
    <xf numFmtId="166" fontId="32" fillId="0" borderId="122" xfId="0" applyNumberFormat="1" applyFont="1" applyBorder="1" applyAlignment="1">
      <alignment horizontal="center" vertical="center"/>
    </xf>
    <xf numFmtId="166" fontId="32" fillId="0" borderId="123" xfId="0" applyNumberFormat="1" applyFont="1" applyBorder="1" applyAlignment="1">
      <alignment horizontal="center" vertical="center"/>
    </xf>
    <xf numFmtId="0" fontId="3" fillId="0" borderId="124" xfId="0" applyFont="1" applyBorder="1" applyAlignment="1">
      <alignment vertical="center"/>
    </xf>
    <xf numFmtId="1" fontId="32" fillId="0" borderId="126" xfId="0" applyNumberFormat="1" applyFont="1" applyBorder="1" applyAlignment="1">
      <alignment horizontal="center" vertical="center"/>
    </xf>
    <xf numFmtId="1" fontId="32" fillId="0" borderId="127" xfId="0" applyNumberFormat="1" applyFont="1" applyBorder="1" applyAlignment="1">
      <alignment horizontal="center" vertical="center"/>
    </xf>
    <xf numFmtId="1" fontId="32" fillId="0" borderId="128" xfId="0" applyNumberFormat="1" applyFont="1" applyBorder="1" applyAlignment="1">
      <alignment horizontal="center" vertical="center"/>
    </xf>
    <xf numFmtId="0" fontId="78" fillId="0" borderId="129" xfId="0" applyFont="1" applyBorder="1" applyAlignment="1">
      <alignment horizontal="right" vertical="center"/>
    </xf>
    <xf numFmtId="1" fontId="63" fillId="0" borderId="131" xfId="0" applyNumberFormat="1" applyFont="1" applyBorder="1" applyAlignment="1">
      <alignment horizontal="center" vertical="center"/>
    </xf>
    <xf numFmtId="1" fontId="63" fillId="0" borderId="109" xfId="0" applyNumberFormat="1" applyFont="1" applyBorder="1" applyAlignment="1">
      <alignment horizontal="center" vertical="center"/>
    </xf>
    <xf numFmtId="1" fontId="63" fillId="0" borderId="132" xfId="0" applyNumberFormat="1" applyFont="1" applyBorder="1" applyAlignment="1">
      <alignment horizontal="center" vertical="center"/>
    </xf>
    <xf numFmtId="0" fontId="10" fillId="0" borderId="129" xfId="0" applyFont="1" applyBorder="1" applyAlignment="1">
      <alignment horizontal="right" vertical="center"/>
    </xf>
    <xf numFmtId="1" fontId="32" fillId="0" borderId="131" xfId="0" applyNumberFormat="1" applyFont="1" applyBorder="1" applyAlignment="1">
      <alignment horizontal="center" vertical="center"/>
    </xf>
    <xf numFmtId="1" fontId="32" fillId="0" borderId="109" xfId="0" applyNumberFormat="1" applyFont="1" applyBorder="1" applyAlignment="1">
      <alignment horizontal="center" vertical="center"/>
    </xf>
    <xf numFmtId="1" fontId="32" fillId="0" borderId="132" xfId="0" applyNumberFormat="1" applyFont="1" applyBorder="1" applyAlignment="1">
      <alignment horizontal="center" vertical="center"/>
    </xf>
    <xf numFmtId="0" fontId="3" fillId="0" borderId="133" xfId="0" applyFont="1" applyBorder="1" applyAlignment="1">
      <alignment horizontal="left" vertical="center"/>
    </xf>
    <xf numFmtId="1" fontId="32" fillId="0" borderId="135" xfId="0" applyNumberFormat="1" applyFont="1" applyBorder="1" applyAlignment="1">
      <alignment horizontal="center" vertical="center"/>
    </xf>
    <xf numFmtId="1" fontId="32" fillId="0" borderId="136" xfId="0" applyNumberFormat="1" applyFont="1" applyBorder="1" applyAlignment="1">
      <alignment horizontal="center" vertical="center"/>
    </xf>
    <xf numFmtId="1" fontId="32" fillId="0" borderId="137" xfId="0" applyNumberFormat="1" applyFont="1" applyBorder="1" applyAlignment="1">
      <alignment horizontal="center" vertical="center"/>
    </xf>
    <xf numFmtId="0" fontId="3" fillId="0" borderId="120" xfId="0" applyFont="1" applyBorder="1" applyAlignment="1">
      <alignment vertical="center"/>
    </xf>
    <xf numFmtId="1" fontId="32" fillId="0" borderId="121" xfId="0" applyNumberFormat="1" applyFont="1" applyBorder="1" applyAlignment="1">
      <alignment horizontal="center" vertical="center"/>
    </xf>
    <xf numFmtId="1" fontId="32" fillId="0" borderId="122" xfId="0" applyNumberFormat="1" applyFont="1" applyBorder="1" applyAlignment="1">
      <alignment horizontal="center" vertical="center"/>
    </xf>
    <xf numFmtId="1" fontId="32" fillId="0" borderId="123" xfId="0" applyNumberFormat="1" applyFont="1" applyBorder="1" applyAlignment="1">
      <alignment horizontal="center" vertical="center"/>
    </xf>
    <xf numFmtId="0" fontId="53" fillId="0" borderId="174" xfId="0" applyFont="1" applyBorder="1" applyAlignment="1">
      <alignment horizontal="center" vertical="center"/>
    </xf>
    <xf numFmtId="166" fontId="54" fillId="0" borderId="172" xfId="1" applyNumberFormat="1" applyFont="1" applyBorder="1" applyAlignment="1">
      <alignment horizontal="center" vertical="center"/>
    </xf>
    <xf numFmtId="166" fontId="54" fillId="0" borderId="173" xfId="1" applyNumberFormat="1" applyFont="1" applyBorder="1" applyAlignment="1">
      <alignment horizontal="center" vertical="center"/>
    </xf>
    <xf numFmtId="166" fontId="54" fillId="0" borderId="174" xfId="1" applyNumberFormat="1" applyFont="1" applyBorder="1" applyAlignment="1">
      <alignment horizontal="center" vertical="center"/>
    </xf>
    <xf numFmtId="166" fontId="54" fillId="0" borderId="84" xfId="1" applyNumberFormat="1" applyFont="1" applyBorder="1" applyAlignment="1">
      <alignment horizontal="center" vertical="center"/>
    </xf>
    <xf numFmtId="166" fontId="54" fillId="0" borderId="85" xfId="1" applyNumberFormat="1" applyFont="1" applyBorder="1" applyAlignment="1">
      <alignment horizontal="center" vertical="center"/>
    </xf>
    <xf numFmtId="166" fontId="54" fillId="0" borderId="86" xfId="1" applyNumberFormat="1" applyFont="1" applyBorder="1" applyAlignment="1">
      <alignment horizontal="center" vertical="center"/>
    </xf>
    <xf numFmtId="166" fontId="54" fillId="0" borderId="88" xfId="1" applyNumberFormat="1" applyFont="1" applyBorder="1" applyAlignment="1">
      <alignment horizontal="center" vertical="center"/>
    </xf>
    <xf numFmtId="166" fontId="54" fillId="0" borderId="89" xfId="1" applyNumberFormat="1" applyFont="1" applyBorder="1" applyAlignment="1">
      <alignment horizontal="center" vertical="center"/>
    </xf>
    <xf numFmtId="166" fontId="54" fillId="0" borderId="90" xfId="1" applyNumberFormat="1" applyFont="1" applyBorder="1" applyAlignment="1">
      <alignment horizontal="center" vertical="center"/>
    </xf>
    <xf numFmtId="174" fontId="54" fillId="0" borderId="172" xfId="1" applyNumberFormat="1" applyFont="1" applyBorder="1" applyAlignment="1">
      <alignment horizontal="center" vertical="center"/>
    </xf>
    <xf numFmtId="174" fontId="54" fillId="0" borderId="173" xfId="1" applyNumberFormat="1" applyFont="1" applyBorder="1" applyAlignment="1">
      <alignment horizontal="center" vertical="center"/>
    </xf>
    <xf numFmtId="174" fontId="54" fillId="0" borderId="174" xfId="1" applyNumberFormat="1" applyFont="1" applyBorder="1" applyAlignment="1">
      <alignment horizontal="center" vertical="center"/>
    </xf>
    <xf numFmtId="174" fontId="54" fillId="0" borderId="84" xfId="1" applyNumberFormat="1" applyFont="1" applyBorder="1" applyAlignment="1">
      <alignment horizontal="center" vertical="center"/>
    </xf>
    <xf numFmtId="174" fontId="54" fillId="0" borderId="85" xfId="1" applyNumberFormat="1" applyFont="1" applyBorder="1" applyAlignment="1">
      <alignment horizontal="center" vertical="center"/>
    </xf>
    <xf numFmtId="174" fontId="54" fillId="0" borderId="86" xfId="1" applyNumberFormat="1" applyFont="1" applyBorder="1" applyAlignment="1">
      <alignment horizontal="center" vertical="center"/>
    </xf>
    <xf numFmtId="174" fontId="54" fillId="0" borderId="88" xfId="1" applyNumberFormat="1" applyFont="1" applyBorder="1" applyAlignment="1">
      <alignment horizontal="center" vertical="center"/>
    </xf>
    <xf numFmtId="174" fontId="54" fillId="0" borderId="89" xfId="1" applyNumberFormat="1" applyFont="1" applyBorder="1" applyAlignment="1">
      <alignment horizontal="center" vertical="center"/>
    </xf>
    <xf numFmtId="174" fontId="54" fillId="0" borderId="90" xfId="1" applyNumberFormat="1" applyFont="1" applyBorder="1" applyAlignment="1">
      <alignment horizontal="center" vertical="center"/>
    </xf>
    <xf numFmtId="0" fontId="52" fillId="0" borderId="97" xfId="0" applyFont="1" applyBorder="1" applyAlignment="1">
      <alignment horizontal="center"/>
    </xf>
    <xf numFmtId="0" fontId="52" fillId="0" borderId="101" xfId="0" applyFont="1" applyBorder="1" applyAlignment="1">
      <alignment horizontal="center"/>
    </xf>
    <xf numFmtId="0" fontId="32" fillId="0" borderId="172" xfId="0" applyFont="1" applyBorder="1" applyAlignment="1">
      <alignment horizontal="center" vertical="center" wrapText="1"/>
    </xf>
    <xf numFmtId="0" fontId="32" fillId="0" borderId="84" xfId="0" applyFont="1" applyBorder="1" applyAlignment="1">
      <alignment horizontal="center" vertical="center" wrapText="1"/>
    </xf>
    <xf numFmtId="0" fontId="32" fillId="0" borderId="88" xfId="0" applyFont="1" applyBorder="1" applyAlignment="1">
      <alignment horizontal="center" vertical="center" wrapText="1"/>
    </xf>
    <xf numFmtId="0" fontId="51" fillId="0" borderId="80" xfId="0" applyFont="1" applyBorder="1" applyAlignment="1">
      <alignment horizontal="center" vertical="center" wrapText="1"/>
    </xf>
    <xf numFmtId="0" fontId="51" fillId="0" borderId="84" xfId="0" applyFont="1" applyBorder="1" applyAlignment="1">
      <alignment horizontal="center" vertical="center" wrapText="1"/>
    </xf>
    <xf numFmtId="0" fontId="51" fillId="0" borderId="88" xfId="0" applyFont="1" applyBorder="1" applyAlignment="1">
      <alignment horizontal="center" vertical="center" wrapText="1"/>
    </xf>
    <xf numFmtId="0" fontId="70" fillId="0" borderId="0" xfId="0" applyFont="1" applyAlignment="1">
      <alignment horizontal="center" vertical="center" wrapText="1"/>
    </xf>
    <xf numFmtId="0" fontId="70" fillId="0" borderId="0" xfId="0" applyFont="1" applyAlignment="1">
      <alignment horizontal="center" vertical="center"/>
    </xf>
    <xf numFmtId="0" fontId="51" fillId="0" borderId="162" xfId="0" applyFont="1" applyBorder="1" applyAlignment="1">
      <alignment horizontal="center" vertical="center" wrapText="1"/>
    </xf>
    <xf numFmtId="0" fontId="51" fillId="0" borderId="166" xfId="0" applyFont="1" applyBorder="1" applyAlignment="1">
      <alignment horizontal="center" vertical="center" wrapText="1"/>
    </xf>
    <xf numFmtId="0" fontId="51" fillId="0" borderId="167" xfId="0" applyFont="1" applyBorder="1" applyAlignment="1">
      <alignment horizontal="center" vertical="center" wrapText="1"/>
    </xf>
    <xf numFmtId="0" fontId="51" fillId="0" borderId="164" xfId="0" applyFont="1" applyBorder="1" applyAlignment="1">
      <alignment horizontal="center"/>
    </xf>
    <xf numFmtId="0" fontId="51" fillId="0" borderId="165" xfId="0" applyFont="1" applyBorder="1" applyAlignment="1">
      <alignment horizontal="center"/>
    </xf>
    <xf numFmtId="0" fontId="32" fillId="0" borderId="162" xfId="0" applyFont="1" applyBorder="1" applyAlignment="1">
      <alignment horizontal="center" vertical="center" wrapText="1"/>
    </xf>
    <xf numFmtId="0" fontId="32" fillId="0" borderId="235" xfId="0" applyFont="1" applyBorder="1" applyAlignment="1">
      <alignment horizontal="center" vertical="center" wrapText="1"/>
    </xf>
    <xf numFmtId="0" fontId="32" fillId="0" borderId="167" xfId="0" applyFont="1" applyBorder="1" applyAlignment="1">
      <alignment horizontal="center" vertical="center" wrapText="1"/>
    </xf>
    <xf numFmtId="0" fontId="59" fillId="0" borderId="0" xfId="0" applyFont="1" applyAlignment="1">
      <alignment horizontal="center"/>
    </xf>
    <xf numFmtId="0" fontId="56" fillId="0" borderId="32" xfId="0" applyFont="1" applyBorder="1" applyAlignment="1">
      <alignment horizontal="center" vertical="center" wrapText="1"/>
    </xf>
    <xf numFmtId="0" fontId="56" fillId="0" borderId="33" xfId="0" applyFont="1" applyBorder="1" applyAlignment="1">
      <alignment horizontal="center" vertical="center" wrapText="1"/>
    </xf>
    <xf numFmtId="0" fontId="56" fillId="0" borderId="34" xfId="0" applyFont="1" applyBorder="1" applyAlignment="1">
      <alignment horizontal="center" vertical="center" wrapText="1"/>
    </xf>
    <xf numFmtId="0" fontId="74" fillId="0" borderId="105" xfId="0" applyFont="1" applyBorder="1" applyAlignment="1">
      <alignment horizontal="center" vertical="center" wrapText="1"/>
    </xf>
    <xf numFmtId="0" fontId="74" fillId="0" borderId="106" xfId="0" applyFont="1" applyBorder="1" applyAlignment="1">
      <alignment horizontal="center" vertical="center" wrapText="1"/>
    </xf>
    <xf numFmtId="0" fontId="74" fillId="0" borderId="107" xfId="0" applyFont="1" applyBorder="1" applyAlignment="1">
      <alignment horizontal="center" vertical="center" wrapText="1"/>
    </xf>
    <xf numFmtId="0" fontId="52" fillId="0" borderId="105" xfId="0" applyFont="1" applyBorder="1" applyAlignment="1">
      <alignment horizontal="center" vertical="center" wrapText="1"/>
    </xf>
    <xf numFmtId="0" fontId="52" fillId="0" borderId="106" xfId="0" applyFont="1" applyBorder="1" applyAlignment="1">
      <alignment horizontal="center" vertical="center" wrapText="1"/>
    </xf>
    <xf numFmtId="0" fontId="52" fillId="0" borderId="107" xfId="0" applyFont="1" applyBorder="1" applyAlignment="1">
      <alignment horizontal="center" vertical="center" wrapText="1"/>
    </xf>
    <xf numFmtId="0" fontId="51" fillId="0" borderId="102" xfId="0" applyFont="1" applyBorder="1" applyAlignment="1">
      <alignment horizontal="center" vertical="center" wrapText="1"/>
    </xf>
    <xf numFmtId="0" fontId="51" fillId="0" borderId="103" xfId="0" applyFont="1" applyBorder="1" applyAlignment="1">
      <alignment horizontal="center" vertical="center" wrapText="1"/>
    </xf>
    <xf numFmtId="0" fontId="10" fillId="0" borderId="117" xfId="0" applyFont="1" applyBorder="1" applyAlignment="1">
      <alignment horizontal="right" vertical="center"/>
    </xf>
    <xf numFmtId="0" fontId="10" fillId="0" borderId="118" xfId="0" applyFont="1" applyBorder="1" applyAlignment="1">
      <alignment horizontal="right" vertical="center"/>
    </xf>
    <xf numFmtId="0" fontId="77" fillId="0" borderId="125" xfId="0" applyFont="1" applyBorder="1" applyAlignment="1">
      <alignment horizontal="center" vertical="center" textRotation="90" wrapText="1"/>
    </xf>
    <xf numFmtId="0" fontId="77" fillId="0" borderId="130" xfId="0" applyFont="1" applyBorder="1" applyAlignment="1">
      <alignment horizontal="center" vertical="center" textRotation="90" wrapText="1"/>
    </xf>
    <xf numFmtId="0" fontId="77" fillId="0" borderId="134" xfId="0" applyFont="1" applyBorder="1" applyAlignment="1">
      <alignment horizontal="center" vertical="center" textRotation="90" wrapText="1"/>
    </xf>
    <xf numFmtId="0" fontId="32" fillId="0" borderId="114" xfId="0" applyFont="1" applyBorder="1" applyAlignment="1">
      <alignment horizontal="center"/>
    </xf>
    <xf numFmtId="0" fontId="32" fillId="0" borderId="115" xfId="0" applyFont="1" applyBorder="1" applyAlignment="1">
      <alignment horizontal="center"/>
    </xf>
    <xf numFmtId="0" fontId="32" fillId="0" borderId="114" xfId="0" applyFont="1" applyBorder="1" applyAlignment="1">
      <alignment horizontal="center" vertical="center"/>
    </xf>
    <xf numFmtId="0" fontId="32" fillId="0" borderId="116" xfId="0" applyFont="1" applyBorder="1" applyAlignment="1">
      <alignment horizontal="center" vertical="center"/>
    </xf>
    <xf numFmtId="0" fontId="32" fillId="0" borderId="115" xfId="0" applyFont="1" applyBorder="1" applyAlignment="1">
      <alignment horizontal="center" vertical="center"/>
    </xf>
    <xf numFmtId="0" fontId="43" fillId="0" borderId="0" xfId="0" applyFont="1" applyAlignment="1">
      <alignment horizontal="center" vertical="center"/>
    </xf>
    <xf numFmtId="0" fontId="77" fillId="0" borderId="117" xfId="0" applyFont="1" applyBorder="1" applyAlignment="1">
      <alignment horizontal="center" vertical="center" textRotation="90" wrapText="1"/>
    </xf>
    <xf numFmtId="0" fontId="32" fillId="0" borderId="114" xfId="0" applyFont="1" applyBorder="1" applyAlignment="1">
      <alignment horizontal="center" vertical="center" wrapText="1"/>
    </xf>
    <xf numFmtId="0" fontId="32" fillId="0" borderId="116" xfId="0" applyFont="1" applyBorder="1" applyAlignment="1">
      <alignment horizontal="center" vertical="center" wrapText="1"/>
    </xf>
    <xf numFmtId="0" fontId="32" fillId="0" borderId="115" xfId="0" applyFont="1" applyBorder="1" applyAlignment="1">
      <alignment horizontal="center" vertical="center" wrapText="1"/>
    </xf>
    <xf numFmtId="0" fontId="52" fillId="0" borderId="164" xfId="0" applyFont="1" applyBorder="1" applyAlignment="1">
      <alignment horizontal="center"/>
    </xf>
    <xf numFmtId="0" fontId="52" fillId="0" borderId="165" xfId="0" applyFont="1" applyBorder="1" applyAlignment="1">
      <alignment horizontal="center"/>
    </xf>
    <xf numFmtId="0" fontId="55" fillId="0" borderId="180" xfId="0" applyFont="1" applyBorder="1" applyAlignment="1">
      <alignment horizontal="center" vertical="center" textRotation="90"/>
    </xf>
    <xf numFmtId="0" fontId="55" fillId="0" borderId="171" xfId="0" applyFont="1" applyBorder="1" applyAlignment="1">
      <alignment horizontal="center" vertical="center" textRotation="90"/>
    </xf>
    <xf numFmtId="0" fontId="54" fillId="0" borderId="172" xfId="0" applyFont="1" applyBorder="1" applyAlignment="1">
      <alignment horizontal="center" vertical="center" wrapText="1"/>
    </xf>
    <xf numFmtId="0" fontId="54" fillId="0" borderId="84" xfId="0" applyFont="1" applyBorder="1" applyAlignment="1">
      <alignment horizontal="center" vertical="center" wrapText="1"/>
    </xf>
    <xf numFmtId="0" fontId="54" fillId="0" borderId="88" xfId="0" applyFont="1" applyBorder="1" applyAlignment="1">
      <alignment horizontal="center" vertical="center" wrapText="1"/>
    </xf>
    <xf numFmtId="0" fontId="56" fillId="0" borderId="0" xfId="0" applyFont="1" applyAlignment="1">
      <alignment horizontal="center" vertical="center" wrapText="1"/>
    </xf>
    <xf numFmtId="0" fontId="55" fillId="0" borderId="21" xfId="0" applyFont="1" applyBorder="1" applyAlignment="1">
      <alignment horizontal="center" vertical="center" textRotation="90"/>
    </xf>
    <xf numFmtId="0" fontId="51" fillId="0" borderId="160" xfId="0" applyFont="1" applyBorder="1" applyAlignment="1">
      <alignment horizontal="center" vertical="center" wrapText="1"/>
    </xf>
    <xf numFmtId="0" fontId="51" fillId="0" borderId="161" xfId="0" applyFont="1" applyBorder="1" applyAlignment="1">
      <alignment horizontal="center" vertical="center" wrapText="1"/>
    </xf>
    <xf numFmtId="0" fontId="59" fillId="0" borderId="0" xfId="0" applyFont="1" applyAlignment="1">
      <alignment horizontal="center" wrapText="1"/>
    </xf>
    <xf numFmtId="0" fontId="54" fillId="0" borderId="181" xfId="0" applyFont="1" applyBorder="1" applyAlignment="1">
      <alignment horizontal="center" vertical="center" wrapText="1"/>
    </xf>
    <xf numFmtId="0" fontId="54" fillId="0" borderId="183" xfId="0" applyFont="1" applyBorder="1" applyAlignment="1">
      <alignment horizontal="center" vertical="center" wrapText="1"/>
    </xf>
    <xf numFmtId="0" fontId="54" fillId="0" borderId="186" xfId="0" applyFont="1" applyBorder="1" applyAlignment="1">
      <alignment horizontal="center" vertical="center" wrapText="1"/>
    </xf>
    <xf numFmtId="0" fontId="54" fillId="0" borderId="80" xfId="0" applyFont="1" applyBorder="1" applyAlignment="1">
      <alignment horizontal="center" vertical="center" wrapText="1"/>
    </xf>
    <xf numFmtId="0" fontId="54" fillId="0" borderId="147" xfId="0" applyFont="1" applyBorder="1" applyAlignment="1">
      <alignment horizontal="center" vertical="center" wrapText="1"/>
    </xf>
    <xf numFmtId="0" fontId="54" fillId="0" borderId="148" xfId="0" applyFont="1" applyBorder="1" applyAlignment="1">
      <alignment horizontal="center" vertical="center" wrapText="1"/>
    </xf>
    <xf numFmtId="0" fontId="54" fillId="0" borderId="149" xfId="0" applyFont="1" applyBorder="1" applyAlignment="1">
      <alignment horizontal="center" vertical="center" wrapText="1"/>
    </xf>
    <xf numFmtId="0" fontId="67" fillId="0" borderId="164" xfId="0" applyFont="1" applyBorder="1" applyAlignment="1">
      <alignment horizontal="center"/>
    </xf>
    <xf numFmtId="0" fontId="67" fillId="0" borderId="165" xfId="0" applyFont="1" applyBorder="1" applyAlignment="1">
      <alignment horizontal="center"/>
    </xf>
    <xf numFmtId="0" fontId="63" fillId="0" borderId="0" xfId="0" applyFont="1" applyAlignment="1">
      <alignment horizontal="center" wrapText="1"/>
    </xf>
    <xf numFmtId="0" fontId="51" fillId="0" borderId="79" xfId="0" applyFont="1" applyBorder="1" applyAlignment="1">
      <alignment horizontal="left" vertical="center" wrapText="1"/>
    </xf>
    <xf numFmtId="0" fontId="51" fillId="0" borderId="87" xfId="0" applyFont="1" applyBorder="1" applyAlignment="1">
      <alignment horizontal="left" vertical="center" wrapText="1"/>
    </xf>
    <xf numFmtId="0" fontId="51" fillId="0" borderId="83" xfId="0" applyFont="1" applyBorder="1" applyAlignment="1">
      <alignment horizontal="left" vertical="center" wrapText="1"/>
    </xf>
    <xf numFmtId="0" fontId="68" fillId="0" borderId="79" xfId="0" applyFont="1" applyBorder="1" applyAlignment="1">
      <alignment horizontal="left" vertical="center" wrapText="1"/>
    </xf>
    <xf numFmtId="0" fontId="68" fillId="0" borderId="87" xfId="0" applyFont="1" applyBorder="1" applyAlignment="1">
      <alignment horizontal="left" vertical="center" wrapText="1"/>
    </xf>
    <xf numFmtId="0" fontId="63" fillId="0" borderId="0" xfId="0" applyFont="1" applyAlignment="1">
      <alignment horizontal="center" vertical="center" wrapText="1"/>
    </xf>
    <xf numFmtId="0" fontId="63" fillId="0" borderId="0" xfId="0" applyFont="1" applyAlignment="1">
      <alignment horizontal="center"/>
    </xf>
    <xf numFmtId="0" fontId="63" fillId="0" borderId="164" xfId="0" applyFont="1" applyBorder="1" applyAlignment="1">
      <alignment horizontal="center" vertical="center" wrapText="1"/>
    </xf>
    <xf numFmtId="0" fontId="63" fillId="0" borderId="176" xfId="0" applyFont="1" applyBorder="1" applyAlignment="1">
      <alignment horizontal="center" vertical="center" wrapText="1"/>
    </xf>
    <xf numFmtId="0" fontId="63" fillId="0" borderId="177" xfId="0" applyFont="1" applyBorder="1" applyAlignment="1">
      <alignment horizontal="center" vertical="center" wrapText="1"/>
    </xf>
    <xf numFmtId="0" fontId="56" fillId="22" borderId="102" xfId="0" applyFont="1" applyFill="1" applyBorder="1" applyAlignment="1">
      <alignment horizontal="center" vertical="center" wrapText="1"/>
    </xf>
    <xf numFmtId="0" fontId="56" fillId="22" borderId="157" xfId="0" applyFont="1" applyFill="1" applyBorder="1" applyAlignment="1">
      <alignment horizontal="center" vertical="center" wrapText="1"/>
    </xf>
    <xf numFmtId="0" fontId="56" fillId="22" borderId="142" xfId="0" applyFont="1" applyFill="1" applyBorder="1" applyAlignment="1">
      <alignment horizontal="center" vertical="center" wrapText="1"/>
    </xf>
    <xf numFmtId="0" fontId="56" fillId="0" borderId="102" xfId="0" applyFont="1" applyBorder="1" applyAlignment="1">
      <alignment horizontal="center" vertical="center" wrapText="1"/>
    </xf>
    <xf numFmtId="0" fontId="56" fillId="0" borderId="157" xfId="0" applyFont="1" applyBorder="1" applyAlignment="1">
      <alignment horizontal="center" vertical="center" wrapText="1"/>
    </xf>
    <xf numFmtId="0" fontId="56" fillId="0" borderId="142" xfId="0" applyFont="1" applyBorder="1" applyAlignment="1">
      <alignment horizontal="center" vertical="center" wrapText="1"/>
    </xf>
    <xf numFmtId="0" fontId="59" fillId="0" borderId="0" xfId="0" applyFont="1" applyAlignment="1">
      <alignment horizontal="center" vertical="center" wrapText="1"/>
    </xf>
    <xf numFmtId="0" fontId="55" fillId="0" borderId="170" xfId="0" applyFont="1" applyBorder="1" applyAlignment="1">
      <alignment horizontal="center"/>
    </xf>
    <xf numFmtId="0" fontId="55" fillId="0" borderId="170" xfId="0" applyFont="1" applyBorder="1" applyAlignment="1">
      <alignment horizontal="center" wrapText="1"/>
    </xf>
    <xf numFmtId="0" fontId="66" fillId="0" borderId="170" xfId="0" applyFont="1" applyBorder="1" applyAlignment="1">
      <alignment horizontal="center" wrapText="1"/>
    </xf>
    <xf numFmtId="0" fontId="55" fillId="0" borderId="170" xfId="0" applyFont="1" applyBorder="1" applyAlignment="1">
      <alignment horizontal="center" vertical="center" wrapText="1"/>
    </xf>
    <xf numFmtId="0" fontId="55" fillId="0" borderId="234" xfId="0" applyFont="1" applyBorder="1" applyAlignment="1">
      <alignment horizontal="center" vertical="top" wrapText="1"/>
    </xf>
  </cellXfs>
  <cellStyles count="124">
    <cellStyle name="20% - Accent1" xfId="4" xr:uid="{00000000-0005-0000-0000-000000000000}"/>
    <cellStyle name="20% - Accent2" xfId="5" xr:uid="{00000000-0005-0000-0000-000001000000}"/>
    <cellStyle name="20% - Accent3" xfId="6" xr:uid="{00000000-0005-0000-0000-000002000000}"/>
    <cellStyle name="20% - Accent4" xfId="7" xr:uid="{00000000-0005-0000-0000-000003000000}"/>
    <cellStyle name="20% - Accent5" xfId="8" xr:uid="{00000000-0005-0000-0000-000004000000}"/>
    <cellStyle name="20% - Accent6" xfId="9" xr:uid="{00000000-0005-0000-0000-000005000000}"/>
    <cellStyle name="40% - Accent1" xfId="10" xr:uid="{00000000-0005-0000-0000-000006000000}"/>
    <cellStyle name="40% - Accent2" xfId="11" xr:uid="{00000000-0005-0000-0000-000007000000}"/>
    <cellStyle name="40% - Accent3" xfId="12" xr:uid="{00000000-0005-0000-0000-000008000000}"/>
    <cellStyle name="40% - Accent4" xfId="13" xr:uid="{00000000-0005-0000-0000-000009000000}"/>
    <cellStyle name="40% - Accent5" xfId="14" xr:uid="{00000000-0005-0000-0000-00000A000000}"/>
    <cellStyle name="40% - Accent6" xfId="15" xr:uid="{00000000-0005-0000-0000-00000B000000}"/>
    <cellStyle name="60% - Accent1" xfId="16" xr:uid="{00000000-0005-0000-0000-00000C000000}"/>
    <cellStyle name="60% - Accent2" xfId="17" xr:uid="{00000000-0005-0000-0000-00000D000000}"/>
    <cellStyle name="60% - Accent3" xfId="18" xr:uid="{00000000-0005-0000-0000-00000E000000}"/>
    <cellStyle name="60% - Accent4" xfId="19" xr:uid="{00000000-0005-0000-0000-00000F000000}"/>
    <cellStyle name="60% - Accent5" xfId="20" xr:uid="{00000000-0005-0000-0000-000010000000}"/>
    <cellStyle name="60% - Accent6" xfId="21" xr:uid="{00000000-0005-0000-0000-000011000000}"/>
    <cellStyle name="6eme niveau" xfId="22" xr:uid="{00000000-0005-0000-0000-000012000000}"/>
    <cellStyle name="annee semestre" xfId="23" xr:uid="{00000000-0005-0000-0000-000013000000}"/>
    <cellStyle name="Bad" xfId="24" xr:uid="{00000000-0005-0000-0000-000014000000}"/>
    <cellStyle name="caché" xfId="25" xr:uid="{00000000-0005-0000-0000-000015000000}"/>
    <cellStyle name="Calculation" xfId="26" xr:uid="{00000000-0005-0000-0000-000016000000}"/>
    <cellStyle name="cell" xfId="27" xr:uid="{00000000-0005-0000-0000-000017000000}"/>
    <cellStyle name="Check Cell" xfId="28" xr:uid="{00000000-0005-0000-0000-000018000000}"/>
    <cellStyle name="column" xfId="29" xr:uid="{00000000-0005-0000-0000-000019000000}"/>
    <cellStyle name="Comma  [1]" xfId="30" xr:uid="{00000000-0005-0000-0000-00001A000000}"/>
    <cellStyle name="Comma [0]" xfId="31" xr:uid="{00000000-0005-0000-0000-00001B000000}"/>
    <cellStyle name="Comma [1]" xfId="32" xr:uid="{00000000-0005-0000-0000-00001C000000}"/>
    <cellStyle name="Comma(0)" xfId="33" xr:uid="{00000000-0005-0000-0000-00001D000000}"/>
    <cellStyle name="comma(1)" xfId="34" xr:uid="{00000000-0005-0000-0000-00001E000000}"/>
    <cellStyle name="Comma(3)" xfId="35" xr:uid="{00000000-0005-0000-0000-00001F000000}"/>
    <cellStyle name="Comma[0]" xfId="36" xr:uid="{00000000-0005-0000-0000-000020000000}"/>
    <cellStyle name="Comma[1]" xfId="37" xr:uid="{00000000-0005-0000-0000-000021000000}"/>
    <cellStyle name="Comma[2]__" xfId="38" xr:uid="{00000000-0005-0000-0000-000022000000}"/>
    <cellStyle name="Comma[3]" xfId="39" xr:uid="{00000000-0005-0000-0000-000023000000}"/>
    <cellStyle name="Comma0" xfId="40" xr:uid="{00000000-0005-0000-0000-000024000000}"/>
    <cellStyle name="Currency [0]" xfId="41" xr:uid="{00000000-0005-0000-0000-000025000000}"/>
    <cellStyle name="Currency0" xfId="42" xr:uid="{00000000-0005-0000-0000-000026000000}"/>
    <cellStyle name="Date" xfId="43" xr:uid="{00000000-0005-0000-0000-000027000000}"/>
    <cellStyle name="données" xfId="44" xr:uid="{00000000-0005-0000-0000-000028000000}"/>
    <cellStyle name="donnéesbord" xfId="45" xr:uid="{00000000-0005-0000-0000-000029000000}"/>
    <cellStyle name="En-tête 1" xfId="46" xr:uid="{00000000-0005-0000-0000-00002A000000}"/>
    <cellStyle name="En-tête 2" xfId="47" xr:uid="{00000000-0005-0000-0000-00002B000000}"/>
    <cellStyle name="Euro" xfId="48" xr:uid="{00000000-0005-0000-0000-00002C000000}"/>
    <cellStyle name="Euro 2" xfId="49" xr:uid="{00000000-0005-0000-0000-00002D000000}"/>
    <cellStyle name="Euro_2013 - Financement public-privé" xfId="50" xr:uid="{00000000-0005-0000-0000-00002E000000}"/>
    <cellStyle name="Explanatory Text" xfId="51" xr:uid="{00000000-0005-0000-0000-00002F000000}"/>
    <cellStyle name="Financier" xfId="52" xr:uid="{00000000-0005-0000-0000-000030000000}"/>
    <cellStyle name="Financier0" xfId="53" xr:uid="{00000000-0005-0000-0000-000031000000}"/>
    <cellStyle name="Fixed" xfId="54" xr:uid="{00000000-0005-0000-0000-000032000000}"/>
    <cellStyle name="Gd-titre" xfId="55" xr:uid="{00000000-0005-0000-0000-000033000000}"/>
    <cellStyle name="Good" xfId="56" xr:uid="{00000000-0005-0000-0000-000034000000}"/>
    <cellStyle name="Grey" xfId="57" xr:uid="{00000000-0005-0000-0000-000035000000}"/>
    <cellStyle name="Header1" xfId="58" xr:uid="{00000000-0005-0000-0000-000036000000}"/>
    <cellStyle name="Header2" xfId="59" xr:uid="{00000000-0005-0000-0000-000037000000}"/>
    <cellStyle name="Heading" xfId="60" xr:uid="{00000000-0005-0000-0000-000038000000}"/>
    <cellStyle name="Heading 1" xfId="61" xr:uid="{00000000-0005-0000-0000-000039000000}"/>
    <cellStyle name="Heading 2" xfId="62" xr:uid="{00000000-0005-0000-0000-00003A000000}"/>
    <cellStyle name="Heading 3" xfId="63" xr:uid="{00000000-0005-0000-0000-00003B000000}"/>
    <cellStyle name="Heading 4" xfId="64" xr:uid="{00000000-0005-0000-0000-00003C000000}"/>
    <cellStyle name="Heading1" xfId="65" xr:uid="{00000000-0005-0000-0000-00003D000000}"/>
    <cellStyle name="Heading2" xfId="66" xr:uid="{00000000-0005-0000-0000-00003E000000}"/>
    <cellStyle name="Input" xfId="67" xr:uid="{00000000-0005-0000-0000-00003F000000}"/>
    <cellStyle name="Input [yellow]" xfId="68" xr:uid="{00000000-0005-0000-0000-000040000000}"/>
    <cellStyle name="level3" xfId="69" xr:uid="{00000000-0005-0000-0000-000041000000}"/>
    <cellStyle name="Lien hypertexte 2" xfId="70" xr:uid="{00000000-0005-0000-0000-000042000000}"/>
    <cellStyle name="Linked Cell" xfId="71" xr:uid="{00000000-0005-0000-0000-000043000000}"/>
    <cellStyle name="Microsoft Excel found an error in the formula you entered. Do you want to accept the correction proposed below?_x000a__x000a_|_x000a__x000a_• To accept the correction, click Yes._x000a_• To close this message and correct the formula yourself, click No." xfId="72" xr:uid="{00000000-0005-0000-0000-000044000000}"/>
    <cellStyle name="Milliers 2" xfId="73" xr:uid="{00000000-0005-0000-0000-000045000000}"/>
    <cellStyle name="Milliers 3" xfId="74" xr:uid="{00000000-0005-0000-0000-000046000000}"/>
    <cellStyle name="Milliers 3 2" xfId="75" xr:uid="{00000000-0005-0000-0000-000047000000}"/>
    <cellStyle name="Milliers 4" xfId="76" xr:uid="{00000000-0005-0000-0000-000048000000}"/>
    <cellStyle name="Monétaire0" xfId="77" xr:uid="{00000000-0005-0000-0000-000049000000}"/>
    <cellStyle name="Motif" xfId="78" xr:uid="{00000000-0005-0000-0000-00004A000000}"/>
    <cellStyle name="Motif 2" xfId="79" xr:uid="{00000000-0005-0000-0000-00004B000000}"/>
    <cellStyle name="Neutral" xfId="80" xr:uid="{00000000-0005-0000-0000-00004C000000}"/>
    <cellStyle name="Normal" xfId="0" builtinId="0"/>
    <cellStyle name="Normal - Style1" xfId="81" xr:uid="{00000000-0005-0000-0000-00004E000000}"/>
    <cellStyle name="Normal 10" xfId="122" xr:uid="{00000000-0005-0000-0000-00004F000000}"/>
    <cellStyle name="Normal 2" xfId="2" xr:uid="{00000000-0005-0000-0000-000050000000}"/>
    <cellStyle name="Normal 2 2" xfId="82" xr:uid="{00000000-0005-0000-0000-000051000000}"/>
    <cellStyle name="Normal 3" xfId="83" xr:uid="{00000000-0005-0000-0000-000052000000}"/>
    <cellStyle name="Normal 4" xfId="84" xr:uid="{00000000-0005-0000-0000-000053000000}"/>
    <cellStyle name="Normal 5" xfId="85" xr:uid="{00000000-0005-0000-0000-000054000000}"/>
    <cellStyle name="Normal 6" xfId="86" xr:uid="{00000000-0005-0000-0000-000055000000}"/>
    <cellStyle name="Normal 7" xfId="87" xr:uid="{00000000-0005-0000-0000-000056000000}"/>
    <cellStyle name="Normal 8" xfId="88" xr:uid="{00000000-0005-0000-0000-000057000000}"/>
    <cellStyle name="Normal-blank" xfId="89" xr:uid="{00000000-0005-0000-0000-000058000000}"/>
    <cellStyle name="Normal-bottom" xfId="90" xr:uid="{00000000-0005-0000-0000-000059000000}"/>
    <cellStyle name="Normal-center" xfId="91" xr:uid="{00000000-0005-0000-0000-00005A000000}"/>
    <cellStyle name="Normal-droit" xfId="92" xr:uid="{00000000-0005-0000-0000-00005B000000}"/>
    <cellStyle name="Normal-droite" xfId="93" xr:uid="{00000000-0005-0000-0000-00005C000000}"/>
    <cellStyle name="Normale_GRC" xfId="94" xr:uid="{00000000-0005-0000-0000-00005D000000}"/>
    <cellStyle name="Normal-top" xfId="95" xr:uid="{00000000-0005-0000-0000-00005E000000}"/>
    <cellStyle name="Note" xfId="96" xr:uid="{00000000-0005-0000-0000-00005F000000}"/>
    <cellStyle name="notes" xfId="97" xr:uid="{00000000-0005-0000-0000-000060000000}"/>
    <cellStyle name="Output" xfId="98" xr:uid="{00000000-0005-0000-0000-000061000000}"/>
    <cellStyle name="Percent [2]" xfId="99" xr:uid="{00000000-0005-0000-0000-000062000000}"/>
    <cellStyle name="Pourcentage" xfId="1" builtinId="5"/>
    <cellStyle name="Pourcentage 2" xfId="3" xr:uid="{00000000-0005-0000-0000-000064000000}"/>
    <cellStyle name="Pourcentage 3" xfId="100" xr:uid="{00000000-0005-0000-0000-000065000000}"/>
    <cellStyle name="Pourcentage 4" xfId="101" xr:uid="{00000000-0005-0000-0000-000066000000}"/>
    <cellStyle name="Pourcentage 5" xfId="102" xr:uid="{00000000-0005-0000-0000-000067000000}"/>
    <cellStyle name="Pourcentage 6" xfId="103" xr:uid="{00000000-0005-0000-0000-000068000000}"/>
    <cellStyle name="Pourcentage 7" xfId="104" xr:uid="{00000000-0005-0000-0000-000069000000}"/>
    <cellStyle name="Pourcentage 8" xfId="105" xr:uid="{00000000-0005-0000-0000-00006A000000}"/>
    <cellStyle name="Pourcentage 9" xfId="123" xr:uid="{00000000-0005-0000-0000-00006B000000}"/>
    <cellStyle name="semestre" xfId="106" xr:uid="{00000000-0005-0000-0000-00006C000000}"/>
    <cellStyle name="Snorm" xfId="107" xr:uid="{00000000-0005-0000-0000-00006D000000}"/>
    <cellStyle name="socxn" xfId="108" xr:uid="{00000000-0005-0000-0000-00006E000000}"/>
    <cellStyle name="Ss-titre" xfId="109" xr:uid="{00000000-0005-0000-0000-00006F000000}"/>
    <cellStyle name="Stub" xfId="110" xr:uid="{00000000-0005-0000-0000-000070000000}"/>
    <cellStyle name="Style 1" xfId="111" xr:uid="{00000000-0005-0000-0000-000071000000}"/>
    <cellStyle name="style1" xfId="112" xr:uid="{00000000-0005-0000-0000-000072000000}"/>
    <cellStyle name="tête chapitre" xfId="113" xr:uid="{00000000-0005-0000-0000-000073000000}"/>
    <cellStyle name="TEXT" xfId="114" xr:uid="{00000000-0005-0000-0000-000074000000}"/>
    <cellStyle name="Title" xfId="115" xr:uid="{00000000-0005-0000-0000-000075000000}"/>
    <cellStyle name="Top" xfId="116" xr:uid="{00000000-0005-0000-0000-000076000000}"/>
    <cellStyle name="Totals" xfId="117" xr:uid="{00000000-0005-0000-0000-000077000000}"/>
    <cellStyle name="Virgule fixe" xfId="118" xr:uid="{00000000-0005-0000-0000-000078000000}"/>
    <cellStyle name="Warning Text" xfId="119" xr:uid="{00000000-0005-0000-0000-000079000000}"/>
    <cellStyle name="Wrapped" xfId="120" xr:uid="{00000000-0005-0000-0000-00007A000000}"/>
    <cellStyle name="標準_SOCX_JPN97" xfId="121" xr:uid="{00000000-0005-0000-0000-00007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94"/>
          <c:y val="3.2064285714285712E-2"/>
          <c:w val="0.80694444444444446"/>
          <c:h val="0.6988388888888889"/>
        </c:manualLayout>
      </c:layout>
      <c:lineChart>
        <c:grouping val="standard"/>
        <c:varyColors val="0"/>
        <c:ser>
          <c:idx val="5"/>
          <c:order val="0"/>
          <c:tx>
            <c:strRef>
              <c:f>'Fig 2.1'!$C$5</c:f>
              <c:strCache>
                <c:ptCount val="1"/>
                <c:pt idx="0">
                  <c:v>Obs</c:v>
                </c:pt>
              </c:strCache>
            </c:strRef>
          </c:tx>
          <c:spPr>
            <a:ln w="50800">
              <a:solidFill>
                <a:schemeClr val="bg1">
                  <a:lumMod val="50000"/>
                </a:schemeClr>
              </a:solidFill>
            </a:ln>
          </c:spPr>
          <c:marker>
            <c:symbol val="none"/>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2.1'!$D$5:$BL$5</c:f>
              <c:numCache>
                <c:formatCode>0.00</c:formatCode>
                <c:ptCount val="61"/>
                <c:pt idx="1">
                  <c:v>2.17</c:v>
                </c:pt>
                <c:pt idx="2">
                  <c:v>2.14</c:v>
                </c:pt>
                <c:pt idx="3">
                  <c:v>2.1</c:v>
                </c:pt>
                <c:pt idx="4">
                  <c:v>2.0499999999999998</c:v>
                </c:pt>
                <c:pt idx="5">
                  <c:v>2.0099999999999998</c:v>
                </c:pt>
                <c:pt idx="6">
                  <c:v>1.98</c:v>
                </c:pt>
                <c:pt idx="7">
                  <c:v>1.96</c:v>
                </c:pt>
                <c:pt idx="8">
                  <c:v>1.91</c:v>
                </c:pt>
                <c:pt idx="9">
                  <c:v>1.84</c:v>
                </c:pt>
                <c:pt idx="10">
                  <c:v>1.8</c:v>
                </c:pt>
                <c:pt idx="11">
                  <c:v>1.78</c:v>
                </c:pt>
                <c:pt idx="12">
                  <c:v>1.78</c:v>
                </c:pt>
                <c:pt idx="13">
                  <c:v>1.76</c:v>
                </c:pt>
              </c:numCache>
            </c:numRef>
          </c:val>
          <c:smooth val="0"/>
          <c:extLst>
            <c:ext xmlns:c16="http://schemas.microsoft.com/office/drawing/2014/chart" uri="{C3380CC4-5D6E-409C-BE32-E72D297353CC}">
              <c16:uniqueId val="{00000000-19ED-4123-B63E-ABC5C5B845B1}"/>
            </c:ext>
          </c:extLst>
        </c:ser>
        <c:ser>
          <c:idx val="0"/>
          <c:order val="1"/>
          <c:tx>
            <c:strRef>
              <c:f>'Fig 2.1'!$C$6</c:f>
              <c:strCache>
                <c:ptCount val="1"/>
                <c:pt idx="0">
                  <c:v>A'</c:v>
                </c:pt>
              </c:strCache>
            </c:strRef>
          </c:tx>
          <c:spPr>
            <a:ln w="22225">
              <a:solidFill>
                <a:schemeClr val="tx1"/>
              </a:solidFill>
            </a:ln>
          </c:spPr>
          <c:marker>
            <c:symbol val="x"/>
            <c:size val="4"/>
            <c:spPr>
              <a:no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2.1'!$D$6:$BL$6</c:f>
              <c:numCache>
                <c:formatCode>0.0%</c:formatCode>
                <c:ptCount val="61"/>
                <c:pt idx="14" formatCode="0.00">
                  <c:v>1.74</c:v>
                </c:pt>
                <c:pt idx="15" formatCode="0.00">
                  <c:v>1.72</c:v>
                </c:pt>
                <c:pt idx="16" formatCode="0.00">
                  <c:v>1.71</c:v>
                </c:pt>
                <c:pt idx="17" formatCode="0.00">
                  <c:v>1.71</c:v>
                </c:pt>
                <c:pt idx="18" formatCode="0.00">
                  <c:v>1.69</c:v>
                </c:pt>
                <c:pt idx="19" formatCode="0.00">
                  <c:v>1.69</c:v>
                </c:pt>
                <c:pt idx="20" formatCode="0.00">
                  <c:v>1.69</c:v>
                </c:pt>
                <c:pt idx="21" formatCode="0.00">
                  <c:v>1.69</c:v>
                </c:pt>
                <c:pt idx="22" formatCode="0.00">
                  <c:v>1.7</c:v>
                </c:pt>
                <c:pt idx="23" formatCode="0.00">
                  <c:v>1.69</c:v>
                </c:pt>
                <c:pt idx="24" formatCode="0.00">
                  <c:v>1.69</c:v>
                </c:pt>
                <c:pt idx="25" formatCode="0.00">
                  <c:v>1.69</c:v>
                </c:pt>
                <c:pt idx="26" formatCode="0.00">
                  <c:v>1.68</c:v>
                </c:pt>
                <c:pt idx="27" formatCode="0.00">
                  <c:v>1.67</c:v>
                </c:pt>
                <c:pt idx="28" formatCode="0.00">
                  <c:v>1.65</c:v>
                </c:pt>
                <c:pt idx="29" formatCode="0.00">
                  <c:v>1.64</c:v>
                </c:pt>
                <c:pt idx="30" formatCode="0.00">
                  <c:v>1.62</c:v>
                </c:pt>
                <c:pt idx="31" formatCode="0.00">
                  <c:v>1.61</c:v>
                </c:pt>
                <c:pt idx="32" formatCode="0.00">
                  <c:v>1.59</c:v>
                </c:pt>
                <c:pt idx="33" formatCode="0.00">
                  <c:v>1.57</c:v>
                </c:pt>
                <c:pt idx="34" formatCode="0.00">
                  <c:v>1.56</c:v>
                </c:pt>
                <c:pt idx="35" formatCode="0.00">
                  <c:v>1.55</c:v>
                </c:pt>
                <c:pt idx="36" formatCode="0.00">
                  <c:v>1.54</c:v>
                </c:pt>
                <c:pt idx="37" formatCode="0.00">
                  <c:v>1.53</c:v>
                </c:pt>
                <c:pt idx="38" formatCode="0.00">
                  <c:v>1.53</c:v>
                </c:pt>
                <c:pt idx="39" formatCode="0.00">
                  <c:v>1.53</c:v>
                </c:pt>
                <c:pt idx="40" formatCode="0.00">
                  <c:v>1.52</c:v>
                </c:pt>
                <c:pt idx="41" formatCode="0.00">
                  <c:v>1.51</c:v>
                </c:pt>
                <c:pt idx="42" formatCode="0.00">
                  <c:v>1.51</c:v>
                </c:pt>
                <c:pt idx="43" formatCode="0.00">
                  <c:v>1.5</c:v>
                </c:pt>
                <c:pt idx="44" formatCode="0.00">
                  <c:v>1.49</c:v>
                </c:pt>
                <c:pt idx="45" formatCode="0.00">
                  <c:v>1.48</c:v>
                </c:pt>
                <c:pt idx="46" formatCode="0.00">
                  <c:v>1.48</c:v>
                </c:pt>
                <c:pt idx="47" formatCode="0.00">
                  <c:v>1.47</c:v>
                </c:pt>
                <c:pt idx="48" formatCode="0.00">
                  <c:v>1.46</c:v>
                </c:pt>
                <c:pt idx="49" formatCode="0.00">
                  <c:v>1.46</c:v>
                </c:pt>
                <c:pt idx="50" formatCode="0.00">
                  <c:v>1.45</c:v>
                </c:pt>
                <c:pt idx="51" formatCode="0.00">
                  <c:v>1.45</c:v>
                </c:pt>
                <c:pt idx="52" formatCode="0.00">
                  <c:v>1.45</c:v>
                </c:pt>
                <c:pt idx="53" formatCode="0.00">
                  <c:v>1.44</c:v>
                </c:pt>
                <c:pt idx="54" formatCode="0.00">
                  <c:v>1.44</c:v>
                </c:pt>
                <c:pt idx="55" formatCode="0.00">
                  <c:v>1.44</c:v>
                </c:pt>
                <c:pt idx="56" formatCode="0.00">
                  <c:v>1.44</c:v>
                </c:pt>
                <c:pt idx="57" formatCode="0.00">
                  <c:v>1.44</c:v>
                </c:pt>
                <c:pt idx="58" formatCode="0.00">
                  <c:v>1.44</c:v>
                </c:pt>
                <c:pt idx="59" formatCode="0.00">
                  <c:v>1.44</c:v>
                </c:pt>
                <c:pt idx="60" formatCode="0.00">
                  <c:v>1.44</c:v>
                </c:pt>
              </c:numCache>
            </c:numRef>
          </c:val>
          <c:smooth val="0"/>
          <c:extLst>
            <c:ext xmlns:c16="http://schemas.microsoft.com/office/drawing/2014/chart" uri="{C3380CC4-5D6E-409C-BE32-E72D297353CC}">
              <c16:uniqueId val="{00000001-19ED-4123-B63E-ABC5C5B845B1}"/>
            </c:ext>
          </c:extLst>
        </c:ser>
        <c:ser>
          <c:idx val="1"/>
          <c:order val="2"/>
          <c:tx>
            <c:strRef>
              <c:f>'Fig 2.1'!$C$7</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2.1'!$D$7:$BL$7</c:f>
              <c:numCache>
                <c:formatCode>0.0%</c:formatCode>
                <c:ptCount val="61"/>
                <c:pt idx="14" formatCode="0.00">
                  <c:v>1.74</c:v>
                </c:pt>
                <c:pt idx="15" formatCode="0.00">
                  <c:v>1.72</c:v>
                </c:pt>
                <c:pt idx="16" formatCode="0.00">
                  <c:v>1.71</c:v>
                </c:pt>
                <c:pt idx="17" formatCode="0.00">
                  <c:v>1.71</c:v>
                </c:pt>
                <c:pt idx="18" formatCode="0.00">
                  <c:v>1.69</c:v>
                </c:pt>
                <c:pt idx="19" formatCode="0.00">
                  <c:v>1.69</c:v>
                </c:pt>
                <c:pt idx="20" formatCode="0.00">
                  <c:v>1.69</c:v>
                </c:pt>
                <c:pt idx="21" formatCode="0.00">
                  <c:v>1.69</c:v>
                </c:pt>
                <c:pt idx="22" formatCode="0.00">
                  <c:v>1.7</c:v>
                </c:pt>
                <c:pt idx="23" formatCode="0.00">
                  <c:v>1.69</c:v>
                </c:pt>
                <c:pt idx="24" formatCode="0.00">
                  <c:v>1.69</c:v>
                </c:pt>
                <c:pt idx="25" formatCode="0.00">
                  <c:v>1.69</c:v>
                </c:pt>
                <c:pt idx="26" formatCode="0.00">
                  <c:v>1.68</c:v>
                </c:pt>
                <c:pt idx="27" formatCode="0.00">
                  <c:v>1.67</c:v>
                </c:pt>
                <c:pt idx="28" formatCode="0.00">
                  <c:v>1.65</c:v>
                </c:pt>
                <c:pt idx="29" formatCode="0.00">
                  <c:v>1.64</c:v>
                </c:pt>
                <c:pt idx="30" formatCode="0.00">
                  <c:v>1.62</c:v>
                </c:pt>
                <c:pt idx="31" formatCode="0.00">
                  <c:v>1.61</c:v>
                </c:pt>
                <c:pt idx="32" formatCode="0.00">
                  <c:v>1.59</c:v>
                </c:pt>
                <c:pt idx="33" formatCode="0.00">
                  <c:v>1.57</c:v>
                </c:pt>
                <c:pt idx="34" formatCode="0.00">
                  <c:v>1.56</c:v>
                </c:pt>
                <c:pt idx="35" formatCode="0.00">
                  <c:v>1.55</c:v>
                </c:pt>
                <c:pt idx="36" formatCode="0.00">
                  <c:v>1.54</c:v>
                </c:pt>
                <c:pt idx="37" formatCode="0.00">
                  <c:v>1.53</c:v>
                </c:pt>
                <c:pt idx="38" formatCode="0.00">
                  <c:v>1.53</c:v>
                </c:pt>
                <c:pt idx="39" formatCode="0.00">
                  <c:v>1.52</c:v>
                </c:pt>
                <c:pt idx="40" formatCode="0.00">
                  <c:v>1.52</c:v>
                </c:pt>
                <c:pt idx="41" formatCode="0.00">
                  <c:v>1.51</c:v>
                </c:pt>
                <c:pt idx="42" formatCode="0.00">
                  <c:v>1.51</c:v>
                </c:pt>
                <c:pt idx="43" formatCode="0.00">
                  <c:v>1.5</c:v>
                </c:pt>
                <c:pt idx="44" formatCode="0.00">
                  <c:v>1.49</c:v>
                </c:pt>
                <c:pt idx="45" formatCode="0.00">
                  <c:v>1.48</c:v>
                </c:pt>
                <c:pt idx="46" formatCode="0.00">
                  <c:v>1.47</c:v>
                </c:pt>
                <c:pt idx="47" formatCode="0.00">
                  <c:v>1.47</c:v>
                </c:pt>
                <c:pt idx="48" formatCode="0.00">
                  <c:v>1.46</c:v>
                </c:pt>
                <c:pt idx="49" formatCode="0.00">
                  <c:v>1.46</c:v>
                </c:pt>
                <c:pt idx="50" formatCode="0.00">
                  <c:v>1.45</c:v>
                </c:pt>
                <c:pt idx="51" formatCode="0.00">
                  <c:v>1.45</c:v>
                </c:pt>
                <c:pt idx="52" formatCode="0.00">
                  <c:v>1.45</c:v>
                </c:pt>
                <c:pt idx="53" formatCode="0.00">
                  <c:v>1.44</c:v>
                </c:pt>
                <c:pt idx="54" formatCode="0.00">
                  <c:v>1.44</c:v>
                </c:pt>
                <c:pt idx="55" formatCode="0.00">
                  <c:v>1.44</c:v>
                </c:pt>
                <c:pt idx="56" formatCode="0.00">
                  <c:v>1.44</c:v>
                </c:pt>
                <c:pt idx="57" formatCode="0.00">
                  <c:v>1.44</c:v>
                </c:pt>
                <c:pt idx="58" formatCode="0.00">
                  <c:v>1.44</c:v>
                </c:pt>
                <c:pt idx="59" formatCode="0.00">
                  <c:v>1.44</c:v>
                </c:pt>
                <c:pt idx="60" formatCode="0.00">
                  <c:v>1.44</c:v>
                </c:pt>
              </c:numCache>
            </c:numRef>
          </c:val>
          <c:smooth val="0"/>
          <c:extLst>
            <c:ext xmlns:c16="http://schemas.microsoft.com/office/drawing/2014/chart" uri="{C3380CC4-5D6E-409C-BE32-E72D297353CC}">
              <c16:uniqueId val="{00000002-19ED-4123-B63E-ABC5C5B845B1}"/>
            </c:ext>
          </c:extLst>
        </c:ser>
        <c:ser>
          <c:idx val="2"/>
          <c:order val="3"/>
          <c:tx>
            <c:strRef>
              <c:f>'Fig 2.1'!$C$8</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2.1'!$D$8:$BL$8</c:f>
              <c:numCache>
                <c:formatCode>0.0%</c:formatCode>
                <c:ptCount val="61"/>
                <c:pt idx="14" formatCode="0.00">
                  <c:v>1.74</c:v>
                </c:pt>
                <c:pt idx="15" formatCode="0.00">
                  <c:v>1.72</c:v>
                </c:pt>
                <c:pt idx="16" formatCode="0.00">
                  <c:v>1.71</c:v>
                </c:pt>
                <c:pt idx="17" formatCode="0.00">
                  <c:v>1.71</c:v>
                </c:pt>
                <c:pt idx="18" formatCode="0.00">
                  <c:v>1.69</c:v>
                </c:pt>
                <c:pt idx="19" formatCode="0.00">
                  <c:v>1.69</c:v>
                </c:pt>
                <c:pt idx="20" formatCode="0.00">
                  <c:v>1.69</c:v>
                </c:pt>
                <c:pt idx="21" formatCode="0.00">
                  <c:v>1.69</c:v>
                </c:pt>
                <c:pt idx="22" formatCode="0.00">
                  <c:v>1.69</c:v>
                </c:pt>
                <c:pt idx="23" formatCode="0.00">
                  <c:v>1.68</c:v>
                </c:pt>
                <c:pt idx="24" formatCode="0.00">
                  <c:v>1.68</c:v>
                </c:pt>
                <c:pt idx="25" formatCode="0.00">
                  <c:v>1.67</c:v>
                </c:pt>
                <c:pt idx="26" formatCode="0.00">
                  <c:v>1.65</c:v>
                </c:pt>
                <c:pt idx="27" formatCode="0.00">
                  <c:v>1.64</c:v>
                </c:pt>
                <c:pt idx="28" formatCode="0.00">
                  <c:v>1.63</c:v>
                </c:pt>
                <c:pt idx="29" formatCode="0.00">
                  <c:v>1.62</c:v>
                </c:pt>
                <c:pt idx="30" formatCode="0.00">
                  <c:v>1.62</c:v>
                </c:pt>
                <c:pt idx="31" formatCode="0.00">
                  <c:v>1.61</c:v>
                </c:pt>
                <c:pt idx="32" formatCode="0.00">
                  <c:v>1.59</c:v>
                </c:pt>
                <c:pt idx="33" formatCode="0.00">
                  <c:v>1.57</c:v>
                </c:pt>
                <c:pt idx="34" formatCode="0.00">
                  <c:v>1.56</c:v>
                </c:pt>
                <c:pt idx="35" formatCode="0.00">
                  <c:v>1.55</c:v>
                </c:pt>
                <c:pt idx="36" formatCode="0.00">
                  <c:v>1.54</c:v>
                </c:pt>
                <c:pt idx="37" formatCode="0.00">
                  <c:v>1.53</c:v>
                </c:pt>
                <c:pt idx="38" formatCode="0.00">
                  <c:v>1.53</c:v>
                </c:pt>
                <c:pt idx="39" formatCode="0.00">
                  <c:v>1.52</c:v>
                </c:pt>
                <c:pt idx="40" formatCode="0.00">
                  <c:v>1.52</c:v>
                </c:pt>
                <c:pt idx="41" formatCode="0.00">
                  <c:v>1.51</c:v>
                </c:pt>
                <c:pt idx="42" formatCode="0.00">
                  <c:v>1.5</c:v>
                </c:pt>
                <c:pt idx="43" formatCode="0.00">
                  <c:v>1.5</c:v>
                </c:pt>
                <c:pt idx="44" formatCode="0.00">
                  <c:v>1.49</c:v>
                </c:pt>
                <c:pt idx="45" formatCode="0.00">
                  <c:v>1.48</c:v>
                </c:pt>
                <c:pt idx="46" formatCode="0.00">
                  <c:v>1.47</c:v>
                </c:pt>
                <c:pt idx="47" formatCode="0.00">
                  <c:v>1.47</c:v>
                </c:pt>
                <c:pt idx="48" formatCode="0.00">
                  <c:v>1.46</c:v>
                </c:pt>
                <c:pt idx="49" formatCode="0.00">
                  <c:v>1.46</c:v>
                </c:pt>
                <c:pt idx="50" formatCode="0.00">
                  <c:v>1.45</c:v>
                </c:pt>
                <c:pt idx="51" formatCode="0.00">
                  <c:v>1.45</c:v>
                </c:pt>
                <c:pt idx="52" formatCode="0.00">
                  <c:v>1.44</c:v>
                </c:pt>
                <c:pt idx="53" formatCode="0.00">
                  <c:v>1.44</c:v>
                </c:pt>
                <c:pt idx="54" formatCode="0.00">
                  <c:v>1.44</c:v>
                </c:pt>
                <c:pt idx="55" formatCode="0.00">
                  <c:v>1.44</c:v>
                </c:pt>
                <c:pt idx="56" formatCode="0.00">
                  <c:v>1.44</c:v>
                </c:pt>
                <c:pt idx="57" formatCode="0.00">
                  <c:v>1.44</c:v>
                </c:pt>
                <c:pt idx="58" formatCode="0.00">
                  <c:v>1.44</c:v>
                </c:pt>
                <c:pt idx="59" formatCode="0.00">
                  <c:v>1.44</c:v>
                </c:pt>
                <c:pt idx="60" formatCode="0.00">
                  <c:v>1.44</c:v>
                </c:pt>
              </c:numCache>
            </c:numRef>
          </c:val>
          <c:smooth val="0"/>
          <c:extLst>
            <c:ext xmlns:c16="http://schemas.microsoft.com/office/drawing/2014/chart" uri="{C3380CC4-5D6E-409C-BE32-E72D297353CC}">
              <c16:uniqueId val="{00000003-19ED-4123-B63E-ABC5C5B845B1}"/>
            </c:ext>
          </c:extLst>
        </c:ser>
        <c:ser>
          <c:idx val="3"/>
          <c:order val="4"/>
          <c:tx>
            <c:strRef>
              <c:f>'Fig 2.1'!$C$9</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2.1'!$D$9:$BL$9</c:f>
              <c:numCache>
                <c:formatCode>0.0%</c:formatCode>
                <c:ptCount val="61"/>
                <c:pt idx="14" formatCode="0.00">
                  <c:v>1.74</c:v>
                </c:pt>
                <c:pt idx="15" formatCode="0.00">
                  <c:v>1.72</c:v>
                </c:pt>
                <c:pt idx="16" formatCode="0.00">
                  <c:v>1.71</c:v>
                </c:pt>
                <c:pt idx="17" formatCode="0.00">
                  <c:v>1.71</c:v>
                </c:pt>
                <c:pt idx="18" formatCode="0.00">
                  <c:v>1.69</c:v>
                </c:pt>
                <c:pt idx="19" formatCode="0.00">
                  <c:v>1.69</c:v>
                </c:pt>
                <c:pt idx="20" formatCode="0.00">
                  <c:v>1.69</c:v>
                </c:pt>
                <c:pt idx="21" formatCode="0.00">
                  <c:v>1.69</c:v>
                </c:pt>
                <c:pt idx="22" formatCode="0.00">
                  <c:v>1.69</c:v>
                </c:pt>
                <c:pt idx="23" formatCode="0.00">
                  <c:v>1.68</c:v>
                </c:pt>
                <c:pt idx="24" formatCode="0.00">
                  <c:v>1.68</c:v>
                </c:pt>
                <c:pt idx="25" formatCode="0.00">
                  <c:v>1.66</c:v>
                </c:pt>
                <c:pt idx="26" formatCode="0.00">
                  <c:v>1.64</c:v>
                </c:pt>
                <c:pt idx="27" formatCode="0.00">
                  <c:v>1.63</c:v>
                </c:pt>
                <c:pt idx="28" formatCode="0.00">
                  <c:v>1.61</c:v>
                </c:pt>
                <c:pt idx="29" formatCode="0.00">
                  <c:v>1.6</c:v>
                </c:pt>
                <c:pt idx="30" formatCode="0.00">
                  <c:v>1.58</c:v>
                </c:pt>
                <c:pt idx="31" formatCode="0.00">
                  <c:v>1.56</c:v>
                </c:pt>
                <c:pt idx="32" formatCode="0.00">
                  <c:v>1.55</c:v>
                </c:pt>
                <c:pt idx="33" formatCode="0.00">
                  <c:v>1.53</c:v>
                </c:pt>
                <c:pt idx="34" formatCode="0.00">
                  <c:v>1.52</c:v>
                </c:pt>
                <c:pt idx="35" formatCode="0.00">
                  <c:v>1.51</c:v>
                </c:pt>
                <c:pt idx="36" formatCode="0.00">
                  <c:v>1.5</c:v>
                </c:pt>
                <c:pt idx="37" formatCode="0.00">
                  <c:v>1.49</c:v>
                </c:pt>
                <c:pt idx="38" formatCode="0.00">
                  <c:v>1.49</c:v>
                </c:pt>
                <c:pt idx="39" formatCode="0.00">
                  <c:v>1.48</c:v>
                </c:pt>
                <c:pt idx="40" formatCode="0.00">
                  <c:v>1.48</c:v>
                </c:pt>
                <c:pt idx="41" formatCode="0.00">
                  <c:v>1.47</c:v>
                </c:pt>
                <c:pt idx="42" formatCode="0.00">
                  <c:v>1.46</c:v>
                </c:pt>
                <c:pt idx="43" formatCode="0.00">
                  <c:v>1.45</c:v>
                </c:pt>
                <c:pt idx="44" formatCode="0.00">
                  <c:v>1.45</c:v>
                </c:pt>
                <c:pt idx="45" formatCode="0.00">
                  <c:v>1.44</c:v>
                </c:pt>
                <c:pt idx="46" formatCode="0.00">
                  <c:v>1.43</c:v>
                </c:pt>
                <c:pt idx="47" formatCode="0.00">
                  <c:v>1.42</c:v>
                </c:pt>
                <c:pt idx="48" formatCode="0.00">
                  <c:v>1.42</c:v>
                </c:pt>
                <c:pt idx="49" formatCode="0.00">
                  <c:v>1.41</c:v>
                </c:pt>
                <c:pt idx="50" formatCode="0.00">
                  <c:v>1.41</c:v>
                </c:pt>
                <c:pt idx="51" formatCode="0.00">
                  <c:v>1.4</c:v>
                </c:pt>
                <c:pt idx="52" formatCode="0.00">
                  <c:v>1.4</c:v>
                </c:pt>
                <c:pt idx="53" formatCode="0.00">
                  <c:v>1.4</c:v>
                </c:pt>
                <c:pt idx="54" formatCode="0.00">
                  <c:v>1.4</c:v>
                </c:pt>
                <c:pt idx="55" formatCode="0.00">
                  <c:v>1.4</c:v>
                </c:pt>
                <c:pt idx="56" formatCode="0.00">
                  <c:v>1.39</c:v>
                </c:pt>
                <c:pt idx="57" formatCode="0.00">
                  <c:v>1.39</c:v>
                </c:pt>
                <c:pt idx="58" formatCode="0.00">
                  <c:v>1.39</c:v>
                </c:pt>
                <c:pt idx="59" formatCode="0.00">
                  <c:v>1.39</c:v>
                </c:pt>
                <c:pt idx="60" formatCode="0.00">
                  <c:v>1.39</c:v>
                </c:pt>
              </c:numCache>
            </c:numRef>
          </c:val>
          <c:smooth val="0"/>
          <c:extLst>
            <c:ext xmlns:c16="http://schemas.microsoft.com/office/drawing/2014/chart" uri="{C3380CC4-5D6E-409C-BE32-E72D297353CC}">
              <c16:uniqueId val="{00000004-19ED-4123-B63E-ABC5C5B845B1}"/>
            </c:ext>
          </c:extLst>
        </c:ser>
        <c:ser>
          <c:idx val="4"/>
          <c:order val="5"/>
          <c:tx>
            <c:strRef>
              <c:f>'Fig 2.1'!$C$10</c:f>
              <c:strCache>
                <c:ptCount val="1"/>
                <c:pt idx="0">
                  <c:v>C'</c:v>
                </c:pt>
              </c:strCache>
            </c:strRef>
          </c:tx>
          <c:spPr>
            <a:ln w="22225">
              <a:solidFill>
                <a:schemeClr val="tx1"/>
              </a:solidFill>
            </a:ln>
          </c:spPr>
          <c:marker>
            <c:symbol val="star"/>
            <c:size val="4"/>
            <c:spPr>
              <a:no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2.1'!$D$10:$BL$10</c:f>
              <c:numCache>
                <c:formatCode>0.0%</c:formatCode>
                <c:ptCount val="61"/>
                <c:pt idx="14" formatCode="0.00">
                  <c:v>1.74</c:v>
                </c:pt>
                <c:pt idx="15" formatCode="0.00">
                  <c:v>1.72</c:v>
                </c:pt>
                <c:pt idx="16" formatCode="0.00">
                  <c:v>1.71</c:v>
                </c:pt>
                <c:pt idx="17" formatCode="0.00">
                  <c:v>1.71</c:v>
                </c:pt>
                <c:pt idx="18" formatCode="0.00">
                  <c:v>1.69</c:v>
                </c:pt>
                <c:pt idx="19" formatCode="0.00">
                  <c:v>1.69</c:v>
                </c:pt>
                <c:pt idx="20" formatCode="0.00">
                  <c:v>1.69</c:v>
                </c:pt>
                <c:pt idx="21" formatCode="0.00">
                  <c:v>1.69</c:v>
                </c:pt>
                <c:pt idx="22" formatCode="0.00">
                  <c:v>1.69</c:v>
                </c:pt>
                <c:pt idx="23" formatCode="0.00">
                  <c:v>1.68</c:v>
                </c:pt>
                <c:pt idx="24" formatCode="0.00">
                  <c:v>1.68</c:v>
                </c:pt>
                <c:pt idx="25" formatCode="0.00">
                  <c:v>1.66</c:v>
                </c:pt>
                <c:pt idx="26" formatCode="0.00">
                  <c:v>1.64</c:v>
                </c:pt>
                <c:pt idx="27" formatCode="0.00">
                  <c:v>1.63</c:v>
                </c:pt>
                <c:pt idx="28" formatCode="0.00">
                  <c:v>1.61</c:v>
                </c:pt>
                <c:pt idx="29" formatCode="0.00">
                  <c:v>1.6</c:v>
                </c:pt>
                <c:pt idx="30" formatCode="0.00">
                  <c:v>1.58</c:v>
                </c:pt>
                <c:pt idx="31" formatCode="0.00">
                  <c:v>1.56</c:v>
                </c:pt>
                <c:pt idx="32" formatCode="0.00">
                  <c:v>1.55</c:v>
                </c:pt>
                <c:pt idx="33" formatCode="0.00">
                  <c:v>1.53</c:v>
                </c:pt>
                <c:pt idx="34" formatCode="0.00">
                  <c:v>1.52</c:v>
                </c:pt>
                <c:pt idx="35" formatCode="0.00">
                  <c:v>1.51</c:v>
                </c:pt>
                <c:pt idx="36" formatCode="0.00">
                  <c:v>1.5</c:v>
                </c:pt>
                <c:pt idx="37" formatCode="0.00">
                  <c:v>1.49</c:v>
                </c:pt>
                <c:pt idx="38" formatCode="0.00">
                  <c:v>1.49</c:v>
                </c:pt>
                <c:pt idx="39" formatCode="0.00">
                  <c:v>1.48</c:v>
                </c:pt>
                <c:pt idx="40" formatCode="0.00">
                  <c:v>1.48</c:v>
                </c:pt>
                <c:pt idx="41" formatCode="0.00">
                  <c:v>1.47</c:v>
                </c:pt>
                <c:pt idx="42" formatCode="0.00">
                  <c:v>1.46</c:v>
                </c:pt>
                <c:pt idx="43" formatCode="0.00">
                  <c:v>1.45</c:v>
                </c:pt>
                <c:pt idx="44" formatCode="0.00">
                  <c:v>1.44</c:v>
                </c:pt>
                <c:pt idx="45" formatCode="0.00">
                  <c:v>1.44</c:v>
                </c:pt>
                <c:pt idx="46" formatCode="0.00">
                  <c:v>1.43</c:v>
                </c:pt>
                <c:pt idx="47" formatCode="0.00">
                  <c:v>1.42</c:v>
                </c:pt>
                <c:pt idx="48" formatCode="0.00">
                  <c:v>1.42</c:v>
                </c:pt>
                <c:pt idx="49" formatCode="0.00">
                  <c:v>1.41</c:v>
                </c:pt>
                <c:pt idx="50" formatCode="0.00">
                  <c:v>1.41</c:v>
                </c:pt>
                <c:pt idx="51" formatCode="0.00">
                  <c:v>1.4</c:v>
                </c:pt>
                <c:pt idx="52" formatCode="0.00">
                  <c:v>1.4</c:v>
                </c:pt>
                <c:pt idx="53" formatCode="0.00">
                  <c:v>1.4</c:v>
                </c:pt>
                <c:pt idx="54" formatCode="0.00">
                  <c:v>1.39</c:v>
                </c:pt>
                <c:pt idx="55" formatCode="0.00">
                  <c:v>1.39</c:v>
                </c:pt>
                <c:pt idx="56" formatCode="0.00">
                  <c:v>1.39</c:v>
                </c:pt>
                <c:pt idx="57" formatCode="0.00">
                  <c:v>1.39</c:v>
                </c:pt>
                <c:pt idx="58" formatCode="0.00">
                  <c:v>1.39</c:v>
                </c:pt>
                <c:pt idx="59" formatCode="0.00">
                  <c:v>1.39</c:v>
                </c:pt>
                <c:pt idx="60" formatCode="0.00">
                  <c:v>1.39</c:v>
                </c:pt>
              </c:numCache>
            </c:numRef>
          </c:val>
          <c:smooth val="0"/>
          <c:extLst>
            <c:ext xmlns:c16="http://schemas.microsoft.com/office/drawing/2014/chart" uri="{C3380CC4-5D6E-409C-BE32-E72D297353CC}">
              <c16:uniqueId val="{00000005-19ED-4123-B63E-ABC5C5B845B1}"/>
            </c:ext>
          </c:extLst>
        </c:ser>
        <c:dLbls>
          <c:showLegendKey val="0"/>
          <c:showVal val="0"/>
          <c:showCatName val="0"/>
          <c:showSerName val="0"/>
          <c:showPercent val="0"/>
          <c:showBubbleSize val="0"/>
        </c:dLbls>
        <c:smooth val="0"/>
        <c:axId val="127821312"/>
        <c:axId val="146796928"/>
      </c:lineChart>
      <c:catAx>
        <c:axId val="12782131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46796928"/>
        <c:crosses val="autoZero"/>
        <c:auto val="1"/>
        <c:lblAlgn val="ctr"/>
        <c:lblOffset val="100"/>
        <c:tickLblSkip val="10"/>
        <c:noMultiLvlLbl val="0"/>
      </c:catAx>
      <c:valAx>
        <c:axId val="146796928"/>
        <c:scaling>
          <c:orientation val="minMax"/>
          <c:max val="2.5"/>
          <c:min val="1.1000000000000001"/>
        </c:scaling>
        <c:delete val="0"/>
        <c:axPos val="l"/>
        <c:majorGridlines/>
        <c:numFmt formatCode="#,##0.0" sourceLinked="0"/>
        <c:majorTickMark val="out"/>
        <c:minorTickMark val="none"/>
        <c:tickLblPos val="nextTo"/>
        <c:crossAx val="127821312"/>
        <c:crosses val="autoZero"/>
        <c:crossBetween val="between"/>
        <c:majorUnit val="0.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94"/>
          <c:y val="3.2064285714285712E-2"/>
          <c:w val="0.80694444444444446"/>
          <c:h val="0.6988388888888889"/>
        </c:manualLayout>
      </c:layout>
      <c:lineChart>
        <c:grouping val="standard"/>
        <c:varyColors val="0"/>
        <c:ser>
          <c:idx val="5"/>
          <c:order val="0"/>
          <c:tx>
            <c:strRef>
              <c:f>'Fig 2.1'!$C$11</c:f>
              <c:strCache>
                <c:ptCount val="1"/>
                <c:pt idx="0">
                  <c:v>Obs</c:v>
                </c:pt>
              </c:strCache>
            </c:strRef>
          </c:tx>
          <c:spPr>
            <a:ln w="50800">
              <a:solidFill>
                <a:schemeClr val="bg1">
                  <a:lumMod val="50000"/>
                </a:schemeClr>
              </a:solidFill>
            </a:ln>
          </c:spPr>
          <c:marker>
            <c:symbol val="none"/>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2.1'!$D$11:$BL$11</c:f>
              <c:numCache>
                <c:formatCode>0.0%</c:formatCode>
                <c:ptCount val="61"/>
                <c:pt idx="1">
                  <c:v>0</c:v>
                </c:pt>
                <c:pt idx="2">
                  <c:v>0.26300000000000001</c:v>
                </c:pt>
                <c:pt idx="3">
                  <c:v>0.26900000000000002</c:v>
                </c:pt>
                <c:pt idx="4">
                  <c:v>0.27500000000000002</c:v>
                </c:pt>
                <c:pt idx="5">
                  <c:v>0.27200000000000002</c:v>
                </c:pt>
                <c:pt idx="6">
                  <c:v>0.27500000000000002</c:v>
                </c:pt>
                <c:pt idx="7">
                  <c:v>0.27800000000000002</c:v>
                </c:pt>
                <c:pt idx="8">
                  <c:v>0.27800000000000002</c:v>
                </c:pt>
                <c:pt idx="9">
                  <c:v>0.28299999999999997</c:v>
                </c:pt>
                <c:pt idx="10">
                  <c:v>0.28100000000000003</c:v>
                </c:pt>
                <c:pt idx="11">
                  <c:v>0.28899999999999998</c:v>
                </c:pt>
                <c:pt idx="12">
                  <c:v>0.29699999999999999</c:v>
                </c:pt>
                <c:pt idx="13">
                  <c:v>0.30599999999999999</c:v>
                </c:pt>
              </c:numCache>
            </c:numRef>
          </c:val>
          <c:smooth val="0"/>
          <c:extLst>
            <c:ext xmlns:c16="http://schemas.microsoft.com/office/drawing/2014/chart" uri="{C3380CC4-5D6E-409C-BE32-E72D297353CC}">
              <c16:uniqueId val="{00000000-A150-4F92-BC14-3CB39F839945}"/>
            </c:ext>
          </c:extLst>
        </c:ser>
        <c:ser>
          <c:idx val="0"/>
          <c:order val="1"/>
          <c:tx>
            <c:strRef>
              <c:f>'Fig 2.1'!$C$12</c:f>
              <c:strCache>
                <c:ptCount val="1"/>
                <c:pt idx="0">
                  <c:v>A'</c:v>
                </c:pt>
              </c:strCache>
            </c:strRef>
          </c:tx>
          <c:spPr>
            <a:ln w="22225">
              <a:solidFill>
                <a:schemeClr val="tx1"/>
              </a:solidFill>
            </a:ln>
          </c:spPr>
          <c:marker>
            <c:symbol val="x"/>
            <c:size val="4"/>
            <c:spPr>
              <a:no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2.1'!$D$12:$BL$12</c:f>
              <c:numCache>
                <c:formatCode>0.0%</c:formatCode>
                <c:ptCount val="61"/>
                <c:pt idx="14">
                  <c:v>0.309</c:v>
                </c:pt>
                <c:pt idx="15">
                  <c:v>0.311</c:v>
                </c:pt>
                <c:pt idx="16">
                  <c:v>0.312</c:v>
                </c:pt>
                <c:pt idx="17">
                  <c:v>0.312</c:v>
                </c:pt>
                <c:pt idx="18">
                  <c:v>0.311</c:v>
                </c:pt>
                <c:pt idx="19">
                  <c:v>0.309</c:v>
                </c:pt>
                <c:pt idx="20">
                  <c:v>0.308</c:v>
                </c:pt>
                <c:pt idx="21">
                  <c:v>0.30499999999999999</c:v>
                </c:pt>
                <c:pt idx="22">
                  <c:v>0.30399999999999999</c:v>
                </c:pt>
                <c:pt idx="23">
                  <c:v>0.30299999999999999</c:v>
                </c:pt>
                <c:pt idx="24">
                  <c:v>0.30199999999999999</c:v>
                </c:pt>
                <c:pt idx="25">
                  <c:v>0.30099999999999999</c:v>
                </c:pt>
                <c:pt idx="26">
                  <c:v>0.3</c:v>
                </c:pt>
                <c:pt idx="27">
                  <c:v>0.29899999999999999</c:v>
                </c:pt>
                <c:pt idx="28">
                  <c:v>0.29799999999999999</c:v>
                </c:pt>
                <c:pt idx="29">
                  <c:v>0.29799999999999999</c:v>
                </c:pt>
                <c:pt idx="30">
                  <c:v>0.29799999999999999</c:v>
                </c:pt>
                <c:pt idx="31">
                  <c:v>0.29799999999999999</c:v>
                </c:pt>
                <c:pt idx="32">
                  <c:v>0.29799999999999999</c:v>
                </c:pt>
                <c:pt idx="33">
                  <c:v>0.29699999999999999</c:v>
                </c:pt>
                <c:pt idx="34">
                  <c:v>0.29699999999999999</c:v>
                </c:pt>
                <c:pt idx="35">
                  <c:v>0.29699999999999999</c:v>
                </c:pt>
                <c:pt idx="36">
                  <c:v>0.29699999999999999</c:v>
                </c:pt>
                <c:pt idx="37">
                  <c:v>0.29599999999999999</c:v>
                </c:pt>
                <c:pt idx="38">
                  <c:v>0.29599999999999999</c:v>
                </c:pt>
                <c:pt idx="39">
                  <c:v>0.29599999999999999</c:v>
                </c:pt>
                <c:pt idx="40">
                  <c:v>0.29599999999999999</c:v>
                </c:pt>
                <c:pt idx="41">
                  <c:v>0.29599999999999999</c:v>
                </c:pt>
                <c:pt idx="42">
                  <c:v>0.29499999999999998</c:v>
                </c:pt>
                <c:pt idx="43">
                  <c:v>0.29499999999999998</c:v>
                </c:pt>
                <c:pt idx="44">
                  <c:v>0.29499999999999998</c:v>
                </c:pt>
                <c:pt idx="45">
                  <c:v>0.29499999999999998</c:v>
                </c:pt>
                <c:pt idx="46">
                  <c:v>0.29499999999999998</c:v>
                </c:pt>
                <c:pt idx="47">
                  <c:v>0.29499999999999998</c:v>
                </c:pt>
                <c:pt idx="48">
                  <c:v>0.29499999999999998</c:v>
                </c:pt>
                <c:pt idx="49">
                  <c:v>0.29399999999999998</c:v>
                </c:pt>
                <c:pt idx="50">
                  <c:v>0.29399999999999998</c:v>
                </c:pt>
                <c:pt idx="51">
                  <c:v>0.29399999999999998</c:v>
                </c:pt>
                <c:pt idx="52">
                  <c:v>0.29399999999999998</c:v>
                </c:pt>
                <c:pt idx="53">
                  <c:v>0.29399999999999998</c:v>
                </c:pt>
                <c:pt idx="54">
                  <c:v>0.29399999999999998</c:v>
                </c:pt>
                <c:pt idx="55">
                  <c:v>0.29399999999999998</c:v>
                </c:pt>
                <c:pt idx="56">
                  <c:v>0.29299999999999998</c:v>
                </c:pt>
                <c:pt idx="57">
                  <c:v>0.29299999999999998</c:v>
                </c:pt>
                <c:pt idx="58">
                  <c:v>0.29299999999999998</c:v>
                </c:pt>
                <c:pt idx="59">
                  <c:v>0.29299999999999998</c:v>
                </c:pt>
                <c:pt idx="60">
                  <c:v>0.29299999999999998</c:v>
                </c:pt>
              </c:numCache>
            </c:numRef>
          </c:val>
          <c:smooth val="0"/>
          <c:extLst>
            <c:ext xmlns:c16="http://schemas.microsoft.com/office/drawing/2014/chart" uri="{C3380CC4-5D6E-409C-BE32-E72D297353CC}">
              <c16:uniqueId val="{00000001-A150-4F92-BC14-3CB39F839945}"/>
            </c:ext>
          </c:extLst>
        </c:ser>
        <c:ser>
          <c:idx val="1"/>
          <c:order val="2"/>
          <c:tx>
            <c:strRef>
              <c:f>'Fig 2.1'!$C$13</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2.1'!$D$13:$BL$13</c:f>
              <c:numCache>
                <c:formatCode>0.0%</c:formatCode>
                <c:ptCount val="61"/>
                <c:pt idx="14">
                  <c:v>0.309</c:v>
                </c:pt>
                <c:pt idx="15">
                  <c:v>0.311</c:v>
                </c:pt>
                <c:pt idx="16">
                  <c:v>0.312</c:v>
                </c:pt>
                <c:pt idx="17">
                  <c:v>0.312</c:v>
                </c:pt>
                <c:pt idx="18">
                  <c:v>0.311</c:v>
                </c:pt>
                <c:pt idx="19">
                  <c:v>0.309</c:v>
                </c:pt>
                <c:pt idx="20">
                  <c:v>0.308</c:v>
                </c:pt>
                <c:pt idx="21">
                  <c:v>0.30499999999999999</c:v>
                </c:pt>
                <c:pt idx="22">
                  <c:v>0.30399999999999999</c:v>
                </c:pt>
                <c:pt idx="23">
                  <c:v>0.30299999999999999</c:v>
                </c:pt>
                <c:pt idx="24">
                  <c:v>0.30099999999999999</c:v>
                </c:pt>
                <c:pt idx="25">
                  <c:v>0.3</c:v>
                </c:pt>
                <c:pt idx="26">
                  <c:v>0.29899999999999999</c:v>
                </c:pt>
                <c:pt idx="27">
                  <c:v>0.29899999999999999</c:v>
                </c:pt>
                <c:pt idx="28">
                  <c:v>0.29799999999999999</c:v>
                </c:pt>
                <c:pt idx="29">
                  <c:v>0.29799999999999999</c:v>
                </c:pt>
                <c:pt idx="30">
                  <c:v>0.29799999999999999</c:v>
                </c:pt>
                <c:pt idx="31">
                  <c:v>0.29799999999999999</c:v>
                </c:pt>
                <c:pt idx="32">
                  <c:v>0.29799999999999999</c:v>
                </c:pt>
                <c:pt idx="33">
                  <c:v>0.29699999999999999</c:v>
                </c:pt>
                <c:pt idx="34">
                  <c:v>0.29699999999999999</c:v>
                </c:pt>
                <c:pt idx="35">
                  <c:v>0.29699999999999999</c:v>
                </c:pt>
                <c:pt idx="36">
                  <c:v>0.29699999999999999</c:v>
                </c:pt>
                <c:pt idx="37">
                  <c:v>0.29699999999999999</c:v>
                </c:pt>
                <c:pt idx="38">
                  <c:v>0.29599999999999999</c:v>
                </c:pt>
                <c:pt idx="39">
                  <c:v>0.29599999999999999</c:v>
                </c:pt>
                <c:pt idx="40">
                  <c:v>0.29599999999999999</c:v>
                </c:pt>
                <c:pt idx="41">
                  <c:v>0.29599999999999999</c:v>
                </c:pt>
                <c:pt idx="42">
                  <c:v>0.29599999999999999</c:v>
                </c:pt>
                <c:pt idx="43">
                  <c:v>0.29499999999999998</c:v>
                </c:pt>
                <c:pt idx="44">
                  <c:v>0.29499999999999998</c:v>
                </c:pt>
                <c:pt idx="45">
                  <c:v>0.29499999999999998</c:v>
                </c:pt>
                <c:pt idx="46">
                  <c:v>0.29499999999999998</c:v>
                </c:pt>
                <c:pt idx="47">
                  <c:v>0.29499999999999998</c:v>
                </c:pt>
                <c:pt idx="48">
                  <c:v>0.29499999999999998</c:v>
                </c:pt>
                <c:pt idx="49">
                  <c:v>0.29499999999999998</c:v>
                </c:pt>
                <c:pt idx="50">
                  <c:v>0.29399999999999998</c:v>
                </c:pt>
                <c:pt idx="51">
                  <c:v>0.29399999999999998</c:v>
                </c:pt>
                <c:pt idx="52">
                  <c:v>0.29399999999999998</c:v>
                </c:pt>
                <c:pt idx="53">
                  <c:v>0.29399999999999998</c:v>
                </c:pt>
                <c:pt idx="54">
                  <c:v>0.29399999999999998</c:v>
                </c:pt>
                <c:pt idx="55">
                  <c:v>0.29399999999999998</c:v>
                </c:pt>
                <c:pt idx="56">
                  <c:v>0.29399999999999998</c:v>
                </c:pt>
                <c:pt idx="57">
                  <c:v>0.29299999999999998</c:v>
                </c:pt>
                <c:pt idx="58">
                  <c:v>0.29299999999999998</c:v>
                </c:pt>
                <c:pt idx="59">
                  <c:v>0.29299999999999998</c:v>
                </c:pt>
                <c:pt idx="60">
                  <c:v>0.29299999999999998</c:v>
                </c:pt>
              </c:numCache>
            </c:numRef>
          </c:val>
          <c:smooth val="0"/>
          <c:extLst>
            <c:ext xmlns:c16="http://schemas.microsoft.com/office/drawing/2014/chart" uri="{C3380CC4-5D6E-409C-BE32-E72D297353CC}">
              <c16:uniqueId val="{00000002-A150-4F92-BC14-3CB39F839945}"/>
            </c:ext>
          </c:extLst>
        </c:ser>
        <c:ser>
          <c:idx val="2"/>
          <c:order val="3"/>
          <c:tx>
            <c:strRef>
              <c:f>'Fig 2.1'!$C$14</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2.1'!$D$14:$BL$14</c:f>
              <c:numCache>
                <c:formatCode>0.0%</c:formatCode>
                <c:ptCount val="61"/>
                <c:pt idx="14">
                  <c:v>0.309</c:v>
                </c:pt>
                <c:pt idx="15">
                  <c:v>0.311</c:v>
                </c:pt>
                <c:pt idx="16">
                  <c:v>0.312</c:v>
                </c:pt>
                <c:pt idx="17">
                  <c:v>0.312</c:v>
                </c:pt>
                <c:pt idx="18">
                  <c:v>0.311</c:v>
                </c:pt>
                <c:pt idx="19">
                  <c:v>0.309</c:v>
                </c:pt>
                <c:pt idx="20">
                  <c:v>0.308</c:v>
                </c:pt>
                <c:pt idx="21">
                  <c:v>0.307</c:v>
                </c:pt>
                <c:pt idx="22">
                  <c:v>0.30599999999999999</c:v>
                </c:pt>
                <c:pt idx="23">
                  <c:v>0.30499999999999999</c:v>
                </c:pt>
                <c:pt idx="24">
                  <c:v>0.30399999999999999</c:v>
                </c:pt>
                <c:pt idx="25">
                  <c:v>0.30299999999999999</c:v>
                </c:pt>
                <c:pt idx="26">
                  <c:v>0.30199999999999999</c:v>
                </c:pt>
                <c:pt idx="27">
                  <c:v>0.30099999999999999</c:v>
                </c:pt>
                <c:pt idx="28">
                  <c:v>0.30099999999999999</c:v>
                </c:pt>
                <c:pt idx="29">
                  <c:v>0.3</c:v>
                </c:pt>
                <c:pt idx="30">
                  <c:v>0.3</c:v>
                </c:pt>
                <c:pt idx="31">
                  <c:v>0.29899999999999999</c:v>
                </c:pt>
                <c:pt idx="32">
                  <c:v>0.29899999999999999</c:v>
                </c:pt>
                <c:pt idx="33">
                  <c:v>0.29899999999999999</c:v>
                </c:pt>
                <c:pt idx="34">
                  <c:v>0.29899999999999999</c:v>
                </c:pt>
                <c:pt idx="35">
                  <c:v>0.29899999999999999</c:v>
                </c:pt>
                <c:pt idx="36">
                  <c:v>0.29899999999999999</c:v>
                </c:pt>
                <c:pt idx="37">
                  <c:v>0.29799999999999999</c:v>
                </c:pt>
                <c:pt idx="38">
                  <c:v>0.29799999999999999</c:v>
                </c:pt>
                <c:pt idx="39">
                  <c:v>0.29799999999999999</c:v>
                </c:pt>
                <c:pt idx="40">
                  <c:v>0.29799999999999999</c:v>
                </c:pt>
                <c:pt idx="41">
                  <c:v>0.29799999999999999</c:v>
                </c:pt>
                <c:pt idx="42">
                  <c:v>0.29699999999999999</c:v>
                </c:pt>
                <c:pt idx="43">
                  <c:v>0.29699999999999999</c:v>
                </c:pt>
                <c:pt idx="44">
                  <c:v>0.29699999999999999</c:v>
                </c:pt>
                <c:pt idx="45">
                  <c:v>0.29699999999999999</c:v>
                </c:pt>
                <c:pt idx="46">
                  <c:v>0.29699999999999999</c:v>
                </c:pt>
                <c:pt idx="47">
                  <c:v>0.29699999999999999</c:v>
                </c:pt>
                <c:pt idx="48">
                  <c:v>0.29699999999999999</c:v>
                </c:pt>
                <c:pt idx="49">
                  <c:v>0.29699999999999999</c:v>
                </c:pt>
                <c:pt idx="50">
                  <c:v>0.29699999999999999</c:v>
                </c:pt>
                <c:pt idx="51">
                  <c:v>0.29599999999999999</c:v>
                </c:pt>
                <c:pt idx="52">
                  <c:v>0.29599999999999999</c:v>
                </c:pt>
                <c:pt idx="53">
                  <c:v>0.29599999999999999</c:v>
                </c:pt>
                <c:pt idx="54">
                  <c:v>0.29599999999999999</c:v>
                </c:pt>
                <c:pt idx="55">
                  <c:v>0.29599999999999999</c:v>
                </c:pt>
                <c:pt idx="56">
                  <c:v>0.29599999999999999</c:v>
                </c:pt>
                <c:pt idx="57">
                  <c:v>0.29599999999999999</c:v>
                </c:pt>
                <c:pt idx="58">
                  <c:v>0.29599999999999999</c:v>
                </c:pt>
                <c:pt idx="59">
                  <c:v>0.29599999999999999</c:v>
                </c:pt>
                <c:pt idx="60">
                  <c:v>0.29499999999999998</c:v>
                </c:pt>
              </c:numCache>
            </c:numRef>
          </c:val>
          <c:smooth val="0"/>
          <c:extLst>
            <c:ext xmlns:c16="http://schemas.microsoft.com/office/drawing/2014/chart" uri="{C3380CC4-5D6E-409C-BE32-E72D297353CC}">
              <c16:uniqueId val="{00000003-A150-4F92-BC14-3CB39F839945}"/>
            </c:ext>
          </c:extLst>
        </c:ser>
        <c:ser>
          <c:idx val="3"/>
          <c:order val="4"/>
          <c:tx>
            <c:strRef>
              <c:f>'Fig 2.1'!$C$15</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2.1'!$D$15:$BL$15</c:f>
              <c:numCache>
                <c:formatCode>0.0%</c:formatCode>
                <c:ptCount val="61"/>
                <c:pt idx="14">
                  <c:v>0.309</c:v>
                </c:pt>
                <c:pt idx="15">
                  <c:v>0.311</c:v>
                </c:pt>
                <c:pt idx="16">
                  <c:v>0.312</c:v>
                </c:pt>
                <c:pt idx="17">
                  <c:v>0.312</c:v>
                </c:pt>
                <c:pt idx="18">
                  <c:v>0.311</c:v>
                </c:pt>
                <c:pt idx="19">
                  <c:v>0.309</c:v>
                </c:pt>
                <c:pt idx="20">
                  <c:v>0.308</c:v>
                </c:pt>
                <c:pt idx="21">
                  <c:v>0.30599999999999999</c:v>
                </c:pt>
                <c:pt idx="22">
                  <c:v>0.30499999999999999</c:v>
                </c:pt>
                <c:pt idx="23">
                  <c:v>0.30399999999999999</c:v>
                </c:pt>
                <c:pt idx="24">
                  <c:v>0.30299999999999999</c:v>
                </c:pt>
                <c:pt idx="25">
                  <c:v>0.30199999999999999</c:v>
                </c:pt>
                <c:pt idx="26">
                  <c:v>0.30199999999999999</c:v>
                </c:pt>
                <c:pt idx="27">
                  <c:v>0.30199999999999999</c:v>
                </c:pt>
                <c:pt idx="28">
                  <c:v>0.30099999999999999</c:v>
                </c:pt>
                <c:pt idx="29">
                  <c:v>0.30099999999999999</c:v>
                </c:pt>
                <c:pt idx="30">
                  <c:v>0.30099999999999999</c:v>
                </c:pt>
                <c:pt idx="31">
                  <c:v>0.30099999999999999</c:v>
                </c:pt>
                <c:pt idx="32">
                  <c:v>0.30099999999999999</c:v>
                </c:pt>
                <c:pt idx="33">
                  <c:v>0.30099999999999999</c:v>
                </c:pt>
                <c:pt idx="34">
                  <c:v>0.30099999999999999</c:v>
                </c:pt>
                <c:pt idx="35">
                  <c:v>0.30099999999999999</c:v>
                </c:pt>
                <c:pt idx="36">
                  <c:v>0.3</c:v>
                </c:pt>
                <c:pt idx="37">
                  <c:v>0.3</c:v>
                </c:pt>
                <c:pt idx="38">
                  <c:v>0.3</c:v>
                </c:pt>
                <c:pt idx="39">
                  <c:v>0.3</c:v>
                </c:pt>
                <c:pt idx="40">
                  <c:v>0.3</c:v>
                </c:pt>
                <c:pt idx="41">
                  <c:v>0.29899999999999999</c:v>
                </c:pt>
                <c:pt idx="42">
                  <c:v>0.29899999999999999</c:v>
                </c:pt>
                <c:pt idx="43">
                  <c:v>0.29899999999999999</c:v>
                </c:pt>
                <c:pt idx="44">
                  <c:v>0.29899999999999999</c:v>
                </c:pt>
                <c:pt idx="45">
                  <c:v>0.29899999999999999</c:v>
                </c:pt>
                <c:pt idx="46">
                  <c:v>0.29899999999999999</c:v>
                </c:pt>
                <c:pt idx="47">
                  <c:v>0.29899999999999999</c:v>
                </c:pt>
                <c:pt idx="48">
                  <c:v>0.29899999999999999</c:v>
                </c:pt>
                <c:pt idx="49">
                  <c:v>0.29899999999999999</c:v>
                </c:pt>
                <c:pt idx="50">
                  <c:v>0.29799999999999999</c:v>
                </c:pt>
                <c:pt idx="51">
                  <c:v>0.29799999999999999</c:v>
                </c:pt>
                <c:pt idx="52">
                  <c:v>0.29799999999999999</c:v>
                </c:pt>
                <c:pt idx="53">
                  <c:v>0.29799999999999999</c:v>
                </c:pt>
                <c:pt idx="54">
                  <c:v>0.29799999999999999</c:v>
                </c:pt>
                <c:pt idx="55">
                  <c:v>0.29799999999999999</c:v>
                </c:pt>
                <c:pt idx="56">
                  <c:v>0.29799999999999999</c:v>
                </c:pt>
                <c:pt idx="57">
                  <c:v>0.29799999999999999</c:v>
                </c:pt>
                <c:pt idx="58">
                  <c:v>0.29799999999999999</c:v>
                </c:pt>
                <c:pt idx="59">
                  <c:v>0.29699999999999999</c:v>
                </c:pt>
                <c:pt idx="60">
                  <c:v>0.29699999999999999</c:v>
                </c:pt>
              </c:numCache>
            </c:numRef>
          </c:val>
          <c:smooth val="0"/>
          <c:extLst>
            <c:ext xmlns:c16="http://schemas.microsoft.com/office/drawing/2014/chart" uri="{C3380CC4-5D6E-409C-BE32-E72D297353CC}">
              <c16:uniqueId val="{00000004-A150-4F92-BC14-3CB39F839945}"/>
            </c:ext>
          </c:extLst>
        </c:ser>
        <c:ser>
          <c:idx val="4"/>
          <c:order val="5"/>
          <c:tx>
            <c:strRef>
              <c:f>'Fig 2.1'!$C$16</c:f>
              <c:strCache>
                <c:ptCount val="1"/>
                <c:pt idx="0">
                  <c:v>C'</c:v>
                </c:pt>
              </c:strCache>
            </c:strRef>
          </c:tx>
          <c:spPr>
            <a:ln w="22225">
              <a:solidFill>
                <a:schemeClr val="tx1"/>
              </a:solidFill>
            </a:ln>
          </c:spPr>
          <c:marker>
            <c:symbol val="star"/>
            <c:size val="4"/>
            <c:spPr>
              <a:no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2.1'!$D$16:$BL$16</c:f>
              <c:numCache>
                <c:formatCode>0.0%</c:formatCode>
                <c:ptCount val="61"/>
                <c:pt idx="14">
                  <c:v>0.309</c:v>
                </c:pt>
                <c:pt idx="15">
                  <c:v>0.311</c:v>
                </c:pt>
                <c:pt idx="16">
                  <c:v>0.312</c:v>
                </c:pt>
                <c:pt idx="17">
                  <c:v>0.312</c:v>
                </c:pt>
                <c:pt idx="18">
                  <c:v>0.311</c:v>
                </c:pt>
                <c:pt idx="19">
                  <c:v>0.309</c:v>
                </c:pt>
                <c:pt idx="20">
                  <c:v>0.308</c:v>
                </c:pt>
                <c:pt idx="21">
                  <c:v>0.30599999999999999</c:v>
                </c:pt>
                <c:pt idx="22">
                  <c:v>0.30499999999999999</c:v>
                </c:pt>
                <c:pt idx="23">
                  <c:v>0.30399999999999999</c:v>
                </c:pt>
                <c:pt idx="24">
                  <c:v>0.30299999999999999</c:v>
                </c:pt>
                <c:pt idx="25">
                  <c:v>0.30199999999999999</c:v>
                </c:pt>
                <c:pt idx="26">
                  <c:v>0.30199999999999999</c:v>
                </c:pt>
                <c:pt idx="27">
                  <c:v>0.30199999999999999</c:v>
                </c:pt>
                <c:pt idx="28">
                  <c:v>0.30199999999999999</c:v>
                </c:pt>
                <c:pt idx="29">
                  <c:v>0.30199999999999999</c:v>
                </c:pt>
                <c:pt idx="30">
                  <c:v>0.30199999999999999</c:v>
                </c:pt>
                <c:pt idx="31">
                  <c:v>0.30099999999999999</c:v>
                </c:pt>
                <c:pt idx="32">
                  <c:v>0.30099999999999999</c:v>
                </c:pt>
                <c:pt idx="33">
                  <c:v>0.30099999999999999</c:v>
                </c:pt>
                <c:pt idx="34">
                  <c:v>0.30099999999999999</c:v>
                </c:pt>
                <c:pt idx="35">
                  <c:v>0.30099999999999999</c:v>
                </c:pt>
                <c:pt idx="36">
                  <c:v>0.30099999999999999</c:v>
                </c:pt>
                <c:pt idx="37">
                  <c:v>0.30099999999999999</c:v>
                </c:pt>
                <c:pt idx="38">
                  <c:v>0.30099999999999999</c:v>
                </c:pt>
                <c:pt idx="39">
                  <c:v>0.3</c:v>
                </c:pt>
                <c:pt idx="40">
                  <c:v>0.3</c:v>
                </c:pt>
                <c:pt idx="41">
                  <c:v>0.3</c:v>
                </c:pt>
                <c:pt idx="42">
                  <c:v>0.3</c:v>
                </c:pt>
                <c:pt idx="43">
                  <c:v>0.3</c:v>
                </c:pt>
                <c:pt idx="44">
                  <c:v>0.3</c:v>
                </c:pt>
                <c:pt idx="45">
                  <c:v>0.3</c:v>
                </c:pt>
                <c:pt idx="46">
                  <c:v>0.3</c:v>
                </c:pt>
                <c:pt idx="47">
                  <c:v>0.3</c:v>
                </c:pt>
                <c:pt idx="48">
                  <c:v>0.3</c:v>
                </c:pt>
                <c:pt idx="49">
                  <c:v>0.3</c:v>
                </c:pt>
                <c:pt idx="50">
                  <c:v>0.3</c:v>
                </c:pt>
                <c:pt idx="51">
                  <c:v>0.29899999999999999</c:v>
                </c:pt>
                <c:pt idx="52">
                  <c:v>0.29899999999999999</c:v>
                </c:pt>
                <c:pt idx="53">
                  <c:v>0.29899999999999999</c:v>
                </c:pt>
                <c:pt idx="54">
                  <c:v>0.29899999999999999</c:v>
                </c:pt>
                <c:pt idx="55">
                  <c:v>0.29899999999999999</c:v>
                </c:pt>
                <c:pt idx="56">
                  <c:v>0.29899999999999999</c:v>
                </c:pt>
                <c:pt idx="57">
                  <c:v>0.29899999999999999</c:v>
                </c:pt>
                <c:pt idx="58">
                  <c:v>0.29899999999999999</c:v>
                </c:pt>
                <c:pt idx="59">
                  <c:v>0.29899999999999999</c:v>
                </c:pt>
                <c:pt idx="60">
                  <c:v>0.29899999999999999</c:v>
                </c:pt>
              </c:numCache>
            </c:numRef>
          </c:val>
          <c:smooth val="0"/>
          <c:extLst>
            <c:ext xmlns:c16="http://schemas.microsoft.com/office/drawing/2014/chart" uri="{C3380CC4-5D6E-409C-BE32-E72D297353CC}">
              <c16:uniqueId val="{00000005-A150-4F92-BC14-3CB39F839945}"/>
            </c:ext>
          </c:extLst>
        </c:ser>
        <c:dLbls>
          <c:showLegendKey val="0"/>
          <c:showVal val="0"/>
          <c:showCatName val="0"/>
          <c:showSerName val="0"/>
          <c:showPercent val="0"/>
          <c:showBubbleSize val="0"/>
        </c:dLbls>
        <c:smooth val="0"/>
        <c:axId val="153260416"/>
        <c:axId val="153262336"/>
      </c:lineChart>
      <c:catAx>
        <c:axId val="15326041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53262336"/>
        <c:crosses val="autoZero"/>
        <c:auto val="1"/>
        <c:lblAlgn val="ctr"/>
        <c:lblOffset val="100"/>
        <c:tickLblSkip val="10"/>
        <c:noMultiLvlLbl val="0"/>
      </c:catAx>
      <c:valAx>
        <c:axId val="153262336"/>
        <c:scaling>
          <c:orientation val="minMax"/>
          <c:max val="0.35000000000000003"/>
          <c:min val="0.2"/>
        </c:scaling>
        <c:delete val="0"/>
        <c:axPos val="l"/>
        <c:majorGridlines/>
        <c:numFmt formatCode="0%" sourceLinked="0"/>
        <c:majorTickMark val="out"/>
        <c:minorTickMark val="none"/>
        <c:tickLblPos val="nextTo"/>
        <c:crossAx val="153260416"/>
        <c:crosses val="autoZero"/>
        <c:crossBetween val="between"/>
        <c:majorUnit val="5.000000000000001E-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94"/>
          <c:y val="3.2064285714285712E-2"/>
          <c:w val="0.80694444444444446"/>
          <c:h val="0.6988388888888889"/>
        </c:manualLayout>
      </c:layout>
      <c:lineChart>
        <c:grouping val="standard"/>
        <c:varyColors val="0"/>
        <c:ser>
          <c:idx val="5"/>
          <c:order val="0"/>
          <c:tx>
            <c:strRef>
              <c:f>'Fig 2.1'!$C$17</c:f>
              <c:strCache>
                <c:ptCount val="1"/>
                <c:pt idx="0">
                  <c:v>Obs</c:v>
                </c:pt>
              </c:strCache>
            </c:strRef>
          </c:tx>
          <c:spPr>
            <a:ln w="50800">
              <a:solidFill>
                <a:schemeClr val="bg1">
                  <a:lumMod val="50000"/>
                </a:schemeClr>
              </a:solidFill>
            </a:ln>
          </c:spPr>
          <c:marker>
            <c:symbol val="none"/>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2.1'!$D$17:$BL$17</c:f>
              <c:numCache>
                <c:formatCode>0.0%</c:formatCode>
                <c:ptCount val="61"/>
                <c:pt idx="5">
                  <c:v>0.48699999999999999</c:v>
                </c:pt>
                <c:pt idx="6">
                  <c:v>0.48599999999999999</c:v>
                </c:pt>
                <c:pt idx="7">
                  <c:v>0.48799999999999999</c:v>
                </c:pt>
                <c:pt idx="8">
                  <c:v>0.49099999999999999</c:v>
                </c:pt>
                <c:pt idx="9">
                  <c:v>0.501</c:v>
                </c:pt>
                <c:pt idx="10">
                  <c:v>0.497</c:v>
                </c:pt>
                <c:pt idx="11">
                  <c:v>0.505</c:v>
                </c:pt>
                <c:pt idx="12">
                  <c:v>0.50900000000000001</c:v>
                </c:pt>
                <c:pt idx="13">
                  <c:v>0.51300000000000001</c:v>
                </c:pt>
              </c:numCache>
            </c:numRef>
          </c:val>
          <c:smooth val="0"/>
          <c:extLst>
            <c:ext xmlns:c16="http://schemas.microsoft.com/office/drawing/2014/chart" uri="{C3380CC4-5D6E-409C-BE32-E72D297353CC}">
              <c16:uniqueId val="{00000000-406D-4A3D-B293-1B968D34F94C}"/>
            </c:ext>
          </c:extLst>
        </c:ser>
        <c:ser>
          <c:idx val="0"/>
          <c:order val="1"/>
          <c:tx>
            <c:strRef>
              <c:f>'Fig 2.1'!$C$18</c:f>
              <c:strCache>
                <c:ptCount val="1"/>
                <c:pt idx="0">
                  <c:v>A'</c:v>
                </c:pt>
              </c:strCache>
            </c:strRef>
          </c:tx>
          <c:spPr>
            <a:ln w="22225">
              <a:solidFill>
                <a:schemeClr val="tx1"/>
              </a:solidFill>
            </a:ln>
          </c:spPr>
          <c:marker>
            <c:symbol val="x"/>
            <c:size val="4"/>
            <c:spPr>
              <a:no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2.1'!$D$18:$BL$18</c:f>
              <c:numCache>
                <c:formatCode>0.0%</c:formatCode>
                <c:ptCount val="61"/>
                <c:pt idx="14">
                  <c:v>0.51600000000000001</c:v>
                </c:pt>
                <c:pt idx="15">
                  <c:v>0.51500000000000001</c:v>
                </c:pt>
                <c:pt idx="16">
                  <c:v>0.51200000000000001</c:v>
                </c:pt>
                <c:pt idx="17">
                  <c:v>0.51100000000000001</c:v>
                </c:pt>
                <c:pt idx="18">
                  <c:v>0.51100000000000001</c:v>
                </c:pt>
                <c:pt idx="19">
                  <c:v>0.50700000000000001</c:v>
                </c:pt>
                <c:pt idx="20">
                  <c:v>0.505</c:v>
                </c:pt>
                <c:pt idx="21">
                  <c:v>0.499</c:v>
                </c:pt>
                <c:pt idx="22">
                  <c:v>0.495</c:v>
                </c:pt>
                <c:pt idx="23">
                  <c:v>0.48799999999999999</c:v>
                </c:pt>
                <c:pt idx="24">
                  <c:v>0.48199999999999998</c:v>
                </c:pt>
                <c:pt idx="25">
                  <c:v>0.47699999999999998</c:v>
                </c:pt>
                <c:pt idx="26">
                  <c:v>0.47</c:v>
                </c:pt>
                <c:pt idx="27">
                  <c:v>0.46400000000000002</c:v>
                </c:pt>
                <c:pt idx="28">
                  <c:v>0.45700000000000002</c:v>
                </c:pt>
                <c:pt idx="29">
                  <c:v>0.45100000000000001</c:v>
                </c:pt>
                <c:pt idx="30">
                  <c:v>0.44500000000000001</c:v>
                </c:pt>
                <c:pt idx="31">
                  <c:v>0.439</c:v>
                </c:pt>
                <c:pt idx="32">
                  <c:v>0.433</c:v>
                </c:pt>
                <c:pt idx="33">
                  <c:v>0.42799999999999999</c:v>
                </c:pt>
                <c:pt idx="34">
                  <c:v>0.42199999999999999</c:v>
                </c:pt>
                <c:pt idx="35">
                  <c:v>0.41799999999999998</c:v>
                </c:pt>
                <c:pt idx="36">
                  <c:v>0.41299999999999998</c:v>
                </c:pt>
                <c:pt idx="37">
                  <c:v>0.40799999999999997</c:v>
                </c:pt>
                <c:pt idx="38">
                  <c:v>0.40400000000000003</c:v>
                </c:pt>
                <c:pt idx="39">
                  <c:v>0.4</c:v>
                </c:pt>
                <c:pt idx="40">
                  <c:v>0.39600000000000002</c:v>
                </c:pt>
                <c:pt idx="41">
                  <c:v>0.39300000000000002</c:v>
                </c:pt>
                <c:pt idx="42">
                  <c:v>0.38900000000000001</c:v>
                </c:pt>
                <c:pt idx="43">
                  <c:v>0.38500000000000001</c:v>
                </c:pt>
                <c:pt idx="44">
                  <c:v>0.38100000000000001</c:v>
                </c:pt>
                <c:pt idx="45">
                  <c:v>0.378</c:v>
                </c:pt>
                <c:pt idx="46">
                  <c:v>0.375</c:v>
                </c:pt>
                <c:pt idx="47">
                  <c:v>0.372</c:v>
                </c:pt>
                <c:pt idx="48">
                  <c:v>0.36899999999999999</c:v>
                </c:pt>
                <c:pt idx="49">
                  <c:v>0.36599999999999999</c:v>
                </c:pt>
                <c:pt idx="50">
                  <c:v>0.36399999999999999</c:v>
                </c:pt>
                <c:pt idx="51">
                  <c:v>0.36199999999999999</c:v>
                </c:pt>
                <c:pt idx="52">
                  <c:v>0.36</c:v>
                </c:pt>
                <c:pt idx="53">
                  <c:v>0.35799999999999998</c:v>
                </c:pt>
                <c:pt idx="54">
                  <c:v>0.35699999999999998</c:v>
                </c:pt>
                <c:pt idx="55">
                  <c:v>0.35499999999999998</c:v>
                </c:pt>
                <c:pt idx="56">
                  <c:v>0.35399999999999998</c:v>
                </c:pt>
                <c:pt idx="57">
                  <c:v>0.35299999999999998</c:v>
                </c:pt>
                <c:pt idx="58">
                  <c:v>0.35299999999999998</c:v>
                </c:pt>
                <c:pt idx="59">
                  <c:v>0.35199999999999998</c:v>
                </c:pt>
                <c:pt idx="60">
                  <c:v>0.35199999999999998</c:v>
                </c:pt>
              </c:numCache>
            </c:numRef>
          </c:val>
          <c:smooth val="0"/>
          <c:extLst>
            <c:ext xmlns:c16="http://schemas.microsoft.com/office/drawing/2014/chart" uri="{C3380CC4-5D6E-409C-BE32-E72D297353CC}">
              <c16:uniqueId val="{00000001-406D-4A3D-B293-1B968D34F94C}"/>
            </c:ext>
          </c:extLst>
        </c:ser>
        <c:ser>
          <c:idx val="1"/>
          <c:order val="2"/>
          <c:tx>
            <c:strRef>
              <c:f>'Fig 2.1'!$C$19</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2.1'!$D$19:$BL$19</c:f>
              <c:numCache>
                <c:formatCode>0.0%</c:formatCode>
                <c:ptCount val="61"/>
                <c:pt idx="14">
                  <c:v>0.51600000000000001</c:v>
                </c:pt>
                <c:pt idx="15">
                  <c:v>0.51500000000000001</c:v>
                </c:pt>
                <c:pt idx="16">
                  <c:v>0.51200000000000001</c:v>
                </c:pt>
                <c:pt idx="17">
                  <c:v>0.51100000000000001</c:v>
                </c:pt>
                <c:pt idx="18">
                  <c:v>0.51100000000000001</c:v>
                </c:pt>
                <c:pt idx="19">
                  <c:v>0.50700000000000001</c:v>
                </c:pt>
                <c:pt idx="20">
                  <c:v>0.504</c:v>
                </c:pt>
                <c:pt idx="21">
                  <c:v>0.5</c:v>
                </c:pt>
                <c:pt idx="22">
                  <c:v>0.495</c:v>
                </c:pt>
                <c:pt idx="23">
                  <c:v>0.48899999999999999</c:v>
                </c:pt>
                <c:pt idx="24">
                  <c:v>0.48299999999999998</c:v>
                </c:pt>
                <c:pt idx="25">
                  <c:v>0.47799999999999998</c:v>
                </c:pt>
                <c:pt idx="26">
                  <c:v>0.47199999999999998</c:v>
                </c:pt>
                <c:pt idx="27">
                  <c:v>0.46600000000000003</c:v>
                </c:pt>
                <c:pt idx="28">
                  <c:v>0.46</c:v>
                </c:pt>
                <c:pt idx="29">
                  <c:v>0.45500000000000002</c:v>
                </c:pt>
                <c:pt idx="30">
                  <c:v>0.45</c:v>
                </c:pt>
                <c:pt idx="31">
                  <c:v>0.44500000000000001</c:v>
                </c:pt>
                <c:pt idx="32">
                  <c:v>0.44</c:v>
                </c:pt>
                <c:pt idx="33">
                  <c:v>0.435</c:v>
                </c:pt>
                <c:pt idx="34">
                  <c:v>0.43</c:v>
                </c:pt>
                <c:pt idx="35">
                  <c:v>0.42599999999999999</c:v>
                </c:pt>
                <c:pt idx="36">
                  <c:v>0.42199999999999999</c:v>
                </c:pt>
                <c:pt idx="37">
                  <c:v>0.41799999999999998</c:v>
                </c:pt>
                <c:pt idx="38">
                  <c:v>0.41399999999999998</c:v>
                </c:pt>
                <c:pt idx="39">
                  <c:v>0.41099999999999998</c:v>
                </c:pt>
                <c:pt idx="40">
                  <c:v>0.40799999999999997</c:v>
                </c:pt>
                <c:pt idx="41">
                  <c:v>0.40400000000000003</c:v>
                </c:pt>
                <c:pt idx="42">
                  <c:v>0.40100000000000002</c:v>
                </c:pt>
                <c:pt idx="43">
                  <c:v>0.39800000000000002</c:v>
                </c:pt>
                <c:pt idx="44">
                  <c:v>0.39500000000000002</c:v>
                </c:pt>
                <c:pt idx="45">
                  <c:v>0.39200000000000002</c:v>
                </c:pt>
                <c:pt idx="46">
                  <c:v>0.38900000000000001</c:v>
                </c:pt>
                <c:pt idx="47">
                  <c:v>0.38600000000000001</c:v>
                </c:pt>
                <c:pt idx="48">
                  <c:v>0.38400000000000001</c:v>
                </c:pt>
                <c:pt idx="49">
                  <c:v>0.38100000000000001</c:v>
                </c:pt>
                <c:pt idx="50">
                  <c:v>0.379</c:v>
                </c:pt>
                <c:pt idx="51">
                  <c:v>0.378</c:v>
                </c:pt>
                <c:pt idx="52">
                  <c:v>0.376</c:v>
                </c:pt>
                <c:pt idx="53">
                  <c:v>0.374</c:v>
                </c:pt>
                <c:pt idx="54">
                  <c:v>0.373</c:v>
                </c:pt>
                <c:pt idx="55">
                  <c:v>0.372</c:v>
                </c:pt>
                <c:pt idx="56">
                  <c:v>0.371</c:v>
                </c:pt>
                <c:pt idx="57">
                  <c:v>0.37</c:v>
                </c:pt>
                <c:pt idx="58">
                  <c:v>0.37</c:v>
                </c:pt>
                <c:pt idx="59">
                  <c:v>0.36899999999999999</c:v>
                </c:pt>
                <c:pt idx="60">
                  <c:v>0.36899999999999999</c:v>
                </c:pt>
              </c:numCache>
            </c:numRef>
          </c:val>
          <c:smooth val="0"/>
          <c:extLst>
            <c:ext xmlns:c16="http://schemas.microsoft.com/office/drawing/2014/chart" uri="{C3380CC4-5D6E-409C-BE32-E72D297353CC}">
              <c16:uniqueId val="{00000002-406D-4A3D-B293-1B968D34F94C}"/>
            </c:ext>
          </c:extLst>
        </c:ser>
        <c:ser>
          <c:idx val="2"/>
          <c:order val="3"/>
          <c:tx>
            <c:strRef>
              <c:f>'Fig 2.1'!$C$20</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2.1'!$D$20:$BL$20</c:f>
              <c:numCache>
                <c:formatCode>0.0%</c:formatCode>
                <c:ptCount val="61"/>
                <c:pt idx="14">
                  <c:v>0.51600000000000001</c:v>
                </c:pt>
                <c:pt idx="15">
                  <c:v>0.51500000000000001</c:v>
                </c:pt>
                <c:pt idx="16">
                  <c:v>0.51200000000000001</c:v>
                </c:pt>
                <c:pt idx="17">
                  <c:v>0.51100000000000001</c:v>
                </c:pt>
                <c:pt idx="18">
                  <c:v>0.51100000000000001</c:v>
                </c:pt>
                <c:pt idx="19">
                  <c:v>0.50700000000000001</c:v>
                </c:pt>
                <c:pt idx="20">
                  <c:v>0.504</c:v>
                </c:pt>
                <c:pt idx="21">
                  <c:v>0.499</c:v>
                </c:pt>
                <c:pt idx="22">
                  <c:v>0.496</c:v>
                </c:pt>
                <c:pt idx="23">
                  <c:v>0.49099999999999999</c:v>
                </c:pt>
                <c:pt idx="24">
                  <c:v>0.48499999999999999</c:v>
                </c:pt>
                <c:pt idx="25">
                  <c:v>0.48</c:v>
                </c:pt>
                <c:pt idx="26">
                  <c:v>0.47499999999999998</c:v>
                </c:pt>
                <c:pt idx="27">
                  <c:v>0.47099999999999997</c:v>
                </c:pt>
                <c:pt idx="28">
                  <c:v>0.46600000000000003</c:v>
                </c:pt>
                <c:pt idx="29">
                  <c:v>0.46200000000000002</c:v>
                </c:pt>
                <c:pt idx="30">
                  <c:v>0.45800000000000002</c:v>
                </c:pt>
                <c:pt idx="31">
                  <c:v>0.45400000000000001</c:v>
                </c:pt>
                <c:pt idx="32">
                  <c:v>0.45</c:v>
                </c:pt>
                <c:pt idx="33">
                  <c:v>0.44600000000000001</c:v>
                </c:pt>
                <c:pt idx="34">
                  <c:v>0.443</c:v>
                </c:pt>
                <c:pt idx="35">
                  <c:v>0.439</c:v>
                </c:pt>
                <c:pt idx="36">
                  <c:v>0.436</c:v>
                </c:pt>
                <c:pt idx="37">
                  <c:v>0.433</c:v>
                </c:pt>
                <c:pt idx="38">
                  <c:v>0.43099999999999999</c:v>
                </c:pt>
                <c:pt idx="39">
                  <c:v>0.42799999999999999</c:v>
                </c:pt>
                <c:pt idx="40">
                  <c:v>0.42599999999999999</c:v>
                </c:pt>
                <c:pt idx="41">
                  <c:v>0.42299999999999999</c:v>
                </c:pt>
                <c:pt idx="42">
                  <c:v>0.42099999999999999</c:v>
                </c:pt>
                <c:pt idx="43">
                  <c:v>0.41799999999999998</c:v>
                </c:pt>
                <c:pt idx="44">
                  <c:v>0.41599999999999998</c:v>
                </c:pt>
                <c:pt idx="45">
                  <c:v>0.41299999999999998</c:v>
                </c:pt>
                <c:pt idx="46">
                  <c:v>0.41099999999999998</c:v>
                </c:pt>
                <c:pt idx="47">
                  <c:v>0.40899999999999997</c:v>
                </c:pt>
                <c:pt idx="48">
                  <c:v>0.40699999999999997</c:v>
                </c:pt>
                <c:pt idx="49">
                  <c:v>0.40500000000000003</c:v>
                </c:pt>
                <c:pt idx="50">
                  <c:v>0.40400000000000003</c:v>
                </c:pt>
                <c:pt idx="51">
                  <c:v>0.40300000000000002</c:v>
                </c:pt>
                <c:pt idx="52">
                  <c:v>0.40100000000000002</c:v>
                </c:pt>
                <c:pt idx="53">
                  <c:v>0.4</c:v>
                </c:pt>
                <c:pt idx="54">
                  <c:v>0.39900000000000002</c:v>
                </c:pt>
                <c:pt idx="55">
                  <c:v>0.39900000000000002</c:v>
                </c:pt>
                <c:pt idx="56">
                  <c:v>0.39800000000000002</c:v>
                </c:pt>
                <c:pt idx="57">
                  <c:v>0.39800000000000002</c:v>
                </c:pt>
                <c:pt idx="58">
                  <c:v>0.39800000000000002</c:v>
                </c:pt>
                <c:pt idx="59">
                  <c:v>0.39800000000000002</c:v>
                </c:pt>
                <c:pt idx="60">
                  <c:v>0.39800000000000002</c:v>
                </c:pt>
              </c:numCache>
            </c:numRef>
          </c:val>
          <c:smooth val="0"/>
          <c:extLst>
            <c:ext xmlns:c16="http://schemas.microsoft.com/office/drawing/2014/chart" uri="{C3380CC4-5D6E-409C-BE32-E72D297353CC}">
              <c16:uniqueId val="{00000003-406D-4A3D-B293-1B968D34F94C}"/>
            </c:ext>
          </c:extLst>
        </c:ser>
        <c:ser>
          <c:idx val="3"/>
          <c:order val="4"/>
          <c:tx>
            <c:strRef>
              <c:f>'Fig 2.1'!$C$21</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2.1'!$D$21:$BL$21</c:f>
              <c:numCache>
                <c:formatCode>0.0%</c:formatCode>
                <c:ptCount val="61"/>
                <c:pt idx="14">
                  <c:v>0.51600000000000001</c:v>
                </c:pt>
                <c:pt idx="15">
                  <c:v>0.51500000000000001</c:v>
                </c:pt>
                <c:pt idx="16">
                  <c:v>0.51200000000000001</c:v>
                </c:pt>
                <c:pt idx="17">
                  <c:v>0.51100000000000001</c:v>
                </c:pt>
                <c:pt idx="18">
                  <c:v>0.51100000000000001</c:v>
                </c:pt>
                <c:pt idx="19">
                  <c:v>0.50700000000000001</c:v>
                </c:pt>
                <c:pt idx="20">
                  <c:v>0.504</c:v>
                </c:pt>
                <c:pt idx="21">
                  <c:v>0.499</c:v>
                </c:pt>
                <c:pt idx="22">
                  <c:v>0.495</c:v>
                </c:pt>
                <c:pt idx="23">
                  <c:v>0.49</c:v>
                </c:pt>
                <c:pt idx="24">
                  <c:v>0.48499999999999999</c:v>
                </c:pt>
                <c:pt idx="25">
                  <c:v>0.48099999999999998</c:v>
                </c:pt>
                <c:pt idx="26">
                  <c:v>0.47699999999999998</c:v>
                </c:pt>
                <c:pt idx="27">
                  <c:v>0.47299999999999998</c:v>
                </c:pt>
                <c:pt idx="28">
                  <c:v>0.47</c:v>
                </c:pt>
                <c:pt idx="29">
                  <c:v>0.46600000000000003</c:v>
                </c:pt>
                <c:pt idx="30">
                  <c:v>0.46300000000000002</c:v>
                </c:pt>
                <c:pt idx="31">
                  <c:v>0.46</c:v>
                </c:pt>
                <c:pt idx="32">
                  <c:v>0.45700000000000002</c:v>
                </c:pt>
                <c:pt idx="33">
                  <c:v>0.45300000000000001</c:v>
                </c:pt>
                <c:pt idx="34">
                  <c:v>0.45100000000000001</c:v>
                </c:pt>
                <c:pt idx="35">
                  <c:v>0.44800000000000001</c:v>
                </c:pt>
                <c:pt idx="36">
                  <c:v>0.44500000000000001</c:v>
                </c:pt>
                <c:pt idx="37">
                  <c:v>0.443</c:v>
                </c:pt>
                <c:pt idx="38">
                  <c:v>0.441</c:v>
                </c:pt>
                <c:pt idx="39">
                  <c:v>0.438</c:v>
                </c:pt>
                <c:pt idx="40">
                  <c:v>0.437</c:v>
                </c:pt>
                <c:pt idx="41">
                  <c:v>0.435</c:v>
                </c:pt>
                <c:pt idx="42">
                  <c:v>0.433</c:v>
                </c:pt>
                <c:pt idx="43">
                  <c:v>0.43</c:v>
                </c:pt>
                <c:pt idx="44">
                  <c:v>0.42799999999999999</c:v>
                </c:pt>
                <c:pt idx="45">
                  <c:v>0.42599999999999999</c:v>
                </c:pt>
                <c:pt idx="46">
                  <c:v>0.42499999999999999</c:v>
                </c:pt>
                <c:pt idx="47">
                  <c:v>0.42299999999999999</c:v>
                </c:pt>
                <c:pt idx="48">
                  <c:v>0.42099999999999999</c:v>
                </c:pt>
                <c:pt idx="49">
                  <c:v>0.41899999999999998</c:v>
                </c:pt>
                <c:pt idx="50">
                  <c:v>0.41799999999999998</c:v>
                </c:pt>
                <c:pt idx="51">
                  <c:v>0.41699999999999998</c:v>
                </c:pt>
                <c:pt idx="52">
                  <c:v>0.41599999999999998</c:v>
                </c:pt>
                <c:pt idx="53">
                  <c:v>0.41499999999999998</c:v>
                </c:pt>
                <c:pt idx="54">
                  <c:v>0.41399999999999998</c:v>
                </c:pt>
                <c:pt idx="55">
                  <c:v>0.41299999999999998</c:v>
                </c:pt>
                <c:pt idx="56">
                  <c:v>0.41299999999999998</c:v>
                </c:pt>
                <c:pt idx="57">
                  <c:v>0.41299999999999998</c:v>
                </c:pt>
                <c:pt idx="58">
                  <c:v>0.41299999999999998</c:v>
                </c:pt>
                <c:pt idx="59">
                  <c:v>0.41299999999999998</c:v>
                </c:pt>
                <c:pt idx="60">
                  <c:v>0.41299999999999998</c:v>
                </c:pt>
              </c:numCache>
            </c:numRef>
          </c:val>
          <c:smooth val="0"/>
          <c:extLst>
            <c:ext xmlns:c16="http://schemas.microsoft.com/office/drawing/2014/chart" uri="{C3380CC4-5D6E-409C-BE32-E72D297353CC}">
              <c16:uniqueId val="{00000004-406D-4A3D-B293-1B968D34F94C}"/>
            </c:ext>
          </c:extLst>
        </c:ser>
        <c:ser>
          <c:idx val="4"/>
          <c:order val="5"/>
          <c:tx>
            <c:strRef>
              <c:f>'Fig 2.1'!$C$22</c:f>
              <c:strCache>
                <c:ptCount val="1"/>
                <c:pt idx="0">
                  <c:v>C'</c:v>
                </c:pt>
              </c:strCache>
            </c:strRef>
          </c:tx>
          <c:spPr>
            <a:ln w="22225">
              <a:solidFill>
                <a:schemeClr val="tx1"/>
              </a:solidFill>
            </a:ln>
          </c:spPr>
          <c:marker>
            <c:symbol val="star"/>
            <c:size val="4"/>
            <c:spPr>
              <a:noFill/>
              <a:ln>
                <a:solidFill>
                  <a:schemeClr val="tx1"/>
                </a:solidFill>
              </a:ln>
            </c:spPr>
          </c:marker>
          <c:cat>
            <c:numRef>
              <c:f>'Fig 2.1'!$D$4:$BL$4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2.1'!$D$22:$BL$22</c:f>
              <c:numCache>
                <c:formatCode>0.0%</c:formatCode>
                <c:ptCount val="61"/>
                <c:pt idx="14">
                  <c:v>0.51600000000000001</c:v>
                </c:pt>
                <c:pt idx="15">
                  <c:v>0.51500000000000001</c:v>
                </c:pt>
                <c:pt idx="16">
                  <c:v>0.51200000000000001</c:v>
                </c:pt>
                <c:pt idx="17">
                  <c:v>0.51100000000000001</c:v>
                </c:pt>
                <c:pt idx="18">
                  <c:v>0.51100000000000001</c:v>
                </c:pt>
                <c:pt idx="19">
                  <c:v>0.50700000000000001</c:v>
                </c:pt>
                <c:pt idx="20">
                  <c:v>0.505</c:v>
                </c:pt>
                <c:pt idx="21">
                  <c:v>0.5</c:v>
                </c:pt>
                <c:pt idx="22">
                  <c:v>0.498</c:v>
                </c:pt>
                <c:pt idx="23">
                  <c:v>0.49399999999999999</c:v>
                </c:pt>
                <c:pt idx="24">
                  <c:v>0.49</c:v>
                </c:pt>
                <c:pt idx="25">
                  <c:v>0.48799999999999999</c:v>
                </c:pt>
                <c:pt idx="26">
                  <c:v>0.48499999999999999</c:v>
                </c:pt>
                <c:pt idx="27">
                  <c:v>0.48299999999999998</c:v>
                </c:pt>
                <c:pt idx="28">
                  <c:v>0.48</c:v>
                </c:pt>
                <c:pt idx="29">
                  <c:v>0.47799999999999998</c:v>
                </c:pt>
                <c:pt idx="30">
                  <c:v>0.47599999999999998</c:v>
                </c:pt>
                <c:pt idx="31">
                  <c:v>0.47399999999999998</c:v>
                </c:pt>
                <c:pt idx="32">
                  <c:v>0.47199999999999998</c:v>
                </c:pt>
                <c:pt idx="33">
                  <c:v>0.47</c:v>
                </c:pt>
                <c:pt idx="34">
                  <c:v>0.46800000000000003</c:v>
                </c:pt>
                <c:pt idx="35">
                  <c:v>0.46600000000000003</c:v>
                </c:pt>
                <c:pt idx="36">
                  <c:v>0.46500000000000002</c:v>
                </c:pt>
                <c:pt idx="37">
                  <c:v>0.46300000000000002</c:v>
                </c:pt>
                <c:pt idx="38">
                  <c:v>0.46200000000000002</c:v>
                </c:pt>
                <c:pt idx="39">
                  <c:v>0.46100000000000002</c:v>
                </c:pt>
                <c:pt idx="40">
                  <c:v>0.46</c:v>
                </c:pt>
                <c:pt idx="41">
                  <c:v>0.45900000000000002</c:v>
                </c:pt>
                <c:pt idx="42">
                  <c:v>0.45700000000000002</c:v>
                </c:pt>
                <c:pt idx="43">
                  <c:v>0.45600000000000002</c:v>
                </c:pt>
                <c:pt idx="44">
                  <c:v>0.45400000000000001</c:v>
                </c:pt>
                <c:pt idx="45">
                  <c:v>0.45300000000000001</c:v>
                </c:pt>
                <c:pt idx="46">
                  <c:v>0.45200000000000001</c:v>
                </c:pt>
                <c:pt idx="47">
                  <c:v>0.45100000000000001</c:v>
                </c:pt>
                <c:pt idx="48">
                  <c:v>0.45</c:v>
                </c:pt>
                <c:pt idx="49">
                  <c:v>0.44900000000000001</c:v>
                </c:pt>
                <c:pt idx="50">
                  <c:v>0.44800000000000001</c:v>
                </c:pt>
                <c:pt idx="51">
                  <c:v>0.44700000000000001</c:v>
                </c:pt>
                <c:pt idx="52">
                  <c:v>0.44700000000000001</c:v>
                </c:pt>
                <c:pt idx="53">
                  <c:v>0.44600000000000001</c:v>
                </c:pt>
                <c:pt idx="54">
                  <c:v>0.44600000000000001</c:v>
                </c:pt>
                <c:pt idx="55">
                  <c:v>0.44600000000000001</c:v>
                </c:pt>
                <c:pt idx="56">
                  <c:v>0.44600000000000001</c:v>
                </c:pt>
                <c:pt idx="57">
                  <c:v>0.44600000000000001</c:v>
                </c:pt>
                <c:pt idx="58">
                  <c:v>0.44700000000000001</c:v>
                </c:pt>
                <c:pt idx="59">
                  <c:v>0.44700000000000001</c:v>
                </c:pt>
                <c:pt idx="60">
                  <c:v>0.44700000000000001</c:v>
                </c:pt>
              </c:numCache>
            </c:numRef>
          </c:val>
          <c:smooth val="0"/>
          <c:extLst>
            <c:ext xmlns:c16="http://schemas.microsoft.com/office/drawing/2014/chart" uri="{C3380CC4-5D6E-409C-BE32-E72D297353CC}">
              <c16:uniqueId val="{00000005-406D-4A3D-B293-1B968D34F94C}"/>
            </c:ext>
          </c:extLst>
        </c:ser>
        <c:dLbls>
          <c:showLegendKey val="0"/>
          <c:showVal val="0"/>
          <c:showCatName val="0"/>
          <c:showSerName val="0"/>
          <c:showPercent val="0"/>
          <c:showBubbleSize val="0"/>
        </c:dLbls>
        <c:smooth val="0"/>
        <c:axId val="154403968"/>
        <c:axId val="154405888"/>
      </c:lineChart>
      <c:catAx>
        <c:axId val="15440396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54405888"/>
        <c:crosses val="autoZero"/>
        <c:auto val="1"/>
        <c:lblAlgn val="ctr"/>
        <c:lblOffset val="100"/>
        <c:tickLblSkip val="10"/>
        <c:noMultiLvlLbl val="0"/>
      </c:catAx>
      <c:valAx>
        <c:axId val="154405888"/>
        <c:scaling>
          <c:orientation val="minMax"/>
          <c:max val="0.60000000000000009"/>
          <c:min val="0.30000000000000004"/>
        </c:scaling>
        <c:delete val="0"/>
        <c:axPos val="l"/>
        <c:majorGridlines/>
        <c:numFmt formatCode="0%" sourceLinked="0"/>
        <c:majorTickMark val="out"/>
        <c:minorTickMark val="none"/>
        <c:tickLblPos val="nextTo"/>
        <c:crossAx val="154403968"/>
        <c:crosses val="autoZero"/>
        <c:crossBetween val="between"/>
        <c:majorUnit val="5.000000000000001E-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466676040494954E-2"/>
          <c:y val="4.3056666666666667E-2"/>
          <c:w val="0.89027769966254233"/>
          <c:h val="0.65650555555555556"/>
        </c:manualLayout>
      </c:layout>
      <c:lineChart>
        <c:grouping val="standard"/>
        <c:varyColors val="0"/>
        <c:ser>
          <c:idx val="5"/>
          <c:order val="0"/>
          <c:tx>
            <c:strRef>
              <c:f>'Fig 2.2'!$B$5</c:f>
              <c:strCache>
                <c:ptCount val="1"/>
                <c:pt idx="0">
                  <c:v>Obs</c:v>
                </c:pt>
              </c:strCache>
            </c:strRef>
          </c:tx>
          <c:spPr>
            <a:ln w="50800">
              <a:solidFill>
                <a:schemeClr val="bg1">
                  <a:lumMod val="50000"/>
                </a:schemeClr>
              </a:solidFill>
            </a:ln>
          </c:spPr>
          <c:marker>
            <c:symbol val="none"/>
          </c:marker>
          <c:cat>
            <c:numRef>
              <c:f>'Fig 2.2'!$C$4:$BK$4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2.2'!$C$5:$BK$5</c:f>
              <c:numCache>
                <c:formatCode>0.0</c:formatCode>
                <c:ptCount val="61"/>
                <c:pt idx="0">
                  <c:v>60.7</c:v>
                </c:pt>
                <c:pt idx="1">
                  <c:v>60.8</c:v>
                </c:pt>
                <c:pt idx="2">
                  <c:v>60.8</c:v>
                </c:pt>
                <c:pt idx="3">
                  <c:v>60.8</c:v>
                </c:pt>
                <c:pt idx="4">
                  <c:v>60.7</c:v>
                </c:pt>
                <c:pt idx="5">
                  <c:v>60.6</c:v>
                </c:pt>
                <c:pt idx="6">
                  <c:v>60.6</c:v>
                </c:pt>
                <c:pt idx="7">
                  <c:v>60.5</c:v>
                </c:pt>
                <c:pt idx="8">
                  <c:v>60.5</c:v>
                </c:pt>
                <c:pt idx="9">
                  <c:v>60.6</c:v>
                </c:pt>
                <c:pt idx="10">
                  <c:v>60.5</c:v>
                </c:pt>
                <c:pt idx="11">
                  <c:v>60.8</c:v>
                </c:pt>
                <c:pt idx="12">
                  <c:v>61</c:v>
                </c:pt>
                <c:pt idx="13">
                  <c:v>61.2</c:v>
                </c:pt>
              </c:numCache>
            </c:numRef>
          </c:val>
          <c:smooth val="0"/>
          <c:extLst>
            <c:ext xmlns:c16="http://schemas.microsoft.com/office/drawing/2014/chart" uri="{C3380CC4-5D6E-409C-BE32-E72D297353CC}">
              <c16:uniqueId val="{00000000-5DFC-4EB7-AD0D-0169697ED540}"/>
            </c:ext>
          </c:extLst>
        </c:ser>
        <c:ser>
          <c:idx val="0"/>
          <c:order val="1"/>
          <c:tx>
            <c:strRef>
              <c:f>'Fig 2.2'!$B$6</c:f>
              <c:strCache>
                <c:ptCount val="1"/>
                <c:pt idx="0">
                  <c:v>Tous scénarios</c:v>
                </c:pt>
              </c:strCache>
            </c:strRef>
          </c:tx>
          <c:spPr>
            <a:ln w="22225">
              <a:solidFill>
                <a:schemeClr val="tx1"/>
              </a:solidFill>
            </a:ln>
          </c:spPr>
          <c:marker>
            <c:symbol val="x"/>
            <c:size val="4"/>
            <c:spPr>
              <a:noFill/>
              <a:ln>
                <a:solidFill>
                  <a:schemeClr val="tx1"/>
                </a:solidFill>
              </a:ln>
            </c:spPr>
          </c:marker>
          <c:cat>
            <c:numRef>
              <c:f>'Fig 2.2'!$C$4:$BK$4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2.2'!$C$6:$BK$6</c:f>
              <c:numCache>
                <c:formatCode>0.0</c:formatCode>
                <c:ptCount val="61"/>
                <c:pt idx="14">
                  <c:v>61.3</c:v>
                </c:pt>
                <c:pt idx="15">
                  <c:v>61.6</c:v>
                </c:pt>
                <c:pt idx="16">
                  <c:v>61.8</c:v>
                </c:pt>
                <c:pt idx="17">
                  <c:v>62</c:v>
                </c:pt>
                <c:pt idx="18">
                  <c:v>62.1</c:v>
                </c:pt>
                <c:pt idx="19">
                  <c:v>62.2</c:v>
                </c:pt>
                <c:pt idx="20">
                  <c:v>62.3</c:v>
                </c:pt>
                <c:pt idx="21">
                  <c:v>62.5</c:v>
                </c:pt>
                <c:pt idx="22">
                  <c:v>62.5</c:v>
                </c:pt>
                <c:pt idx="23">
                  <c:v>62.6</c:v>
                </c:pt>
                <c:pt idx="24">
                  <c:v>62.7</c:v>
                </c:pt>
                <c:pt idx="25">
                  <c:v>62.8</c:v>
                </c:pt>
                <c:pt idx="26">
                  <c:v>62.9</c:v>
                </c:pt>
                <c:pt idx="27">
                  <c:v>63</c:v>
                </c:pt>
                <c:pt idx="28">
                  <c:v>63.1</c:v>
                </c:pt>
                <c:pt idx="29">
                  <c:v>63.2</c:v>
                </c:pt>
                <c:pt idx="30">
                  <c:v>63.3</c:v>
                </c:pt>
                <c:pt idx="31">
                  <c:v>63.4</c:v>
                </c:pt>
                <c:pt idx="32">
                  <c:v>63.5</c:v>
                </c:pt>
                <c:pt idx="33">
                  <c:v>63.6</c:v>
                </c:pt>
                <c:pt idx="34">
                  <c:v>63.7</c:v>
                </c:pt>
                <c:pt idx="35">
                  <c:v>63.8</c:v>
                </c:pt>
                <c:pt idx="36">
                  <c:v>63.9</c:v>
                </c:pt>
                <c:pt idx="37">
                  <c:v>63.9</c:v>
                </c:pt>
                <c:pt idx="38">
                  <c:v>64</c:v>
                </c:pt>
                <c:pt idx="39">
                  <c:v>64.099999999999994</c:v>
                </c:pt>
                <c:pt idx="40">
                  <c:v>64.099999999999994</c:v>
                </c:pt>
                <c:pt idx="41">
                  <c:v>64.099999999999994</c:v>
                </c:pt>
                <c:pt idx="42">
                  <c:v>64.099999999999994</c:v>
                </c:pt>
                <c:pt idx="43">
                  <c:v>64.099999999999994</c:v>
                </c:pt>
                <c:pt idx="44">
                  <c:v>64.099999999999994</c:v>
                </c:pt>
                <c:pt idx="45">
                  <c:v>64</c:v>
                </c:pt>
                <c:pt idx="46">
                  <c:v>64</c:v>
                </c:pt>
                <c:pt idx="47">
                  <c:v>64</c:v>
                </c:pt>
                <c:pt idx="48">
                  <c:v>64</c:v>
                </c:pt>
                <c:pt idx="49">
                  <c:v>64</c:v>
                </c:pt>
                <c:pt idx="50">
                  <c:v>64</c:v>
                </c:pt>
                <c:pt idx="51">
                  <c:v>64</c:v>
                </c:pt>
                <c:pt idx="52">
                  <c:v>64</c:v>
                </c:pt>
                <c:pt idx="53">
                  <c:v>64</c:v>
                </c:pt>
                <c:pt idx="54">
                  <c:v>64</c:v>
                </c:pt>
                <c:pt idx="55">
                  <c:v>64</c:v>
                </c:pt>
                <c:pt idx="56">
                  <c:v>64</c:v>
                </c:pt>
                <c:pt idx="57">
                  <c:v>64</c:v>
                </c:pt>
                <c:pt idx="58">
                  <c:v>64</c:v>
                </c:pt>
                <c:pt idx="59">
                  <c:v>64</c:v>
                </c:pt>
                <c:pt idx="60">
                  <c:v>64</c:v>
                </c:pt>
              </c:numCache>
            </c:numRef>
          </c:val>
          <c:smooth val="0"/>
          <c:extLst>
            <c:ext xmlns:c16="http://schemas.microsoft.com/office/drawing/2014/chart" uri="{C3380CC4-5D6E-409C-BE32-E72D297353CC}">
              <c16:uniqueId val="{00000001-5DFC-4EB7-AD0D-0169697ED540}"/>
            </c:ext>
          </c:extLst>
        </c:ser>
        <c:dLbls>
          <c:showLegendKey val="0"/>
          <c:showVal val="0"/>
          <c:showCatName val="0"/>
          <c:showSerName val="0"/>
          <c:showPercent val="0"/>
          <c:showBubbleSize val="0"/>
        </c:dLbls>
        <c:smooth val="0"/>
        <c:axId val="159620096"/>
        <c:axId val="160589312"/>
      </c:lineChart>
      <c:catAx>
        <c:axId val="15962009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60589312"/>
        <c:crosses val="autoZero"/>
        <c:auto val="1"/>
        <c:lblAlgn val="ctr"/>
        <c:lblOffset val="100"/>
        <c:tickLblSkip val="5"/>
        <c:noMultiLvlLbl val="0"/>
      </c:catAx>
      <c:valAx>
        <c:axId val="160589312"/>
        <c:scaling>
          <c:orientation val="minMax"/>
          <c:max val="65"/>
          <c:min val="60"/>
        </c:scaling>
        <c:delete val="0"/>
        <c:axPos val="l"/>
        <c:majorGridlines/>
        <c:numFmt formatCode="#,##0" sourceLinked="0"/>
        <c:majorTickMark val="out"/>
        <c:minorTickMark val="none"/>
        <c:tickLblPos val="nextTo"/>
        <c:crossAx val="159620096"/>
        <c:crosses val="autoZero"/>
        <c:crossBetween val="between"/>
        <c:majorUnit val="1"/>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326138920134984"/>
          <c:y val="4.3056666666666667E-2"/>
          <c:w val="0.84728182414698172"/>
          <c:h val="0.6282833333333333"/>
        </c:manualLayout>
      </c:layout>
      <c:lineChart>
        <c:grouping val="standard"/>
        <c:varyColors val="0"/>
        <c:ser>
          <c:idx val="5"/>
          <c:order val="0"/>
          <c:tx>
            <c:strRef>
              <c:f>'Fig 2.3'!$B$4</c:f>
              <c:strCache>
                <c:ptCount val="1"/>
                <c:pt idx="0">
                  <c:v>Avec taux légal ARRCO</c:v>
                </c:pt>
              </c:strCache>
            </c:strRef>
          </c:tx>
          <c:spPr>
            <a:ln w="50800">
              <a:solidFill>
                <a:srgbClr val="002060"/>
              </a:solidFill>
            </a:ln>
          </c:spPr>
          <c:marker>
            <c:symbol val="none"/>
          </c:marker>
          <c:cat>
            <c:numRef>
              <c:f>'Fig 2.3'!$C$3:$AG$3</c:f>
              <c:numCache>
                <c:formatCode>General</c:formatCode>
                <c:ptCount val="3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numCache>
            </c:numRef>
          </c:cat>
          <c:val>
            <c:numRef>
              <c:f>'Fig 2.3'!$C$4:$AG$4</c:f>
              <c:numCache>
                <c:formatCode>0.0%</c:formatCode>
                <c:ptCount val="31"/>
                <c:pt idx="0">
                  <c:v>0.22700000000000001</c:v>
                </c:pt>
                <c:pt idx="1">
                  <c:v>0.23200000000000001</c:v>
                </c:pt>
                <c:pt idx="2">
                  <c:v>0.23300000000000001</c:v>
                </c:pt>
                <c:pt idx="3">
                  <c:v>0.23300000000000001</c:v>
                </c:pt>
                <c:pt idx="4">
                  <c:v>0.23400000000000001</c:v>
                </c:pt>
                <c:pt idx="5">
                  <c:v>0.23400000000000001</c:v>
                </c:pt>
                <c:pt idx="6">
                  <c:v>0.24</c:v>
                </c:pt>
                <c:pt idx="7">
                  <c:v>0.247</c:v>
                </c:pt>
                <c:pt idx="8">
                  <c:v>0.253</c:v>
                </c:pt>
                <c:pt idx="9">
                  <c:v>0.25900000000000001</c:v>
                </c:pt>
                <c:pt idx="10">
                  <c:v>0.25900000000000001</c:v>
                </c:pt>
                <c:pt idx="11">
                  <c:v>0.25900000000000001</c:v>
                </c:pt>
                <c:pt idx="12">
                  <c:v>0.26</c:v>
                </c:pt>
                <c:pt idx="13">
                  <c:v>0.26</c:v>
                </c:pt>
                <c:pt idx="14">
                  <c:v>0.26</c:v>
                </c:pt>
                <c:pt idx="15">
                  <c:v>0.26</c:v>
                </c:pt>
                <c:pt idx="16">
                  <c:v>0.26200000000000001</c:v>
                </c:pt>
                <c:pt idx="17">
                  <c:v>0.26200000000000001</c:v>
                </c:pt>
                <c:pt idx="18">
                  <c:v>0.26200000000000001</c:v>
                </c:pt>
                <c:pt idx="19">
                  <c:v>0.26200000000000001</c:v>
                </c:pt>
                <c:pt idx="20">
                  <c:v>0.26200000000000001</c:v>
                </c:pt>
                <c:pt idx="21">
                  <c:v>0.26200000000000001</c:v>
                </c:pt>
                <c:pt idx="22">
                  <c:v>0.26200000000000001</c:v>
                </c:pt>
                <c:pt idx="23">
                  <c:v>0.26400000000000001</c:v>
                </c:pt>
                <c:pt idx="24">
                  <c:v>0.26900000000000002</c:v>
                </c:pt>
                <c:pt idx="25">
                  <c:v>0.27200000000000002</c:v>
                </c:pt>
                <c:pt idx="26">
                  <c:v>0.27400000000000002</c:v>
                </c:pt>
                <c:pt idx="27">
                  <c:v>0.27500000000000002</c:v>
                </c:pt>
                <c:pt idx="28">
                  <c:v>0.27500000000000002</c:v>
                </c:pt>
                <c:pt idx="29">
                  <c:v>0.27500000000000002</c:v>
                </c:pt>
                <c:pt idx="30">
                  <c:v>0.27500000000000002</c:v>
                </c:pt>
              </c:numCache>
            </c:numRef>
          </c:val>
          <c:smooth val="0"/>
          <c:extLst>
            <c:ext xmlns:c16="http://schemas.microsoft.com/office/drawing/2014/chart" uri="{C3380CC4-5D6E-409C-BE32-E72D297353CC}">
              <c16:uniqueId val="{00000000-3D2C-4923-948E-0EBED510E853}"/>
            </c:ext>
          </c:extLst>
        </c:ser>
        <c:ser>
          <c:idx val="0"/>
          <c:order val="1"/>
          <c:tx>
            <c:strRef>
              <c:f>'Fig 2.3'!$B$5</c:f>
              <c:strCache>
                <c:ptCount val="1"/>
                <c:pt idx="0">
                  <c:v>Avec taux moyen ARRCO</c:v>
                </c:pt>
              </c:strCache>
            </c:strRef>
          </c:tx>
          <c:spPr>
            <a:ln w="12700">
              <a:solidFill>
                <a:schemeClr val="tx1"/>
              </a:solidFill>
            </a:ln>
          </c:spPr>
          <c:marker>
            <c:symbol val="x"/>
            <c:size val="4"/>
            <c:spPr>
              <a:noFill/>
              <a:ln>
                <a:solidFill>
                  <a:schemeClr val="tx1"/>
                </a:solidFill>
              </a:ln>
            </c:spPr>
          </c:marker>
          <c:cat>
            <c:numRef>
              <c:f>'Fig 2.3'!$C$3:$AG$3</c:f>
              <c:numCache>
                <c:formatCode>General</c:formatCode>
                <c:ptCount val="3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numCache>
            </c:numRef>
          </c:cat>
          <c:val>
            <c:numRef>
              <c:f>'Fig 2.3'!$C$5:$AG$5</c:f>
              <c:numCache>
                <c:formatCode>0.0%</c:formatCode>
                <c:ptCount val="31"/>
                <c:pt idx="0">
                  <c:v>0.24399999999999999</c:v>
                </c:pt>
                <c:pt idx="1">
                  <c:v>0.249</c:v>
                </c:pt>
                <c:pt idx="2">
                  <c:v>0.25</c:v>
                </c:pt>
                <c:pt idx="3">
                  <c:v>0.25</c:v>
                </c:pt>
                <c:pt idx="4">
                  <c:v>0.254</c:v>
                </c:pt>
                <c:pt idx="5">
                  <c:v>0.254</c:v>
                </c:pt>
                <c:pt idx="6">
                  <c:v>0.25700000000000001</c:v>
                </c:pt>
                <c:pt idx="7">
                  <c:v>0.25900000000000001</c:v>
                </c:pt>
                <c:pt idx="8">
                  <c:v>0.26200000000000001</c:v>
                </c:pt>
                <c:pt idx="9">
                  <c:v>0.26500000000000001</c:v>
                </c:pt>
                <c:pt idx="10">
                  <c:v>0.26500000000000001</c:v>
                </c:pt>
                <c:pt idx="11">
                  <c:v>0.26500000000000001</c:v>
                </c:pt>
                <c:pt idx="12">
                  <c:v>0.26500000000000001</c:v>
                </c:pt>
                <c:pt idx="13">
                  <c:v>0.26500000000000001</c:v>
                </c:pt>
                <c:pt idx="14">
                  <c:v>0.26500000000000001</c:v>
                </c:pt>
                <c:pt idx="15">
                  <c:v>0.26500000000000001</c:v>
                </c:pt>
                <c:pt idx="16">
                  <c:v>0.26700000000000002</c:v>
                </c:pt>
                <c:pt idx="17">
                  <c:v>0.26700000000000002</c:v>
                </c:pt>
                <c:pt idx="18">
                  <c:v>0.26700000000000002</c:v>
                </c:pt>
                <c:pt idx="19">
                  <c:v>0.26700000000000002</c:v>
                </c:pt>
                <c:pt idx="20">
                  <c:v>0.26700000000000002</c:v>
                </c:pt>
                <c:pt idx="21">
                  <c:v>0.26700000000000002</c:v>
                </c:pt>
                <c:pt idx="22">
                  <c:v>0.26700000000000002</c:v>
                </c:pt>
                <c:pt idx="23">
                  <c:v>0.26900000000000002</c:v>
                </c:pt>
                <c:pt idx="24">
                  <c:v>0.27400000000000002</c:v>
                </c:pt>
                <c:pt idx="25">
                  <c:v>0.27700000000000002</c:v>
                </c:pt>
                <c:pt idx="26">
                  <c:v>0.27900000000000003</c:v>
                </c:pt>
                <c:pt idx="27">
                  <c:v>0.28000000000000003</c:v>
                </c:pt>
                <c:pt idx="28">
                  <c:v>0.28000000000000003</c:v>
                </c:pt>
                <c:pt idx="29">
                  <c:v>0.28000000000000003</c:v>
                </c:pt>
                <c:pt idx="30">
                  <c:v>0.28000000000000003</c:v>
                </c:pt>
              </c:numCache>
            </c:numRef>
          </c:val>
          <c:smooth val="0"/>
          <c:extLst>
            <c:ext xmlns:c16="http://schemas.microsoft.com/office/drawing/2014/chart" uri="{C3380CC4-5D6E-409C-BE32-E72D297353CC}">
              <c16:uniqueId val="{00000001-3D2C-4923-948E-0EBED510E853}"/>
            </c:ext>
          </c:extLst>
        </c:ser>
        <c:dLbls>
          <c:showLegendKey val="0"/>
          <c:showVal val="0"/>
          <c:showCatName val="0"/>
          <c:showSerName val="0"/>
          <c:showPercent val="0"/>
          <c:showBubbleSize val="0"/>
        </c:dLbls>
        <c:smooth val="0"/>
        <c:axId val="161115136"/>
        <c:axId val="185042432"/>
      </c:lineChart>
      <c:catAx>
        <c:axId val="161115136"/>
        <c:scaling>
          <c:orientation val="minMax"/>
        </c:scaling>
        <c:delete val="0"/>
        <c:axPos val="b"/>
        <c:title>
          <c:tx>
            <c:rich>
              <a:bodyPr/>
              <a:lstStyle/>
              <a:p>
                <a:pPr>
                  <a:defRPr/>
                </a:pPr>
                <a:r>
                  <a:rPr lang="en-US"/>
                  <a:t>année</a:t>
                </a:r>
              </a:p>
            </c:rich>
          </c:tx>
          <c:layout>
            <c:manualLayout>
              <c:xMode val="edge"/>
              <c:yMode val="edge"/>
              <c:x val="0.89467754030746149"/>
              <c:y val="0.55228888888888894"/>
            </c:manualLayout>
          </c:layout>
          <c:overlay val="0"/>
        </c:title>
        <c:numFmt formatCode="General" sourceLinked="1"/>
        <c:majorTickMark val="out"/>
        <c:minorTickMark val="none"/>
        <c:tickLblPos val="nextTo"/>
        <c:txPr>
          <a:bodyPr rot="-5400000" vert="horz"/>
          <a:lstStyle/>
          <a:p>
            <a:pPr>
              <a:defRPr/>
            </a:pPr>
            <a:endParaRPr lang="fr-FR"/>
          </a:p>
        </c:txPr>
        <c:crossAx val="185042432"/>
        <c:crosses val="autoZero"/>
        <c:auto val="1"/>
        <c:lblAlgn val="ctr"/>
        <c:lblOffset val="100"/>
        <c:tickLblSkip val="1"/>
        <c:noMultiLvlLbl val="0"/>
      </c:catAx>
      <c:valAx>
        <c:axId val="185042432"/>
        <c:scaling>
          <c:orientation val="minMax"/>
          <c:max val="0.30000000000000004"/>
          <c:min val="0.2"/>
        </c:scaling>
        <c:delete val="0"/>
        <c:axPos val="l"/>
        <c:majorGridlines/>
        <c:title>
          <c:tx>
            <c:rich>
              <a:bodyPr rot="-5400000" vert="horz"/>
              <a:lstStyle/>
              <a:p>
                <a:pPr>
                  <a:defRPr/>
                </a:pPr>
                <a:r>
                  <a:rPr lang="en-US"/>
                  <a:t>en % du salaire brut</a:t>
                </a:r>
              </a:p>
            </c:rich>
          </c:tx>
          <c:layout>
            <c:manualLayout>
              <c:xMode val="edge"/>
              <c:yMode val="edge"/>
              <c:x val="5.550478065241846E-3"/>
              <c:y val="4.4742777777777777E-2"/>
            </c:manualLayout>
          </c:layout>
          <c:overlay val="0"/>
        </c:title>
        <c:numFmt formatCode="0%" sourceLinked="0"/>
        <c:majorTickMark val="out"/>
        <c:minorTickMark val="none"/>
        <c:tickLblPos val="nextTo"/>
        <c:crossAx val="161115136"/>
        <c:crosses val="autoZero"/>
        <c:crossBetween val="between"/>
        <c:majorUnit val="2.0000000000000004E-2"/>
      </c:valAx>
    </c:plotArea>
    <c:legend>
      <c:legendPos val="b"/>
      <c:layout>
        <c:manualLayout>
          <c:xMode val="edge"/>
          <c:yMode val="edge"/>
          <c:x val="1.0199896887889012E-2"/>
          <c:y val="0.88251444444444449"/>
          <c:w val="0.97710296296296295"/>
          <c:h val="0.11748531746031746"/>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2930947293447293"/>
          <c:y val="3.3120512820512822E-2"/>
          <c:w val="0.7706905270655271"/>
          <c:h val="0.60730683760683757"/>
        </c:manualLayout>
      </c:layout>
      <c:lineChart>
        <c:grouping val="standard"/>
        <c:varyColors val="0"/>
        <c:ser>
          <c:idx val="0"/>
          <c:order val="0"/>
          <c:tx>
            <c:v>Civils, employés dans un ministère</c:v>
          </c:tx>
          <c:spPr>
            <a:ln w="25400">
              <a:solidFill>
                <a:schemeClr val="tx1"/>
              </a:solidFill>
            </a:ln>
          </c:spPr>
          <c:marker>
            <c:symbol val="diamond"/>
            <c:size val="6"/>
            <c:spPr>
              <a:solidFill>
                <a:schemeClr val="tx1"/>
              </a:solidFill>
              <a:ln>
                <a:solidFill>
                  <a:schemeClr val="tx1"/>
                </a:solidFill>
              </a:ln>
            </c:spPr>
          </c:marker>
          <c:cat>
            <c:numRef>
              <c:f>'Fig 2.4'!$D$4:$M$4</c:f>
              <c:numCache>
                <c:formatCode>General</c:formatCode>
                <c:ptCount val="10"/>
                <c:pt idx="0">
                  <c:v>2006</c:v>
                </c:pt>
                <c:pt idx="1">
                  <c:v>2007</c:v>
                </c:pt>
                <c:pt idx="2">
                  <c:v>2008</c:v>
                </c:pt>
                <c:pt idx="3">
                  <c:v>2009</c:v>
                </c:pt>
                <c:pt idx="4">
                  <c:v>2010</c:v>
                </c:pt>
                <c:pt idx="5">
                  <c:v>2011</c:v>
                </c:pt>
                <c:pt idx="6">
                  <c:v>2012</c:v>
                </c:pt>
                <c:pt idx="7">
                  <c:v>2013</c:v>
                </c:pt>
                <c:pt idx="8">
                  <c:v>2014</c:v>
                </c:pt>
                <c:pt idx="9">
                  <c:v>2015</c:v>
                </c:pt>
              </c:numCache>
            </c:numRef>
          </c:cat>
          <c:val>
            <c:numRef>
              <c:f>'Fig 2.4'!$D$5:$M$5</c:f>
              <c:numCache>
                <c:formatCode>0.0%</c:formatCode>
                <c:ptCount val="10"/>
                <c:pt idx="0">
                  <c:v>0.499</c:v>
                </c:pt>
                <c:pt idx="1">
                  <c:v>0.50700000000000001</c:v>
                </c:pt>
                <c:pt idx="2">
                  <c:v>0.55700000000000005</c:v>
                </c:pt>
                <c:pt idx="3">
                  <c:v>0.58499999999999996</c:v>
                </c:pt>
                <c:pt idx="4">
                  <c:v>0.621</c:v>
                </c:pt>
                <c:pt idx="5">
                  <c:v>0.65400000000000003</c:v>
                </c:pt>
                <c:pt idx="6">
                  <c:v>0.68600000000000005</c:v>
                </c:pt>
                <c:pt idx="7">
                  <c:v>0.71799999999999997</c:v>
                </c:pt>
                <c:pt idx="8">
                  <c:v>0.74299999999999999</c:v>
                </c:pt>
                <c:pt idx="9">
                  <c:v>0.74299999999999999</c:v>
                </c:pt>
              </c:numCache>
            </c:numRef>
          </c:val>
          <c:smooth val="0"/>
          <c:extLst>
            <c:ext xmlns:c16="http://schemas.microsoft.com/office/drawing/2014/chart" uri="{C3380CC4-5D6E-409C-BE32-E72D297353CC}">
              <c16:uniqueId val="{00000000-9913-4C0A-9C33-3CC551560434}"/>
            </c:ext>
          </c:extLst>
        </c:ser>
        <c:ser>
          <c:idx val="1"/>
          <c:order val="1"/>
          <c:tx>
            <c:strRef>
              <c:f>'Fig 2.4'!$C$6</c:f>
              <c:strCache>
                <c:ptCount val="1"/>
                <c:pt idx="0">
                  <c:v>Militaires</c:v>
                </c:pt>
              </c:strCache>
            </c:strRef>
          </c:tx>
          <c:spPr>
            <a:ln w="15875">
              <a:solidFill>
                <a:schemeClr val="bg1">
                  <a:lumMod val="50000"/>
                </a:schemeClr>
              </a:solidFill>
            </a:ln>
          </c:spPr>
          <c:marker>
            <c:symbol val="x"/>
            <c:size val="6"/>
            <c:spPr>
              <a:noFill/>
              <a:ln>
                <a:solidFill>
                  <a:schemeClr val="bg1">
                    <a:lumMod val="50000"/>
                  </a:schemeClr>
                </a:solidFill>
              </a:ln>
            </c:spPr>
          </c:marker>
          <c:cat>
            <c:numRef>
              <c:f>'Fig 2.4'!$D$4:$M$4</c:f>
              <c:numCache>
                <c:formatCode>General</c:formatCode>
                <c:ptCount val="10"/>
                <c:pt idx="0">
                  <c:v>2006</c:v>
                </c:pt>
                <c:pt idx="1">
                  <c:v>2007</c:v>
                </c:pt>
                <c:pt idx="2">
                  <c:v>2008</c:v>
                </c:pt>
                <c:pt idx="3">
                  <c:v>2009</c:v>
                </c:pt>
                <c:pt idx="4">
                  <c:v>2010</c:v>
                </c:pt>
                <c:pt idx="5">
                  <c:v>2011</c:v>
                </c:pt>
                <c:pt idx="6">
                  <c:v>2012</c:v>
                </c:pt>
                <c:pt idx="7">
                  <c:v>2013</c:v>
                </c:pt>
                <c:pt idx="8">
                  <c:v>2014</c:v>
                </c:pt>
                <c:pt idx="9">
                  <c:v>2015</c:v>
                </c:pt>
              </c:numCache>
            </c:numRef>
          </c:cat>
          <c:val>
            <c:numRef>
              <c:f>'Fig 2.4'!$D$6:$M$6</c:f>
              <c:numCache>
                <c:formatCode>0.0%</c:formatCode>
                <c:ptCount val="10"/>
                <c:pt idx="0">
                  <c:v>1</c:v>
                </c:pt>
                <c:pt idx="1">
                  <c:v>1.0149999999999999</c:v>
                </c:pt>
                <c:pt idx="2">
                  <c:v>1.0349999999999999</c:v>
                </c:pt>
                <c:pt idx="3">
                  <c:v>1.0840000000000001</c:v>
                </c:pt>
                <c:pt idx="4">
                  <c:v>1.0680000000000001</c:v>
                </c:pt>
                <c:pt idx="5">
                  <c:v>1.141</c:v>
                </c:pt>
                <c:pt idx="6">
                  <c:v>1.216</c:v>
                </c:pt>
                <c:pt idx="7">
                  <c:v>1.2609999999999999</c:v>
                </c:pt>
                <c:pt idx="8">
                  <c:v>1.2609999999999999</c:v>
                </c:pt>
                <c:pt idx="9">
                  <c:v>1.2609999999999999</c:v>
                </c:pt>
              </c:numCache>
            </c:numRef>
          </c:val>
          <c:smooth val="0"/>
          <c:extLst>
            <c:ext xmlns:c16="http://schemas.microsoft.com/office/drawing/2014/chart" uri="{C3380CC4-5D6E-409C-BE32-E72D297353CC}">
              <c16:uniqueId val="{00000001-9913-4C0A-9C33-3CC551560434}"/>
            </c:ext>
          </c:extLst>
        </c:ser>
        <c:ser>
          <c:idx val="2"/>
          <c:order val="2"/>
          <c:tx>
            <c:strRef>
              <c:f>'Fig 2.4'!$C$7</c:f>
              <c:strCache>
                <c:ptCount val="1"/>
                <c:pt idx="0">
                  <c:v>Civils, autres employeurs</c:v>
                </c:pt>
              </c:strCache>
            </c:strRef>
          </c:tx>
          <c:spPr>
            <a:ln w="12700">
              <a:solidFill>
                <a:schemeClr val="tx1"/>
              </a:solidFill>
            </a:ln>
          </c:spPr>
          <c:marker>
            <c:symbol val="diamond"/>
            <c:size val="6"/>
            <c:spPr>
              <a:solidFill>
                <a:schemeClr val="bg1"/>
              </a:solidFill>
              <a:ln>
                <a:solidFill>
                  <a:schemeClr val="tx1"/>
                </a:solidFill>
              </a:ln>
            </c:spPr>
          </c:marker>
          <c:cat>
            <c:numRef>
              <c:f>'Fig 2.4'!$D$4:$M$4</c:f>
              <c:numCache>
                <c:formatCode>General</c:formatCode>
                <c:ptCount val="10"/>
                <c:pt idx="0">
                  <c:v>2006</c:v>
                </c:pt>
                <c:pt idx="1">
                  <c:v>2007</c:v>
                </c:pt>
                <c:pt idx="2">
                  <c:v>2008</c:v>
                </c:pt>
                <c:pt idx="3">
                  <c:v>2009</c:v>
                </c:pt>
                <c:pt idx="4">
                  <c:v>2010</c:v>
                </c:pt>
                <c:pt idx="5">
                  <c:v>2011</c:v>
                </c:pt>
                <c:pt idx="6">
                  <c:v>2012</c:v>
                </c:pt>
                <c:pt idx="7">
                  <c:v>2013</c:v>
                </c:pt>
                <c:pt idx="8">
                  <c:v>2014</c:v>
                </c:pt>
                <c:pt idx="9">
                  <c:v>2015</c:v>
                </c:pt>
              </c:numCache>
            </c:numRef>
          </c:cat>
          <c:val>
            <c:numRef>
              <c:f>'Fig 2.4'!$D$7:$M$7</c:f>
              <c:numCache>
                <c:formatCode>0.0%</c:formatCode>
                <c:ptCount val="10"/>
                <c:pt idx="0">
                  <c:v>0.33</c:v>
                </c:pt>
                <c:pt idx="1">
                  <c:v>0.39500000000000002</c:v>
                </c:pt>
                <c:pt idx="2">
                  <c:v>0.5</c:v>
                </c:pt>
                <c:pt idx="3">
                  <c:v>0.60099999999999998</c:v>
                </c:pt>
                <c:pt idx="4">
                  <c:v>0.621</c:v>
                </c:pt>
                <c:pt idx="5">
                  <c:v>0.65400000000000003</c:v>
                </c:pt>
                <c:pt idx="6">
                  <c:v>0.68600000000000005</c:v>
                </c:pt>
                <c:pt idx="7">
                  <c:v>0.74299999999999999</c:v>
                </c:pt>
                <c:pt idx="8">
                  <c:v>0.74299999999999999</c:v>
                </c:pt>
                <c:pt idx="9">
                  <c:v>0.74299999999999999</c:v>
                </c:pt>
              </c:numCache>
            </c:numRef>
          </c:val>
          <c:smooth val="0"/>
          <c:extLst>
            <c:ext xmlns:c16="http://schemas.microsoft.com/office/drawing/2014/chart" uri="{C3380CC4-5D6E-409C-BE32-E72D297353CC}">
              <c16:uniqueId val="{00000002-9913-4C0A-9C33-3CC551560434}"/>
            </c:ext>
          </c:extLst>
        </c:ser>
        <c:dLbls>
          <c:showLegendKey val="0"/>
          <c:showVal val="0"/>
          <c:showCatName val="0"/>
          <c:showSerName val="0"/>
          <c:showPercent val="0"/>
          <c:showBubbleSize val="0"/>
        </c:dLbls>
        <c:marker val="1"/>
        <c:smooth val="0"/>
        <c:axId val="186395648"/>
        <c:axId val="186434688"/>
      </c:lineChart>
      <c:catAx>
        <c:axId val="18639564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86434688"/>
        <c:crosses val="autoZero"/>
        <c:auto val="1"/>
        <c:lblAlgn val="ctr"/>
        <c:lblOffset val="100"/>
        <c:noMultiLvlLbl val="0"/>
      </c:catAx>
      <c:valAx>
        <c:axId val="186434688"/>
        <c:scaling>
          <c:orientation val="minMax"/>
          <c:max val="1.3"/>
          <c:min val="0.30000000000000004"/>
        </c:scaling>
        <c:delete val="0"/>
        <c:axPos val="l"/>
        <c:majorGridlines/>
        <c:title>
          <c:tx>
            <c:rich>
              <a:bodyPr rot="-5400000" vert="horz"/>
              <a:lstStyle/>
              <a:p>
                <a:pPr>
                  <a:defRPr/>
                </a:pPr>
                <a:r>
                  <a:rPr lang="en-US" sz="900"/>
                  <a:t>En % du traitement indicaire de base</a:t>
                </a:r>
              </a:p>
            </c:rich>
          </c:tx>
          <c:layout>
            <c:manualLayout>
              <c:xMode val="edge"/>
              <c:yMode val="edge"/>
              <c:x val="9.1132478632478635E-3"/>
              <c:y val="5.5641025641025676E-4"/>
            </c:manualLayout>
          </c:layout>
          <c:overlay val="0"/>
        </c:title>
        <c:numFmt formatCode="0%" sourceLinked="0"/>
        <c:majorTickMark val="out"/>
        <c:minorTickMark val="none"/>
        <c:tickLblPos val="nextTo"/>
        <c:crossAx val="186395648"/>
        <c:crosses val="autoZero"/>
        <c:crossBetween val="between"/>
        <c:majorUnit val="0.2"/>
      </c:valAx>
    </c:plotArea>
    <c:legend>
      <c:legendPos val="b"/>
      <c:layout>
        <c:manualLayout>
          <c:xMode val="edge"/>
          <c:yMode val="edge"/>
          <c:x val="2.3940527065527066E-2"/>
          <c:y val="0.80007478632478624"/>
          <c:w val="0.97021011396011392"/>
          <c:h val="0.1890705128205128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5612962962962965"/>
          <c:y val="3.3120512820512822E-2"/>
          <c:w val="0.70199786324786329"/>
          <c:h val="0.66130940170940167"/>
        </c:manualLayout>
      </c:layout>
      <c:lineChart>
        <c:grouping val="standard"/>
        <c:varyColors val="0"/>
        <c:ser>
          <c:idx val="0"/>
          <c:order val="0"/>
          <c:tx>
            <c:strRef>
              <c:f>'Fig 2.4'!$C$10</c:f>
              <c:strCache>
                <c:ptCount val="1"/>
                <c:pt idx="0">
                  <c:v>A' (convention COR)</c:v>
                </c:pt>
              </c:strCache>
            </c:strRef>
          </c:tx>
          <c:spPr>
            <a:ln w="15875">
              <a:solidFill>
                <a:schemeClr val="tx1"/>
              </a:solidFill>
            </a:ln>
          </c:spPr>
          <c:marker>
            <c:symbol val="x"/>
            <c:size val="4"/>
            <c:spPr>
              <a:noFill/>
              <a:ln>
                <a:solidFill>
                  <a:schemeClr val="tx1"/>
                </a:solidFill>
              </a:ln>
            </c:spPr>
          </c:marker>
          <c:cat>
            <c:numRef>
              <c:f>'Fig 2.4'!$D$9:$AW$9</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2.4'!$D$10:$AW$10</c:f>
              <c:numCache>
                <c:formatCode>0.0%</c:formatCode>
                <c:ptCount val="46"/>
                <c:pt idx="0">
                  <c:v>0.311</c:v>
                </c:pt>
                <c:pt idx="1">
                  <c:v>0.312</c:v>
                </c:pt>
                <c:pt idx="2">
                  <c:v>0.312</c:v>
                </c:pt>
                <c:pt idx="3">
                  <c:v>0.311</c:v>
                </c:pt>
                <c:pt idx="4">
                  <c:v>0.309</c:v>
                </c:pt>
                <c:pt idx="5">
                  <c:v>0.308</c:v>
                </c:pt>
                <c:pt idx="6">
                  <c:v>0.30499999999999999</c:v>
                </c:pt>
                <c:pt idx="7">
                  <c:v>0.30399999999999999</c:v>
                </c:pt>
                <c:pt idx="8">
                  <c:v>0.30299999999999999</c:v>
                </c:pt>
                <c:pt idx="9">
                  <c:v>0.30199999999999999</c:v>
                </c:pt>
                <c:pt idx="10">
                  <c:v>0.30099999999999999</c:v>
                </c:pt>
                <c:pt idx="11">
                  <c:v>0.3</c:v>
                </c:pt>
                <c:pt idx="12">
                  <c:v>0.29899999999999999</c:v>
                </c:pt>
                <c:pt idx="13">
                  <c:v>0.29799999999999999</c:v>
                </c:pt>
                <c:pt idx="14">
                  <c:v>0.29799999999999999</c:v>
                </c:pt>
                <c:pt idx="15">
                  <c:v>0.29799999999999999</c:v>
                </c:pt>
                <c:pt idx="16">
                  <c:v>0.29799999999999999</c:v>
                </c:pt>
                <c:pt idx="17">
                  <c:v>0.29799999999999999</c:v>
                </c:pt>
                <c:pt idx="18">
                  <c:v>0.29699999999999999</c:v>
                </c:pt>
                <c:pt idx="19">
                  <c:v>0.29699999999999999</c:v>
                </c:pt>
                <c:pt idx="20">
                  <c:v>0.29699999999999999</c:v>
                </c:pt>
                <c:pt idx="21">
                  <c:v>0.29699999999999999</c:v>
                </c:pt>
                <c:pt idx="22">
                  <c:v>0.29599999999999999</c:v>
                </c:pt>
                <c:pt idx="23">
                  <c:v>0.29599999999999999</c:v>
                </c:pt>
                <c:pt idx="24">
                  <c:v>0.29599999999999999</c:v>
                </c:pt>
                <c:pt idx="25">
                  <c:v>0.29599999999999999</c:v>
                </c:pt>
                <c:pt idx="26">
                  <c:v>0.29599999999999999</c:v>
                </c:pt>
                <c:pt idx="27">
                  <c:v>0.29499999999999998</c:v>
                </c:pt>
                <c:pt idx="28">
                  <c:v>0.29499999999999998</c:v>
                </c:pt>
                <c:pt idx="29">
                  <c:v>0.29499999999999998</c:v>
                </c:pt>
                <c:pt idx="30">
                  <c:v>0.29499999999999998</c:v>
                </c:pt>
                <c:pt idx="31">
                  <c:v>0.29499999999999998</c:v>
                </c:pt>
                <c:pt idx="32">
                  <c:v>0.29499999999999998</c:v>
                </c:pt>
                <c:pt idx="33">
                  <c:v>0.29499999999999998</c:v>
                </c:pt>
                <c:pt idx="34">
                  <c:v>0.29399999999999998</c:v>
                </c:pt>
                <c:pt idx="35">
                  <c:v>0.29399999999999998</c:v>
                </c:pt>
                <c:pt idx="36">
                  <c:v>0.29399999999999998</c:v>
                </c:pt>
                <c:pt idx="37">
                  <c:v>0.29399999999999998</c:v>
                </c:pt>
                <c:pt idx="38">
                  <c:v>0.29399999999999998</c:v>
                </c:pt>
                <c:pt idx="39">
                  <c:v>0.29399999999999998</c:v>
                </c:pt>
                <c:pt idx="40">
                  <c:v>0.29399999999999998</c:v>
                </c:pt>
                <c:pt idx="41">
                  <c:v>0.29299999999999998</c:v>
                </c:pt>
                <c:pt idx="42">
                  <c:v>0.29299999999999998</c:v>
                </c:pt>
                <c:pt idx="43">
                  <c:v>0.29299999999999998</c:v>
                </c:pt>
                <c:pt idx="44">
                  <c:v>0.29299999999999998</c:v>
                </c:pt>
                <c:pt idx="45">
                  <c:v>0.29299999999999998</c:v>
                </c:pt>
              </c:numCache>
            </c:numRef>
          </c:val>
          <c:smooth val="0"/>
          <c:extLst>
            <c:ext xmlns:c16="http://schemas.microsoft.com/office/drawing/2014/chart" uri="{C3380CC4-5D6E-409C-BE32-E72D297353CC}">
              <c16:uniqueId val="{00000000-5391-4CCA-B92D-60B5EB6C2AE5}"/>
            </c:ext>
          </c:extLst>
        </c:ser>
        <c:ser>
          <c:idx val="1"/>
          <c:order val="1"/>
          <c:tx>
            <c:strRef>
              <c:f>'Fig 2.4'!$C$14</c:f>
              <c:strCache>
                <c:ptCount val="1"/>
                <c:pt idx="0">
                  <c:v>C' (convention COR)</c:v>
                </c:pt>
              </c:strCache>
            </c:strRef>
          </c:tx>
          <c:spPr>
            <a:ln w="15875">
              <a:solidFill>
                <a:schemeClr val="tx1"/>
              </a:solidFill>
            </a:ln>
          </c:spPr>
          <c:marker>
            <c:symbol val="star"/>
            <c:size val="3"/>
            <c:spPr>
              <a:ln>
                <a:solidFill>
                  <a:schemeClr val="tx1"/>
                </a:solidFill>
              </a:ln>
            </c:spPr>
          </c:marker>
          <c:cat>
            <c:numRef>
              <c:f>'Fig 2.4'!$D$9:$AW$9</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2.4'!$D$14:$AW$14</c:f>
              <c:numCache>
                <c:formatCode>0.0%</c:formatCode>
                <c:ptCount val="46"/>
                <c:pt idx="0">
                  <c:v>0.311</c:v>
                </c:pt>
                <c:pt idx="1">
                  <c:v>0.312</c:v>
                </c:pt>
                <c:pt idx="2">
                  <c:v>0.312</c:v>
                </c:pt>
                <c:pt idx="3">
                  <c:v>0.311</c:v>
                </c:pt>
                <c:pt idx="4">
                  <c:v>0.309</c:v>
                </c:pt>
                <c:pt idx="5">
                  <c:v>0.308</c:v>
                </c:pt>
                <c:pt idx="6">
                  <c:v>0.30599999999999999</c:v>
                </c:pt>
                <c:pt idx="7">
                  <c:v>0.30499999999999999</c:v>
                </c:pt>
                <c:pt idx="8">
                  <c:v>0.30399999999999999</c:v>
                </c:pt>
                <c:pt idx="9">
                  <c:v>0.30299999999999999</c:v>
                </c:pt>
                <c:pt idx="10">
                  <c:v>0.30199999999999999</c:v>
                </c:pt>
                <c:pt idx="11">
                  <c:v>0.30199999999999999</c:v>
                </c:pt>
                <c:pt idx="12">
                  <c:v>0.30199999999999999</c:v>
                </c:pt>
                <c:pt idx="13">
                  <c:v>0.30199999999999999</c:v>
                </c:pt>
                <c:pt idx="14">
                  <c:v>0.30199999999999999</c:v>
                </c:pt>
                <c:pt idx="15">
                  <c:v>0.30199999999999999</c:v>
                </c:pt>
                <c:pt idx="16">
                  <c:v>0.30099999999999999</c:v>
                </c:pt>
                <c:pt idx="17">
                  <c:v>0.30099999999999999</c:v>
                </c:pt>
                <c:pt idx="18">
                  <c:v>0.30099999999999999</c:v>
                </c:pt>
                <c:pt idx="19">
                  <c:v>0.30099999999999999</c:v>
                </c:pt>
                <c:pt idx="20">
                  <c:v>0.30099999999999999</c:v>
                </c:pt>
                <c:pt idx="21">
                  <c:v>0.30099999999999999</c:v>
                </c:pt>
                <c:pt idx="22">
                  <c:v>0.30099999999999999</c:v>
                </c:pt>
                <c:pt idx="23">
                  <c:v>0.30099999999999999</c:v>
                </c:pt>
                <c:pt idx="24">
                  <c:v>0.3</c:v>
                </c:pt>
                <c:pt idx="25">
                  <c:v>0.3</c:v>
                </c:pt>
                <c:pt idx="26">
                  <c:v>0.3</c:v>
                </c:pt>
                <c:pt idx="27">
                  <c:v>0.3</c:v>
                </c:pt>
                <c:pt idx="28">
                  <c:v>0.3</c:v>
                </c:pt>
                <c:pt idx="29">
                  <c:v>0.3</c:v>
                </c:pt>
                <c:pt idx="30">
                  <c:v>0.3</c:v>
                </c:pt>
                <c:pt idx="31">
                  <c:v>0.3</c:v>
                </c:pt>
                <c:pt idx="32">
                  <c:v>0.3</c:v>
                </c:pt>
                <c:pt idx="33">
                  <c:v>0.3</c:v>
                </c:pt>
                <c:pt idx="34">
                  <c:v>0.3</c:v>
                </c:pt>
                <c:pt idx="35">
                  <c:v>0.3</c:v>
                </c:pt>
                <c:pt idx="36">
                  <c:v>0.29899999999999999</c:v>
                </c:pt>
                <c:pt idx="37">
                  <c:v>0.29899999999999999</c:v>
                </c:pt>
                <c:pt idx="38">
                  <c:v>0.29899999999999999</c:v>
                </c:pt>
                <c:pt idx="39">
                  <c:v>0.29899999999999999</c:v>
                </c:pt>
                <c:pt idx="40">
                  <c:v>0.29899999999999999</c:v>
                </c:pt>
                <c:pt idx="41">
                  <c:v>0.29899999999999999</c:v>
                </c:pt>
                <c:pt idx="42">
                  <c:v>0.29899999999999999</c:v>
                </c:pt>
                <c:pt idx="43">
                  <c:v>0.29899999999999999</c:v>
                </c:pt>
                <c:pt idx="44">
                  <c:v>0.29899999999999999</c:v>
                </c:pt>
                <c:pt idx="45">
                  <c:v>0.29899999999999999</c:v>
                </c:pt>
              </c:numCache>
            </c:numRef>
          </c:val>
          <c:smooth val="0"/>
          <c:extLst>
            <c:ext xmlns:c16="http://schemas.microsoft.com/office/drawing/2014/chart" uri="{C3380CC4-5D6E-409C-BE32-E72D297353CC}">
              <c16:uniqueId val="{00000001-5391-4CCA-B92D-60B5EB6C2AE5}"/>
            </c:ext>
          </c:extLst>
        </c:ser>
        <c:ser>
          <c:idx val="2"/>
          <c:order val="2"/>
          <c:tx>
            <c:strRef>
              <c:f>'Fig 2.4'!$C$15</c:f>
              <c:strCache>
                <c:ptCount val="1"/>
                <c:pt idx="0">
                  <c:v>A' (convention CCSS)</c:v>
                </c:pt>
              </c:strCache>
            </c:strRef>
          </c:tx>
          <c:spPr>
            <a:ln w="12700">
              <a:solidFill>
                <a:schemeClr val="bg1">
                  <a:lumMod val="50000"/>
                </a:schemeClr>
              </a:solidFill>
            </a:ln>
          </c:spPr>
          <c:marker>
            <c:symbol val="x"/>
            <c:size val="4"/>
            <c:spPr>
              <a:ln>
                <a:solidFill>
                  <a:schemeClr val="bg1">
                    <a:lumMod val="50000"/>
                  </a:schemeClr>
                </a:solidFill>
              </a:ln>
            </c:spPr>
          </c:marker>
          <c:cat>
            <c:numRef>
              <c:f>'Fig 2.4'!$D$9:$AW$9</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2.4'!$D$15:$AW$15</c:f>
              <c:numCache>
                <c:formatCode>0.0%</c:formatCode>
                <c:ptCount val="46"/>
                <c:pt idx="0">
                  <c:v>0.312</c:v>
                </c:pt>
                <c:pt idx="1">
                  <c:v>0.313</c:v>
                </c:pt>
                <c:pt idx="2">
                  <c:v>0.313</c:v>
                </c:pt>
                <c:pt idx="3">
                  <c:v>0.313</c:v>
                </c:pt>
                <c:pt idx="4">
                  <c:v>0.312</c:v>
                </c:pt>
                <c:pt idx="5">
                  <c:v>0.311</c:v>
                </c:pt>
                <c:pt idx="6">
                  <c:v>0.308</c:v>
                </c:pt>
                <c:pt idx="7">
                  <c:v>0.307</c:v>
                </c:pt>
                <c:pt idx="8">
                  <c:v>0.30499999999999999</c:v>
                </c:pt>
                <c:pt idx="9">
                  <c:v>0.30299999999999999</c:v>
                </c:pt>
                <c:pt idx="10">
                  <c:v>0.30099999999999999</c:v>
                </c:pt>
                <c:pt idx="11">
                  <c:v>0.3</c:v>
                </c:pt>
                <c:pt idx="12">
                  <c:v>0.29899999999999999</c:v>
                </c:pt>
                <c:pt idx="13">
                  <c:v>0.29799999999999999</c:v>
                </c:pt>
                <c:pt idx="14">
                  <c:v>0.29699999999999999</c:v>
                </c:pt>
                <c:pt idx="15">
                  <c:v>0.29599999999999999</c:v>
                </c:pt>
                <c:pt idx="16">
                  <c:v>0.29499999999999998</c:v>
                </c:pt>
                <c:pt idx="17">
                  <c:v>0.29499999999999998</c:v>
                </c:pt>
                <c:pt idx="18">
                  <c:v>0.29399999999999998</c:v>
                </c:pt>
                <c:pt idx="19">
                  <c:v>0.29299999999999998</c:v>
                </c:pt>
                <c:pt idx="20">
                  <c:v>0.29199999999999998</c:v>
                </c:pt>
                <c:pt idx="21">
                  <c:v>0.29199999999999998</c:v>
                </c:pt>
                <c:pt idx="22">
                  <c:v>0.29099999999999998</c:v>
                </c:pt>
                <c:pt idx="23">
                  <c:v>0.28999999999999998</c:v>
                </c:pt>
                <c:pt idx="24">
                  <c:v>0.28899999999999998</c:v>
                </c:pt>
                <c:pt idx="25">
                  <c:v>0.28899999999999998</c:v>
                </c:pt>
                <c:pt idx="26">
                  <c:v>0.28799999999999998</c:v>
                </c:pt>
                <c:pt idx="27">
                  <c:v>0.28699999999999998</c:v>
                </c:pt>
                <c:pt idx="28">
                  <c:v>0.28699999999999998</c:v>
                </c:pt>
                <c:pt idx="29">
                  <c:v>0.28599999999999998</c:v>
                </c:pt>
                <c:pt idx="30">
                  <c:v>0.28599999999999998</c:v>
                </c:pt>
                <c:pt idx="31">
                  <c:v>0.28499999999999998</c:v>
                </c:pt>
                <c:pt idx="32">
                  <c:v>0.28399999999999997</c:v>
                </c:pt>
                <c:pt idx="33">
                  <c:v>0.28399999999999997</c:v>
                </c:pt>
                <c:pt idx="34">
                  <c:v>0.28299999999999997</c:v>
                </c:pt>
                <c:pt idx="35">
                  <c:v>0.28299999999999997</c:v>
                </c:pt>
                <c:pt idx="36">
                  <c:v>0.28199999999999997</c:v>
                </c:pt>
                <c:pt idx="37">
                  <c:v>0.28199999999999997</c:v>
                </c:pt>
                <c:pt idx="38">
                  <c:v>0.28100000000000003</c:v>
                </c:pt>
                <c:pt idx="39">
                  <c:v>0.28100000000000003</c:v>
                </c:pt>
                <c:pt idx="40">
                  <c:v>0.28000000000000003</c:v>
                </c:pt>
                <c:pt idx="41">
                  <c:v>0.28000000000000003</c:v>
                </c:pt>
                <c:pt idx="42">
                  <c:v>0.27900000000000003</c:v>
                </c:pt>
                <c:pt idx="43">
                  <c:v>0.27900000000000003</c:v>
                </c:pt>
                <c:pt idx="44">
                  <c:v>0.27900000000000003</c:v>
                </c:pt>
                <c:pt idx="45">
                  <c:v>0.27800000000000002</c:v>
                </c:pt>
              </c:numCache>
            </c:numRef>
          </c:val>
          <c:smooth val="0"/>
          <c:extLst>
            <c:ext xmlns:c16="http://schemas.microsoft.com/office/drawing/2014/chart" uri="{C3380CC4-5D6E-409C-BE32-E72D297353CC}">
              <c16:uniqueId val="{00000002-5391-4CCA-B92D-60B5EB6C2AE5}"/>
            </c:ext>
          </c:extLst>
        </c:ser>
        <c:ser>
          <c:idx val="3"/>
          <c:order val="3"/>
          <c:tx>
            <c:strRef>
              <c:f>'Fig 2.4'!$C$19</c:f>
              <c:strCache>
                <c:ptCount val="1"/>
                <c:pt idx="0">
                  <c:v>C' (convention CCSS)</c:v>
                </c:pt>
              </c:strCache>
            </c:strRef>
          </c:tx>
          <c:spPr>
            <a:ln w="15875">
              <a:solidFill>
                <a:schemeClr val="bg1">
                  <a:lumMod val="50000"/>
                </a:schemeClr>
              </a:solidFill>
            </a:ln>
          </c:spPr>
          <c:marker>
            <c:symbol val="star"/>
            <c:size val="3"/>
            <c:spPr>
              <a:ln>
                <a:solidFill>
                  <a:schemeClr val="bg1">
                    <a:lumMod val="50000"/>
                  </a:schemeClr>
                </a:solidFill>
              </a:ln>
            </c:spPr>
          </c:marker>
          <c:cat>
            <c:numRef>
              <c:f>'Fig 2.4'!$D$9:$AW$9</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2.4'!$D$19:$AW$19</c:f>
              <c:numCache>
                <c:formatCode>0.0%</c:formatCode>
                <c:ptCount val="46"/>
                <c:pt idx="0">
                  <c:v>0.312</c:v>
                </c:pt>
                <c:pt idx="1">
                  <c:v>0.313</c:v>
                </c:pt>
                <c:pt idx="2">
                  <c:v>0.313</c:v>
                </c:pt>
                <c:pt idx="3">
                  <c:v>0.313</c:v>
                </c:pt>
                <c:pt idx="4">
                  <c:v>0.312</c:v>
                </c:pt>
                <c:pt idx="5">
                  <c:v>0.311</c:v>
                </c:pt>
                <c:pt idx="6">
                  <c:v>0.309</c:v>
                </c:pt>
                <c:pt idx="7">
                  <c:v>0.308</c:v>
                </c:pt>
                <c:pt idx="8">
                  <c:v>0.30599999999999999</c:v>
                </c:pt>
                <c:pt idx="9">
                  <c:v>0.30499999999999999</c:v>
                </c:pt>
                <c:pt idx="10">
                  <c:v>0.30499999999999999</c:v>
                </c:pt>
                <c:pt idx="11">
                  <c:v>0.30399999999999999</c:v>
                </c:pt>
                <c:pt idx="12">
                  <c:v>0.30399999999999999</c:v>
                </c:pt>
                <c:pt idx="13">
                  <c:v>0.30299999999999999</c:v>
                </c:pt>
                <c:pt idx="14">
                  <c:v>0.30299999999999999</c:v>
                </c:pt>
                <c:pt idx="15">
                  <c:v>0.30299999999999999</c:v>
                </c:pt>
                <c:pt idx="16">
                  <c:v>0.30199999999999999</c:v>
                </c:pt>
                <c:pt idx="17">
                  <c:v>0.30199999999999999</c:v>
                </c:pt>
                <c:pt idx="18">
                  <c:v>0.30199999999999999</c:v>
                </c:pt>
                <c:pt idx="19">
                  <c:v>0.30199999999999999</c:v>
                </c:pt>
                <c:pt idx="20">
                  <c:v>0.30099999999999999</c:v>
                </c:pt>
                <c:pt idx="21">
                  <c:v>0.30099999999999999</c:v>
                </c:pt>
                <c:pt idx="22">
                  <c:v>0.30099999999999999</c:v>
                </c:pt>
                <c:pt idx="23">
                  <c:v>0.3</c:v>
                </c:pt>
                <c:pt idx="24">
                  <c:v>0.3</c:v>
                </c:pt>
                <c:pt idx="25">
                  <c:v>0.3</c:v>
                </c:pt>
                <c:pt idx="26">
                  <c:v>0.29899999999999999</c:v>
                </c:pt>
                <c:pt idx="27">
                  <c:v>0.29899999999999999</c:v>
                </c:pt>
                <c:pt idx="28">
                  <c:v>0.29899999999999999</c:v>
                </c:pt>
                <c:pt idx="29">
                  <c:v>0.29899999999999999</c:v>
                </c:pt>
                <c:pt idx="30">
                  <c:v>0.29799999999999999</c:v>
                </c:pt>
                <c:pt idx="31">
                  <c:v>0.29799999999999999</c:v>
                </c:pt>
                <c:pt idx="32">
                  <c:v>0.29799999999999999</c:v>
                </c:pt>
                <c:pt idx="33">
                  <c:v>0.29699999999999999</c:v>
                </c:pt>
                <c:pt idx="34">
                  <c:v>0.29699999999999999</c:v>
                </c:pt>
                <c:pt idx="35">
                  <c:v>0.29699999999999999</c:v>
                </c:pt>
                <c:pt idx="36">
                  <c:v>0.29699999999999999</c:v>
                </c:pt>
                <c:pt idx="37">
                  <c:v>0.29599999999999999</c:v>
                </c:pt>
                <c:pt idx="38">
                  <c:v>0.29599999999999999</c:v>
                </c:pt>
                <c:pt idx="39">
                  <c:v>0.29599999999999999</c:v>
                </c:pt>
                <c:pt idx="40">
                  <c:v>0.29599999999999999</c:v>
                </c:pt>
                <c:pt idx="41">
                  <c:v>0.29599999999999999</c:v>
                </c:pt>
                <c:pt idx="42">
                  <c:v>0.29499999999999998</c:v>
                </c:pt>
                <c:pt idx="43">
                  <c:v>0.29499999999999998</c:v>
                </c:pt>
                <c:pt idx="44">
                  <c:v>0.29499999999999998</c:v>
                </c:pt>
                <c:pt idx="45">
                  <c:v>0.29499999999999998</c:v>
                </c:pt>
              </c:numCache>
            </c:numRef>
          </c:val>
          <c:smooth val="0"/>
          <c:extLst>
            <c:ext xmlns:c16="http://schemas.microsoft.com/office/drawing/2014/chart" uri="{C3380CC4-5D6E-409C-BE32-E72D297353CC}">
              <c16:uniqueId val="{00000003-5391-4CCA-B92D-60B5EB6C2AE5}"/>
            </c:ext>
          </c:extLst>
        </c:ser>
        <c:dLbls>
          <c:showLegendKey val="0"/>
          <c:showVal val="0"/>
          <c:showCatName val="0"/>
          <c:showSerName val="0"/>
          <c:showPercent val="0"/>
          <c:showBubbleSize val="0"/>
        </c:dLbls>
        <c:marker val="1"/>
        <c:smooth val="0"/>
        <c:axId val="97566720"/>
        <c:axId val="97567872"/>
      </c:lineChart>
      <c:catAx>
        <c:axId val="97566720"/>
        <c:scaling>
          <c:orientation val="minMax"/>
        </c:scaling>
        <c:delete val="0"/>
        <c:axPos val="b"/>
        <c:title>
          <c:tx>
            <c:rich>
              <a:bodyPr/>
              <a:lstStyle/>
              <a:p>
                <a:pPr>
                  <a:defRPr/>
                </a:pPr>
                <a:r>
                  <a:rPr lang="en-US"/>
                  <a:t>année</a:t>
                </a:r>
              </a:p>
            </c:rich>
          </c:tx>
          <c:layout>
            <c:manualLayout>
              <c:xMode val="edge"/>
              <c:yMode val="edge"/>
              <c:x val="0.27304131054131053"/>
              <c:y val="0.60285213675213667"/>
            </c:manualLayout>
          </c:layout>
          <c:overlay val="0"/>
        </c:title>
        <c:numFmt formatCode="General" sourceLinked="1"/>
        <c:majorTickMark val="out"/>
        <c:minorTickMark val="none"/>
        <c:tickLblPos val="nextTo"/>
        <c:txPr>
          <a:bodyPr rot="-5400000" vert="horz"/>
          <a:lstStyle/>
          <a:p>
            <a:pPr>
              <a:defRPr/>
            </a:pPr>
            <a:endParaRPr lang="fr-FR"/>
          </a:p>
        </c:txPr>
        <c:crossAx val="97567872"/>
        <c:crosses val="autoZero"/>
        <c:auto val="1"/>
        <c:lblAlgn val="ctr"/>
        <c:lblOffset val="100"/>
        <c:tickLblSkip val="5"/>
        <c:noMultiLvlLbl val="0"/>
      </c:catAx>
      <c:valAx>
        <c:axId val="97567872"/>
        <c:scaling>
          <c:orientation val="minMax"/>
          <c:max val="0.33000000000000007"/>
          <c:min val="0.26"/>
        </c:scaling>
        <c:delete val="0"/>
        <c:axPos val="l"/>
        <c:majorGridlines/>
        <c:title>
          <c:tx>
            <c:rich>
              <a:bodyPr rot="-5400000" vert="horz"/>
              <a:lstStyle/>
              <a:p>
                <a:pPr>
                  <a:defRPr/>
                </a:pPr>
                <a:r>
                  <a:rPr lang="en-US"/>
                  <a:t>En % de la masse </a:t>
                </a:r>
                <a:br>
                  <a:rPr lang="en-US"/>
                </a:br>
                <a:r>
                  <a:rPr lang="en-US"/>
                  <a:t>des revenus d'activité bruts</a:t>
                </a:r>
              </a:p>
            </c:rich>
          </c:tx>
          <c:layout>
            <c:manualLayout>
              <c:xMode val="edge"/>
              <c:yMode val="edge"/>
              <c:x val="7.0121082621082758E-4"/>
              <c:y val="2.2265811965811965E-2"/>
            </c:manualLayout>
          </c:layout>
          <c:overlay val="0"/>
        </c:title>
        <c:numFmt formatCode="0%" sourceLinked="0"/>
        <c:majorTickMark val="out"/>
        <c:minorTickMark val="none"/>
        <c:tickLblPos val="nextTo"/>
        <c:crossAx val="97566720"/>
        <c:crosses val="autoZero"/>
        <c:crossBetween val="between"/>
        <c:majorUnit val="1.0000000000000002E-2"/>
      </c:valAx>
    </c:plotArea>
    <c:legend>
      <c:legendPos val="b"/>
      <c:layout>
        <c:manualLayout>
          <c:xMode val="edge"/>
          <c:yMode val="edge"/>
          <c:x val="6.0192307692307689E-3"/>
          <c:y val="0.85527521367521364"/>
          <c:w val="0.9834387464387464"/>
          <c:h val="0.14472478632478633"/>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94"/>
          <c:y val="3.2064285714285712E-2"/>
          <c:w val="0.80694444444444446"/>
          <c:h val="0.6988388888888889"/>
        </c:manualLayout>
      </c:layout>
      <c:lineChart>
        <c:grouping val="standard"/>
        <c:varyColors val="0"/>
        <c:ser>
          <c:idx val="5"/>
          <c:order val="0"/>
          <c:tx>
            <c:strRef>
              <c:f>'Fig 2.5'!$C$5</c:f>
              <c:strCache>
                <c:ptCount val="1"/>
                <c:pt idx="0">
                  <c:v>Obs</c:v>
                </c:pt>
              </c:strCache>
            </c:strRef>
          </c:tx>
          <c:spPr>
            <a:ln w="50800">
              <a:solidFill>
                <a:schemeClr val="bg1">
                  <a:lumMod val="50000"/>
                </a:schemeClr>
              </a:solidFill>
            </a:ln>
          </c:spPr>
          <c:marker>
            <c:symbol val="none"/>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2.5'!$D$5:$BL$5</c:f>
              <c:numCache>
                <c:formatCode>0.0%</c:formatCode>
                <c:ptCount val="61"/>
                <c:pt idx="2">
                  <c:v>0.11899999999999999</c:v>
                </c:pt>
                <c:pt idx="3">
                  <c:v>0.122</c:v>
                </c:pt>
                <c:pt idx="4">
                  <c:v>0.123</c:v>
                </c:pt>
                <c:pt idx="5">
                  <c:v>0.121</c:v>
                </c:pt>
                <c:pt idx="6">
                  <c:v>0.122</c:v>
                </c:pt>
                <c:pt idx="7">
                  <c:v>0.123</c:v>
                </c:pt>
                <c:pt idx="8">
                  <c:v>0.123</c:v>
                </c:pt>
                <c:pt idx="9">
                  <c:v>0.128</c:v>
                </c:pt>
                <c:pt idx="10">
                  <c:v>0.126</c:v>
                </c:pt>
                <c:pt idx="11">
                  <c:v>0.128</c:v>
                </c:pt>
                <c:pt idx="12">
                  <c:v>0.13200000000000001</c:v>
                </c:pt>
                <c:pt idx="13">
                  <c:v>0.13600000000000001</c:v>
                </c:pt>
              </c:numCache>
            </c:numRef>
          </c:val>
          <c:smooth val="0"/>
          <c:extLst>
            <c:ext xmlns:c16="http://schemas.microsoft.com/office/drawing/2014/chart" uri="{C3380CC4-5D6E-409C-BE32-E72D297353CC}">
              <c16:uniqueId val="{00000000-17AC-4314-AB09-145F0E0E01FF}"/>
            </c:ext>
          </c:extLst>
        </c:ser>
        <c:ser>
          <c:idx val="0"/>
          <c:order val="1"/>
          <c:tx>
            <c:strRef>
              <c:f>'Fig 2.5'!$C$6</c:f>
              <c:strCache>
                <c:ptCount val="1"/>
                <c:pt idx="0">
                  <c:v>A'</c:v>
                </c:pt>
              </c:strCache>
            </c:strRef>
          </c:tx>
          <c:spPr>
            <a:ln w="22225">
              <a:solidFill>
                <a:schemeClr val="tx1"/>
              </a:solidFill>
            </a:ln>
          </c:spPr>
          <c:marker>
            <c:symbol val="x"/>
            <c:size val="4"/>
            <c:spPr>
              <a:noFill/>
              <a:ln>
                <a:solidFill>
                  <a:schemeClr val="tx1"/>
                </a:solidFill>
              </a:ln>
            </c:spPr>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2.5'!$D$6:$BL$6</c:f>
              <c:numCache>
                <c:formatCode>0.0%</c:formatCode>
                <c:ptCount val="61"/>
                <c:pt idx="14">
                  <c:v>0.13800000000000001</c:v>
                </c:pt>
                <c:pt idx="15">
                  <c:v>0.13800000000000001</c:v>
                </c:pt>
                <c:pt idx="16">
                  <c:v>0.13900000000000001</c:v>
                </c:pt>
                <c:pt idx="17">
                  <c:v>0.13800000000000001</c:v>
                </c:pt>
                <c:pt idx="18">
                  <c:v>0.13800000000000001</c:v>
                </c:pt>
                <c:pt idx="19">
                  <c:v>0.13600000000000001</c:v>
                </c:pt>
                <c:pt idx="20">
                  <c:v>0.13600000000000001</c:v>
                </c:pt>
                <c:pt idx="21">
                  <c:v>0.13500000000000001</c:v>
                </c:pt>
                <c:pt idx="22">
                  <c:v>0.13400000000000001</c:v>
                </c:pt>
                <c:pt idx="23">
                  <c:v>0.13400000000000001</c:v>
                </c:pt>
                <c:pt idx="24">
                  <c:v>0.13300000000000001</c:v>
                </c:pt>
                <c:pt idx="25">
                  <c:v>0.13300000000000001</c:v>
                </c:pt>
                <c:pt idx="26">
                  <c:v>0.13200000000000001</c:v>
                </c:pt>
                <c:pt idx="27">
                  <c:v>0.13200000000000001</c:v>
                </c:pt>
                <c:pt idx="28">
                  <c:v>0.13200000000000001</c:v>
                </c:pt>
                <c:pt idx="29">
                  <c:v>0.13200000000000001</c:v>
                </c:pt>
                <c:pt idx="30">
                  <c:v>0.13200000000000001</c:v>
                </c:pt>
                <c:pt idx="31">
                  <c:v>0.13100000000000001</c:v>
                </c:pt>
                <c:pt idx="32">
                  <c:v>0.13100000000000001</c:v>
                </c:pt>
                <c:pt idx="33">
                  <c:v>0.13100000000000001</c:v>
                </c:pt>
                <c:pt idx="34">
                  <c:v>0.13100000000000001</c:v>
                </c:pt>
                <c:pt idx="35">
                  <c:v>0.13100000000000001</c:v>
                </c:pt>
                <c:pt idx="36">
                  <c:v>0.13100000000000001</c:v>
                </c:pt>
                <c:pt idx="37">
                  <c:v>0.13100000000000001</c:v>
                </c:pt>
                <c:pt idx="38">
                  <c:v>0.13100000000000001</c:v>
                </c:pt>
                <c:pt idx="39">
                  <c:v>0.13100000000000001</c:v>
                </c:pt>
                <c:pt idx="40">
                  <c:v>0.13100000000000001</c:v>
                </c:pt>
                <c:pt idx="41">
                  <c:v>0.13</c:v>
                </c:pt>
                <c:pt idx="42">
                  <c:v>0.13</c:v>
                </c:pt>
                <c:pt idx="43">
                  <c:v>0.13</c:v>
                </c:pt>
                <c:pt idx="44">
                  <c:v>0.13</c:v>
                </c:pt>
                <c:pt idx="45">
                  <c:v>0.13</c:v>
                </c:pt>
                <c:pt idx="46">
                  <c:v>0.13</c:v>
                </c:pt>
                <c:pt idx="47">
                  <c:v>0.13</c:v>
                </c:pt>
                <c:pt idx="48">
                  <c:v>0.13</c:v>
                </c:pt>
                <c:pt idx="49">
                  <c:v>0.13</c:v>
                </c:pt>
                <c:pt idx="50">
                  <c:v>0.13</c:v>
                </c:pt>
                <c:pt idx="51">
                  <c:v>0.13</c:v>
                </c:pt>
                <c:pt idx="52">
                  <c:v>0.13</c:v>
                </c:pt>
                <c:pt idx="53">
                  <c:v>0.13</c:v>
                </c:pt>
                <c:pt idx="54">
                  <c:v>0.13</c:v>
                </c:pt>
                <c:pt idx="55">
                  <c:v>0.13</c:v>
                </c:pt>
                <c:pt idx="56">
                  <c:v>0.13</c:v>
                </c:pt>
                <c:pt idx="57">
                  <c:v>0.129</c:v>
                </c:pt>
                <c:pt idx="58">
                  <c:v>0.129</c:v>
                </c:pt>
                <c:pt idx="59">
                  <c:v>0.129</c:v>
                </c:pt>
                <c:pt idx="60">
                  <c:v>0.129</c:v>
                </c:pt>
              </c:numCache>
            </c:numRef>
          </c:val>
          <c:smooth val="0"/>
          <c:extLst>
            <c:ext xmlns:c16="http://schemas.microsoft.com/office/drawing/2014/chart" uri="{C3380CC4-5D6E-409C-BE32-E72D297353CC}">
              <c16:uniqueId val="{00000001-17AC-4314-AB09-145F0E0E01FF}"/>
            </c:ext>
          </c:extLst>
        </c:ser>
        <c:ser>
          <c:idx val="1"/>
          <c:order val="2"/>
          <c:tx>
            <c:strRef>
              <c:f>'Fig 2.5'!$C$7</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2.5'!$D$7:$BL$7</c:f>
              <c:numCache>
                <c:formatCode>0.0%</c:formatCode>
                <c:ptCount val="61"/>
                <c:pt idx="14">
                  <c:v>0.13800000000000001</c:v>
                </c:pt>
                <c:pt idx="15">
                  <c:v>0.13800000000000001</c:v>
                </c:pt>
                <c:pt idx="16">
                  <c:v>0.13900000000000001</c:v>
                </c:pt>
                <c:pt idx="17">
                  <c:v>0.13800000000000001</c:v>
                </c:pt>
                <c:pt idx="18">
                  <c:v>0.13800000000000001</c:v>
                </c:pt>
                <c:pt idx="19">
                  <c:v>0.13600000000000001</c:v>
                </c:pt>
                <c:pt idx="20">
                  <c:v>0.13600000000000001</c:v>
                </c:pt>
                <c:pt idx="21">
                  <c:v>0.13500000000000001</c:v>
                </c:pt>
                <c:pt idx="22">
                  <c:v>0.13400000000000001</c:v>
                </c:pt>
                <c:pt idx="23">
                  <c:v>0.13400000000000001</c:v>
                </c:pt>
                <c:pt idx="24">
                  <c:v>0.13300000000000001</c:v>
                </c:pt>
                <c:pt idx="25">
                  <c:v>0.13300000000000001</c:v>
                </c:pt>
                <c:pt idx="26">
                  <c:v>0.13200000000000001</c:v>
                </c:pt>
                <c:pt idx="27">
                  <c:v>0.13200000000000001</c:v>
                </c:pt>
                <c:pt idx="28">
                  <c:v>0.13200000000000001</c:v>
                </c:pt>
                <c:pt idx="29">
                  <c:v>0.13200000000000001</c:v>
                </c:pt>
                <c:pt idx="30">
                  <c:v>0.13200000000000001</c:v>
                </c:pt>
                <c:pt idx="31">
                  <c:v>0.13100000000000001</c:v>
                </c:pt>
                <c:pt idx="32">
                  <c:v>0.13100000000000001</c:v>
                </c:pt>
                <c:pt idx="33">
                  <c:v>0.13100000000000001</c:v>
                </c:pt>
                <c:pt idx="34">
                  <c:v>0.13100000000000001</c:v>
                </c:pt>
                <c:pt idx="35">
                  <c:v>0.13100000000000001</c:v>
                </c:pt>
                <c:pt idx="36">
                  <c:v>0.13100000000000001</c:v>
                </c:pt>
                <c:pt idx="37">
                  <c:v>0.13100000000000001</c:v>
                </c:pt>
                <c:pt idx="38">
                  <c:v>0.13100000000000001</c:v>
                </c:pt>
                <c:pt idx="39">
                  <c:v>0.13100000000000001</c:v>
                </c:pt>
                <c:pt idx="40">
                  <c:v>0.13100000000000001</c:v>
                </c:pt>
                <c:pt idx="41">
                  <c:v>0.13100000000000001</c:v>
                </c:pt>
                <c:pt idx="42">
                  <c:v>0.13</c:v>
                </c:pt>
                <c:pt idx="43">
                  <c:v>0.13</c:v>
                </c:pt>
                <c:pt idx="44">
                  <c:v>0.13</c:v>
                </c:pt>
                <c:pt idx="45">
                  <c:v>0.13</c:v>
                </c:pt>
                <c:pt idx="46">
                  <c:v>0.13</c:v>
                </c:pt>
                <c:pt idx="47">
                  <c:v>0.13</c:v>
                </c:pt>
                <c:pt idx="48">
                  <c:v>0.13</c:v>
                </c:pt>
                <c:pt idx="49">
                  <c:v>0.13</c:v>
                </c:pt>
                <c:pt idx="50">
                  <c:v>0.13</c:v>
                </c:pt>
                <c:pt idx="51">
                  <c:v>0.13</c:v>
                </c:pt>
                <c:pt idx="52">
                  <c:v>0.13</c:v>
                </c:pt>
                <c:pt idx="53">
                  <c:v>0.13</c:v>
                </c:pt>
                <c:pt idx="54">
                  <c:v>0.13</c:v>
                </c:pt>
                <c:pt idx="55">
                  <c:v>0.13</c:v>
                </c:pt>
                <c:pt idx="56">
                  <c:v>0.13</c:v>
                </c:pt>
                <c:pt idx="57">
                  <c:v>0.13</c:v>
                </c:pt>
                <c:pt idx="58">
                  <c:v>0.13</c:v>
                </c:pt>
                <c:pt idx="59">
                  <c:v>0.129</c:v>
                </c:pt>
                <c:pt idx="60">
                  <c:v>0.129</c:v>
                </c:pt>
              </c:numCache>
            </c:numRef>
          </c:val>
          <c:smooth val="0"/>
          <c:extLst>
            <c:ext xmlns:c16="http://schemas.microsoft.com/office/drawing/2014/chart" uri="{C3380CC4-5D6E-409C-BE32-E72D297353CC}">
              <c16:uniqueId val="{00000002-17AC-4314-AB09-145F0E0E01FF}"/>
            </c:ext>
          </c:extLst>
        </c:ser>
        <c:ser>
          <c:idx val="2"/>
          <c:order val="3"/>
          <c:tx>
            <c:strRef>
              <c:f>'Fig 2.5'!$C$8</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2.5'!$D$8:$BL$8</c:f>
              <c:numCache>
                <c:formatCode>0.0%</c:formatCode>
                <c:ptCount val="61"/>
                <c:pt idx="14">
                  <c:v>0.13800000000000001</c:v>
                </c:pt>
                <c:pt idx="15">
                  <c:v>0.13800000000000001</c:v>
                </c:pt>
                <c:pt idx="16">
                  <c:v>0.13900000000000001</c:v>
                </c:pt>
                <c:pt idx="17">
                  <c:v>0.13800000000000001</c:v>
                </c:pt>
                <c:pt idx="18">
                  <c:v>0.13800000000000001</c:v>
                </c:pt>
                <c:pt idx="19">
                  <c:v>0.13600000000000001</c:v>
                </c:pt>
                <c:pt idx="20">
                  <c:v>0.13600000000000001</c:v>
                </c:pt>
                <c:pt idx="21">
                  <c:v>0.13500000000000001</c:v>
                </c:pt>
                <c:pt idx="22">
                  <c:v>0.13500000000000001</c:v>
                </c:pt>
                <c:pt idx="23">
                  <c:v>0.13500000000000001</c:v>
                </c:pt>
                <c:pt idx="24">
                  <c:v>0.13400000000000001</c:v>
                </c:pt>
                <c:pt idx="25">
                  <c:v>0.13400000000000001</c:v>
                </c:pt>
                <c:pt idx="26">
                  <c:v>0.13300000000000001</c:v>
                </c:pt>
                <c:pt idx="27">
                  <c:v>0.13300000000000001</c:v>
                </c:pt>
                <c:pt idx="28">
                  <c:v>0.13300000000000001</c:v>
                </c:pt>
                <c:pt idx="29">
                  <c:v>0.13300000000000001</c:v>
                </c:pt>
                <c:pt idx="30">
                  <c:v>0.13200000000000001</c:v>
                </c:pt>
                <c:pt idx="31">
                  <c:v>0.13200000000000001</c:v>
                </c:pt>
                <c:pt idx="32">
                  <c:v>0.13200000000000001</c:v>
                </c:pt>
                <c:pt idx="33">
                  <c:v>0.13200000000000001</c:v>
                </c:pt>
                <c:pt idx="34">
                  <c:v>0.13200000000000001</c:v>
                </c:pt>
                <c:pt idx="35">
                  <c:v>0.13200000000000001</c:v>
                </c:pt>
                <c:pt idx="36">
                  <c:v>0.13200000000000001</c:v>
                </c:pt>
                <c:pt idx="37">
                  <c:v>0.13200000000000001</c:v>
                </c:pt>
                <c:pt idx="38">
                  <c:v>0.13200000000000001</c:v>
                </c:pt>
                <c:pt idx="39">
                  <c:v>0.13200000000000001</c:v>
                </c:pt>
                <c:pt idx="40">
                  <c:v>0.13100000000000001</c:v>
                </c:pt>
                <c:pt idx="41">
                  <c:v>0.13100000000000001</c:v>
                </c:pt>
                <c:pt idx="42">
                  <c:v>0.13100000000000001</c:v>
                </c:pt>
                <c:pt idx="43">
                  <c:v>0.13100000000000001</c:v>
                </c:pt>
                <c:pt idx="44">
                  <c:v>0.13100000000000001</c:v>
                </c:pt>
                <c:pt idx="45">
                  <c:v>0.13100000000000001</c:v>
                </c:pt>
                <c:pt idx="46">
                  <c:v>0.13100000000000001</c:v>
                </c:pt>
                <c:pt idx="47">
                  <c:v>0.13100000000000001</c:v>
                </c:pt>
                <c:pt idx="48">
                  <c:v>0.13100000000000001</c:v>
                </c:pt>
                <c:pt idx="49">
                  <c:v>0.13100000000000001</c:v>
                </c:pt>
                <c:pt idx="50">
                  <c:v>0.13100000000000001</c:v>
                </c:pt>
                <c:pt idx="51">
                  <c:v>0.13100000000000001</c:v>
                </c:pt>
                <c:pt idx="52">
                  <c:v>0.13100000000000001</c:v>
                </c:pt>
                <c:pt idx="53">
                  <c:v>0.13100000000000001</c:v>
                </c:pt>
                <c:pt idx="54">
                  <c:v>0.13100000000000001</c:v>
                </c:pt>
                <c:pt idx="55">
                  <c:v>0.13100000000000001</c:v>
                </c:pt>
                <c:pt idx="56">
                  <c:v>0.13100000000000001</c:v>
                </c:pt>
                <c:pt idx="57">
                  <c:v>0.13100000000000001</c:v>
                </c:pt>
                <c:pt idx="58">
                  <c:v>0.13100000000000001</c:v>
                </c:pt>
                <c:pt idx="59">
                  <c:v>0.13</c:v>
                </c:pt>
                <c:pt idx="60">
                  <c:v>0.13</c:v>
                </c:pt>
              </c:numCache>
            </c:numRef>
          </c:val>
          <c:smooth val="0"/>
          <c:extLst>
            <c:ext xmlns:c16="http://schemas.microsoft.com/office/drawing/2014/chart" uri="{C3380CC4-5D6E-409C-BE32-E72D297353CC}">
              <c16:uniqueId val="{00000003-17AC-4314-AB09-145F0E0E01FF}"/>
            </c:ext>
          </c:extLst>
        </c:ser>
        <c:ser>
          <c:idx val="3"/>
          <c:order val="4"/>
          <c:tx>
            <c:strRef>
              <c:f>'Fig 2.5'!$C$9</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2.5'!$D$9:$BL$9</c:f>
              <c:numCache>
                <c:formatCode>0.0%</c:formatCode>
                <c:ptCount val="61"/>
                <c:pt idx="14">
                  <c:v>0.13800000000000001</c:v>
                </c:pt>
                <c:pt idx="15">
                  <c:v>0.13800000000000001</c:v>
                </c:pt>
                <c:pt idx="16">
                  <c:v>0.13900000000000001</c:v>
                </c:pt>
                <c:pt idx="17">
                  <c:v>0.13800000000000001</c:v>
                </c:pt>
                <c:pt idx="18">
                  <c:v>0.13800000000000001</c:v>
                </c:pt>
                <c:pt idx="19">
                  <c:v>0.13600000000000001</c:v>
                </c:pt>
                <c:pt idx="20">
                  <c:v>0.13600000000000001</c:v>
                </c:pt>
                <c:pt idx="21">
                  <c:v>0.13500000000000001</c:v>
                </c:pt>
                <c:pt idx="22">
                  <c:v>0.13500000000000001</c:v>
                </c:pt>
                <c:pt idx="23">
                  <c:v>0.13400000000000001</c:v>
                </c:pt>
                <c:pt idx="24">
                  <c:v>0.13400000000000001</c:v>
                </c:pt>
                <c:pt idx="25">
                  <c:v>0.13300000000000001</c:v>
                </c:pt>
                <c:pt idx="26">
                  <c:v>0.13300000000000001</c:v>
                </c:pt>
                <c:pt idx="27">
                  <c:v>0.13300000000000001</c:v>
                </c:pt>
                <c:pt idx="28">
                  <c:v>0.13300000000000001</c:v>
                </c:pt>
                <c:pt idx="29">
                  <c:v>0.13300000000000001</c:v>
                </c:pt>
                <c:pt idx="30">
                  <c:v>0.13300000000000001</c:v>
                </c:pt>
                <c:pt idx="31">
                  <c:v>0.13300000000000001</c:v>
                </c:pt>
                <c:pt idx="32">
                  <c:v>0.13300000000000001</c:v>
                </c:pt>
                <c:pt idx="33">
                  <c:v>0.13300000000000001</c:v>
                </c:pt>
                <c:pt idx="34">
                  <c:v>0.13300000000000001</c:v>
                </c:pt>
                <c:pt idx="35">
                  <c:v>0.13300000000000001</c:v>
                </c:pt>
                <c:pt idx="36">
                  <c:v>0.13300000000000001</c:v>
                </c:pt>
                <c:pt idx="37">
                  <c:v>0.13300000000000001</c:v>
                </c:pt>
                <c:pt idx="38">
                  <c:v>0.13200000000000001</c:v>
                </c:pt>
                <c:pt idx="39">
                  <c:v>0.13200000000000001</c:v>
                </c:pt>
                <c:pt idx="40">
                  <c:v>0.13200000000000001</c:v>
                </c:pt>
                <c:pt idx="41">
                  <c:v>0.13200000000000001</c:v>
                </c:pt>
                <c:pt idx="42">
                  <c:v>0.13200000000000001</c:v>
                </c:pt>
                <c:pt idx="43">
                  <c:v>0.13200000000000001</c:v>
                </c:pt>
                <c:pt idx="44">
                  <c:v>0.13200000000000001</c:v>
                </c:pt>
                <c:pt idx="45">
                  <c:v>0.13200000000000001</c:v>
                </c:pt>
                <c:pt idx="46">
                  <c:v>0.13200000000000001</c:v>
                </c:pt>
                <c:pt idx="47">
                  <c:v>0.13200000000000001</c:v>
                </c:pt>
                <c:pt idx="48">
                  <c:v>0.13200000000000001</c:v>
                </c:pt>
                <c:pt idx="49">
                  <c:v>0.13200000000000001</c:v>
                </c:pt>
                <c:pt idx="50">
                  <c:v>0.13200000000000001</c:v>
                </c:pt>
                <c:pt idx="51">
                  <c:v>0.13200000000000001</c:v>
                </c:pt>
                <c:pt idx="52">
                  <c:v>0.13200000000000001</c:v>
                </c:pt>
                <c:pt idx="53">
                  <c:v>0.13200000000000001</c:v>
                </c:pt>
                <c:pt idx="54">
                  <c:v>0.13200000000000001</c:v>
                </c:pt>
                <c:pt idx="55">
                  <c:v>0.13200000000000001</c:v>
                </c:pt>
                <c:pt idx="56">
                  <c:v>0.13100000000000001</c:v>
                </c:pt>
                <c:pt idx="57">
                  <c:v>0.13100000000000001</c:v>
                </c:pt>
                <c:pt idx="58">
                  <c:v>0.13100000000000001</c:v>
                </c:pt>
                <c:pt idx="59">
                  <c:v>0.13100000000000001</c:v>
                </c:pt>
                <c:pt idx="60">
                  <c:v>0.13100000000000001</c:v>
                </c:pt>
              </c:numCache>
            </c:numRef>
          </c:val>
          <c:smooth val="0"/>
          <c:extLst>
            <c:ext xmlns:c16="http://schemas.microsoft.com/office/drawing/2014/chart" uri="{C3380CC4-5D6E-409C-BE32-E72D297353CC}">
              <c16:uniqueId val="{00000004-17AC-4314-AB09-145F0E0E01FF}"/>
            </c:ext>
          </c:extLst>
        </c:ser>
        <c:ser>
          <c:idx val="4"/>
          <c:order val="5"/>
          <c:tx>
            <c:strRef>
              <c:f>'Fig 2.5'!$C$10</c:f>
              <c:strCache>
                <c:ptCount val="1"/>
                <c:pt idx="0">
                  <c:v>C'</c:v>
                </c:pt>
              </c:strCache>
            </c:strRef>
          </c:tx>
          <c:spPr>
            <a:ln w="22225">
              <a:solidFill>
                <a:schemeClr val="tx1"/>
              </a:solidFill>
            </a:ln>
          </c:spPr>
          <c:marker>
            <c:symbol val="star"/>
            <c:size val="4"/>
            <c:spPr>
              <a:noFill/>
              <a:ln>
                <a:solidFill>
                  <a:schemeClr val="tx1"/>
                </a:solidFill>
              </a:ln>
            </c:spPr>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2.5'!$D$10:$BL$10</c:f>
              <c:numCache>
                <c:formatCode>0.0%</c:formatCode>
                <c:ptCount val="61"/>
                <c:pt idx="14">
                  <c:v>0.13800000000000001</c:v>
                </c:pt>
                <c:pt idx="15">
                  <c:v>0.13800000000000001</c:v>
                </c:pt>
                <c:pt idx="16">
                  <c:v>0.13900000000000001</c:v>
                </c:pt>
                <c:pt idx="17">
                  <c:v>0.13800000000000001</c:v>
                </c:pt>
                <c:pt idx="18">
                  <c:v>0.13800000000000001</c:v>
                </c:pt>
                <c:pt idx="19">
                  <c:v>0.13600000000000001</c:v>
                </c:pt>
                <c:pt idx="20">
                  <c:v>0.13600000000000001</c:v>
                </c:pt>
                <c:pt idx="21">
                  <c:v>0.13500000000000001</c:v>
                </c:pt>
                <c:pt idx="22">
                  <c:v>0.13500000000000001</c:v>
                </c:pt>
                <c:pt idx="23">
                  <c:v>0.13400000000000001</c:v>
                </c:pt>
                <c:pt idx="24">
                  <c:v>0.13400000000000001</c:v>
                </c:pt>
                <c:pt idx="25">
                  <c:v>0.13400000000000001</c:v>
                </c:pt>
                <c:pt idx="26">
                  <c:v>0.13300000000000001</c:v>
                </c:pt>
                <c:pt idx="27">
                  <c:v>0.13300000000000001</c:v>
                </c:pt>
                <c:pt idx="28">
                  <c:v>0.13300000000000001</c:v>
                </c:pt>
                <c:pt idx="29">
                  <c:v>0.13300000000000001</c:v>
                </c:pt>
                <c:pt idx="30">
                  <c:v>0.13300000000000001</c:v>
                </c:pt>
                <c:pt idx="31">
                  <c:v>0.13300000000000001</c:v>
                </c:pt>
                <c:pt idx="32">
                  <c:v>0.13300000000000001</c:v>
                </c:pt>
                <c:pt idx="33">
                  <c:v>0.13300000000000001</c:v>
                </c:pt>
                <c:pt idx="34">
                  <c:v>0.13300000000000001</c:v>
                </c:pt>
                <c:pt idx="35">
                  <c:v>0.13300000000000001</c:v>
                </c:pt>
                <c:pt idx="36">
                  <c:v>0.13300000000000001</c:v>
                </c:pt>
                <c:pt idx="37">
                  <c:v>0.13300000000000001</c:v>
                </c:pt>
                <c:pt idx="38">
                  <c:v>0.13300000000000001</c:v>
                </c:pt>
                <c:pt idx="39">
                  <c:v>0.13300000000000001</c:v>
                </c:pt>
                <c:pt idx="40">
                  <c:v>0.13300000000000001</c:v>
                </c:pt>
                <c:pt idx="41">
                  <c:v>0.13300000000000001</c:v>
                </c:pt>
                <c:pt idx="42">
                  <c:v>0.13300000000000001</c:v>
                </c:pt>
                <c:pt idx="43">
                  <c:v>0.13300000000000001</c:v>
                </c:pt>
                <c:pt idx="44">
                  <c:v>0.13200000000000001</c:v>
                </c:pt>
                <c:pt idx="45">
                  <c:v>0.13200000000000001</c:v>
                </c:pt>
                <c:pt idx="46">
                  <c:v>0.13200000000000001</c:v>
                </c:pt>
                <c:pt idx="47">
                  <c:v>0.13200000000000001</c:v>
                </c:pt>
                <c:pt idx="48">
                  <c:v>0.13200000000000001</c:v>
                </c:pt>
                <c:pt idx="49">
                  <c:v>0.13200000000000001</c:v>
                </c:pt>
                <c:pt idx="50">
                  <c:v>0.13200000000000001</c:v>
                </c:pt>
                <c:pt idx="51">
                  <c:v>0.13200000000000001</c:v>
                </c:pt>
                <c:pt idx="52">
                  <c:v>0.13200000000000001</c:v>
                </c:pt>
                <c:pt idx="53">
                  <c:v>0.13200000000000001</c:v>
                </c:pt>
                <c:pt idx="54">
                  <c:v>0.13200000000000001</c:v>
                </c:pt>
                <c:pt idx="55">
                  <c:v>0.13200000000000001</c:v>
                </c:pt>
                <c:pt idx="56">
                  <c:v>0.13200000000000001</c:v>
                </c:pt>
                <c:pt idx="57">
                  <c:v>0.13200000000000001</c:v>
                </c:pt>
                <c:pt idx="58">
                  <c:v>0.13200000000000001</c:v>
                </c:pt>
                <c:pt idx="59">
                  <c:v>0.13200000000000001</c:v>
                </c:pt>
                <c:pt idx="60">
                  <c:v>0.13200000000000001</c:v>
                </c:pt>
              </c:numCache>
            </c:numRef>
          </c:val>
          <c:smooth val="0"/>
          <c:extLst>
            <c:ext xmlns:c16="http://schemas.microsoft.com/office/drawing/2014/chart" uri="{C3380CC4-5D6E-409C-BE32-E72D297353CC}">
              <c16:uniqueId val="{00000005-17AC-4314-AB09-145F0E0E01FF}"/>
            </c:ext>
          </c:extLst>
        </c:ser>
        <c:dLbls>
          <c:showLegendKey val="0"/>
          <c:showVal val="0"/>
          <c:showCatName val="0"/>
          <c:showSerName val="0"/>
          <c:showPercent val="0"/>
          <c:showBubbleSize val="0"/>
        </c:dLbls>
        <c:smooth val="0"/>
        <c:axId val="97615872"/>
        <c:axId val="97617792"/>
      </c:lineChart>
      <c:catAx>
        <c:axId val="97615872"/>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97617792"/>
        <c:crosses val="autoZero"/>
        <c:auto val="1"/>
        <c:lblAlgn val="ctr"/>
        <c:lblOffset val="100"/>
        <c:tickLblSkip val="10"/>
        <c:noMultiLvlLbl val="0"/>
      </c:catAx>
      <c:valAx>
        <c:axId val="97617792"/>
        <c:scaling>
          <c:orientation val="minMax"/>
          <c:max val="0.15000000000000002"/>
          <c:min val="0.11000000000000001"/>
        </c:scaling>
        <c:delete val="0"/>
        <c:axPos val="l"/>
        <c:majorGridlines/>
        <c:numFmt formatCode="0%" sourceLinked="0"/>
        <c:majorTickMark val="out"/>
        <c:minorTickMark val="none"/>
        <c:tickLblPos val="nextTo"/>
        <c:crossAx val="97615872"/>
        <c:crosses val="autoZero"/>
        <c:crossBetween val="between"/>
        <c:majorUnit val="1.0000000000000002E-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94"/>
          <c:y val="3.2064285714285712E-2"/>
          <c:w val="0.80694444444444446"/>
          <c:h val="0.6988388888888889"/>
        </c:manualLayout>
      </c:layout>
      <c:lineChart>
        <c:grouping val="standard"/>
        <c:varyColors val="0"/>
        <c:ser>
          <c:idx val="5"/>
          <c:order val="0"/>
          <c:tx>
            <c:strRef>
              <c:f>'Fig 2.5'!$C$11</c:f>
              <c:strCache>
                <c:ptCount val="1"/>
                <c:pt idx="0">
                  <c:v>Obs</c:v>
                </c:pt>
              </c:strCache>
            </c:strRef>
          </c:tx>
          <c:spPr>
            <a:ln w="50800">
              <a:solidFill>
                <a:schemeClr val="bg1">
                  <a:lumMod val="50000"/>
                </a:schemeClr>
              </a:solidFill>
            </a:ln>
          </c:spPr>
          <c:marker>
            <c:symbol val="none"/>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2.5'!$D$11:$BL$11</c:f>
              <c:numCache>
                <c:formatCode>0.0%</c:formatCode>
                <c:ptCount val="61"/>
                <c:pt idx="2">
                  <c:v>0.11600000000000001</c:v>
                </c:pt>
                <c:pt idx="3">
                  <c:v>0.11700000000000001</c:v>
                </c:pt>
                <c:pt idx="4">
                  <c:v>0.12</c:v>
                </c:pt>
                <c:pt idx="5">
                  <c:v>0.12</c:v>
                </c:pt>
                <c:pt idx="6">
                  <c:v>0.121</c:v>
                </c:pt>
                <c:pt idx="7">
                  <c:v>0.122</c:v>
                </c:pt>
                <c:pt idx="8">
                  <c:v>0.124</c:v>
                </c:pt>
                <c:pt idx="9">
                  <c:v>0.13200000000000001</c:v>
                </c:pt>
                <c:pt idx="10">
                  <c:v>0.13300000000000001</c:v>
                </c:pt>
                <c:pt idx="11">
                  <c:v>0.13500000000000001</c:v>
                </c:pt>
                <c:pt idx="12">
                  <c:v>0.13800000000000001</c:v>
                </c:pt>
                <c:pt idx="13">
                  <c:v>0.14000000000000001</c:v>
                </c:pt>
              </c:numCache>
            </c:numRef>
          </c:val>
          <c:smooth val="0"/>
          <c:extLst>
            <c:ext xmlns:c16="http://schemas.microsoft.com/office/drawing/2014/chart" uri="{C3380CC4-5D6E-409C-BE32-E72D297353CC}">
              <c16:uniqueId val="{00000000-CD62-4BE2-A6D5-23A6B0BAE5D9}"/>
            </c:ext>
          </c:extLst>
        </c:ser>
        <c:ser>
          <c:idx val="0"/>
          <c:order val="1"/>
          <c:tx>
            <c:strRef>
              <c:f>'Fig 2.5'!$C$12</c:f>
              <c:strCache>
                <c:ptCount val="1"/>
                <c:pt idx="0">
                  <c:v>A'</c:v>
                </c:pt>
              </c:strCache>
            </c:strRef>
          </c:tx>
          <c:spPr>
            <a:ln w="22225">
              <a:solidFill>
                <a:schemeClr val="tx1"/>
              </a:solidFill>
            </a:ln>
          </c:spPr>
          <c:marker>
            <c:symbol val="x"/>
            <c:size val="4"/>
            <c:spPr>
              <a:noFill/>
              <a:ln>
                <a:solidFill>
                  <a:schemeClr val="tx1"/>
                </a:solidFill>
              </a:ln>
            </c:spPr>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2.5'!$D$12:$BL$12</c:f>
              <c:numCache>
                <c:formatCode>0.0%</c:formatCode>
                <c:ptCount val="61"/>
                <c:pt idx="14">
                  <c:v>0.14199999999999999</c:v>
                </c:pt>
                <c:pt idx="15">
                  <c:v>0.14199999999999999</c:v>
                </c:pt>
                <c:pt idx="16">
                  <c:v>0.14199999999999999</c:v>
                </c:pt>
                <c:pt idx="17">
                  <c:v>0.14199999999999999</c:v>
                </c:pt>
                <c:pt idx="18">
                  <c:v>0.14199999999999999</c:v>
                </c:pt>
                <c:pt idx="19">
                  <c:v>0.14099999999999999</c:v>
                </c:pt>
                <c:pt idx="20">
                  <c:v>0.14000000000000001</c:v>
                </c:pt>
                <c:pt idx="21">
                  <c:v>0.13800000000000001</c:v>
                </c:pt>
                <c:pt idx="22">
                  <c:v>0.13700000000000001</c:v>
                </c:pt>
                <c:pt idx="23">
                  <c:v>0.13500000000000001</c:v>
                </c:pt>
                <c:pt idx="24">
                  <c:v>0.13300000000000001</c:v>
                </c:pt>
                <c:pt idx="25">
                  <c:v>0.13200000000000001</c:v>
                </c:pt>
                <c:pt idx="26">
                  <c:v>0.13100000000000001</c:v>
                </c:pt>
                <c:pt idx="27">
                  <c:v>0.13</c:v>
                </c:pt>
                <c:pt idx="28">
                  <c:v>0.129</c:v>
                </c:pt>
                <c:pt idx="29">
                  <c:v>0.128</c:v>
                </c:pt>
                <c:pt idx="30">
                  <c:v>0.128</c:v>
                </c:pt>
                <c:pt idx="31">
                  <c:v>0.127</c:v>
                </c:pt>
                <c:pt idx="32">
                  <c:v>0.127</c:v>
                </c:pt>
                <c:pt idx="33">
                  <c:v>0.126</c:v>
                </c:pt>
                <c:pt idx="34">
                  <c:v>0.126</c:v>
                </c:pt>
                <c:pt idx="35">
                  <c:v>0.125</c:v>
                </c:pt>
                <c:pt idx="36">
                  <c:v>0.124</c:v>
                </c:pt>
                <c:pt idx="37">
                  <c:v>0.123</c:v>
                </c:pt>
                <c:pt idx="38">
                  <c:v>0.122</c:v>
                </c:pt>
                <c:pt idx="39">
                  <c:v>0.121</c:v>
                </c:pt>
                <c:pt idx="40">
                  <c:v>0.121</c:v>
                </c:pt>
                <c:pt idx="41">
                  <c:v>0.12</c:v>
                </c:pt>
                <c:pt idx="42">
                  <c:v>0.11899999999999999</c:v>
                </c:pt>
                <c:pt idx="43">
                  <c:v>0.11899999999999999</c:v>
                </c:pt>
                <c:pt idx="44">
                  <c:v>0.11799999999999999</c:v>
                </c:pt>
                <c:pt idx="45">
                  <c:v>0.11799999999999999</c:v>
                </c:pt>
                <c:pt idx="46">
                  <c:v>0.11700000000000001</c:v>
                </c:pt>
                <c:pt idx="47">
                  <c:v>0.11700000000000001</c:v>
                </c:pt>
                <c:pt idx="48">
                  <c:v>0.11600000000000001</c:v>
                </c:pt>
                <c:pt idx="49">
                  <c:v>0.11600000000000001</c:v>
                </c:pt>
                <c:pt idx="50">
                  <c:v>0.115</c:v>
                </c:pt>
                <c:pt idx="51">
                  <c:v>0.115</c:v>
                </c:pt>
                <c:pt idx="52">
                  <c:v>0.114</c:v>
                </c:pt>
                <c:pt idx="53">
                  <c:v>0.114</c:v>
                </c:pt>
                <c:pt idx="54">
                  <c:v>0.113</c:v>
                </c:pt>
                <c:pt idx="55">
                  <c:v>0.113</c:v>
                </c:pt>
                <c:pt idx="56">
                  <c:v>0.113</c:v>
                </c:pt>
                <c:pt idx="57">
                  <c:v>0.112</c:v>
                </c:pt>
                <c:pt idx="58">
                  <c:v>0.112</c:v>
                </c:pt>
                <c:pt idx="59">
                  <c:v>0.112</c:v>
                </c:pt>
                <c:pt idx="60">
                  <c:v>0.112</c:v>
                </c:pt>
              </c:numCache>
            </c:numRef>
          </c:val>
          <c:smooth val="0"/>
          <c:extLst>
            <c:ext xmlns:c16="http://schemas.microsoft.com/office/drawing/2014/chart" uri="{C3380CC4-5D6E-409C-BE32-E72D297353CC}">
              <c16:uniqueId val="{00000001-CD62-4BE2-A6D5-23A6B0BAE5D9}"/>
            </c:ext>
          </c:extLst>
        </c:ser>
        <c:ser>
          <c:idx val="1"/>
          <c:order val="2"/>
          <c:tx>
            <c:strRef>
              <c:f>'Fig 2.5'!$C$13</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2.5'!$D$13:$BL$13</c:f>
              <c:numCache>
                <c:formatCode>0.0%</c:formatCode>
                <c:ptCount val="61"/>
                <c:pt idx="14">
                  <c:v>0.14199999999999999</c:v>
                </c:pt>
                <c:pt idx="15">
                  <c:v>0.14199999999999999</c:v>
                </c:pt>
                <c:pt idx="16">
                  <c:v>0.14199999999999999</c:v>
                </c:pt>
                <c:pt idx="17">
                  <c:v>0.14199999999999999</c:v>
                </c:pt>
                <c:pt idx="18">
                  <c:v>0.14199999999999999</c:v>
                </c:pt>
                <c:pt idx="19">
                  <c:v>0.14099999999999999</c:v>
                </c:pt>
                <c:pt idx="20">
                  <c:v>0.14000000000000001</c:v>
                </c:pt>
                <c:pt idx="21">
                  <c:v>0.13800000000000001</c:v>
                </c:pt>
                <c:pt idx="22">
                  <c:v>0.13700000000000001</c:v>
                </c:pt>
                <c:pt idx="23">
                  <c:v>0.13500000000000001</c:v>
                </c:pt>
                <c:pt idx="24">
                  <c:v>0.13400000000000001</c:v>
                </c:pt>
                <c:pt idx="25">
                  <c:v>0.13200000000000001</c:v>
                </c:pt>
                <c:pt idx="26">
                  <c:v>0.13100000000000001</c:v>
                </c:pt>
                <c:pt idx="27">
                  <c:v>0.13</c:v>
                </c:pt>
                <c:pt idx="28">
                  <c:v>0.13</c:v>
                </c:pt>
                <c:pt idx="29">
                  <c:v>0.129</c:v>
                </c:pt>
                <c:pt idx="30">
                  <c:v>0.129</c:v>
                </c:pt>
                <c:pt idx="31">
                  <c:v>0.129</c:v>
                </c:pt>
                <c:pt idx="32">
                  <c:v>0.129</c:v>
                </c:pt>
                <c:pt idx="33">
                  <c:v>0.128</c:v>
                </c:pt>
                <c:pt idx="34">
                  <c:v>0.128</c:v>
                </c:pt>
                <c:pt idx="35">
                  <c:v>0.128</c:v>
                </c:pt>
                <c:pt idx="36">
                  <c:v>0.127</c:v>
                </c:pt>
                <c:pt idx="37">
                  <c:v>0.126</c:v>
                </c:pt>
                <c:pt idx="38">
                  <c:v>0.126</c:v>
                </c:pt>
                <c:pt idx="39">
                  <c:v>0.125</c:v>
                </c:pt>
                <c:pt idx="40">
                  <c:v>0.124</c:v>
                </c:pt>
                <c:pt idx="41">
                  <c:v>0.123</c:v>
                </c:pt>
                <c:pt idx="42">
                  <c:v>0.123</c:v>
                </c:pt>
                <c:pt idx="43">
                  <c:v>0.123</c:v>
                </c:pt>
                <c:pt idx="44">
                  <c:v>0.122</c:v>
                </c:pt>
                <c:pt idx="45">
                  <c:v>0.122</c:v>
                </c:pt>
                <c:pt idx="46">
                  <c:v>0.122</c:v>
                </c:pt>
                <c:pt idx="47">
                  <c:v>0.121</c:v>
                </c:pt>
                <c:pt idx="48">
                  <c:v>0.121</c:v>
                </c:pt>
                <c:pt idx="49">
                  <c:v>0.12</c:v>
                </c:pt>
                <c:pt idx="50">
                  <c:v>0.12</c:v>
                </c:pt>
                <c:pt idx="51">
                  <c:v>0.12</c:v>
                </c:pt>
                <c:pt idx="52">
                  <c:v>0.11899999999999999</c:v>
                </c:pt>
                <c:pt idx="53">
                  <c:v>0.11899999999999999</c:v>
                </c:pt>
                <c:pt idx="54">
                  <c:v>0.11899999999999999</c:v>
                </c:pt>
                <c:pt idx="55">
                  <c:v>0.11799999999999999</c:v>
                </c:pt>
                <c:pt idx="56">
                  <c:v>0.11799999999999999</c:v>
                </c:pt>
                <c:pt idx="57">
                  <c:v>0.11799999999999999</c:v>
                </c:pt>
                <c:pt idx="58">
                  <c:v>0.11799999999999999</c:v>
                </c:pt>
                <c:pt idx="59">
                  <c:v>0.11799999999999999</c:v>
                </c:pt>
                <c:pt idx="60">
                  <c:v>0.11700000000000001</c:v>
                </c:pt>
              </c:numCache>
            </c:numRef>
          </c:val>
          <c:smooth val="0"/>
          <c:extLst>
            <c:ext xmlns:c16="http://schemas.microsoft.com/office/drawing/2014/chart" uri="{C3380CC4-5D6E-409C-BE32-E72D297353CC}">
              <c16:uniqueId val="{00000002-CD62-4BE2-A6D5-23A6B0BAE5D9}"/>
            </c:ext>
          </c:extLst>
        </c:ser>
        <c:ser>
          <c:idx val="2"/>
          <c:order val="3"/>
          <c:tx>
            <c:strRef>
              <c:f>'Fig 2.5'!$C$14</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2.5'!$D$14:$BL$14</c:f>
              <c:numCache>
                <c:formatCode>0.0%</c:formatCode>
                <c:ptCount val="61"/>
                <c:pt idx="14">
                  <c:v>0.14199999999999999</c:v>
                </c:pt>
                <c:pt idx="15">
                  <c:v>0.14199999999999999</c:v>
                </c:pt>
                <c:pt idx="16">
                  <c:v>0.14199999999999999</c:v>
                </c:pt>
                <c:pt idx="17">
                  <c:v>0.14199999999999999</c:v>
                </c:pt>
                <c:pt idx="18">
                  <c:v>0.14199999999999999</c:v>
                </c:pt>
                <c:pt idx="19">
                  <c:v>0.14099999999999999</c:v>
                </c:pt>
                <c:pt idx="20">
                  <c:v>0.14000000000000001</c:v>
                </c:pt>
                <c:pt idx="21">
                  <c:v>0.13900000000000001</c:v>
                </c:pt>
                <c:pt idx="22">
                  <c:v>0.13800000000000001</c:v>
                </c:pt>
                <c:pt idx="23">
                  <c:v>0.13700000000000001</c:v>
                </c:pt>
                <c:pt idx="24">
                  <c:v>0.13500000000000001</c:v>
                </c:pt>
                <c:pt idx="25">
                  <c:v>0.13500000000000001</c:v>
                </c:pt>
                <c:pt idx="26">
                  <c:v>0.13400000000000001</c:v>
                </c:pt>
                <c:pt idx="27">
                  <c:v>0.13400000000000001</c:v>
                </c:pt>
                <c:pt idx="28">
                  <c:v>0.13300000000000001</c:v>
                </c:pt>
                <c:pt idx="29">
                  <c:v>0.13300000000000001</c:v>
                </c:pt>
                <c:pt idx="30">
                  <c:v>0.13200000000000001</c:v>
                </c:pt>
                <c:pt idx="31">
                  <c:v>0.13200000000000001</c:v>
                </c:pt>
                <c:pt idx="32">
                  <c:v>0.13200000000000001</c:v>
                </c:pt>
                <c:pt idx="33">
                  <c:v>0.13200000000000001</c:v>
                </c:pt>
                <c:pt idx="34">
                  <c:v>0.13200000000000001</c:v>
                </c:pt>
                <c:pt idx="35">
                  <c:v>0.13200000000000001</c:v>
                </c:pt>
                <c:pt idx="36">
                  <c:v>0.13100000000000001</c:v>
                </c:pt>
                <c:pt idx="37">
                  <c:v>0.13100000000000001</c:v>
                </c:pt>
                <c:pt idx="38">
                  <c:v>0.13100000000000001</c:v>
                </c:pt>
                <c:pt idx="39">
                  <c:v>0.13</c:v>
                </c:pt>
                <c:pt idx="40">
                  <c:v>0.13</c:v>
                </c:pt>
                <c:pt idx="41">
                  <c:v>0.129</c:v>
                </c:pt>
                <c:pt idx="42">
                  <c:v>0.129</c:v>
                </c:pt>
                <c:pt idx="43">
                  <c:v>0.129</c:v>
                </c:pt>
                <c:pt idx="44">
                  <c:v>0.129</c:v>
                </c:pt>
                <c:pt idx="45">
                  <c:v>0.129</c:v>
                </c:pt>
                <c:pt idx="46">
                  <c:v>0.129</c:v>
                </c:pt>
                <c:pt idx="47">
                  <c:v>0.128</c:v>
                </c:pt>
                <c:pt idx="48">
                  <c:v>0.128</c:v>
                </c:pt>
                <c:pt idx="49">
                  <c:v>0.128</c:v>
                </c:pt>
                <c:pt idx="50">
                  <c:v>0.128</c:v>
                </c:pt>
                <c:pt idx="51">
                  <c:v>0.128</c:v>
                </c:pt>
                <c:pt idx="52">
                  <c:v>0.128</c:v>
                </c:pt>
                <c:pt idx="53">
                  <c:v>0.128</c:v>
                </c:pt>
                <c:pt idx="54">
                  <c:v>0.127</c:v>
                </c:pt>
                <c:pt idx="55">
                  <c:v>0.127</c:v>
                </c:pt>
                <c:pt idx="56">
                  <c:v>0.127</c:v>
                </c:pt>
                <c:pt idx="57">
                  <c:v>0.127</c:v>
                </c:pt>
                <c:pt idx="58">
                  <c:v>0.127</c:v>
                </c:pt>
                <c:pt idx="59">
                  <c:v>0.127</c:v>
                </c:pt>
                <c:pt idx="60">
                  <c:v>0.127</c:v>
                </c:pt>
              </c:numCache>
            </c:numRef>
          </c:val>
          <c:smooth val="0"/>
          <c:extLst>
            <c:ext xmlns:c16="http://schemas.microsoft.com/office/drawing/2014/chart" uri="{C3380CC4-5D6E-409C-BE32-E72D297353CC}">
              <c16:uniqueId val="{00000003-CD62-4BE2-A6D5-23A6B0BAE5D9}"/>
            </c:ext>
          </c:extLst>
        </c:ser>
        <c:ser>
          <c:idx val="3"/>
          <c:order val="4"/>
          <c:tx>
            <c:strRef>
              <c:f>'Fig 2.5'!$C$15</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2.5'!$D$15:$BL$15</c:f>
              <c:numCache>
                <c:formatCode>0.0%</c:formatCode>
                <c:ptCount val="61"/>
                <c:pt idx="14">
                  <c:v>0.14199999999999999</c:v>
                </c:pt>
                <c:pt idx="15">
                  <c:v>0.14199999999999999</c:v>
                </c:pt>
                <c:pt idx="16">
                  <c:v>0.14199999999999999</c:v>
                </c:pt>
                <c:pt idx="17">
                  <c:v>0.14199999999999999</c:v>
                </c:pt>
                <c:pt idx="18">
                  <c:v>0.14199999999999999</c:v>
                </c:pt>
                <c:pt idx="19">
                  <c:v>0.14099999999999999</c:v>
                </c:pt>
                <c:pt idx="20">
                  <c:v>0.14000000000000001</c:v>
                </c:pt>
                <c:pt idx="21">
                  <c:v>0.13900000000000001</c:v>
                </c:pt>
                <c:pt idx="22">
                  <c:v>0.13700000000000001</c:v>
                </c:pt>
                <c:pt idx="23">
                  <c:v>0.13600000000000001</c:v>
                </c:pt>
                <c:pt idx="24">
                  <c:v>0.13500000000000001</c:v>
                </c:pt>
                <c:pt idx="25">
                  <c:v>0.13500000000000001</c:v>
                </c:pt>
                <c:pt idx="26">
                  <c:v>0.13500000000000001</c:v>
                </c:pt>
                <c:pt idx="27">
                  <c:v>0.13600000000000001</c:v>
                </c:pt>
                <c:pt idx="28">
                  <c:v>0.13600000000000001</c:v>
                </c:pt>
                <c:pt idx="29">
                  <c:v>0.13600000000000001</c:v>
                </c:pt>
                <c:pt idx="30">
                  <c:v>0.13600000000000001</c:v>
                </c:pt>
                <c:pt idx="31">
                  <c:v>0.13700000000000001</c:v>
                </c:pt>
                <c:pt idx="32">
                  <c:v>0.13700000000000001</c:v>
                </c:pt>
                <c:pt idx="33">
                  <c:v>0.13700000000000001</c:v>
                </c:pt>
                <c:pt idx="34">
                  <c:v>0.13800000000000001</c:v>
                </c:pt>
                <c:pt idx="35">
                  <c:v>0.13800000000000001</c:v>
                </c:pt>
                <c:pt idx="36">
                  <c:v>0.13800000000000001</c:v>
                </c:pt>
                <c:pt idx="37">
                  <c:v>0.13800000000000001</c:v>
                </c:pt>
                <c:pt idx="38">
                  <c:v>0.13700000000000001</c:v>
                </c:pt>
                <c:pt idx="39">
                  <c:v>0.13700000000000001</c:v>
                </c:pt>
                <c:pt idx="40">
                  <c:v>0.13700000000000001</c:v>
                </c:pt>
                <c:pt idx="41">
                  <c:v>0.13600000000000001</c:v>
                </c:pt>
                <c:pt idx="42">
                  <c:v>0.13600000000000001</c:v>
                </c:pt>
                <c:pt idx="43">
                  <c:v>0.13600000000000001</c:v>
                </c:pt>
                <c:pt idx="44">
                  <c:v>0.13700000000000001</c:v>
                </c:pt>
                <c:pt idx="45">
                  <c:v>0.13700000000000001</c:v>
                </c:pt>
                <c:pt idx="46">
                  <c:v>0.13700000000000001</c:v>
                </c:pt>
                <c:pt idx="47">
                  <c:v>0.13700000000000001</c:v>
                </c:pt>
                <c:pt idx="48">
                  <c:v>0.13600000000000001</c:v>
                </c:pt>
                <c:pt idx="49">
                  <c:v>0.13600000000000001</c:v>
                </c:pt>
                <c:pt idx="50">
                  <c:v>0.13600000000000001</c:v>
                </c:pt>
                <c:pt idx="51">
                  <c:v>0.13600000000000001</c:v>
                </c:pt>
                <c:pt idx="52">
                  <c:v>0.13600000000000001</c:v>
                </c:pt>
                <c:pt idx="53">
                  <c:v>0.13600000000000001</c:v>
                </c:pt>
                <c:pt idx="54">
                  <c:v>0.13600000000000001</c:v>
                </c:pt>
                <c:pt idx="55">
                  <c:v>0.13600000000000001</c:v>
                </c:pt>
                <c:pt idx="56">
                  <c:v>0.13600000000000001</c:v>
                </c:pt>
                <c:pt idx="57">
                  <c:v>0.13600000000000001</c:v>
                </c:pt>
                <c:pt idx="58">
                  <c:v>0.13600000000000001</c:v>
                </c:pt>
                <c:pt idx="59">
                  <c:v>0.13600000000000001</c:v>
                </c:pt>
                <c:pt idx="60">
                  <c:v>0.13600000000000001</c:v>
                </c:pt>
              </c:numCache>
            </c:numRef>
          </c:val>
          <c:smooth val="0"/>
          <c:extLst>
            <c:ext xmlns:c16="http://schemas.microsoft.com/office/drawing/2014/chart" uri="{C3380CC4-5D6E-409C-BE32-E72D297353CC}">
              <c16:uniqueId val="{00000004-CD62-4BE2-A6D5-23A6B0BAE5D9}"/>
            </c:ext>
          </c:extLst>
        </c:ser>
        <c:ser>
          <c:idx val="4"/>
          <c:order val="5"/>
          <c:tx>
            <c:strRef>
              <c:f>'Fig 2.5'!$C$16</c:f>
              <c:strCache>
                <c:ptCount val="1"/>
                <c:pt idx="0">
                  <c:v>C'</c:v>
                </c:pt>
              </c:strCache>
            </c:strRef>
          </c:tx>
          <c:spPr>
            <a:ln w="22225">
              <a:solidFill>
                <a:schemeClr val="tx1"/>
              </a:solidFill>
            </a:ln>
          </c:spPr>
          <c:marker>
            <c:symbol val="star"/>
            <c:size val="4"/>
            <c:spPr>
              <a:noFill/>
              <a:ln>
                <a:solidFill>
                  <a:schemeClr val="tx1"/>
                </a:solidFill>
              </a:ln>
            </c:spPr>
          </c:marker>
          <c:cat>
            <c:numRef>
              <c:f>'Fig 2.5'!$D$4:$BL$4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2.5'!$D$16:$BL$16</c:f>
              <c:numCache>
                <c:formatCode>0.0%</c:formatCode>
                <c:ptCount val="61"/>
                <c:pt idx="14">
                  <c:v>0.14199999999999999</c:v>
                </c:pt>
                <c:pt idx="15">
                  <c:v>0.14199999999999999</c:v>
                </c:pt>
                <c:pt idx="16">
                  <c:v>0.14199999999999999</c:v>
                </c:pt>
                <c:pt idx="17">
                  <c:v>0.14199999999999999</c:v>
                </c:pt>
                <c:pt idx="18">
                  <c:v>0.14199999999999999</c:v>
                </c:pt>
                <c:pt idx="19">
                  <c:v>0.14099999999999999</c:v>
                </c:pt>
                <c:pt idx="20">
                  <c:v>0.14099999999999999</c:v>
                </c:pt>
                <c:pt idx="21">
                  <c:v>0.13900000000000001</c:v>
                </c:pt>
                <c:pt idx="22">
                  <c:v>0.13800000000000001</c:v>
                </c:pt>
                <c:pt idx="23">
                  <c:v>0.13700000000000001</c:v>
                </c:pt>
                <c:pt idx="24">
                  <c:v>0.13600000000000001</c:v>
                </c:pt>
                <c:pt idx="25">
                  <c:v>0.13700000000000001</c:v>
                </c:pt>
                <c:pt idx="26">
                  <c:v>0.13800000000000001</c:v>
                </c:pt>
                <c:pt idx="27">
                  <c:v>0.13800000000000001</c:v>
                </c:pt>
                <c:pt idx="28">
                  <c:v>0.13900000000000001</c:v>
                </c:pt>
                <c:pt idx="29">
                  <c:v>0.14000000000000001</c:v>
                </c:pt>
                <c:pt idx="30">
                  <c:v>0.14000000000000001</c:v>
                </c:pt>
                <c:pt idx="31">
                  <c:v>0.14099999999999999</c:v>
                </c:pt>
                <c:pt idx="32">
                  <c:v>0.14199999999999999</c:v>
                </c:pt>
                <c:pt idx="33">
                  <c:v>0.14199999999999999</c:v>
                </c:pt>
                <c:pt idx="34">
                  <c:v>0.14299999999999999</c:v>
                </c:pt>
                <c:pt idx="35">
                  <c:v>0.14399999999999999</c:v>
                </c:pt>
                <c:pt idx="36">
                  <c:v>0.14399999999999999</c:v>
                </c:pt>
                <c:pt idx="37">
                  <c:v>0.14399999999999999</c:v>
                </c:pt>
                <c:pt idx="38">
                  <c:v>0.14399999999999999</c:v>
                </c:pt>
                <c:pt idx="39">
                  <c:v>0.14399999999999999</c:v>
                </c:pt>
                <c:pt idx="40">
                  <c:v>0.14399999999999999</c:v>
                </c:pt>
                <c:pt idx="41">
                  <c:v>0.14399999999999999</c:v>
                </c:pt>
                <c:pt idx="42">
                  <c:v>0.14399999999999999</c:v>
                </c:pt>
                <c:pt idx="43">
                  <c:v>0.14499999999999999</c:v>
                </c:pt>
                <c:pt idx="44">
                  <c:v>0.14499999999999999</c:v>
                </c:pt>
                <c:pt idx="45">
                  <c:v>0.14499999999999999</c:v>
                </c:pt>
                <c:pt idx="46">
                  <c:v>0.14599999999999999</c:v>
                </c:pt>
                <c:pt idx="47">
                  <c:v>0.14599999999999999</c:v>
                </c:pt>
                <c:pt idx="48">
                  <c:v>0.14599999999999999</c:v>
                </c:pt>
                <c:pt idx="49">
                  <c:v>0.14599999999999999</c:v>
                </c:pt>
                <c:pt idx="50">
                  <c:v>0.14599999999999999</c:v>
                </c:pt>
                <c:pt idx="51">
                  <c:v>0.14699999999999999</c:v>
                </c:pt>
                <c:pt idx="52">
                  <c:v>0.14699999999999999</c:v>
                </c:pt>
                <c:pt idx="53">
                  <c:v>0.14699999999999999</c:v>
                </c:pt>
                <c:pt idx="54">
                  <c:v>0.14699999999999999</c:v>
                </c:pt>
                <c:pt idx="55">
                  <c:v>0.14699999999999999</c:v>
                </c:pt>
                <c:pt idx="56">
                  <c:v>0.14699999999999999</c:v>
                </c:pt>
                <c:pt idx="57">
                  <c:v>0.14699999999999999</c:v>
                </c:pt>
                <c:pt idx="58">
                  <c:v>0.14699999999999999</c:v>
                </c:pt>
                <c:pt idx="59">
                  <c:v>0.14699999999999999</c:v>
                </c:pt>
                <c:pt idx="60">
                  <c:v>0.14799999999999999</c:v>
                </c:pt>
              </c:numCache>
            </c:numRef>
          </c:val>
          <c:smooth val="0"/>
          <c:extLst>
            <c:ext xmlns:c16="http://schemas.microsoft.com/office/drawing/2014/chart" uri="{C3380CC4-5D6E-409C-BE32-E72D297353CC}">
              <c16:uniqueId val="{00000005-CD62-4BE2-A6D5-23A6B0BAE5D9}"/>
            </c:ext>
          </c:extLst>
        </c:ser>
        <c:dLbls>
          <c:showLegendKey val="0"/>
          <c:showVal val="0"/>
          <c:showCatName val="0"/>
          <c:showSerName val="0"/>
          <c:showPercent val="0"/>
          <c:showBubbleSize val="0"/>
        </c:dLbls>
        <c:smooth val="0"/>
        <c:axId val="124143488"/>
        <c:axId val="124149760"/>
      </c:lineChart>
      <c:catAx>
        <c:axId val="12414348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24149760"/>
        <c:crosses val="autoZero"/>
        <c:auto val="1"/>
        <c:lblAlgn val="ctr"/>
        <c:lblOffset val="100"/>
        <c:tickLblSkip val="10"/>
        <c:noMultiLvlLbl val="0"/>
      </c:catAx>
      <c:valAx>
        <c:axId val="124149760"/>
        <c:scaling>
          <c:orientation val="minMax"/>
          <c:max val="0.15000000000000002"/>
          <c:min val="0.11000000000000001"/>
        </c:scaling>
        <c:delete val="0"/>
        <c:axPos val="l"/>
        <c:majorGridlines/>
        <c:numFmt formatCode="0%" sourceLinked="0"/>
        <c:majorTickMark val="out"/>
        <c:minorTickMark val="none"/>
        <c:tickLblPos val="nextTo"/>
        <c:crossAx val="124143488"/>
        <c:crosses val="autoZero"/>
        <c:crossBetween val="between"/>
        <c:majorUnit val="1.0000000000000002E-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75796296296296"/>
          <c:y val="3.5880555555555554E-2"/>
          <c:w val="0.62891833333333336"/>
          <c:h val="0.83277851851851847"/>
        </c:manualLayout>
      </c:layout>
      <c:lineChart>
        <c:grouping val="standard"/>
        <c:varyColors val="0"/>
        <c:ser>
          <c:idx val="0"/>
          <c:order val="0"/>
          <c:tx>
            <c:strRef>
              <c:f>'Fig 2.6'!$C$5</c:f>
              <c:strCache>
                <c:ptCount val="1"/>
                <c:pt idx="0">
                  <c:v>Tous régimes</c:v>
                </c:pt>
              </c:strCache>
            </c:strRef>
          </c:tx>
          <c:spPr>
            <a:ln w="50800">
              <a:solidFill>
                <a:srgbClr val="002060"/>
              </a:solidFill>
            </a:ln>
          </c:spPr>
          <c:marker>
            <c:symbol val="none"/>
          </c:marker>
          <c:cat>
            <c:numRef>
              <c:f>'Fig 2.6'!$D$4:$P$4</c:f>
              <c:numCache>
                <c:formatCode>General</c:formatCode>
                <c:ptCount val="1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numCache>
            </c:numRef>
          </c:cat>
          <c:val>
            <c:numRef>
              <c:f>'Fig 2.6'!$D$5:$P$5</c:f>
              <c:numCache>
                <c:formatCode>0.0%</c:formatCode>
                <c:ptCount val="13"/>
                <c:pt idx="0">
                  <c:v>3.0000000000000001E-3</c:v>
                </c:pt>
                <c:pt idx="1">
                  <c:v>4.0000000000000001E-3</c:v>
                </c:pt>
                <c:pt idx="2">
                  <c:v>3.0000000000000001E-3</c:v>
                </c:pt>
                <c:pt idx="3">
                  <c:v>1E-3</c:v>
                </c:pt>
                <c:pt idx="4">
                  <c:v>2E-3</c:v>
                </c:pt>
                <c:pt idx="5">
                  <c:v>1E-3</c:v>
                </c:pt>
                <c:pt idx="6">
                  <c:v>0</c:v>
                </c:pt>
                <c:pt idx="7">
                  <c:v>-5.0000000000000001E-3</c:v>
                </c:pt>
                <c:pt idx="8">
                  <c:v>-7.0000000000000001E-3</c:v>
                </c:pt>
                <c:pt idx="9">
                  <c:v>-6.0000000000000001E-3</c:v>
                </c:pt>
                <c:pt idx="10">
                  <c:v>-5.0000000000000001E-3</c:v>
                </c:pt>
                <c:pt idx="11">
                  <c:v>-4.0000000000000001E-3</c:v>
                </c:pt>
              </c:numCache>
            </c:numRef>
          </c:val>
          <c:smooth val="0"/>
          <c:extLst>
            <c:ext xmlns:c16="http://schemas.microsoft.com/office/drawing/2014/chart" uri="{C3380CC4-5D6E-409C-BE32-E72D297353CC}">
              <c16:uniqueId val="{00000000-C8AE-4E74-A615-5A6FCF14930D}"/>
            </c:ext>
          </c:extLst>
        </c:ser>
        <c:ser>
          <c:idx val="1"/>
          <c:order val="1"/>
          <c:tx>
            <c:strRef>
              <c:f>'Fig 2.6'!$C$6</c:f>
              <c:strCache>
                <c:ptCount val="1"/>
                <c:pt idx="0">
                  <c:v>Salariés privé base</c:v>
                </c:pt>
              </c:strCache>
            </c:strRef>
          </c:tx>
          <c:spPr>
            <a:ln w="15875">
              <a:solidFill>
                <a:schemeClr val="tx1"/>
              </a:solidFill>
              <a:prstDash val="solid"/>
            </a:ln>
          </c:spPr>
          <c:marker>
            <c:symbol val="diamond"/>
            <c:size val="5"/>
            <c:spPr>
              <a:solidFill>
                <a:schemeClr val="bg1"/>
              </a:solidFill>
              <a:ln>
                <a:solidFill>
                  <a:schemeClr val="tx1"/>
                </a:solidFill>
              </a:ln>
            </c:spPr>
          </c:marker>
          <c:cat>
            <c:numRef>
              <c:f>'Fig 2.6'!$D$4:$P$4</c:f>
              <c:numCache>
                <c:formatCode>General</c:formatCode>
                <c:ptCount val="1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numCache>
            </c:numRef>
          </c:cat>
          <c:val>
            <c:numRef>
              <c:f>'Fig 2.6'!$D$6:$P$6</c:f>
              <c:numCache>
                <c:formatCode>0.0%</c:formatCode>
                <c:ptCount val="13"/>
                <c:pt idx="0">
                  <c:v>1E-3</c:v>
                </c:pt>
                <c:pt idx="1">
                  <c:v>0</c:v>
                </c:pt>
                <c:pt idx="2">
                  <c:v>0</c:v>
                </c:pt>
                <c:pt idx="3">
                  <c:v>-1E-3</c:v>
                </c:pt>
                <c:pt idx="4">
                  <c:v>-1E-3</c:v>
                </c:pt>
                <c:pt idx="5">
                  <c:v>-2E-3</c:v>
                </c:pt>
                <c:pt idx="6">
                  <c:v>-3.0000000000000001E-3</c:v>
                </c:pt>
                <c:pt idx="7">
                  <c:v>-4.0000000000000001E-3</c:v>
                </c:pt>
                <c:pt idx="8">
                  <c:v>-4.0000000000000001E-3</c:v>
                </c:pt>
                <c:pt idx="9">
                  <c:v>-3.0000000000000001E-3</c:v>
                </c:pt>
                <c:pt idx="10">
                  <c:v>-2E-3</c:v>
                </c:pt>
                <c:pt idx="11">
                  <c:v>-2E-3</c:v>
                </c:pt>
                <c:pt idx="12">
                  <c:v>-1E-3</c:v>
                </c:pt>
              </c:numCache>
            </c:numRef>
          </c:val>
          <c:smooth val="0"/>
          <c:extLst>
            <c:ext xmlns:c16="http://schemas.microsoft.com/office/drawing/2014/chart" uri="{C3380CC4-5D6E-409C-BE32-E72D297353CC}">
              <c16:uniqueId val="{00000001-C8AE-4E74-A615-5A6FCF14930D}"/>
            </c:ext>
          </c:extLst>
        </c:ser>
        <c:ser>
          <c:idx val="5"/>
          <c:order val="2"/>
          <c:tx>
            <c:strRef>
              <c:f>'Fig 2.6'!$C$7</c:f>
              <c:strCache>
                <c:ptCount val="1"/>
                <c:pt idx="0">
                  <c:v>Salariés privé compl.</c:v>
                </c:pt>
              </c:strCache>
            </c:strRef>
          </c:tx>
          <c:spPr>
            <a:ln w="15875">
              <a:solidFill>
                <a:schemeClr val="tx1"/>
              </a:solidFill>
            </a:ln>
          </c:spPr>
          <c:marker>
            <c:symbol val="circle"/>
            <c:size val="3"/>
            <c:spPr>
              <a:solidFill>
                <a:schemeClr val="tx1"/>
              </a:solidFill>
              <a:ln>
                <a:solidFill>
                  <a:schemeClr val="tx1"/>
                </a:solidFill>
              </a:ln>
            </c:spPr>
          </c:marker>
          <c:cat>
            <c:numRef>
              <c:f>'Fig 2.6'!$D$4:$P$4</c:f>
              <c:numCache>
                <c:formatCode>General</c:formatCode>
                <c:ptCount val="1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numCache>
            </c:numRef>
          </c:cat>
          <c:val>
            <c:numRef>
              <c:f>'Fig 2.6'!$D$7:$P$7</c:f>
              <c:numCache>
                <c:formatCode>0.0%</c:formatCode>
                <c:ptCount val="13"/>
                <c:pt idx="0">
                  <c:v>3.0000000000000001E-3</c:v>
                </c:pt>
                <c:pt idx="1">
                  <c:v>4.0000000000000001E-3</c:v>
                </c:pt>
                <c:pt idx="2">
                  <c:v>2E-3</c:v>
                </c:pt>
                <c:pt idx="3">
                  <c:v>3.0000000000000001E-3</c:v>
                </c:pt>
                <c:pt idx="4">
                  <c:v>3.0000000000000001E-3</c:v>
                </c:pt>
                <c:pt idx="5">
                  <c:v>2E-3</c:v>
                </c:pt>
                <c:pt idx="6">
                  <c:v>1E-3</c:v>
                </c:pt>
                <c:pt idx="7">
                  <c:v>0</c:v>
                </c:pt>
                <c:pt idx="8">
                  <c:v>-1E-3</c:v>
                </c:pt>
                <c:pt idx="9">
                  <c:v>-2E-3</c:v>
                </c:pt>
                <c:pt idx="10">
                  <c:v>-2E-3</c:v>
                </c:pt>
                <c:pt idx="11">
                  <c:v>-2E-3</c:v>
                </c:pt>
              </c:numCache>
            </c:numRef>
          </c:val>
          <c:smooth val="0"/>
          <c:extLst>
            <c:ext xmlns:c16="http://schemas.microsoft.com/office/drawing/2014/chart" uri="{C3380CC4-5D6E-409C-BE32-E72D297353CC}">
              <c16:uniqueId val="{00000002-C8AE-4E74-A615-5A6FCF14930D}"/>
            </c:ext>
          </c:extLst>
        </c:ser>
        <c:ser>
          <c:idx val="2"/>
          <c:order val="3"/>
          <c:tx>
            <c:strRef>
              <c:f>'Fig 2.6'!$C$8</c:f>
              <c:strCache>
                <c:ptCount val="1"/>
                <c:pt idx="0">
                  <c:v>Fonctionnaires</c:v>
                </c:pt>
              </c:strCache>
            </c:strRef>
          </c:tx>
          <c:spPr>
            <a:ln w="15875">
              <a:solidFill>
                <a:schemeClr val="tx1"/>
              </a:solidFill>
              <a:prstDash val="solid"/>
            </a:ln>
          </c:spPr>
          <c:marker>
            <c:symbol val="star"/>
            <c:size val="5"/>
            <c:spPr>
              <a:noFill/>
              <a:ln>
                <a:solidFill>
                  <a:schemeClr val="tx1"/>
                </a:solidFill>
              </a:ln>
            </c:spPr>
          </c:marker>
          <c:cat>
            <c:numRef>
              <c:f>'Fig 2.6'!$D$4:$P$4</c:f>
              <c:numCache>
                <c:formatCode>General</c:formatCode>
                <c:ptCount val="1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numCache>
            </c:numRef>
          </c:cat>
          <c:val>
            <c:numRef>
              <c:f>'Fig 2.6'!$D$8:$P$8</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3-C8AE-4E74-A615-5A6FCF14930D}"/>
            </c:ext>
          </c:extLst>
        </c:ser>
        <c:ser>
          <c:idx val="3"/>
          <c:order val="4"/>
          <c:tx>
            <c:strRef>
              <c:f>'Fig 2.6'!$C$9</c:f>
              <c:strCache>
                <c:ptCount val="1"/>
                <c:pt idx="0">
                  <c:v>Non-salariés</c:v>
                </c:pt>
              </c:strCache>
            </c:strRef>
          </c:tx>
          <c:spPr>
            <a:ln w="19050">
              <a:solidFill>
                <a:schemeClr val="bg1">
                  <a:lumMod val="65000"/>
                </a:schemeClr>
              </a:solidFill>
            </a:ln>
          </c:spPr>
          <c:marker>
            <c:symbol val="triangle"/>
            <c:size val="5"/>
            <c:spPr>
              <a:solidFill>
                <a:schemeClr val="bg1"/>
              </a:solidFill>
              <a:ln>
                <a:solidFill>
                  <a:schemeClr val="bg1">
                    <a:lumMod val="65000"/>
                  </a:schemeClr>
                </a:solidFill>
              </a:ln>
            </c:spPr>
          </c:marker>
          <c:cat>
            <c:numRef>
              <c:f>'Fig 2.6'!$D$4:$P$4</c:f>
              <c:numCache>
                <c:formatCode>General</c:formatCode>
                <c:ptCount val="1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numCache>
            </c:numRef>
          </c:cat>
          <c:val>
            <c:numRef>
              <c:f>'Fig 2.6'!$D$9:$P$9</c:f>
              <c:numCache>
                <c:formatCode>0.0%</c:formatCode>
                <c:ptCount val="13"/>
                <c:pt idx="0">
                  <c:v>0</c:v>
                </c:pt>
                <c:pt idx="1">
                  <c:v>0</c:v>
                </c:pt>
                <c:pt idx="2">
                  <c:v>1E-3</c:v>
                </c:pt>
                <c:pt idx="3">
                  <c:v>1E-3</c:v>
                </c:pt>
                <c:pt idx="4">
                  <c:v>1E-3</c:v>
                </c:pt>
                <c:pt idx="5">
                  <c:v>1E-3</c:v>
                </c:pt>
                <c:pt idx="6">
                  <c:v>0</c:v>
                </c:pt>
                <c:pt idx="7">
                  <c:v>0</c:v>
                </c:pt>
                <c:pt idx="8">
                  <c:v>0</c:v>
                </c:pt>
                <c:pt idx="9">
                  <c:v>0</c:v>
                </c:pt>
                <c:pt idx="10">
                  <c:v>0</c:v>
                </c:pt>
                <c:pt idx="11">
                  <c:v>1E-3</c:v>
                </c:pt>
              </c:numCache>
            </c:numRef>
          </c:val>
          <c:smooth val="0"/>
          <c:extLst>
            <c:ext xmlns:c16="http://schemas.microsoft.com/office/drawing/2014/chart" uri="{C3380CC4-5D6E-409C-BE32-E72D297353CC}">
              <c16:uniqueId val="{00000004-C8AE-4E74-A615-5A6FCF14930D}"/>
            </c:ext>
          </c:extLst>
        </c:ser>
        <c:ser>
          <c:idx val="6"/>
          <c:order val="5"/>
          <c:tx>
            <c:strRef>
              <c:f>'Fig 2.6'!$C$10</c:f>
              <c:strCache>
                <c:ptCount val="1"/>
                <c:pt idx="0">
                  <c:v> Régimes spéciaux </c:v>
                </c:pt>
              </c:strCache>
            </c:strRef>
          </c:tx>
          <c:spPr>
            <a:ln w="15875">
              <a:solidFill>
                <a:schemeClr val="bg1">
                  <a:lumMod val="65000"/>
                </a:schemeClr>
              </a:solidFill>
              <a:prstDash val="sysDash"/>
            </a:ln>
          </c:spPr>
          <c:marker>
            <c:symbol val="square"/>
            <c:size val="4"/>
            <c:spPr>
              <a:solidFill>
                <a:schemeClr val="bg1">
                  <a:lumMod val="65000"/>
                </a:schemeClr>
              </a:solidFill>
              <a:ln>
                <a:solidFill>
                  <a:schemeClr val="bg1">
                    <a:lumMod val="75000"/>
                  </a:schemeClr>
                </a:solidFill>
              </a:ln>
            </c:spPr>
          </c:marker>
          <c:cat>
            <c:numRef>
              <c:f>'Fig 2.6'!$D$4:$P$4</c:f>
              <c:numCache>
                <c:formatCode>General</c:formatCode>
                <c:ptCount val="1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numCache>
            </c:numRef>
          </c:cat>
          <c:val>
            <c:numRef>
              <c:f>'Fig 2.6'!$D$10:$P$10</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5-C8AE-4E74-A615-5A6FCF14930D}"/>
            </c:ext>
          </c:extLst>
        </c:ser>
        <c:ser>
          <c:idx val="4"/>
          <c:order val="6"/>
          <c:tx>
            <c:strRef>
              <c:f>'Fig 2.6'!$C$11</c:f>
              <c:strCache>
                <c:ptCount val="1"/>
                <c:pt idx="0">
                  <c:v> FSV</c:v>
                </c:pt>
              </c:strCache>
            </c:strRef>
          </c:tx>
          <c:spPr>
            <a:ln w="19050">
              <a:solidFill>
                <a:schemeClr val="bg1">
                  <a:lumMod val="65000"/>
                </a:schemeClr>
              </a:solidFill>
            </a:ln>
          </c:spPr>
          <c:marker>
            <c:symbol val="plus"/>
            <c:size val="5"/>
            <c:spPr>
              <a:noFill/>
              <a:ln>
                <a:solidFill>
                  <a:schemeClr val="bg1">
                    <a:lumMod val="65000"/>
                  </a:schemeClr>
                </a:solidFill>
              </a:ln>
            </c:spPr>
          </c:marker>
          <c:cat>
            <c:numRef>
              <c:f>'Fig 2.6'!$D$4:$P$4</c:f>
              <c:numCache>
                <c:formatCode>General</c:formatCode>
                <c:ptCount val="1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numCache>
            </c:numRef>
          </c:cat>
          <c:val>
            <c:numRef>
              <c:f>'Fig 2.6'!$D$11:$P$11</c:f>
              <c:numCache>
                <c:formatCode>0.0%</c:formatCode>
                <c:ptCount val="13"/>
                <c:pt idx="0">
                  <c:v>-1E-3</c:v>
                </c:pt>
                <c:pt idx="1">
                  <c:v>-1E-3</c:v>
                </c:pt>
                <c:pt idx="2">
                  <c:v>0</c:v>
                </c:pt>
                <c:pt idx="3">
                  <c:v>-1E-3</c:v>
                </c:pt>
                <c:pt idx="4">
                  <c:v>-1E-3</c:v>
                </c:pt>
                <c:pt idx="5">
                  <c:v>0</c:v>
                </c:pt>
                <c:pt idx="6">
                  <c:v>0</c:v>
                </c:pt>
                <c:pt idx="7">
                  <c:v>-2E-3</c:v>
                </c:pt>
                <c:pt idx="8">
                  <c:v>-2E-3</c:v>
                </c:pt>
                <c:pt idx="9">
                  <c:v>-2E-3</c:v>
                </c:pt>
                <c:pt idx="10">
                  <c:v>-2E-3</c:v>
                </c:pt>
                <c:pt idx="11">
                  <c:v>-1E-3</c:v>
                </c:pt>
                <c:pt idx="12">
                  <c:v>-2E-3</c:v>
                </c:pt>
              </c:numCache>
            </c:numRef>
          </c:val>
          <c:smooth val="0"/>
          <c:extLst>
            <c:ext xmlns:c16="http://schemas.microsoft.com/office/drawing/2014/chart" uri="{C3380CC4-5D6E-409C-BE32-E72D297353CC}">
              <c16:uniqueId val="{00000006-C8AE-4E74-A615-5A6FCF14930D}"/>
            </c:ext>
          </c:extLst>
        </c:ser>
        <c:dLbls>
          <c:showLegendKey val="0"/>
          <c:showVal val="0"/>
          <c:showCatName val="0"/>
          <c:showSerName val="0"/>
          <c:showPercent val="0"/>
          <c:showBubbleSize val="0"/>
        </c:dLbls>
        <c:smooth val="0"/>
        <c:axId val="124168832"/>
        <c:axId val="124171008"/>
      </c:lineChart>
      <c:catAx>
        <c:axId val="124168832"/>
        <c:scaling>
          <c:orientation val="minMax"/>
        </c:scaling>
        <c:delete val="0"/>
        <c:axPos val="b"/>
        <c:numFmt formatCode="General" sourceLinked="1"/>
        <c:majorTickMark val="out"/>
        <c:minorTickMark val="none"/>
        <c:tickLblPos val="low"/>
        <c:txPr>
          <a:bodyPr rot="-5400000" vert="horz"/>
          <a:lstStyle/>
          <a:p>
            <a:pPr>
              <a:defRPr sz="1000"/>
            </a:pPr>
            <a:endParaRPr lang="fr-FR"/>
          </a:p>
        </c:txPr>
        <c:crossAx val="124171008"/>
        <c:crosses val="autoZero"/>
        <c:auto val="1"/>
        <c:lblAlgn val="ctr"/>
        <c:lblOffset val="100"/>
        <c:tickLblSkip val="1"/>
        <c:noMultiLvlLbl val="0"/>
      </c:catAx>
      <c:valAx>
        <c:axId val="124171008"/>
        <c:scaling>
          <c:orientation val="minMax"/>
          <c:max val="5.000000000000001E-3"/>
          <c:min val="-8.0000000000000019E-3"/>
        </c:scaling>
        <c:delete val="0"/>
        <c:axPos val="l"/>
        <c:majorGridlines/>
        <c:title>
          <c:tx>
            <c:rich>
              <a:bodyPr rot="-5400000" vert="horz"/>
              <a:lstStyle/>
              <a:p>
                <a:pPr>
                  <a:defRPr/>
                </a:pPr>
                <a:r>
                  <a:rPr lang="en-US"/>
                  <a:t>en % du PIB</a:t>
                </a:r>
              </a:p>
            </c:rich>
          </c:tx>
          <c:layout>
            <c:manualLayout>
              <c:xMode val="edge"/>
              <c:yMode val="edge"/>
              <c:x val="3.5449749383333778E-3"/>
              <c:y val="0.28234193971048827"/>
            </c:manualLayout>
          </c:layout>
          <c:overlay val="0"/>
        </c:title>
        <c:numFmt formatCode="0.0%" sourceLinked="0"/>
        <c:majorTickMark val="out"/>
        <c:minorTickMark val="none"/>
        <c:tickLblPos val="nextTo"/>
        <c:crossAx val="124168832"/>
        <c:crosses val="autoZero"/>
        <c:crossBetween val="between"/>
        <c:majorUnit val="2.0000000000000005E-3"/>
      </c:valAx>
    </c:plotArea>
    <c:legend>
      <c:legendPos val="r"/>
      <c:layout>
        <c:manualLayout>
          <c:xMode val="edge"/>
          <c:yMode val="edge"/>
          <c:x val="0.75421888888888888"/>
          <c:y val="8.9392129629629641E-2"/>
          <c:w val="0.24578111111111112"/>
          <c:h val="0.74478009259259259"/>
        </c:manualLayout>
      </c:layout>
      <c:overlay val="0"/>
      <c:txPr>
        <a:bodyPr/>
        <a:lstStyle/>
        <a:p>
          <a:pPr>
            <a:defRPr sz="800"/>
          </a:pPr>
          <a:endParaRPr lang="fr-FR"/>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93759259259257"/>
          <c:y val="3.2064285714285712E-2"/>
          <c:w val="0.70841462962962964"/>
          <c:h val="0.78283379629629624"/>
        </c:manualLayout>
      </c:layout>
      <c:lineChart>
        <c:grouping val="standard"/>
        <c:varyColors val="0"/>
        <c:ser>
          <c:idx val="5"/>
          <c:order val="0"/>
          <c:tx>
            <c:strRef>
              <c:f>'Fig 2.7'!$C$5</c:f>
              <c:strCache>
                <c:ptCount val="1"/>
                <c:pt idx="0">
                  <c:v>Obs</c:v>
                </c:pt>
              </c:strCache>
            </c:strRef>
          </c:tx>
          <c:spPr>
            <a:ln w="50800">
              <a:solidFill>
                <a:schemeClr val="bg1">
                  <a:lumMod val="50000"/>
                </a:schemeClr>
              </a:solidFill>
            </a:ln>
          </c:spPr>
          <c:marker>
            <c:symbol val="none"/>
          </c:marker>
          <c:cat>
            <c:numRef>
              <c:f>'Fig 2.7'!$D$4:$BL$4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2.7'!$D$5:$BL$5</c:f>
              <c:numCache>
                <c:formatCode>0.0%</c:formatCode>
                <c:ptCount val="61"/>
                <c:pt idx="2">
                  <c:v>3.0000000000000001E-3</c:v>
                </c:pt>
                <c:pt idx="3">
                  <c:v>4.0000000000000001E-3</c:v>
                </c:pt>
                <c:pt idx="4">
                  <c:v>3.0000000000000001E-3</c:v>
                </c:pt>
                <c:pt idx="5">
                  <c:v>1E-3</c:v>
                </c:pt>
                <c:pt idx="6">
                  <c:v>2E-3</c:v>
                </c:pt>
                <c:pt idx="7">
                  <c:v>1E-3</c:v>
                </c:pt>
                <c:pt idx="8">
                  <c:v>0</c:v>
                </c:pt>
                <c:pt idx="9">
                  <c:v>-5.0000000000000001E-3</c:v>
                </c:pt>
                <c:pt idx="10">
                  <c:v>-7.0000000000000001E-3</c:v>
                </c:pt>
                <c:pt idx="11">
                  <c:v>-6.0000000000000001E-3</c:v>
                </c:pt>
                <c:pt idx="12">
                  <c:v>-5.0000000000000001E-3</c:v>
                </c:pt>
                <c:pt idx="13">
                  <c:v>-4.0000000000000001E-3</c:v>
                </c:pt>
              </c:numCache>
            </c:numRef>
          </c:val>
          <c:smooth val="0"/>
          <c:extLst>
            <c:ext xmlns:c16="http://schemas.microsoft.com/office/drawing/2014/chart" uri="{C3380CC4-5D6E-409C-BE32-E72D297353CC}">
              <c16:uniqueId val="{00000000-7507-4056-8EAC-0B235106DE31}"/>
            </c:ext>
          </c:extLst>
        </c:ser>
        <c:ser>
          <c:idx val="0"/>
          <c:order val="1"/>
          <c:tx>
            <c:strRef>
              <c:f>'Fig 2.7'!$C$6</c:f>
              <c:strCache>
                <c:ptCount val="1"/>
                <c:pt idx="0">
                  <c:v>A'</c:v>
                </c:pt>
              </c:strCache>
            </c:strRef>
          </c:tx>
          <c:spPr>
            <a:ln w="22225">
              <a:solidFill>
                <a:srgbClr val="002060"/>
              </a:solidFill>
            </a:ln>
          </c:spPr>
          <c:marker>
            <c:symbol val="x"/>
            <c:size val="4"/>
            <c:spPr>
              <a:noFill/>
              <a:ln>
                <a:solidFill>
                  <a:srgbClr val="002060"/>
                </a:solidFill>
              </a:ln>
            </c:spPr>
          </c:marker>
          <c:cat>
            <c:numRef>
              <c:f>'Fig 2.7'!$D$4:$BL$4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2.7'!$D$6:$BL$6</c:f>
              <c:numCache>
                <c:formatCode>0.0%</c:formatCode>
                <c:ptCount val="61"/>
                <c:pt idx="14">
                  <c:v>-4.0000000000000001E-3</c:v>
                </c:pt>
                <c:pt idx="15">
                  <c:v>-4.0000000000000001E-3</c:v>
                </c:pt>
                <c:pt idx="16">
                  <c:v>-3.0000000000000001E-3</c:v>
                </c:pt>
                <c:pt idx="17">
                  <c:v>-3.0000000000000001E-3</c:v>
                </c:pt>
                <c:pt idx="18">
                  <c:v>-4.0000000000000001E-3</c:v>
                </c:pt>
                <c:pt idx="19">
                  <c:v>-5.0000000000000001E-3</c:v>
                </c:pt>
                <c:pt idx="20">
                  <c:v>-4.0000000000000001E-3</c:v>
                </c:pt>
                <c:pt idx="21">
                  <c:v>-3.0000000000000001E-3</c:v>
                </c:pt>
                <c:pt idx="22">
                  <c:v>-2E-3</c:v>
                </c:pt>
                <c:pt idx="23">
                  <c:v>-1E-3</c:v>
                </c:pt>
                <c:pt idx="24">
                  <c:v>0</c:v>
                </c:pt>
                <c:pt idx="25">
                  <c:v>1E-3</c:v>
                </c:pt>
                <c:pt idx="26">
                  <c:v>1E-3</c:v>
                </c:pt>
                <c:pt idx="27">
                  <c:v>2E-3</c:v>
                </c:pt>
                <c:pt idx="28">
                  <c:v>3.0000000000000001E-3</c:v>
                </c:pt>
                <c:pt idx="29">
                  <c:v>3.0000000000000001E-3</c:v>
                </c:pt>
                <c:pt idx="30">
                  <c:v>4.0000000000000001E-3</c:v>
                </c:pt>
                <c:pt idx="31">
                  <c:v>4.0000000000000001E-3</c:v>
                </c:pt>
                <c:pt idx="32">
                  <c:v>5.0000000000000001E-3</c:v>
                </c:pt>
                <c:pt idx="33">
                  <c:v>5.0000000000000001E-3</c:v>
                </c:pt>
                <c:pt idx="34">
                  <c:v>6.0000000000000001E-3</c:v>
                </c:pt>
                <c:pt idx="35">
                  <c:v>6.0000000000000001E-3</c:v>
                </c:pt>
                <c:pt idx="36">
                  <c:v>7.0000000000000001E-3</c:v>
                </c:pt>
                <c:pt idx="37">
                  <c:v>7.0000000000000001E-3</c:v>
                </c:pt>
                <c:pt idx="38">
                  <c:v>8.0000000000000002E-3</c:v>
                </c:pt>
                <c:pt idx="39">
                  <c:v>8.9999999999999993E-3</c:v>
                </c:pt>
                <c:pt idx="40">
                  <c:v>0.01</c:v>
                </c:pt>
                <c:pt idx="41">
                  <c:v>1.0999999999999999E-2</c:v>
                </c:pt>
                <c:pt idx="42">
                  <c:v>1.0999999999999999E-2</c:v>
                </c:pt>
                <c:pt idx="43">
                  <c:v>1.2E-2</c:v>
                </c:pt>
                <c:pt idx="44">
                  <c:v>1.2E-2</c:v>
                </c:pt>
                <c:pt idx="45">
                  <c:v>1.2999999999999999E-2</c:v>
                </c:pt>
                <c:pt idx="46">
                  <c:v>1.2999999999999999E-2</c:v>
                </c:pt>
                <c:pt idx="47">
                  <c:v>1.4E-2</c:v>
                </c:pt>
                <c:pt idx="48">
                  <c:v>1.4E-2</c:v>
                </c:pt>
                <c:pt idx="49">
                  <c:v>1.4E-2</c:v>
                </c:pt>
                <c:pt idx="50">
                  <c:v>1.4999999999999999E-2</c:v>
                </c:pt>
                <c:pt idx="51">
                  <c:v>1.4999999999999999E-2</c:v>
                </c:pt>
                <c:pt idx="52">
                  <c:v>1.4999999999999999E-2</c:v>
                </c:pt>
                <c:pt idx="53">
                  <c:v>1.6E-2</c:v>
                </c:pt>
                <c:pt idx="54">
                  <c:v>1.6E-2</c:v>
                </c:pt>
                <c:pt idx="55">
                  <c:v>1.7000000000000001E-2</c:v>
                </c:pt>
                <c:pt idx="56">
                  <c:v>1.7000000000000001E-2</c:v>
                </c:pt>
                <c:pt idx="57">
                  <c:v>1.7000000000000001E-2</c:v>
                </c:pt>
                <c:pt idx="58">
                  <c:v>1.7000000000000001E-2</c:v>
                </c:pt>
                <c:pt idx="59">
                  <c:v>1.7000000000000001E-2</c:v>
                </c:pt>
                <c:pt idx="60">
                  <c:v>1.7999999999999999E-2</c:v>
                </c:pt>
              </c:numCache>
            </c:numRef>
          </c:val>
          <c:smooth val="0"/>
          <c:extLst>
            <c:ext xmlns:c16="http://schemas.microsoft.com/office/drawing/2014/chart" uri="{C3380CC4-5D6E-409C-BE32-E72D297353CC}">
              <c16:uniqueId val="{00000001-7507-4056-8EAC-0B235106DE31}"/>
            </c:ext>
          </c:extLst>
        </c:ser>
        <c:ser>
          <c:idx val="1"/>
          <c:order val="2"/>
          <c:tx>
            <c:strRef>
              <c:f>'Fig 2.7'!$C$7</c:f>
              <c:strCache>
                <c:ptCount val="1"/>
                <c:pt idx="0">
                  <c:v>A</c:v>
                </c:pt>
              </c:strCache>
            </c:strRef>
          </c:tx>
          <c:spPr>
            <a:ln w="22225">
              <a:solidFill>
                <a:srgbClr val="002060"/>
              </a:solidFill>
            </a:ln>
          </c:spPr>
          <c:marker>
            <c:symbol val="circle"/>
            <c:size val="4"/>
            <c:spPr>
              <a:solidFill>
                <a:srgbClr val="0070C0">
                  <a:alpha val="56000"/>
                </a:srgbClr>
              </a:solidFill>
              <a:ln>
                <a:solidFill>
                  <a:schemeClr val="tx1"/>
                </a:solidFill>
              </a:ln>
            </c:spPr>
          </c:marker>
          <c:cat>
            <c:numRef>
              <c:f>'Fig 2.7'!$D$4:$BL$4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2.7'!$D$7:$BL$7</c:f>
              <c:numCache>
                <c:formatCode>0.0%</c:formatCode>
                <c:ptCount val="61"/>
                <c:pt idx="14">
                  <c:v>-4.0000000000000001E-3</c:v>
                </c:pt>
                <c:pt idx="15">
                  <c:v>-4.0000000000000001E-3</c:v>
                </c:pt>
                <c:pt idx="16">
                  <c:v>-3.0000000000000001E-3</c:v>
                </c:pt>
                <c:pt idx="17">
                  <c:v>-3.0000000000000001E-3</c:v>
                </c:pt>
                <c:pt idx="18">
                  <c:v>-4.0000000000000001E-3</c:v>
                </c:pt>
                <c:pt idx="19">
                  <c:v>-5.0000000000000001E-3</c:v>
                </c:pt>
                <c:pt idx="20">
                  <c:v>-4.0000000000000001E-3</c:v>
                </c:pt>
                <c:pt idx="21">
                  <c:v>-4.0000000000000001E-3</c:v>
                </c:pt>
                <c:pt idx="22">
                  <c:v>-3.0000000000000001E-3</c:v>
                </c:pt>
                <c:pt idx="23">
                  <c:v>-1E-3</c:v>
                </c:pt>
                <c:pt idx="24">
                  <c:v>0</c:v>
                </c:pt>
                <c:pt idx="25">
                  <c:v>0</c:v>
                </c:pt>
                <c:pt idx="26">
                  <c:v>1E-3</c:v>
                </c:pt>
                <c:pt idx="27">
                  <c:v>2E-3</c:v>
                </c:pt>
                <c:pt idx="28">
                  <c:v>2E-3</c:v>
                </c:pt>
                <c:pt idx="29">
                  <c:v>2E-3</c:v>
                </c:pt>
                <c:pt idx="30">
                  <c:v>2E-3</c:v>
                </c:pt>
                <c:pt idx="31">
                  <c:v>3.0000000000000001E-3</c:v>
                </c:pt>
                <c:pt idx="32">
                  <c:v>3.0000000000000001E-3</c:v>
                </c:pt>
                <c:pt idx="33">
                  <c:v>3.0000000000000001E-3</c:v>
                </c:pt>
                <c:pt idx="34">
                  <c:v>3.0000000000000001E-3</c:v>
                </c:pt>
                <c:pt idx="35">
                  <c:v>4.0000000000000001E-3</c:v>
                </c:pt>
                <c:pt idx="36">
                  <c:v>4.0000000000000001E-3</c:v>
                </c:pt>
                <c:pt idx="37">
                  <c:v>5.0000000000000001E-3</c:v>
                </c:pt>
                <c:pt idx="38">
                  <c:v>5.0000000000000001E-3</c:v>
                </c:pt>
                <c:pt idx="39">
                  <c:v>6.0000000000000001E-3</c:v>
                </c:pt>
                <c:pt idx="40">
                  <c:v>7.0000000000000001E-3</c:v>
                </c:pt>
                <c:pt idx="41">
                  <c:v>7.0000000000000001E-3</c:v>
                </c:pt>
                <c:pt idx="42">
                  <c:v>8.0000000000000002E-3</c:v>
                </c:pt>
                <c:pt idx="43">
                  <c:v>8.0000000000000002E-3</c:v>
                </c:pt>
                <c:pt idx="44">
                  <c:v>8.0000000000000002E-3</c:v>
                </c:pt>
                <c:pt idx="45">
                  <c:v>8.0000000000000002E-3</c:v>
                </c:pt>
                <c:pt idx="46">
                  <c:v>8.9999999999999993E-3</c:v>
                </c:pt>
                <c:pt idx="47">
                  <c:v>8.9999999999999993E-3</c:v>
                </c:pt>
                <c:pt idx="48">
                  <c:v>8.9999999999999993E-3</c:v>
                </c:pt>
                <c:pt idx="49">
                  <c:v>0.01</c:v>
                </c:pt>
                <c:pt idx="50">
                  <c:v>0.01</c:v>
                </c:pt>
                <c:pt idx="51">
                  <c:v>0.01</c:v>
                </c:pt>
                <c:pt idx="52">
                  <c:v>0.01</c:v>
                </c:pt>
                <c:pt idx="53">
                  <c:v>1.0999999999999999E-2</c:v>
                </c:pt>
                <c:pt idx="54">
                  <c:v>1.0999999999999999E-2</c:v>
                </c:pt>
                <c:pt idx="55">
                  <c:v>1.0999999999999999E-2</c:v>
                </c:pt>
                <c:pt idx="56">
                  <c:v>1.2E-2</c:v>
                </c:pt>
                <c:pt idx="57">
                  <c:v>1.2E-2</c:v>
                </c:pt>
                <c:pt idx="58">
                  <c:v>1.2E-2</c:v>
                </c:pt>
                <c:pt idx="59">
                  <c:v>1.2E-2</c:v>
                </c:pt>
                <c:pt idx="60">
                  <c:v>1.2E-2</c:v>
                </c:pt>
              </c:numCache>
            </c:numRef>
          </c:val>
          <c:smooth val="0"/>
          <c:extLst>
            <c:ext xmlns:c16="http://schemas.microsoft.com/office/drawing/2014/chart" uri="{C3380CC4-5D6E-409C-BE32-E72D297353CC}">
              <c16:uniqueId val="{00000002-7507-4056-8EAC-0B235106DE31}"/>
            </c:ext>
          </c:extLst>
        </c:ser>
        <c:ser>
          <c:idx val="2"/>
          <c:order val="3"/>
          <c:tx>
            <c:strRef>
              <c:f>'Fig 2.7'!$C$8</c:f>
              <c:strCache>
                <c:ptCount val="1"/>
                <c:pt idx="0">
                  <c:v>B</c:v>
                </c:pt>
              </c:strCache>
            </c:strRef>
          </c:tx>
          <c:spPr>
            <a:ln w="22225">
              <a:solidFill>
                <a:srgbClr val="002060"/>
              </a:solidFill>
            </a:ln>
          </c:spPr>
          <c:marker>
            <c:symbol val="triangle"/>
            <c:size val="4"/>
            <c:spPr>
              <a:solidFill>
                <a:schemeClr val="bg1"/>
              </a:solidFill>
              <a:ln>
                <a:solidFill>
                  <a:srgbClr val="002060"/>
                </a:solidFill>
              </a:ln>
            </c:spPr>
          </c:marker>
          <c:cat>
            <c:numRef>
              <c:f>'Fig 2.7'!$D$4:$BL$4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2.7'!$D$8:$BL$8</c:f>
              <c:numCache>
                <c:formatCode>0.0%</c:formatCode>
                <c:ptCount val="61"/>
                <c:pt idx="14">
                  <c:v>-4.0000000000000001E-3</c:v>
                </c:pt>
                <c:pt idx="15">
                  <c:v>-4.0000000000000001E-3</c:v>
                </c:pt>
                <c:pt idx="16">
                  <c:v>-3.0000000000000001E-3</c:v>
                </c:pt>
                <c:pt idx="17">
                  <c:v>-3.0000000000000001E-3</c:v>
                </c:pt>
                <c:pt idx="18">
                  <c:v>-4.0000000000000001E-3</c:v>
                </c:pt>
                <c:pt idx="19">
                  <c:v>-5.0000000000000001E-3</c:v>
                </c:pt>
                <c:pt idx="20">
                  <c:v>-4.0000000000000001E-3</c:v>
                </c:pt>
                <c:pt idx="21">
                  <c:v>-3.0000000000000001E-3</c:v>
                </c:pt>
                <c:pt idx="22">
                  <c:v>-3.0000000000000001E-3</c:v>
                </c:pt>
                <c:pt idx="23">
                  <c:v>-2E-3</c:v>
                </c:pt>
                <c:pt idx="24">
                  <c:v>-1E-3</c:v>
                </c:pt>
                <c:pt idx="25">
                  <c:v>-1E-3</c:v>
                </c:pt>
                <c:pt idx="26">
                  <c:v>-1E-3</c:v>
                </c:pt>
                <c:pt idx="27">
                  <c:v>-1E-3</c:v>
                </c:pt>
                <c:pt idx="28">
                  <c:v>0</c:v>
                </c:pt>
                <c:pt idx="29">
                  <c:v>0</c:v>
                </c:pt>
                <c:pt idx="30">
                  <c:v>0</c:v>
                </c:pt>
                <c:pt idx="31">
                  <c:v>1E-3</c:v>
                </c:pt>
                <c:pt idx="32">
                  <c:v>0</c:v>
                </c:pt>
                <c:pt idx="33">
                  <c:v>0</c:v>
                </c:pt>
                <c:pt idx="34">
                  <c:v>0</c:v>
                </c:pt>
                <c:pt idx="35">
                  <c:v>0</c:v>
                </c:pt>
                <c:pt idx="36">
                  <c:v>0</c:v>
                </c:pt>
                <c:pt idx="37">
                  <c:v>1E-3</c:v>
                </c:pt>
                <c:pt idx="38">
                  <c:v>1E-3</c:v>
                </c:pt>
                <c:pt idx="39">
                  <c:v>1E-3</c:v>
                </c:pt>
                <c:pt idx="40">
                  <c:v>2E-3</c:v>
                </c:pt>
                <c:pt idx="41">
                  <c:v>2E-3</c:v>
                </c:pt>
                <c:pt idx="42">
                  <c:v>2E-3</c:v>
                </c:pt>
                <c:pt idx="43">
                  <c:v>2E-3</c:v>
                </c:pt>
                <c:pt idx="44">
                  <c:v>2E-3</c:v>
                </c:pt>
                <c:pt idx="45">
                  <c:v>2E-3</c:v>
                </c:pt>
                <c:pt idx="46">
                  <c:v>3.0000000000000001E-3</c:v>
                </c:pt>
                <c:pt idx="47">
                  <c:v>3.0000000000000001E-3</c:v>
                </c:pt>
                <c:pt idx="48">
                  <c:v>3.0000000000000001E-3</c:v>
                </c:pt>
                <c:pt idx="49">
                  <c:v>3.0000000000000001E-3</c:v>
                </c:pt>
                <c:pt idx="50">
                  <c:v>3.0000000000000001E-3</c:v>
                </c:pt>
                <c:pt idx="51">
                  <c:v>3.0000000000000001E-3</c:v>
                </c:pt>
                <c:pt idx="52">
                  <c:v>3.0000000000000001E-3</c:v>
                </c:pt>
                <c:pt idx="53">
                  <c:v>3.0000000000000001E-3</c:v>
                </c:pt>
                <c:pt idx="54">
                  <c:v>3.0000000000000001E-3</c:v>
                </c:pt>
                <c:pt idx="55">
                  <c:v>4.0000000000000001E-3</c:v>
                </c:pt>
                <c:pt idx="56">
                  <c:v>4.0000000000000001E-3</c:v>
                </c:pt>
                <c:pt idx="57">
                  <c:v>4.0000000000000001E-3</c:v>
                </c:pt>
                <c:pt idx="58">
                  <c:v>4.0000000000000001E-3</c:v>
                </c:pt>
                <c:pt idx="59">
                  <c:v>4.0000000000000001E-3</c:v>
                </c:pt>
                <c:pt idx="60">
                  <c:v>4.0000000000000001E-3</c:v>
                </c:pt>
              </c:numCache>
            </c:numRef>
          </c:val>
          <c:smooth val="0"/>
          <c:extLst>
            <c:ext xmlns:c16="http://schemas.microsoft.com/office/drawing/2014/chart" uri="{C3380CC4-5D6E-409C-BE32-E72D297353CC}">
              <c16:uniqueId val="{00000003-7507-4056-8EAC-0B235106DE31}"/>
            </c:ext>
          </c:extLst>
        </c:ser>
        <c:ser>
          <c:idx val="3"/>
          <c:order val="4"/>
          <c:tx>
            <c:strRef>
              <c:f>'Fig 2.7'!$C$9</c:f>
              <c:strCache>
                <c:ptCount val="1"/>
                <c:pt idx="0">
                  <c:v>C</c:v>
                </c:pt>
              </c:strCache>
            </c:strRef>
          </c:tx>
          <c:spPr>
            <a:ln w="22225">
              <a:solidFill>
                <a:srgbClr val="002060"/>
              </a:solidFill>
            </a:ln>
          </c:spPr>
          <c:marker>
            <c:symbol val="diamond"/>
            <c:size val="4"/>
            <c:spPr>
              <a:solidFill>
                <a:srgbClr val="002060"/>
              </a:solidFill>
              <a:ln>
                <a:solidFill>
                  <a:srgbClr val="002060"/>
                </a:solidFill>
              </a:ln>
            </c:spPr>
          </c:marker>
          <c:cat>
            <c:numRef>
              <c:f>'Fig 2.7'!$D$4:$BL$4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2.7'!$D$9:$BL$9</c:f>
              <c:numCache>
                <c:formatCode>0.0%</c:formatCode>
                <c:ptCount val="61"/>
                <c:pt idx="14">
                  <c:v>-4.0000000000000001E-3</c:v>
                </c:pt>
                <c:pt idx="15">
                  <c:v>-4.0000000000000001E-3</c:v>
                </c:pt>
                <c:pt idx="16">
                  <c:v>-3.0000000000000001E-3</c:v>
                </c:pt>
                <c:pt idx="17">
                  <c:v>-3.0000000000000001E-3</c:v>
                </c:pt>
                <c:pt idx="18">
                  <c:v>-4.0000000000000001E-3</c:v>
                </c:pt>
                <c:pt idx="19">
                  <c:v>-5.0000000000000001E-3</c:v>
                </c:pt>
                <c:pt idx="20">
                  <c:v>-4.0000000000000001E-3</c:v>
                </c:pt>
                <c:pt idx="21">
                  <c:v>-4.0000000000000001E-3</c:v>
                </c:pt>
                <c:pt idx="22">
                  <c:v>-3.0000000000000001E-3</c:v>
                </c:pt>
                <c:pt idx="23">
                  <c:v>-2E-3</c:v>
                </c:pt>
                <c:pt idx="24">
                  <c:v>-1E-3</c:v>
                </c:pt>
                <c:pt idx="25">
                  <c:v>-2E-3</c:v>
                </c:pt>
                <c:pt idx="26">
                  <c:v>-2E-3</c:v>
                </c:pt>
                <c:pt idx="27">
                  <c:v>-2E-3</c:v>
                </c:pt>
                <c:pt idx="28">
                  <c:v>-3.0000000000000001E-3</c:v>
                </c:pt>
                <c:pt idx="29">
                  <c:v>-3.0000000000000001E-3</c:v>
                </c:pt>
                <c:pt idx="30">
                  <c:v>-3.0000000000000001E-3</c:v>
                </c:pt>
                <c:pt idx="31">
                  <c:v>-4.0000000000000001E-3</c:v>
                </c:pt>
                <c:pt idx="32">
                  <c:v>-4.0000000000000001E-3</c:v>
                </c:pt>
                <c:pt idx="33">
                  <c:v>-5.0000000000000001E-3</c:v>
                </c:pt>
                <c:pt idx="34">
                  <c:v>-5.0000000000000001E-3</c:v>
                </c:pt>
                <c:pt idx="35">
                  <c:v>-5.0000000000000001E-3</c:v>
                </c:pt>
                <c:pt idx="36">
                  <c:v>-5.0000000000000001E-3</c:v>
                </c:pt>
                <c:pt idx="37">
                  <c:v>-5.0000000000000001E-3</c:v>
                </c:pt>
                <c:pt idx="38">
                  <c:v>-5.0000000000000001E-3</c:v>
                </c:pt>
                <c:pt idx="39">
                  <c:v>-5.0000000000000001E-3</c:v>
                </c:pt>
                <c:pt idx="40">
                  <c:v>-4.0000000000000001E-3</c:v>
                </c:pt>
                <c:pt idx="41">
                  <c:v>-4.0000000000000001E-3</c:v>
                </c:pt>
                <c:pt idx="42">
                  <c:v>-4.0000000000000001E-3</c:v>
                </c:pt>
                <c:pt idx="43">
                  <c:v>-4.0000000000000001E-3</c:v>
                </c:pt>
                <c:pt idx="44">
                  <c:v>-4.0000000000000001E-3</c:v>
                </c:pt>
                <c:pt idx="45">
                  <c:v>-4.0000000000000001E-3</c:v>
                </c:pt>
                <c:pt idx="46">
                  <c:v>-5.0000000000000001E-3</c:v>
                </c:pt>
                <c:pt idx="47">
                  <c:v>-5.0000000000000001E-3</c:v>
                </c:pt>
                <c:pt idx="48">
                  <c:v>-5.0000000000000001E-3</c:v>
                </c:pt>
                <c:pt idx="49">
                  <c:v>-4.0000000000000001E-3</c:v>
                </c:pt>
                <c:pt idx="50">
                  <c:v>-5.0000000000000001E-3</c:v>
                </c:pt>
                <c:pt idx="51">
                  <c:v>-5.0000000000000001E-3</c:v>
                </c:pt>
                <c:pt idx="52">
                  <c:v>-5.0000000000000001E-3</c:v>
                </c:pt>
                <c:pt idx="53">
                  <c:v>-5.0000000000000001E-3</c:v>
                </c:pt>
                <c:pt idx="54">
                  <c:v>-5.0000000000000001E-3</c:v>
                </c:pt>
                <c:pt idx="55">
                  <c:v>-4.0000000000000001E-3</c:v>
                </c:pt>
                <c:pt idx="56">
                  <c:v>-4.0000000000000001E-3</c:v>
                </c:pt>
                <c:pt idx="57">
                  <c:v>-4.0000000000000001E-3</c:v>
                </c:pt>
                <c:pt idx="58">
                  <c:v>-4.0000000000000001E-3</c:v>
                </c:pt>
                <c:pt idx="59">
                  <c:v>-5.0000000000000001E-3</c:v>
                </c:pt>
                <c:pt idx="60">
                  <c:v>-5.0000000000000001E-3</c:v>
                </c:pt>
              </c:numCache>
            </c:numRef>
          </c:val>
          <c:smooth val="0"/>
          <c:extLst>
            <c:ext xmlns:c16="http://schemas.microsoft.com/office/drawing/2014/chart" uri="{C3380CC4-5D6E-409C-BE32-E72D297353CC}">
              <c16:uniqueId val="{00000004-7507-4056-8EAC-0B235106DE31}"/>
            </c:ext>
          </c:extLst>
        </c:ser>
        <c:ser>
          <c:idx val="4"/>
          <c:order val="5"/>
          <c:tx>
            <c:strRef>
              <c:f>'Fig 2.7'!$C$10</c:f>
              <c:strCache>
                <c:ptCount val="1"/>
                <c:pt idx="0">
                  <c:v>C'</c:v>
                </c:pt>
              </c:strCache>
            </c:strRef>
          </c:tx>
          <c:spPr>
            <a:ln w="22225">
              <a:solidFill>
                <a:srgbClr val="002060"/>
              </a:solidFill>
            </a:ln>
          </c:spPr>
          <c:marker>
            <c:symbol val="star"/>
            <c:size val="4"/>
            <c:spPr>
              <a:noFill/>
              <a:ln>
                <a:solidFill>
                  <a:srgbClr val="002060"/>
                </a:solidFill>
              </a:ln>
            </c:spPr>
          </c:marker>
          <c:cat>
            <c:numRef>
              <c:f>'Fig 2.7'!$D$4:$BL$4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2.7'!$D$10:$BL$10</c:f>
              <c:numCache>
                <c:formatCode>0.0%</c:formatCode>
                <c:ptCount val="61"/>
                <c:pt idx="14">
                  <c:v>-4.0000000000000001E-3</c:v>
                </c:pt>
                <c:pt idx="15">
                  <c:v>-4.0000000000000001E-3</c:v>
                </c:pt>
                <c:pt idx="16">
                  <c:v>-3.0000000000000001E-3</c:v>
                </c:pt>
                <c:pt idx="17">
                  <c:v>-3.0000000000000001E-3</c:v>
                </c:pt>
                <c:pt idx="18">
                  <c:v>-4.0000000000000001E-3</c:v>
                </c:pt>
                <c:pt idx="19">
                  <c:v>-5.0000000000000001E-3</c:v>
                </c:pt>
                <c:pt idx="20">
                  <c:v>-5.0000000000000001E-3</c:v>
                </c:pt>
                <c:pt idx="21">
                  <c:v>-4.0000000000000001E-3</c:v>
                </c:pt>
                <c:pt idx="22">
                  <c:v>-3.0000000000000001E-3</c:v>
                </c:pt>
                <c:pt idx="23">
                  <c:v>-3.0000000000000001E-3</c:v>
                </c:pt>
                <c:pt idx="24">
                  <c:v>-3.0000000000000001E-3</c:v>
                </c:pt>
                <c:pt idx="25">
                  <c:v>-3.0000000000000001E-3</c:v>
                </c:pt>
                <c:pt idx="26">
                  <c:v>-4.0000000000000001E-3</c:v>
                </c:pt>
                <c:pt idx="27">
                  <c:v>-5.0000000000000001E-3</c:v>
                </c:pt>
                <c:pt idx="28">
                  <c:v>-6.0000000000000001E-3</c:v>
                </c:pt>
                <c:pt idx="29">
                  <c:v>-6.0000000000000001E-3</c:v>
                </c:pt>
                <c:pt idx="30">
                  <c:v>-7.0000000000000001E-3</c:v>
                </c:pt>
                <c:pt idx="31">
                  <c:v>-8.0000000000000002E-3</c:v>
                </c:pt>
                <c:pt idx="32">
                  <c:v>-8.9999999999999993E-3</c:v>
                </c:pt>
                <c:pt idx="33">
                  <c:v>-8.9999999999999993E-3</c:v>
                </c:pt>
                <c:pt idx="34">
                  <c:v>-0.01</c:v>
                </c:pt>
                <c:pt idx="35">
                  <c:v>-1.0999999999999999E-2</c:v>
                </c:pt>
                <c:pt idx="36">
                  <c:v>-1.0999999999999999E-2</c:v>
                </c:pt>
                <c:pt idx="37">
                  <c:v>-1.0999999999999999E-2</c:v>
                </c:pt>
                <c:pt idx="38">
                  <c:v>-1.0999999999999999E-2</c:v>
                </c:pt>
                <c:pt idx="39">
                  <c:v>-1.0999999999999999E-2</c:v>
                </c:pt>
                <c:pt idx="40">
                  <c:v>-1.0999999999999999E-2</c:v>
                </c:pt>
                <c:pt idx="41">
                  <c:v>-1.2E-2</c:v>
                </c:pt>
                <c:pt idx="42">
                  <c:v>-1.2E-2</c:v>
                </c:pt>
                <c:pt idx="43">
                  <c:v>-1.2E-2</c:v>
                </c:pt>
                <c:pt idx="44">
                  <c:v>-1.2999999999999999E-2</c:v>
                </c:pt>
                <c:pt idx="45">
                  <c:v>-1.2999999999999999E-2</c:v>
                </c:pt>
                <c:pt idx="46">
                  <c:v>-1.2999999999999999E-2</c:v>
                </c:pt>
                <c:pt idx="47">
                  <c:v>-1.2999999999999999E-2</c:v>
                </c:pt>
                <c:pt idx="48">
                  <c:v>-1.4E-2</c:v>
                </c:pt>
                <c:pt idx="49">
                  <c:v>-1.4E-2</c:v>
                </c:pt>
                <c:pt idx="50">
                  <c:v>-1.4E-2</c:v>
                </c:pt>
                <c:pt idx="51">
                  <c:v>-1.4E-2</c:v>
                </c:pt>
                <c:pt idx="52">
                  <c:v>-1.4E-2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-1.6E-2</c:v>
                </c:pt>
              </c:numCache>
            </c:numRef>
          </c:val>
          <c:smooth val="0"/>
          <c:extLst>
            <c:ext xmlns:c16="http://schemas.microsoft.com/office/drawing/2014/chart" uri="{C3380CC4-5D6E-409C-BE32-E72D297353CC}">
              <c16:uniqueId val="{00000005-7507-4056-8EAC-0B235106DE31}"/>
            </c:ext>
          </c:extLst>
        </c:ser>
        <c:dLbls>
          <c:showLegendKey val="0"/>
          <c:showVal val="0"/>
          <c:showCatName val="0"/>
          <c:showSerName val="0"/>
          <c:showPercent val="0"/>
          <c:showBubbleSize val="0"/>
        </c:dLbls>
        <c:smooth val="0"/>
        <c:axId val="124793984"/>
        <c:axId val="124795904"/>
      </c:lineChart>
      <c:catAx>
        <c:axId val="124793984"/>
        <c:scaling>
          <c:orientation val="minMax"/>
        </c:scaling>
        <c:delete val="0"/>
        <c:axPos val="b"/>
        <c:numFmt formatCode="General" sourceLinked="1"/>
        <c:majorTickMark val="out"/>
        <c:minorTickMark val="none"/>
        <c:tickLblPos val="low"/>
        <c:txPr>
          <a:bodyPr rot="-5400000" vert="horz"/>
          <a:lstStyle/>
          <a:p>
            <a:pPr>
              <a:defRPr/>
            </a:pPr>
            <a:endParaRPr lang="fr-FR"/>
          </a:p>
        </c:txPr>
        <c:crossAx val="124795904"/>
        <c:crosses val="autoZero"/>
        <c:auto val="1"/>
        <c:lblAlgn val="ctr"/>
        <c:lblOffset val="100"/>
        <c:tickLblSkip val="5"/>
        <c:noMultiLvlLbl val="0"/>
      </c:catAx>
      <c:valAx>
        <c:axId val="124795904"/>
        <c:scaling>
          <c:orientation val="minMax"/>
        </c:scaling>
        <c:delete val="0"/>
        <c:axPos val="l"/>
        <c:majorGridlines/>
        <c:title>
          <c:tx>
            <c:rich>
              <a:bodyPr rot="-5400000" vert="horz"/>
              <a:lstStyle/>
              <a:p>
                <a:pPr>
                  <a:defRPr/>
                </a:pPr>
                <a:r>
                  <a:rPr lang="en-US"/>
                  <a:t>en % du PIB</a:t>
                </a:r>
              </a:p>
            </c:rich>
          </c:tx>
          <c:layout>
            <c:manualLayout>
              <c:xMode val="edge"/>
              <c:yMode val="edge"/>
              <c:x val="1.3842592592592587E-2"/>
              <c:y val="0.23682685185185184"/>
            </c:manualLayout>
          </c:layout>
          <c:overlay val="0"/>
        </c:title>
        <c:numFmt formatCode="0%" sourceLinked="0"/>
        <c:majorTickMark val="out"/>
        <c:minorTickMark val="none"/>
        <c:tickLblPos val="nextTo"/>
        <c:crossAx val="124793984"/>
        <c:crosses val="autoZero"/>
        <c:crossBetween val="between"/>
        <c:majorUnit val="1.0000000000000002E-2"/>
      </c:valAx>
    </c:plotArea>
    <c:legend>
      <c:legendPos val="r"/>
      <c:layout>
        <c:manualLayout>
          <c:xMode val="edge"/>
          <c:yMode val="edge"/>
          <c:x val="0.84763518518518521"/>
          <c:y val="7.5204166666666669E-2"/>
          <c:w val="0.13355"/>
          <c:h val="0.70260092592592593"/>
        </c:manualLayout>
      </c:layout>
      <c:overlay val="0"/>
    </c:legend>
    <c:plotVisOnly val="1"/>
    <c:dispBlanksAs val="gap"/>
    <c:showDLblsOverMax val="0"/>
  </c:chart>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58574074074073"/>
          <c:y val="3.2064285714285712E-2"/>
          <c:w val="0.69900351851851839"/>
          <c:h val="0.78283379629629624"/>
        </c:manualLayout>
      </c:layout>
      <c:lineChart>
        <c:grouping val="standard"/>
        <c:varyColors val="0"/>
        <c:ser>
          <c:idx val="5"/>
          <c:order val="0"/>
          <c:tx>
            <c:strRef>
              <c:f>'Fig 2.8'!$C$5</c:f>
              <c:strCache>
                <c:ptCount val="1"/>
                <c:pt idx="0">
                  <c:v>Obs</c:v>
                </c:pt>
              </c:strCache>
            </c:strRef>
          </c:tx>
          <c:spPr>
            <a:ln w="50800">
              <a:solidFill>
                <a:schemeClr val="bg1">
                  <a:lumMod val="50000"/>
                </a:schemeClr>
              </a:solidFill>
            </a:ln>
          </c:spPr>
          <c:marker>
            <c:symbol val="none"/>
          </c:marker>
          <c:cat>
            <c:numRef>
              <c:f>'Fig 2.8'!$D$4:$BL$4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2.8'!$D$5:$BL$5</c:f>
              <c:numCache>
                <c:formatCode>0.0%</c:formatCode>
                <c:ptCount val="61"/>
                <c:pt idx="2">
                  <c:v>3.0000000000000001E-3</c:v>
                </c:pt>
                <c:pt idx="3">
                  <c:v>4.0000000000000001E-3</c:v>
                </c:pt>
                <c:pt idx="4">
                  <c:v>3.0000000000000001E-3</c:v>
                </c:pt>
                <c:pt idx="5">
                  <c:v>1E-3</c:v>
                </c:pt>
                <c:pt idx="6">
                  <c:v>2E-3</c:v>
                </c:pt>
                <c:pt idx="7">
                  <c:v>1E-3</c:v>
                </c:pt>
                <c:pt idx="8">
                  <c:v>0</c:v>
                </c:pt>
                <c:pt idx="9">
                  <c:v>-5.0000000000000001E-3</c:v>
                </c:pt>
                <c:pt idx="10">
                  <c:v>-7.0000000000000001E-3</c:v>
                </c:pt>
                <c:pt idx="11">
                  <c:v>-6.0000000000000001E-3</c:v>
                </c:pt>
                <c:pt idx="12">
                  <c:v>-5.0000000000000001E-3</c:v>
                </c:pt>
                <c:pt idx="13">
                  <c:v>-4.0000000000000001E-3</c:v>
                </c:pt>
              </c:numCache>
            </c:numRef>
          </c:val>
          <c:smooth val="0"/>
          <c:extLst>
            <c:ext xmlns:c16="http://schemas.microsoft.com/office/drawing/2014/chart" uri="{C3380CC4-5D6E-409C-BE32-E72D297353CC}">
              <c16:uniqueId val="{00000000-38EE-41B6-92D4-4CCE02CF199A}"/>
            </c:ext>
          </c:extLst>
        </c:ser>
        <c:ser>
          <c:idx val="0"/>
          <c:order val="1"/>
          <c:tx>
            <c:strRef>
              <c:f>'Fig 2.8'!$C$6</c:f>
              <c:strCache>
                <c:ptCount val="1"/>
                <c:pt idx="0">
                  <c:v>A'</c:v>
                </c:pt>
              </c:strCache>
            </c:strRef>
          </c:tx>
          <c:spPr>
            <a:ln w="22225">
              <a:solidFill>
                <a:schemeClr val="tx1"/>
              </a:solidFill>
            </a:ln>
          </c:spPr>
          <c:marker>
            <c:symbol val="x"/>
            <c:size val="4"/>
            <c:spPr>
              <a:noFill/>
              <a:ln>
                <a:solidFill>
                  <a:schemeClr val="tx1"/>
                </a:solidFill>
              </a:ln>
            </c:spPr>
          </c:marker>
          <c:cat>
            <c:numRef>
              <c:f>'Fig 2.8'!$D$4:$BL$4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2.8'!$D$6:$BL$6</c:f>
              <c:numCache>
                <c:formatCode>0.0%</c:formatCode>
                <c:ptCount val="61"/>
                <c:pt idx="14">
                  <c:v>-4.0000000000000001E-3</c:v>
                </c:pt>
                <c:pt idx="15">
                  <c:v>-4.0000000000000001E-3</c:v>
                </c:pt>
                <c:pt idx="16">
                  <c:v>-3.0000000000000001E-3</c:v>
                </c:pt>
                <c:pt idx="17">
                  <c:v>-3.0000000000000001E-3</c:v>
                </c:pt>
                <c:pt idx="18">
                  <c:v>-4.0000000000000001E-3</c:v>
                </c:pt>
                <c:pt idx="19">
                  <c:v>-4.0000000000000001E-3</c:v>
                </c:pt>
                <c:pt idx="20">
                  <c:v>-3.0000000000000001E-3</c:v>
                </c:pt>
                <c:pt idx="21">
                  <c:v>-2E-3</c:v>
                </c:pt>
                <c:pt idx="22">
                  <c:v>-1E-3</c:v>
                </c:pt>
                <c:pt idx="23">
                  <c:v>0</c:v>
                </c:pt>
                <c:pt idx="24">
                  <c:v>0</c:v>
                </c:pt>
                <c:pt idx="25">
                  <c:v>1E-3</c:v>
                </c:pt>
                <c:pt idx="26">
                  <c:v>2E-3</c:v>
                </c:pt>
                <c:pt idx="27">
                  <c:v>2E-3</c:v>
                </c:pt>
                <c:pt idx="28">
                  <c:v>3.0000000000000001E-3</c:v>
                </c:pt>
                <c:pt idx="29">
                  <c:v>3.0000000000000001E-3</c:v>
                </c:pt>
                <c:pt idx="30">
                  <c:v>3.0000000000000001E-3</c:v>
                </c:pt>
                <c:pt idx="31">
                  <c:v>3.0000000000000001E-3</c:v>
                </c:pt>
                <c:pt idx="32">
                  <c:v>3.0000000000000001E-3</c:v>
                </c:pt>
                <c:pt idx="33">
                  <c:v>3.0000000000000001E-3</c:v>
                </c:pt>
                <c:pt idx="34">
                  <c:v>4.0000000000000001E-3</c:v>
                </c:pt>
                <c:pt idx="35">
                  <c:v>4.0000000000000001E-3</c:v>
                </c:pt>
                <c:pt idx="36">
                  <c:v>4.0000000000000001E-3</c:v>
                </c:pt>
                <c:pt idx="37">
                  <c:v>5.0000000000000001E-3</c:v>
                </c:pt>
                <c:pt idx="38">
                  <c:v>6.0000000000000001E-3</c:v>
                </c:pt>
                <c:pt idx="39">
                  <c:v>6.0000000000000001E-3</c:v>
                </c:pt>
                <c:pt idx="40">
                  <c:v>7.0000000000000001E-3</c:v>
                </c:pt>
                <c:pt idx="41">
                  <c:v>7.0000000000000001E-3</c:v>
                </c:pt>
                <c:pt idx="42">
                  <c:v>8.0000000000000002E-3</c:v>
                </c:pt>
                <c:pt idx="43">
                  <c:v>8.0000000000000002E-3</c:v>
                </c:pt>
                <c:pt idx="44">
                  <c:v>8.0000000000000002E-3</c:v>
                </c:pt>
                <c:pt idx="45">
                  <c:v>8.9999999999999993E-3</c:v>
                </c:pt>
                <c:pt idx="46">
                  <c:v>8.9999999999999993E-3</c:v>
                </c:pt>
                <c:pt idx="47">
                  <c:v>8.9999999999999993E-3</c:v>
                </c:pt>
                <c:pt idx="48">
                  <c:v>8.9999999999999993E-3</c:v>
                </c:pt>
                <c:pt idx="49">
                  <c:v>0.01</c:v>
                </c:pt>
                <c:pt idx="50">
                  <c:v>0.01</c:v>
                </c:pt>
                <c:pt idx="51">
                  <c:v>0.01</c:v>
                </c:pt>
                <c:pt idx="52">
                  <c:v>0.01</c:v>
                </c:pt>
                <c:pt idx="53">
                  <c:v>0.01</c:v>
                </c:pt>
                <c:pt idx="54">
                  <c:v>0.01</c:v>
                </c:pt>
                <c:pt idx="55">
                  <c:v>1.0999999999999999E-2</c:v>
                </c:pt>
                <c:pt idx="56">
                  <c:v>1.0999999999999999E-2</c:v>
                </c:pt>
                <c:pt idx="57">
                  <c:v>1.0999999999999999E-2</c:v>
                </c:pt>
                <c:pt idx="58">
                  <c:v>1.0999999999999999E-2</c:v>
                </c:pt>
                <c:pt idx="59">
                  <c:v>1.0999999999999999E-2</c:v>
                </c:pt>
                <c:pt idx="60">
                  <c:v>1.0999999999999999E-2</c:v>
                </c:pt>
              </c:numCache>
            </c:numRef>
          </c:val>
          <c:smooth val="0"/>
          <c:extLst>
            <c:ext xmlns:c16="http://schemas.microsoft.com/office/drawing/2014/chart" uri="{C3380CC4-5D6E-409C-BE32-E72D297353CC}">
              <c16:uniqueId val="{00000001-38EE-41B6-92D4-4CCE02CF199A}"/>
            </c:ext>
          </c:extLst>
        </c:ser>
        <c:ser>
          <c:idx val="1"/>
          <c:order val="2"/>
          <c:tx>
            <c:strRef>
              <c:f>'Fig 2.8'!$C$7</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2.8'!$D$4:$BL$4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2.8'!$D$7:$BL$7</c:f>
              <c:numCache>
                <c:formatCode>0.0%</c:formatCode>
                <c:ptCount val="61"/>
                <c:pt idx="14">
                  <c:v>-4.0000000000000001E-3</c:v>
                </c:pt>
                <c:pt idx="15">
                  <c:v>-4.0000000000000001E-3</c:v>
                </c:pt>
                <c:pt idx="16">
                  <c:v>-3.0000000000000001E-3</c:v>
                </c:pt>
                <c:pt idx="17">
                  <c:v>-3.0000000000000001E-3</c:v>
                </c:pt>
                <c:pt idx="18">
                  <c:v>-4.0000000000000001E-3</c:v>
                </c:pt>
                <c:pt idx="19">
                  <c:v>-4.0000000000000001E-3</c:v>
                </c:pt>
                <c:pt idx="20">
                  <c:v>-3.0000000000000001E-3</c:v>
                </c:pt>
                <c:pt idx="21">
                  <c:v>-3.0000000000000001E-3</c:v>
                </c:pt>
                <c:pt idx="22">
                  <c:v>-2E-3</c:v>
                </c:pt>
                <c:pt idx="23">
                  <c:v>-1E-3</c:v>
                </c:pt>
                <c:pt idx="24">
                  <c:v>0</c:v>
                </c:pt>
                <c:pt idx="25">
                  <c:v>1E-3</c:v>
                </c:pt>
                <c:pt idx="26">
                  <c:v>1E-3</c:v>
                </c:pt>
                <c:pt idx="27">
                  <c:v>2E-3</c:v>
                </c:pt>
                <c:pt idx="28">
                  <c:v>2E-3</c:v>
                </c:pt>
                <c:pt idx="29">
                  <c:v>2E-3</c:v>
                </c:pt>
                <c:pt idx="30">
                  <c:v>2E-3</c:v>
                </c:pt>
                <c:pt idx="31">
                  <c:v>2E-3</c:v>
                </c:pt>
                <c:pt idx="32">
                  <c:v>2E-3</c:v>
                </c:pt>
                <c:pt idx="33">
                  <c:v>2E-3</c:v>
                </c:pt>
                <c:pt idx="34">
                  <c:v>2E-3</c:v>
                </c:pt>
                <c:pt idx="35">
                  <c:v>2E-3</c:v>
                </c:pt>
                <c:pt idx="36">
                  <c:v>2E-3</c:v>
                </c:pt>
                <c:pt idx="37">
                  <c:v>2E-3</c:v>
                </c:pt>
                <c:pt idx="38">
                  <c:v>3.0000000000000001E-3</c:v>
                </c:pt>
                <c:pt idx="39">
                  <c:v>4.0000000000000001E-3</c:v>
                </c:pt>
                <c:pt idx="40">
                  <c:v>4.0000000000000001E-3</c:v>
                </c:pt>
                <c:pt idx="41">
                  <c:v>4.0000000000000001E-3</c:v>
                </c:pt>
                <c:pt idx="42">
                  <c:v>5.0000000000000001E-3</c:v>
                </c:pt>
                <c:pt idx="43">
                  <c:v>5.0000000000000001E-3</c:v>
                </c:pt>
                <c:pt idx="44">
                  <c:v>5.0000000000000001E-3</c:v>
                </c:pt>
                <c:pt idx="45">
                  <c:v>5.0000000000000001E-3</c:v>
                </c:pt>
                <c:pt idx="46">
                  <c:v>5.0000000000000001E-3</c:v>
                </c:pt>
                <c:pt idx="47">
                  <c:v>5.0000000000000001E-3</c:v>
                </c:pt>
                <c:pt idx="48">
                  <c:v>5.0000000000000001E-3</c:v>
                </c:pt>
                <c:pt idx="49">
                  <c:v>6.0000000000000001E-3</c:v>
                </c:pt>
                <c:pt idx="50">
                  <c:v>6.0000000000000001E-3</c:v>
                </c:pt>
                <c:pt idx="51">
                  <c:v>6.0000000000000001E-3</c:v>
                </c:pt>
                <c:pt idx="52">
                  <c:v>6.0000000000000001E-3</c:v>
                </c:pt>
                <c:pt idx="53">
                  <c:v>6.0000000000000001E-3</c:v>
                </c:pt>
                <c:pt idx="54">
                  <c:v>6.0000000000000001E-3</c:v>
                </c:pt>
                <c:pt idx="55">
                  <c:v>6.0000000000000001E-3</c:v>
                </c:pt>
                <c:pt idx="56">
                  <c:v>6.0000000000000001E-3</c:v>
                </c:pt>
                <c:pt idx="57">
                  <c:v>6.0000000000000001E-3</c:v>
                </c:pt>
                <c:pt idx="58">
                  <c:v>6.0000000000000001E-3</c:v>
                </c:pt>
                <c:pt idx="59">
                  <c:v>6.0000000000000001E-3</c:v>
                </c:pt>
                <c:pt idx="60">
                  <c:v>6.0000000000000001E-3</c:v>
                </c:pt>
              </c:numCache>
            </c:numRef>
          </c:val>
          <c:smooth val="0"/>
          <c:extLst>
            <c:ext xmlns:c16="http://schemas.microsoft.com/office/drawing/2014/chart" uri="{C3380CC4-5D6E-409C-BE32-E72D297353CC}">
              <c16:uniqueId val="{00000002-38EE-41B6-92D4-4CCE02CF199A}"/>
            </c:ext>
          </c:extLst>
        </c:ser>
        <c:ser>
          <c:idx val="2"/>
          <c:order val="3"/>
          <c:tx>
            <c:strRef>
              <c:f>'Fig 2.8'!$C$8</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2.8'!$D$4:$BL$4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2.8'!$D$8:$BL$8</c:f>
              <c:numCache>
                <c:formatCode>0.0%</c:formatCode>
                <c:ptCount val="61"/>
                <c:pt idx="14">
                  <c:v>-4.0000000000000001E-3</c:v>
                </c:pt>
                <c:pt idx="15">
                  <c:v>-4.0000000000000001E-3</c:v>
                </c:pt>
                <c:pt idx="16">
                  <c:v>-3.0000000000000001E-3</c:v>
                </c:pt>
                <c:pt idx="17">
                  <c:v>-3.0000000000000001E-3</c:v>
                </c:pt>
                <c:pt idx="18">
                  <c:v>-4.0000000000000001E-3</c:v>
                </c:pt>
                <c:pt idx="19">
                  <c:v>-4.0000000000000001E-3</c:v>
                </c:pt>
                <c:pt idx="20">
                  <c:v>-3.0000000000000001E-3</c:v>
                </c:pt>
                <c:pt idx="21">
                  <c:v>-2E-3</c:v>
                </c:pt>
                <c:pt idx="22">
                  <c:v>-2E-3</c:v>
                </c:pt>
                <c:pt idx="23">
                  <c:v>-1E-3</c:v>
                </c:pt>
                <c:pt idx="24">
                  <c:v>-1E-3</c:v>
                </c:pt>
                <c:pt idx="25">
                  <c:v>-1E-3</c:v>
                </c:pt>
                <c:pt idx="26">
                  <c:v>-1E-3</c:v>
                </c:pt>
                <c:pt idx="27">
                  <c:v>0</c:v>
                </c:pt>
                <c:pt idx="28">
                  <c:v>0</c:v>
                </c:pt>
                <c:pt idx="29">
                  <c:v>0</c:v>
                </c:pt>
                <c:pt idx="30">
                  <c:v>0</c:v>
                </c:pt>
                <c:pt idx="31">
                  <c:v>0</c:v>
                </c:pt>
                <c:pt idx="32">
                  <c:v>0</c:v>
                </c:pt>
                <c:pt idx="33">
                  <c:v>-1E-3</c:v>
                </c:pt>
                <c:pt idx="34">
                  <c:v>-1E-3</c:v>
                </c:pt>
                <c:pt idx="35">
                  <c:v>-1E-3</c:v>
                </c:pt>
                <c:pt idx="36">
                  <c:v>-1E-3</c:v>
                </c:pt>
                <c:pt idx="37">
                  <c:v>-1E-3</c:v>
                </c:pt>
                <c:pt idx="38">
                  <c:v>-1E-3</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-1E-3</c:v>
                </c:pt>
                <c:pt idx="54">
                  <c:v>-1E-3</c:v>
                </c:pt>
                <c:pt idx="55">
                  <c:v>0</c:v>
                </c:pt>
                <c:pt idx="56">
                  <c:v>0</c:v>
                </c:pt>
                <c:pt idx="57">
                  <c:v>0</c:v>
                </c:pt>
                <c:pt idx="58">
                  <c:v>-1E-3</c:v>
                </c:pt>
                <c:pt idx="59">
                  <c:v>-1E-3</c:v>
                </c:pt>
                <c:pt idx="60">
                  <c:v>-1E-3</c:v>
                </c:pt>
              </c:numCache>
            </c:numRef>
          </c:val>
          <c:smooth val="0"/>
          <c:extLst>
            <c:ext xmlns:c16="http://schemas.microsoft.com/office/drawing/2014/chart" uri="{C3380CC4-5D6E-409C-BE32-E72D297353CC}">
              <c16:uniqueId val="{00000003-38EE-41B6-92D4-4CCE02CF199A}"/>
            </c:ext>
          </c:extLst>
        </c:ser>
        <c:ser>
          <c:idx val="3"/>
          <c:order val="4"/>
          <c:tx>
            <c:strRef>
              <c:f>'Fig 2.8'!$C$9</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2.8'!$D$4:$BL$4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2.8'!$D$9:$BL$9</c:f>
              <c:numCache>
                <c:formatCode>0.0%</c:formatCode>
                <c:ptCount val="61"/>
                <c:pt idx="14">
                  <c:v>-4.0000000000000001E-3</c:v>
                </c:pt>
                <c:pt idx="15">
                  <c:v>-4.0000000000000001E-3</c:v>
                </c:pt>
                <c:pt idx="16">
                  <c:v>-3.0000000000000001E-3</c:v>
                </c:pt>
                <c:pt idx="17">
                  <c:v>-3.0000000000000001E-3</c:v>
                </c:pt>
                <c:pt idx="18">
                  <c:v>-4.0000000000000001E-3</c:v>
                </c:pt>
                <c:pt idx="19">
                  <c:v>-4.0000000000000001E-3</c:v>
                </c:pt>
                <c:pt idx="20">
                  <c:v>-3.0000000000000001E-3</c:v>
                </c:pt>
                <c:pt idx="21">
                  <c:v>-3.0000000000000001E-3</c:v>
                </c:pt>
                <c:pt idx="22">
                  <c:v>-2E-3</c:v>
                </c:pt>
                <c:pt idx="23">
                  <c:v>-1E-3</c:v>
                </c:pt>
                <c:pt idx="24">
                  <c:v>-1E-3</c:v>
                </c:pt>
                <c:pt idx="25">
                  <c:v>-1E-3</c:v>
                </c:pt>
                <c:pt idx="26">
                  <c:v>-2E-3</c:v>
                </c:pt>
                <c:pt idx="27">
                  <c:v>-2E-3</c:v>
                </c:pt>
                <c:pt idx="28">
                  <c:v>-3.0000000000000001E-3</c:v>
                </c:pt>
                <c:pt idx="29">
                  <c:v>-3.0000000000000001E-3</c:v>
                </c:pt>
                <c:pt idx="30">
                  <c:v>-4.0000000000000001E-3</c:v>
                </c:pt>
                <c:pt idx="31">
                  <c:v>-4.0000000000000001E-3</c:v>
                </c:pt>
                <c:pt idx="32">
                  <c:v>-5.0000000000000001E-3</c:v>
                </c:pt>
                <c:pt idx="33">
                  <c:v>-5.0000000000000001E-3</c:v>
                </c:pt>
                <c:pt idx="34">
                  <c:v>-6.0000000000000001E-3</c:v>
                </c:pt>
                <c:pt idx="35">
                  <c:v>-6.0000000000000001E-3</c:v>
                </c:pt>
                <c:pt idx="36">
                  <c:v>-6.0000000000000001E-3</c:v>
                </c:pt>
                <c:pt idx="37">
                  <c:v>-6.0000000000000001E-3</c:v>
                </c:pt>
                <c:pt idx="38">
                  <c:v>-6.0000000000000001E-3</c:v>
                </c:pt>
                <c:pt idx="39">
                  <c:v>-6.0000000000000001E-3</c:v>
                </c:pt>
                <c:pt idx="40">
                  <c:v>-6.0000000000000001E-3</c:v>
                </c:pt>
                <c:pt idx="41">
                  <c:v>-6.0000000000000001E-3</c:v>
                </c:pt>
                <c:pt idx="42">
                  <c:v>-6.0000000000000001E-3</c:v>
                </c:pt>
                <c:pt idx="43">
                  <c:v>-6.0000000000000001E-3</c:v>
                </c:pt>
                <c:pt idx="44">
                  <c:v>-6.0000000000000001E-3</c:v>
                </c:pt>
                <c:pt idx="45">
                  <c:v>-6.0000000000000001E-3</c:v>
                </c:pt>
                <c:pt idx="46">
                  <c:v>-7.0000000000000001E-3</c:v>
                </c:pt>
                <c:pt idx="47">
                  <c:v>-7.0000000000000001E-3</c:v>
                </c:pt>
                <c:pt idx="48">
                  <c:v>-7.0000000000000001E-3</c:v>
                </c:pt>
                <c:pt idx="49">
                  <c:v>-7.0000000000000001E-3</c:v>
                </c:pt>
                <c:pt idx="50">
                  <c:v>-7.0000000000000001E-3</c:v>
                </c:pt>
                <c:pt idx="51">
                  <c:v>-7.0000000000000001E-3</c:v>
                </c:pt>
                <c:pt idx="52">
                  <c:v>-7.0000000000000001E-3</c:v>
                </c:pt>
                <c:pt idx="53">
                  <c:v>-8.0000000000000002E-3</c:v>
                </c:pt>
                <c:pt idx="54">
                  <c:v>-8.0000000000000002E-3</c:v>
                </c:pt>
                <c:pt idx="55">
                  <c:v>-8.0000000000000002E-3</c:v>
                </c:pt>
                <c:pt idx="56">
                  <c:v>-8.0000000000000002E-3</c:v>
                </c:pt>
                <c:pt idx="57">
                  <c:v>-8.0000000000000002E-3</c:v>
                </c:pt>
                <c:pt idx="58">
                  <c:v>-8.0000000000000002E-3</c:v>
                </c:pt>
                <c:pt idx="59">
                  <c:v>-8.0000000000000002E-3</c:v>
                </c:pt>
                <c:pt idx="60">
                  <c:v>-8.0000000000000002E-3</c:v>
                </c:pt>
              </c:numCache>
            </c:numRef>
          </c:val>
          <c:smooth val="0"/>
          <c:extLst>
            <c:ext xmlns:c16="http://schemas.microsoft.com/office/drawing/2014/chart" uri="{C3380CC4-5D6E-409C-BE32-E72D297353CC}">
              <c16:uniqueId val="{00000004-38EE-41B6-92D4-4CCE02CF199A}"/>
            </c:ext>
          </c:extLst>
        </c:ser>
        <c:ser>
          <c:idx val="4"/>
          <c:order val="5"/>
          <c:tx>
            <c:strRef>
              <c:f>'Fig 2.8'!$C$10</c:f>
              <c:strCache>
                <c:ptCount val="1"/>
                <c:pt idx="0">
                  <c:v>C'</c:v>
                </c:pt>
              </c:strCache>
            </c:strRef>
          </c:tx>
          <c:spPr>
            <a:ln w="22225">
              <a:solidFill>
                <a:schemeClr val="tx1"/>
              </a:solidFill>
            </a:ln>
          </c:spPr>
          <c:marker>
            <c:symbol val="star"/>
            <c:size val="4"/>
            <c:spPr>
              <a:noFill/>
              <a:ln>
                <a:solidFill>
                  <a:schemeClr val="tx1"/>
                </a:solidFill>
              </a:ln>
            </c:spPr>
          </c:marker>
          <c:cat>
            <c:numRef>
              <c:f>'Fig 2.8'!$D$4:$BL$4</c:f>
              <c:numCache>
                <c:formatCode>General</c:formatCode>
                <c:ptCount val="6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numCache>
            </c:numRef>
          </c:cat>
          <c:val>
            <c:numRef>
              <c:f>'Fig 2.8'!$D$10:$BL$10</c:f>
              <c:numCache>
                <c:formatCode>0.0%</c:formatCode>
                <c:ptCount val="61"/>
                <c:pt idx="14">
                  <c:v>-4.0000000000000001E-3</c:v>
                </c:pt>
                <c:pt idx="15">
                  <c:v>-4.0000000000000001E-3</c:v>
                </c:pt>
                <c:pt idx="16">
                  <c:v>-3.0000000000000001E-3</c:v>
                </c:pt>
                <c:pt idx="17">
                  <c:v>-3.0000000000000001E-3</c:v>
                </c:pt>
                <c:pt idx="18">
                  <c:v>-4.0000000000000001E-3</c:v>
                </c:pt>
                <c:pt idx="19">
                  <c:v>-4.0000000000000001E-3</c:v>
                </c:pt>
                <c:pt idx="20">
                  <c:v>-3.0000000000000001E-3</c:v>
                </c:pt>
                <c:pt idx="21">
                  <c:v>-3.0000000000000001E-3</c:v>
                </c:pt>
                <c:pt idx="22">
                  <c:v>-2E-3</c:v>
                </c:pt>
                <c:pt idx="23">
                  <c:v>-2E-3</c:v>
                </c:pt>
                <c:pt idx="24">
                  <c:v>-2E-3</c:v>
                </c:pt>
                <c:pt idx="25">
                  <c:v>-3.0000000000000001E-3</c:v>
                </c:pt>
                <c:pt idx="26">
                  <c:v>-3.0000000000000001E-3</c:v>
                </c:pt>
                <c:pt idx="27">
                  <c:v>-4.0000000000000001E-3</c:v>
                </c:pt>
                <c:pt idx="28">
                  <c:v>-5.0000000000000001E-3</c:v>
                </c:pt>
                <c:pt idx="29">
                  <c:v>-6.0000000000000001E-3</c:v>
                </c:pt>
                <c:pt idx="30">
                  <c:v>-7.0000000000000001E-3</c:v>
                </c:pt>
                <c:pt idx="31">
                  <c:v>-7.0000000000000001E-3</c:v>
                </c:pt>
                <c:pt idx="32">
                  <c:v>-8.0000000000000002E-3</c:v>
                </c:pt>
                <c:pt idx="33">
                  <c:v>-8.9999999999999993E-3</c:v>
                </c:pt>
                <c:pt idx="34">
                  <c:v>-0.01</c:v>
                </c:pt>
                <c:pt idx="35">
                  <c:v>-1.0999999999999999E-2</c:v>
                </c:pt>
                <c:pt idx="36">
                  <c:v>-1.0999999999999999E-2</c:v>
                </c:pt>
                <c:pt idx="37">
                  <c:v>-1.0999999999999999E-2</c:v>
                </c:pt>
                <c:pt idx="38">
                  <c:v>-1.0999999999999999E-2</c:v>
                </c:pt>
                <c:pt idx="39">
                  <c:v>-1.0999999999999999E-2</c:v>
                </c:pt>
                <c:pt idx="40">
                  <c:v>-1.2E-2</c:v>
                </c:pt>
                <c:pt idx="41">
                  <c:v>-1.2E-2</c:v>
                </c:pt>
                <c:pt idx="42">
                  <c:v>-1.2E-2</c:v>
                </c:pt>
                <c:pt idx="43">
                  <c:v>-1.2999999999999999E-2</c:v>
                </c:pt>
                <c:pt idx="44">
                  <c:v>-1.2999999999999999E-2</c:v>
                </c:pt>
                <c:pt idx="45">
                  <c:v>-1.4E-2</c:v>
                </c:pt>
                <c:pt idx="46">
                  <c:v>-1.4E-2</c:v>
                </c:pt>
                <c:pt idx="47">
                  <c:v>-1.4E-2</c:v>
                </c:pt>
                <c:pt idx="48">
                  <c:v>-1.4999999999999999E-2</c:v>
                </c:pt>
                <c:pt idx="49">
                  <c:v>-1.4999999999999999E-2</c:v>
                </c:pt>
                <c:pt idx="50">
                  <c:v>-1.4999999999999999E-2</c:v>
                </c:pt>
                <c:pt idx="51">
                  <c:v>-1.6E-2</c:v>
                </c:pt>
                <c:pt idx="52">
                  <c:v>-1.6E-2</c:v>
                </c:pt>
                <c:pt idx="53">
                  <c:v>-1.6E-2</c:v>
                </c:pt>
                <c:pt idx="54">
                  <c:v>-1.6E-2</c:v>
                </c:pt>
                <c:pt idx="55">
                  <c:v>-1.6E-2</c:v>
                </c:pt>
                <c:pt idx="56">
                  <c:v>-1.6E-2</c:v>
                </c:pt>
                <c:pt idx="57">
                  <c:v>-1.7000000000000001E-2</c:v>
                </c:pt>
                <c:pt idx="58">
                  <c:v>-1.7000000000000001E-2</c:v>
                </c:pt>
                <c:pt idx="59">
                  <c:v>-1.7000000000000001E-2</c:v>
                </c:pt>
                <c:pt idx="60">
                  <c:v>-1.7000000000000001E-2</c:v>
                </c:pt>
              </c:numCache>
            </c:numRef>
          </c:val>
          <c:smooth val="0"/>
          <c:extLst>
            <c:ext xmlns:c16="http://schemas.microsoft.com/office/drawing/2014/chart" uri="{C3380CC4-5D6E-409C-BE32-E72D297353CC}">
              <c16:uniqueId val="{00000005-38EE-41B6-92D4-4CCE02CF199A}"/>
            </c:ext>
          </c:extLst>
        </c:ser>
        <c:dLbls>
          <c:showLegendKey val="0"/>
          <c:showVal val="0"/>
          <c:showCatName val="0"/>
          <c:showSerName val="0"/>
          <c:showPercent val="0"/>
          <c:showBubbleSize val="0"/>
        </c:dLbls>
        <c:smooth val="0"/>
        <c:axId val="124816000"/>
        <c:axId val="124818176"/>
      </c:lineChart>
      <c:catAx>
        <c:axId val="124816000"/>
        <c:scaling>
          <c:orientation val="minMax"/>
        </c:scaling>
        <c:delete val="0"/>
        <c:axPos val="b"/>
        <c:numFmt formatCode="General" sourceLinked="1"/>
        <c:majorTickMark val="out"/>
        <c:minorTickMark val="none"/>
        <c:tickLblPos val="low"/>
        <c:txPr>
          <a:bodyPr rot="-5400000" vert="horz"/>
          <a:lstStyle/>
          <a:p>
            <a:pPr>
              <a:defRPr/>
            </a:pPr>
            <a:endParaRPr lang="fr-FR"/>
          </a:p>
        </c:txPr>
        <c:crossAx val="124818176"/>
        <c:crosses val="autoZero"/>
        <c:auto val="1"/>
        <c:lblAlgn val="ctr"/>
        <c:lblOffset val="100"/>
        <c:tickLblSkip val="5"/>
        <c:noMultiLvlLbl val="0"/>
      </c:catAx>
      <c:valAx>
        <c:axId val="124818176"/>
        <c:scaling>
          <c:orientation val="minMax"/>
          <c:max val="2.0000000000000004E-2"/>
          <c:min val="-2.0000000000000004E-2"/>
        </c:scaling>
        <c:delete val="0"/>
        <c:axPos val="l"/>
        <c:majorGridlines/>
        <c:title>
          <c:tx>
            <c:rich>
              <a:bodyPr rot="-5400000" vert="horz"/>
              <a:lstStyle/>
              <a:p>
                <a:pPr>
                  <a:defRPr/>
                </a:pPr>
                <a:r>
                  <a:rPr lang="en-US"/>
                  <a:t>en % du PIB</a:t>
                </a:r>
              </a:p>
            </c:rich>
          </c:tx>
          <c:layout>
            <c:manualLayout>
              <c:xMode val="edge"/>
              <c:yMode val="edge"/>
              <c:x val="9.1388888888888891E-3"/>
              <c:y val="0.23682685185185184"/>
            </c:manualLayout>
          </c:layout>
          <c:overlay val="0"/>
        </c:title>
        <c:numFmt formatCode="0%" sourceLinked="0"/>
        <c:majorTickMark val="out"/>
        <c:minorTickMark val="none"/>
        <c:tickLblPos val="nextTo"/>
        <c:crossAx val="124816000"/>
        <c:crosses val="autoZero"/>
        <c:crossBetween val="between"/>
        <c:majorUnit val="1.0000000000000002E-2"/>
      </c:valAx>
    </c:plotArea>
    <c:legend>
      <c:legendPos val="r"/>
      <c:layout>
        <c:manualLayout>
          <c:xMode val="edge"/>
          <c:yMode val="edge"/>
          <c:x val="0.83587592592592597"/>
          <c:y val="6.9324537037037032E-2"/>
          <c:w val="0.1476611111111111"/>
          <c:h val="0.70848055555555556"/>
        </c:manualLayout>
      </c:layout>
      <c:overlay val="0"/>
    </c:legend>
    <c:plotVisOnly val="1"/>
    <c:dispBlanksAs val="gap"/>
    <c:showDLblsOverMax val="0"/>
  </c:chart>
  <c:printSettings>
    <c:headerFooter/>
    <c:pageMargins b="0.75" l="0.7" r="0.7" t="0.75" header="0.3" footer="0.3"/>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454105470858696"/>
          <c:y val="6.1297541873017641E-2"/>
          <c:w val="0.45840174233539954"/>
          <c:h val="0.73548181792888545"/>
        </c:manualLayout>
      </c:layout>
      <c:barChart>
        <c:barDir val="col"/>
        <c:grouping val="stacked"/>
        <c:varyColors val="0"/>
        <c:ser>
          <c:idx val="0"/>
          <c:order val="0"/>
          <c:tx>
            <c:v>de la hausse entre 2003 et 2060 de l'âge de départ à la retraite</c:v>
          </c:tx>
          <c:spPr>
            <a:solidFill>
              <a:schemeClr val="tx1">
                <a:lumMod val="85000"/>
                <a:lumOff val="15000"/>
              </a:schemeClr>
            </a:solidFill>
          </c:spPr>
          <c:invertIfNegative val="0"/>
          <c:dLbls>
            <c:spPr>
              <a:noFill/>
              <a:ln>
                <a:noFill/>
              </a:ln>
              <a:effectLst/>
            </c:spPr>
            <c:txPr>
              <a:bodyPr/>
              <a:lstStyle/>
              <a:p>
                <a:pPr>
                  <a:defRPr sz="1100" b="1">
                    <a:solidFill>
                      <a:schemeClr val="bg1"/>
                    </a:solidFil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 2.10'!$D$4:$H$4</c:f>
              <c:strCache>
                <c:ptCount val="5"/>
                <c:pt idx="0">
                  <c:v>A'</c:v>
                </c:pt>
                <c:pt idx="1">
                  <c:v>A</c:v>
                </c:pt>
                <c:pt idx="2">
                  <c:v>B</c:v>
                </c:pt>
                <c:pt idx="3">
                  <c:v>C</c:v>
                </c:pt>
                <c:pt idx="4">
                  <c:v>C'</c:v>
                </c:pt>
              </c:strCache>
            </c:strRef>
          </c:cat>
          <c:val>
            <c:numRef>
              <c:f>'Fig 2.10'!$D$7:$H$7</c:f>
              <c:numCache>
                <c:formatCode>0</c:formatCode>
                <c:ptCount val="5"/>
                <c:pt idx="0">
                  <c:v>36</c:v>
                </c:pt>
                <c:pt idx="1">
                  <c:v>36</c:v>
                </c:pt>
                <c:pt idx="2">
                  <c:v>36</c:v>
                </c:pt>
                <c:pt idx="3">
                  <c:v>34</c:v>
                </c:pt>
                <c:pt idx="4">
                  <c:v>34</c:v>
                </c:pt>
              </c:numCache>
            </c:numRef>
          </c:val>
          <c:extLst>
            <c:ext xmlns:c16="http://schemas.microsoft.com/office/drawing/2014/chart" uri="{C3380CC4-5D6E-409C-BE32-E72D297353CC}">
              <c16:uniqueId val="{00000000-67F9-488C-A883-DD8075C18847}"/>
            </c:ext>
          </c:extLst>
        </c:ser>
        <c:ser>
          <c:idx val="1"/>
          <c:order val="1"/>
          <c:tx>
            <c:v>de la hausse entre 2003 et 2060 du taux de prélèvement global</c:v>
          </c:tx>
          <c:spPr>
            <a:solidFill>
              <a:schemeClr val="bg1">
                <a:lumMod val="85000"/>
              </a:schemeClr>
            </a:solidFill>
          </c:spPr>
          <c:invertIfNegative val="0"/>
          <c:dLbls>
            <c:spPr>
              <a:noFill/>
              <a:ln>
                <a:noFill/>
              </a:ln>
              <a:effectLst/>
            </c:spPr>
            <c:txPr>
              <a:bodyPr/>
              <a:lstStyle/>
              <a:p>
                <a:pPr>
                  <a:defRPr sz="11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 2.10'!$D$4:$H$4</c:f>
              <c:strCache>
                <c:ptCount val="5"/>
                <c:pt idx="0">
                  <c:v>A'</c:v>
                </c:pt>
                <c:pt idx="1">
                  <c:v>A</c:v>
                </c:pt>
                <c:pt idx="2">
                  <c:v>B</c:v>
                </c:pt>
                <c:pt idx="3">
                  <c:v>C</c:v>
                </c:pt>
                <c:pt idx="4">
                  <c:v>C'</c:v>
                </c:pt>
              </c:strCache>
            </c:strRef>
          </c:cat>
          <c:val>
            <c:numRef>
              <c:f>'Fig 2.10'!$D$8:$H$8</c:f>
              <c:numCache>
                <c:formatCode>0</c:formatCode>
                <c:ptCount val="5"/>
                <c:pt idx="0">
                  <c:v>18</c:v>
                </c:pt>
                <c:pt idx="1">
                  <c:v>18</c:v>
                </c:pt>
                <c:pt idx="2">
                  <c:v>19</c:v>
                </c:pt>
                <c:pt idx="3">
                  <c:v>19</c:v>
                </c:pt>
                <c:pt idx="4">
                  <c:v>19</c:v>
                </c:pt>
              </c:numCache>
            </c:numRef>
          </c:val>
          <c:extLst>
            <c:ext xmlns:c16="http://schemas.microsoft.com/office/drawing/2014/chart" uri="{C3380CC4-5D6E-409C-BE32-E72D297353CC}">
              <c16:uniqueId val="{00000001-67F9-488C-A883-DD8075C18847}"/>
            </c:ext>
          </c:extLst>
        </c:ser>
        <c:ser>
          <c:idx val="2"/>
          <c:order val="2"/>
          <c:tx>
            <c:v>de la diminution entre 2003 et 2060 de la pension moyenne relative</c:v>
          </c:tx>
          <c:spPr>
            <a:solidFill>
              <a:schemeClr val="bg1">
                <a:lumMod val="50000"/>
              </a:schemeClr>
            </a:solidFill>
          </c:spPr>
          <c:invertIfNegative val="0"/>
          <c:dLbls>
            <c:spPr>
              <a:noFill/>
              <a:ln>
                <a:noFill/>
              </a:ln>
              <a:effectLst/>
            </c:spPr>
            <c:txPr>
              <a:bodyPr/>
              <a:lstStyle/>
              <a:p>
                <a:pPr>
                  <a:defRPr sz="11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'Fig 2.10'!$D$4:$H$4</c:f>
              <c:strCache>
                <c:ptCount val="5"/>
                <c:pt idx="0">
                  <c:v>A'</c:v>
                </c:pt>
                <c:pt idx="1">
                  <c:v>A</c:v>
                </c:pt>
                <c:pt idx="2">
                  <c:v>B</c:v>
                </c:pt>
                <c:pt idx="3">
                  <c:v>C</c:v>
                </c:pt>
                <c:pt idx="4">
                  <c:v>C'</c:v>
                </c:pt>
              </c:strCache>
            </c:strRef>
          </c:cat>
          <c:val>
            <c:numRef>
              <c:f>'Fig 2.10'!$D$9:$H$9</c:f>
              <c:numCache>
                <c:formatCode>0</c:formatCode>
                <c:ptCount val="5"/>
                <c:pt idx="0">
                  <c:v>69</c:v>
                </c:pt>
                <c:pt idx="1">
                  <c:v>61</c:v>
                </c:pt>
                <c:pt idx="2">
                  <c:v>49</c:v>
                </c:pt>
                <c:pt idx="3">
                  <c:v>41</c:v>
                </c:pt>
                <c:pt idx="4">
                  <c:v>28</c:v>
                </c:pt>
              </c:numCache>
            </c:numRef>
          </c:val>
          <c:extLst>
            <c:ext xmlns:c16="http://schemas.microsoft.com/office/drawing/2014/chart" uri="{C3380CC4-5D6E-409C-BE32-E72D297353CC}">
              <c16:uniqueId val="{00000002-67F9-488C-A883-DD8075C18847}"/>
            </c:ext>
          </c:extLst>
        </c:ser>
        <c:ser>
          <c:idx val="3"/>
          <c:order val="3"/>
          <c:tx>
            <c:v>Besoin de financement non-couvert</c:v>
          </c:tx>
          <c:spPr>
            <a:pattFill prst="ltUpDiag">
              <a:fgClr>
                <a:schemeClr val="bg1">
                  <a:lumMod val="50000"/>
                </a:schemeClr>
              </a:fgClr>
              <a:bgClr>
                <a:schemeClr val="bg1"/>
              </a:bgClr>
            </a:pattFill>
          </c:spPr>
          <c:invertIfNegative val="0"/>
          <c:cat>
            <c:strRef>
              <c:f>'Fig 2.10'!$D$4:$H$4</c:f>
              <c:strCache>
                <c:ptCount val="5"/>
                <c:pt idx="0">
                  <c:v>A'</c:v>
                </c:pt>
                <c:pt idx="1">
                  <c:v>A</c:v>
                </c:pt>
                <c:pt idx="2">
                  <c:v>B</c:v>
                </c:pt>
                <c:pt idx="3">
                  <c:v>C</c:v>
                </c:pt>
                <c:pt idx="4">
                  <c:v>C'</c:v>
                </c:pt>
              </c:strCache>
            </c:strRef>
          </c:cat>
          <c:val>
            <c:numRef>
              <c:f>'Fig 2.10'!$D$10:$H$10</c:f>
              <c:numCache>
                <c:formatCode>0</c:formatCode>
                <c:ptCount val="5"/>
                <c:pt idx="0">
                  <c:v>0</c:v>
                </c:pt>
                <c:pt idx="1">
                  <c:v>0</c:v>
                </c:pt>
                <c:pt idx="2">
                  <c:v>0</c:v>
                </c:pt>
                <c:pt idx="3">
                  <c:v>6</c:v>
                </c:pt>
                <c:pt idx="4">
                  <c:v>19</c:v>
                </c:pt>
              </c:numCache>
            </c:numRef>
          </c:val>
          <c:extLst>
            <c:ext xmlns:c16="http://schemas.microsoft.com/office/drawing/2014/chart" uri="{C3380CC4-5D6E-409C-BE32-E72D297353CC}">
              <c16:uniqueId val="{00000003-67F9-488C-A883-DD8075C18847}"/>
            </c:ext>
          </c:extLst>
        </c:ser>
        <c:dLbls>
          <c:showLegendKey val="0"/>
          <c:showVal val="0"/>
          <c:showCatName val="0"/>
          <c:showSerName val="0"/>
          <c:showPercent val="0"/>
          <c:showBubbleSize val="0"/>
        </c:dLbls>
        <c:gapWidth val="18"/>
        <c:overlap val="100"/>
        <c:axId val="124906496"/>
        <c:axId val="124908672"/>
      </c:barChart>
      <c:catAx>
        <c:axId val="124906496"/>
        <c:scaling>
          <c:orientation val="minMax"/>
        </c:scaling>
        <c:delete val="0"/>
        <c:axPos val="b"/>
        <c:title>
          <c:tx>
            <c:rich>
              <a:bodyPr/>
              <a:lstStyle/>
              <a:p>
                <a:pPr>
                  <a:defRPr/>
                </a:pPr>
                <a:r>
                  <a:rPr lang="en-US"/>
                  <a:t>scénario économique</a:t>
                </a:r>
              </a:p>
            </c:rich>
          </c:tx>
          <c:overlay val="0"/>
        </c:title>
        <c:numFmt formatCode="General" sourceLinked="0"/>
        <c:majorTickMark val="out"/>
        <c:minorTickMark val="none"/>
        <c:tickLblPos val="low"/>
        <c:crossAx val="124908672"/>
        <c:crosses val="autoZero"/>
        <c:auto val="1"/>
        <c:lblAlgn val="ctr"/>
        <c:lblOffset val="100"/>
        <c:noMultiLvlLbl val="0"/>
      </c:catAx>
      <c:valAx>
        <c:axId val="124908672"/>
        <c:scaling>
          <c:orientation val="minMax"/>
          <c:max val="120"/>
          <c:min val="0"/>
        </c:scaling>
        <c:delete val="0"/>
        <c:axPos val="l"/>
        <c:majorGridlines/>
        <c:title>
          <c:tx>
            <c:rich>
              <a:bodyPr rot="-5400000" vert="horz"/>
              <a:lstStyle/>
              <a:p>
                <a:pPr>
                  <a:defRPr/>
                </a:pPr>
                <a:r>
                  <a:rPr lang="en-US"/>
                  <a:t>en % de la hausse </a:t>
                </a:r>
                <a:br>
                  <a:rPr lang="en-US"/>
                </a:br>
                <a:r>
                  <a:rPr lang="en-US"/>
                  <a:t>du besoin de financement </a:t>
                </a:r>
                <a:br>
                  <a:rPr lang="en-US"/>
                </a:br>
                <a:r>
                  <a:rPr lang="en-US"/>
                  <a:t>liée au vieillissement</a:t>
                </a:r>
              </a:p>
            </c:rich>
          </c:tx>
          <c:layout>
            <c:manualLayout>
              <c:xMode val="edge"/>
              <c:yMode val="edge"/>
              <c:x val="7.0921985815602835E-3"/>
              <c:y val="5.6367724389293862E-2"/>
            </c:manualLayout>
          </c:layout>
          <c:overlay val="0"/>
        </c:title>
        <c:numFmt formatCode="0" sourceLinked="1"/>
        <c:majorTickMark val="out"/>
        <c:minorTickMark val="none"/>
        <c:tickLblPos val="nextTo"/>
        <c:crossAx val="124906496"/>
        <c:crosses val="autoZero"/>
        <c:crossBetween val="between"/>
        <c:majorUnit val="20"/>
      </c:valAx>
    </c:plotArea>
    <c:legend>
      <c:legendPos val="r"/>
      <c:layout>
        <c:manualLayout>
          <c:xMode val="edge"/>
          <c:yMode val="edge"/>
          <c:x val="0.64894752517637422"/>
          <c:y val="2.3358814200656615E-2"/>
          <c:w val="0.33686807766050519"/>
          <c:h val="0.97664118579934334"/>
        </c:manualLayout>
      </c:layout>
      <c:overlay val="0"/>
    </c:legend>
    <c:plotVisOnly val="1"/>
    <c:dispBlanksAs val="gap"/>
    <c:showDLblsOverMax val="0"/>
  </c:chart>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94"/>
          <c:y val="3.2064285714285712E-2"/>
          <c:w val="0.80694444444444446"/>
          <c:h val="0.6988388888888889"/>
        </c:manualLayout>
      </c:layout>
      <c:lineChart>
        <c:grouping val="standard"/>
        <c:varyColors val="0"/>
        <c:ser>
          <c:idx val="0"/>
          <c:order val="0"/>
          <c:tx>
            <c:strRef>
              <c:f>'Fig 2.11'!$C$14</c:f>
              <c:strCache>
                <c:ptCount val="1"/>
                <c:pt idx="0">
                  <c:v>A'</c:v>
                </c:pt>
              </c:strCache>
            </c:strRef>
          </c:tx>
          <c:spPr>
            <a:ln w="22225">
              <a:solidFill>
                <a:schemeClr val="tx1"/>
              </a:solidFill>
            </a:ln>
          </c:spPr>
          <c:marker>
            <c:symbol val="x"/>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2.11'!$D$14:$AW$14</c:f>
              <c:numCache>
                <c:formatCode>0.0</c:formatCode>
                <c:ptCount val="46"/>
                <c:pt idx="0">
                  <c:v>62</c:v>
                </c:pt>
                <c:pt idx="1">
                  <c:v>62.2</c:v>
                </c:pt>
                <c:pt idx="2">
                  <c:v>62.3</c:v>
                </c:pt>
                <c:pt idx="3">
                  <c:v>62.6</c:v>
                </c:pt>
                <c:pt idx="4">
                  <c:v>62.8</c:v>
                </c:pt>
                <c:pt idx="5">
                  <c:v>62.8</c:v>
                </c:pt>
                <c:pt idx="6">
                  <c:v>62.9</c:v>
                </c:pt>
                <c:pt idx="7">
                  <c:v>62.8</c:v>
                </c:pt>
                <c:pt idx="8">
                  <c:v>62.7</c:v>
                </c:pt>
                <c:pt idx="9">
                  <c:v>62.7</c:v>
                </c:pt>
                <c:pt idx="10">
                  <c:v>62.7</c:v>
                </c:pt>
                <c:pt idx="11">
                  <c:v>62.7</c:v>
                </c:pt>
                <c:pt idx="12">
                  <c:v>62.7</c:v>
                </c:pt>
                <c:pt idx="13">
                  <c:v>62.7</c:v>
                </c:pt>
                <c:pt idx="14">
                  <c:v>62.7</c:v>
                </c:pt>
                <c:pt idx="15">
                  <c:v>62.7</c:v>
                </c:pt>
                <c:pt idx="16">
                  <c:v>62.8</c:v>
                </c:pt>
                <c:pt idx="17">
                  <c:v>62.8</c:v>
                </c:pt>
                <c:pt idx="18">
                  <c:v>62.8</c:v>
                </c:pt>
                <c:pt idx="19">
                  <c:v>62.9</c:v>
                </c:pt>
                <c:pt idx="20">
                  <c:v>62.9</c:v>
                </c:pt>
                <c:pt idx="21">
                  <c:v>62.9</c:v>
                </c:pt>
                <c:pt idx="22">
                  <c:v>62.8</c:v>
                </c:pt>
                <c:pt idx="23">
                  <c:v>62.7</c:v>
                </c:pt>
                <c:pt idx="24">
                  <c:v>62.6</c:v>
                </c:pt>
                <c:pt idx="25">
                  <c:v>62.5</c:v>
                </c:pt>
                <c:pt idx="26">
                  <c:v>62.3</c:v>
                </c:pt>
                <c:pt idx="27">
                  <c:v>62.2</c:v>
                </c:pt>
                <c:pt idx="28">
                  <c:v>62.1</c:v>
                </c:pt>
                <c:pt idx="29">
                  <c:v>62</c:v>
                </c:pt>
                <c:pt idx="30">
                  <c:v>61.9</c:v>
                </c:pt>
                <c:pt idx="31">
                  <c:v>61.8</c:v>
                </c:pt>
                <c:pt idx="32">
                  <c:v>61.8</c:v>
                </c:pt>
                <c:pt idx="33">
                  <c:v>61.7</c:v>
                </c:pt>
                <c:pt idx="34">
                  <c:v>61.6</c:v>
                </c:pt>
                <c:pt idx="35">
                  <c:v>61.5</c:v>
                </c:pt>
                <c:pt idx="36">
                  <c:v>61.5</c:v>
                </c:pt>
                <c:pt idx="37">
                  <c:v>61.4</c:v>
                </c:pt>
                <c:pt idx="38">
                  <c:v>61.3</c:v>
                </c:pt>
                <c:pt idx="39">
                  <c:v>61.2</c:v>
                </c:pt>
                <c:pt idx="40">
                  <c:v>61.2</c:v>
                </c:pt>
                <c:pt idx="41">
                  <c:v>61.1</c:v>
                </c:pt>
                <c:pt idx="42">
                  <c:v>61</c:v>
                </c:pt>
                <c:pt idx="43">
                  <c:v>60.9</c:v>
                </c:pt>
                <c:pt idx="44">
                  <c:v>60.9</c:v>
                </c:pt>
                <c:pt idx="45">
                  <c:v>60.9</c:v>
                </c:pt>
              </c:numCache>
            </c:numRef>
          </c:val>
          <c:smooth val="0"/>
          <c:extLst>
            <c:ext xmlns:c16="http://schemas.microsoft.com/office/drawing/2014/chart" uri="{C3380CC4-5D6E-409C-BE32-E72D297353CC}">
              <c16:uniqueId val="{00000000-C0B0-4680-9DA5-283C050ACB66}"/>
            </c:ext>
          </c:extLst>
        </c:ser>
        <c:ser>
          <c:idx val="1"/>
          <c:order val="1"/>
          <c:tx>
            <c:strRef>
              <c:f>'Fig 2.11'!$C$15</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2.11'!$D$15:$AW$15</c:f>
              <c:numCache>
                <c:formatCode>0.0</c:formatCode>
                <c:ptCount val="46"/>
                <c:pt idx="0">
                  <c:v>62</c:v>
                </c:pt>
                <c:pt idx="1">
                  <c:v>62.2</c:v>
                </c:pt>
                <c:pt idx="2">
                  <c:v>62.3</c:v>
                </c:pt>
                <c:pt idx="3">
                  <c:v>62.6</c:v>
                </c:pt>
                <c:pt idx="4">
                  <c:v>62.8</c:v>
                </c:pt>
                <c:pt idx="5">
                  <c:v>62.9</c:v>
                </c:pt>
                <c:pt idx="6">
                  <c:v>62.9</c:v>
                </c:pt>
                <c:pt idx="7">
                  <c:v>62.8</c:v>
                </c:pt>
                <c:pt idx="8">
                  <c:v>62.8</c:v>
                </c:pt>
                <c:pt idx="9">
                  <c:v>62.7</c:v>
                </c:pt>
                <c:pt idx="10">
                  <c:v>62.7</c:v>
                </c:pt>
                <c:pt idx="11">
                  <c:v>62.8</c:v>
                </c:pt>
                <c:pt idx="12">
                  <c:v>62.8</c:v>
                </c:pt>
                <c:pt idx="13">
                  <c:v>62.8</c:v>
                </c:pt>
                <c:pt idx="14">
                  <c:v>62.9</c:v>
                </c:pt>
                <c:pt idx="15">
                  <c:v>62.9</c:v>
                </c:pt>
                <c:pt idx="16">
                  <c:v>63</c:v>
                </c:pt>
                <c:pt idx="17">
                  <c:v>63.1</c:v>
                </c:pt>
                <c:pt idx="18">
                  <c:v>63.1</c:v>
                </c:pt>
                <c:pt idx="19">
                  <c:v>63.2</c:v>
                </c:pt>
                <c:pt idx="20">
                  <c:v>63.3</c:v>
                </c:pt>
                <c:pt idx="21">
                  <c:v>63.3</c:v>
                </c:pt>
                <c:pt idx="22">
                  <c:v>63.3</c:v>
                </c:pt>
                <c:pt idx="23">
                  <c:v>63.2</c:v>
                </c:pt>
                <c:pt idx="24">
                  <c:v>63.1</c:v>
                </c:pt>
                <c:pt idx="25">
                  <c:v>63.1</c:v>
                </c:pt>
                <c:pt idx="26">
                  <c:v>63</c:v>
                </c:pt>
                <c:pt idx="27">
                  <c:v>62.9</c:v>
                </c:pt>
                <c:pt idx="28">
                  <c:v>62.8</c:v>
                </c:pt>
                <c:pt idx="29">
                  <c:v>62.7</c:v>
                </c:pt>
                <c:pt idx="30">
                  <c:v>62.7</c:v>
                </c:pt>
                <c:pt idx="31">
                  <c:v>62.6</c:v>
                </c:pt>
                <c:pt idx="32">
                  <c:v>62.6</c:v>
                </c:pt>
                <c:pt idx="33">
                  <c:v>62.5</c:v>
                </c:pt>
                <c:pt idx="34">
                  <c:v>62.4</c:v>
                </c:pt>
                <c:pt idx="35">
                  <c:v>62.4</c:v>
                </c:pt>
                <c:pt idx="36">
                  <c:v>62.3</c:v>
                </c:pt>
                <c:pt idx="37">
                  <c:v>62.3</c:v>
                </c:pt>
                <c:pt idx="38">
                  <c:v>62.2</c:v>
                </c:pt>
                <c:pt idx="39">
                  <c:v>62.2</c:v>
                </c:pt>
                <c:pt idx="40">
                  <c:v>62.1</c:v>
                </c:pt>
                <c:pt idx="41">
                  <c:v>62.1</c:v>
                </c:pt>
                <c:pt idx="42">
                  <c:v>62</c:v>
                </c:pt>
                <c:pt idx="43">
                  <c:v>62</c:v>
                </c:pt>
                <c:pt idx="44">
                  <c:v>62</c:v>
                </c:pt>
                <c:pt idx="45">
                  <c:v>61.9</c:v>
                </c:pt>
              </c:numCache>
            </c:numRef>
          </c:val>
          <c:smooth val="0"/>
          <c:extLst>
            <c:ext xmlns:c16="http://schemas.microsoft.com/office/drawing/2014/chart" uri="{C3380CC4-5D6E-409C-BE32-E72D297353CC}">
              <c16:uniqueId val="{00000001-C0B0-4680-9DA5-283C050ACB66}"/>
            </c:ext>
          </c:extLst>
        </c:ser>
        <c:ser>
          <c:idx val="2"/>
          <c:order val="2"/>
          <c:tx>
            <c:strRef>
              <c:f>'Fig 2.11'!$C$16</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2.11'!$D$16:$AW$16</c:f>
              <c:numCache>
                <c:formatCode>0.0</c:formatCode>
                <c:ptCount val="46"/>
                <c:pt idx="0">
                  <c:v>62</c:v>
                </c:pt>
                <c:pt idx="1">
                  <c:v>62.2</c:v>
                </c:pt>
                <c:pt idx="2">
                  <c:v>62.3</c:v>
                </c:pt>
                <c:pt idx="3">
                  <c:v>62.6</c:v>
                </c:pt>
                <c:pt idx="4">
                  <c:v>62.8</c:v>
                </c:pt>
                <c:pt idx="5">
                  <c:v>62.9</c:v>
                </c:pt>
                <c:pt idx="6">
                  <c:v>62.9</c:v>
                </c:pt>
                <c:pt idx="7">
                  <c:v>62.9</c:v>
                </c:pt>
                <c:pt idx="8">
                  <c:v>62.9</c:v>
                </c:pt>
                <c:pt idx="9">
                  <c:v>62.8</c:v>
                </c:pt>
                <c:pt idx="10">
                  <c:v>62.9</c:v>
                </c:pt>
                <c:pt idx="11">
                  <c:v>63</c:v>
                </c:pt>
                <c:pt idx="12">
                  <c:v>63.1</c:v>
                </c:pt>
                <c:pt idx="13">
                  <c:v>63.1</c:v>
                </c:pt>
                <c:pt idx="14">
                  <c:v>63.2</c:v>
                </c:pt>
                <c:pt idx="15">
                  <c:v>63.2</c:v>
                </c:pt>
                <c:pt idx="16">
                  <c:v>63.3</c:v>
                </c:pt>
                <c:pt idx="17">
                  <c:v>63.4</c:v>
                </c:pt>
                <c:pt idx="18">
                  <c:v>63.5</c:v>
                </c:pt>
                <c:pt idx="19">
                  <c:v>63.6</c:v>
                </c:pt>
                <c:pt idx="20">
                  <c:v>63.7</c:v>
                </c:pt>
                <c:pt idx="21">
                  <c:v>63.8</c:v>
                </c:pt>
                <c:pt idx="22">
                  <c:v>63.8</c:v>
                </c:pt>
                <c:pt idx="23">
                  <c:v>63.8</c:v>
                </c:pt>
                <c:pt idx="24">
                  <c:v>63.9</c:v>
                </c:pt>
                <c:pt idx="25">
                  <c:v>63.8</c:v>
                </c:pt>
                <c:pt idx="26">
                  <c:v>63.8</c:v>
                </c:pt>
                <c:pt idx="27">
                  <c:v>63.8</c:v>
                </c:pt>
                <c:pt idx="28">
                  <c:v>63.7</c:v>
                </c:pt>
                <c:pt idx="29">
                  <c:v>63.7</c:v>
                </c:pt>
                <c:pt idx="30">
                  <c:v>63.7</c:v>
                </c:pt>
                <c:pt idx="31">
                  <c:v>63.6</c:v>
                </c:pt>
                <c:pt idx="32">
                  <c:v>63.6</c:v>
                </c:pt>
                <c:pt idx="33">
                  <c:v>63.6</c:v>
                </c:pt>
                <c:pt idx="34">
                  <c:v>63.6</c:v>
                </c:pt>
                <c:pt idx="35">
                  <c:v>63.5</c:v>
                </c:pt>
                <c:pt idx="36">
                  <c:v>63.5</c:v>
                </c:pt>
                <c:pt idx="37">
                  <c:v>63.5</c:v>
                </c:pt>
                <c:pt idx="38">
                  <c:v>63.5</c:v>
                </c:pt>
                <c:pt idx="39">
                  <c:v>63.5</c:v>
                </c:pt>
                <c:pt idx="40">
                  <c:v>63.5</c:v>
                </c:pt>
                <c:pt idx="41">
                  <c:v>63.4</c:v>
                </c:pt>
                <c:pt idx="42">
                  <c:v>63.4</c:v>
                </c:pt>
                <c:pt idx="43">
                  <c:v>63.4</c:v>
                </c:pt>
                <c:pt idx="44">
                  <c:v>63.4</c:v>
                </c:pt>
                <c:pt idx="45">
                  <c:v>63.4</c:v>
                </c:pt>
              </c:numCache>
            </c:numRef>
          </c:val>
          <c:smooth val="0"/>
          <c:extLst>
            <c:ext xmlns:c16="http://schemas.microsoft.com/office/drawing/2014/chart" uri="{C3380CC4-5D6E-409C-BE32-E72D297353CC}">
              <c16:uniqueId val="{00000002-C0B0-4680-9DA5-283C050ACB66}"/>
            </c:ext>
          </c:extLst>
        </c:ser>
        <c:ser>
          <c:idx val="3"/>
          <c:order val="3"/>
          <c:tx>
            <c:strRef>
              <c:f>'Fig 2.11'!$C$17</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2.11'!$D$17:$AW$17</c:f>
              <c:numCache>
                <c:formatCode>0.0</c:formatCode>
                <c:ptCount val="46"/>
                <c:pt idx="0">
                  <c:v>62</c:v>
                </c:pt>
                <c:pt idx="1">
                  <c:v>62.2</c:v>
                </c:pt>
                <c:pt idx="2">
                  <c:v>62.3</c:v>
                </c:pt>
                <c:pt idx="3">
                  <c:v>62.6</c:v>
                </c:pt>
                <c:pt idx="4">
                  <c:v>62.8</c:v>
                </c:pt>
                <c:pt idx="5">
                  <c:v>62.9</c:v>
                </c:pt>
                <c:pt idx="6">
                  <c:v>62.9</c:v>
                </c:pt>
                <c:pt idx="7">
                  <c:v>62.9</c:v>
                </c:pt>
                <c:pt idx="8">
                  <c:v>62.9</c:v>
                </c:pt>
                <c:pt idx="9">
                  <c:v>62.9</c:v>
                </c:pt>
                <c:pt idx="10">
                  <c:v>63</c:v>
                </c:pt>
                <c:pt idx="11">
                  <c:v>63.1</c:v>
                </c:pt>
                <c:pt idx="12">
                  <c:v>63.3</c:v>
                </c:pt>
                <c:pt idx="13">
                  <c:v>63.4</c:v>
                </c:pt>
                <c:pt idx="14">
                  <c:v>63.6</c:v>
                </c:pt>
                <c:pt idx="15">
                  <c:v>63.7</c:v>
                </c:pt>
                <c:pt idx="16">
                  <c:v>63.9</c:v>
                </c:pt>
                <c:pt idx="17">
                  <c:v>64</c:v>
                </c:pt>
                <c:pt idx="18">
                  <c:v>64.2</c:v>
                </c:pt>
                <c:pt idx="19">
                  <c:v>64.3</c:v>
                </c:pt>
                <c:pt idx="20">
                  <c:v>64.400000000000006</c:v>
                </c:pt>
                <c:pt idx="21">
                  <c:v>64.599999999999994</c:v>
                </c:pt>
                <c:pt idx="22">
                  <c:v>64.599999999999994</c:v>
                </c:pt>
                <c:pt idx="23">
                  <c:v>64.7</c:v>
                </c:pt>
                <c:pt idx="24">
                  <c:v>64.7</c:v>
                </c:pt>
                <c:pt idx="25">
                  <c:v>64.8</c:v>
                </c:pt>
                <c:pt idx="26">
                  <c:v>64.8</c:v>
                </c:pt>
                <c:pt idx="27">
                  <c:v>64.8</c:v>
                </c:pt>
                <c:pt idx="28">
                  <c:v>64.7</c:v>
                </c:pt>
                <c:pt idx="29">
                  <c:v>64.7</c:v>
                </c:pt>
                <c:pt idx="30">
                  <c:v>64.7</c:v>
                </c:pt>
                <c:pt idx="31">
                  <c:v>64.7</c:v>
                </c:pt>
                <c:pt idx="32">
                  <c:v>64.7</c:v>
                </c:pt>
                <c:pt idx="33">
                  <c:v>64.7</c:v>
                </c:pt>
                <c:pt idx="34">
                  <c:v>64.7</c:v>
                </c:pt>
                <c:pt idx="35">
                  <c:v>64.7</c:v>
                </c:pt>
                <c:pt idx="36">
                  <c:v>64.7</c:v>
                </c:pt>
                <c:pt idx="37">
                  <c:v>64.7</c:v>
                </c:pt>
                <c:pt idx="38">
                  <c:v>64.7</c:v>
                </c:pt>
                <c:pt idx="39">
                  <c:v>64.7</c:v>
                </c:pt>
                <c:pt idx="40">
                  <c:v>64.7</c:v>
                </c:pt>
                <c:pt idx="41">
                  <c:v>64.7</c:v>
                </c:pt>
                <c:pt idx="42">
                  <c:v>64.7</c:v>
                </c:pt>
                <c:pt idx="43">
                  <c:v>64.7</c:v>
                </c:pt>
                <c:pt idx="44">
                  <c:v>64.7</c:v>
                </c:pt>
                <c:pt idx="45">
                  <c:v>64.7</c:v>
                </c:pt>
              </c:numCache>
            </c:numRef>
          </c:val>
          <c:smooth val="0"/>
          <c:extLst>
            <c:ext xmlns:c16="http://schemas.microsoft.com/office/drawing/2014/chart" uri="{C3380CC4-5D6E-409C-BE32-E72D297353CC}">
              <c16:uniqueId val="{00000003-C0B0-4680-9DA5-283C050ACB66}"/>
            </c:ext>
          </c:extLst>
        </c:ser>
        <c:ser>
          <c:idx val="4"/>
          <c:order val="4"/>
          <c:tx>
            <c:strRef>
              <c:f>'Fig 2.11'!$C$18</c:f>
              <c:strCache>
                <c:ptCount val="1"/>
                <c:pt idx="0">
                  <c:v>C'</c:v>
                </c:pt>
              </c:strCache>
            </c:strRef>
          </c:tx>
          <c:spPr>
            <a:ln w="22225">
              <a:solidFill>
                <a:schemeClr val="tx1"/>
              </a:solidFill>
            </a:ln>
          </c:spPr>
          <c:marker>
            <c:symbol val="star"/>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2.11'!$D$18:$AW$18</c:f>
              <c:numCache>
                <c:formatCode>0.0</c:formatCode>
                <c:ptCount val="46"/>
                <c:pt idx="0">
                  <c:v>62</c:v>
                </c:pt>
                <c:pt idx="1">
                  <c:v>62.2</c:v>
                </c:pt>
                <c:pt idx="2">
                  <c:v>62.3</c:v>
                </c:pt>
                <c:pt idx="3">
                  <c:v>62.6</c:v>
                </c:pt>
                <c:pt idx="4">
                  <c:v>62.8</c:v>
                </c:pt>
                <c:pt idx="5">
                  <c:v>62.9</c:v>
                </c:pt>
                <c:pt idx="6">
                  <c:v>62.9</c:v>
                </c:pt>
                <c:pt idx="7">
                  <c:v>63</c:v>
                </c:pt>
                <c:pt idx="8">
                  <c:v>63</c:v>
                </c:pt>
                <c:pt idx="9">
                  <c:v>63</c:v>
                </c:pt>
                <c:pt idx="10">
                  <c:v>63.2</c:v>
                </c:pt>
                <c:pt idx="11">
                  <c:v>63.4</c:v>
                </c:pt>
                <c:pt idx="12">
                  <c:v>63.6</c:v>
                </c:pt>
                <c:pt idx="13">
                  <c:v>63.8</c:v>
                </c:pt>
                <c:pt idx="14">
                  <c:v>64</c:v>
                </c:pt>
                <c:pt idx="15">
                  <c:v>64.2</c:v>
                </c:pt>
                <c:pt idx="16">
                  <c:v>64.400000000000006</c:v>
                </c:pt>
                <c:pt idx="17">
                  <c:v>64.599999999999994</c:v>
                </c:pt>
                <c:pt idx="18">
                  <c:v>64.8</c:v>
                </c:pt>
                <c:pt idx="19">
                  <c:v>65</c:v>
                </c:pt>
                <c:pt idx="20">
                  <c:v>65.099999999999994</c:v>
                </c:pt>
                <c:pt idx="21">
                  <c:v>65.3</c:v>
                </c:pt>
                <c:pt idx="22">
                  <c:v>65.400000000000006</c:v>
                </c:pt>
                <c:pt idx="23">
                  <c:v>65.5</c:v>
                </c:pt>
                <c:pt idx="24">
                  <c:v>65.599999999999994</c:v>
                </c:pt>
                <c:pt idx="25">
                  <c:v>65.7</c:v>
                </c:pt>
                <c:pt idx="26">
                  <c:v>65.8</c:v>
                </c:pt>
                <c:pt idx="27">
                  <c:v>65.8</c:v>
                </c:pt>
                <c:pt idx="28">
                  <c:v>65.8</c:v>
                </c:pt>
                <c:pt idx="29">
                  <c:v>65.8</c:v>
                </c:pt>
                <c:pt idx="30">
                  <c:v>65.900000000000006</c:v>
                </c:pt>
                <c:pt idx="31">
                  <c:v>65.900000000000006</c:v>
                </c:pt>
                <c:pt idx="32">
                  <c:v>65.900000000000006</c:v>
                </c:pt>
                <c:pt idx="33">
                  <c:v>65.900000000000006</c:v>
                </c:pt>
                <c:pt idx="34">
                  <c:v>66</c:v>
                </c:pt>
                <c:pt idx="35">
                  <c:v>66</c:v>
                </c:pt>
                <c:pt idx="36">
                  <c:v>66</c:v>
                </c:pt>
                <c:pt idx="37">
                  <c:v>66</c:v>
                </c:pt>
                <c:pt idx="38">
                  <c:v>66</c:v>
                </c:pt>
                <c:pt idx="39">
                  <c:v>66</c:v>
                </c:pt>
                <c:pt idx="40">
                  <c:v>66.099999999999994</c:v>
                </c:pt>
                <c:pt idx="41">
                  <c:v>66.099999999999994</c:v>
                </c:pt>
                <c:pt idx="42">
                  <c:v>66.2</c:v>
                </c:pt>
                <c:pt idx="43">
                  <c:v>66.2</c:v>
                </c:pt>
                <c:pt idx="44">
                  <c:v>66.2</c:v>
                </c:pt>
                <c:pt idx="45">
                  <c:v>66.3</c:v>
                </c:pt>
              </c:numCache>
            </c:numRef>
          </c:val>
          <c:smooth val="0"/>
          <c:extLst>
            <c:ext xmlns:c16="http://schemas.microsoft.com/office/drawing/2014/chart" uri="{C3380CC4-5D6E-409C-BE32-E72D297353CC}">
              <c16:uniqueId val="{00000004-C0B0-4680-9DA5-283C050ACB66}"/>
            </c:ext>
          </c:extLst>
        </c:ser>
        <c:dLbls>
          <c:showLegendKey val="0"/>
          <c:showVal val="0"/>
          <c:showCatName val="0"/>
          <c:showSerName val="0"/>
          <c:showPercent val="0"/>
          <c:showBubbleSize val="0"/>
        </c:dLbls>
        <c:marker val="1"/>
        <c:smooth val="0"/>
        <c:axId val="124936576"/>
        <c:axId val="124939264"/>
      </c:lineChart>
      <c:catAx>
        <c:axId val="124936576"/>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24939264"/>
        <c:crosses val="autoZero"/>
        <c:auto val="1"/>
        <c:lblAlgn val="ctr"/>
        <c:lblOffset val="100"/>
        <c:tickLblSkip val="10"/>
        <c:noMultiLvlLbl val="0"/>
      </c:catAx>
      <c:valAx>
        <c:axId val="124939264"/>
        <c:scaling>
          <c:orientation val="minMax"/>
          <c:max val="70"/>
          <c:min val="60"/>
        </c:scaling>
        <c:delete val="0"/>
        <c:axPos val="l"/>
        <c:majorGridlines/>
        <c:numFmt formatCode="0" sourceLinked="0"/>
        <c:majorTickMark val="out"/>
        <c:minorTickMark val="none"/>
        <c:tickLblPos val="nextTo"/>
        <c:crossAx val="124936576"/>
        <c:crosses val="autoZero"/>
        <c:crossBetween val="between"/>
        <c:majorUnit val="1"/>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94"/>
          <c:y val="3.2064285714285712E-2"/>
          <c:w val="0.80694444444444446"/>
          <c:h val="0.6988388888888889"/>
        </c:manualLayout>
      </c:layout>
      <c:lineChart>
        <c:grouping val="standard"/>
        <c:varyColors val="0"/>
        <c:ser>
          <c:idx val="0"/>
          <c:order val="0"/>
          <c:tx>
            <c:strRef>
              <c:f>'Fig 2.11'!$C$4</c:f>
              <c:strCache>
                <c:ptCount val="1"/>
                <c:pt idx="0">
                  <c:v>A'</c:v>
                </c:pt>
              </c:strCache>
            </c:strRef>
          </c:tx>
          <c:spPr>
            <a:ln w="22225">
              <a:solidFill>
                <a:schemeClr val="tx1"/>
              </a:solidFill>
            </a:ln>
          </c:spPr>
          <c:marker>
            <c:symbol val="x"/>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2.11'!$D$4:$AW$4</c:f>
              <c:numCache>
                <c:formatCode>0.0%</c:formatCode>
                <c:ptCount val="46"/>
                <c:pt idx="0">
                  <c:v>0.501</c:v>
                </c:pt>
                <c:pt idx="1">
                  <c:v>0.5</c:v>
                </c:pt>
                <c:pt idx="2">
                  <c:v>0.499</c:v>
                </c:pt>
                <c:pt idx="3">
                  <c:v>0.496</c:v>
                </c:pt>
                <c:pt idx="4">
                  <c:v>0.48899999999999999</c:v>
                </c:pt>
                <c:pt idx="5">
                  <c:v>0.48899999999999999</c:v>
                </c:pt>
                <c:pt idx="6">
                  <c:v>0.48699999999999999</c:v>
                </c:pt>
                <c:pt idx="7">
                  <c:v>0.48599999999999999</c:v>
                </c:pt>
                <c:pt idx="8">
                  <c:v>0.48399999999999999</c:v>
                </c:pt>
                <c:pt idx="9">
                  <c:v>0.48199999999999998</c:v>
                </c:pt>
                <c:pt idx="10">
                  <c:v>0.47899999999999998</c:v>
                </c:pt>
                <c:pt idx="11">
                  <c:v>0.47499999999999998</c:v>
                </c:pt>
                <c:pt idx="12">
                  <c:v>0.47199999999999998</c:v>
                </c:pt>
                <c:pt idx="13">
                  <c:v>0.46700000000000003</c:v>
                </c:pt>
                <c:pt idx="14">
                  <c:v>0.46300000000000002</c:v>
                </c:pt>
                <c:pt idx="15">
                  <c:v>0.45800000000000002</c:v>
                </c:pt>
                <c:pt idx="16">
                  <c:v>0.45400000000000001</c:v>
                </c:pt>
                <c:pt idx="17">
                  <c:v>0.44900000000000001</c:v>
                </c:pt>
                <c:pt idx="18">
                  <c:v>0.44500000000000001</c:v>
                </c:pt>
                <c:pt idx="19">
                  <c:v>0.441</c:v>
                </c:pt>
                <c:pt idx="20">
                  <c:v>0.438</c:v>
                </c:pt>
                <c:pt idx="21">
                  <c:v>0.435</c:v>
                </c:pt>
                <c:pt idx="22">
                  <c:v>0.433</c:v>
                </c:pt>
                <c:pt idx="23">
                  <c:v>0.432</c:v>
                </c:pt>
                <c:pt idx="24">
                  <c:v>0.43</c:v>
                </c:pt>
                <c:pt idx="25">
                  <c:v>0.42899999999999999</c:v>
                </c:pt>
                <c:pt idx="26">
                  <c:v>0.42799999999999999</c:v>
                </c:pt>
                <c:pt idx="27">
                  <c:v>0.42599999999999999</c:v>
                </c:pt>
                <c:pt idx="28">
                  <c:v>0.42299999999999999</c:v>
                </c:pt>
                <c:pt idx="29">
                  <c:v>0.42099999999999999</c:v>
                </c:pt>
                <c:pt idx="30">
                  <c:v>0.41899999999999998</c:v>
                </c:pt>
                <c:pt idx="31">
                  <c:v>0.41699999999999998</c:v>
                </c:pt>
                <c:pt idx="32">
                  <c:v>0.41499999999999998</c:v>
                </c:pt>
                <c:pt idx="33">
                  <c:v>0.41399999999999998</c:v>
                </c:pt>
                <c:pt idx="34">
                  <c:v>0.41199999999999998</c:v>
                </c:pt>
                <c:pt idx="35">
                  <c:v>0.41099999999999998</c:v>
                </c:pt>
                <c:pt idx="36">
                  <c:v>0.41</c:v>
                </c:pt>
                <c:pt idx="37">
                  <c:v>0.40899999999999997</c:v>
                </c:pt>
                <c:pt idx="38">
                  <c:v>0.40799999999999997</c:v>
                </c:pt>
                <c:pt idx="39">
                  <c:v>0.40699999999999997</c:v>
                </c:pt>
                <c:pt idx="40">
                  <c:v>0.40699999999999997</c:v>
                </c:pt>
                <c:pt idx="41">
                  <c:v>0.40699999999999997</c:v>
                </c:pt>
                <c:pt idx="42">
                  <c:v>0.40699999999999997</c:v>
                </c:pt>
                <c:pt idx="43">
                  <c:v>0.40699999999999997</c:v>
                </c:pt>
                <c:pt idx="44">
                  <c:v>0.40699999999999997</c:v>
                </c:pt>
                <c:pt idx="45">
                  <c:v>0.40699999999999997</c:v>
                </c:pt>
              </c:numCache>
            </c:numRef>
          </c:val>
          <c:smooth val="0"/>
          <c:extLst>
            <c:ext xmlns:c16="http://schemas.microsoft.com/office/drawing/2014/chart" uri="{C3380CC4-5D6E-409C-BE32-E72D297353CC}">
              <c16:uniqueId val="{00000000-8D23-478C-B0B6-B0694040477C}"/>
            </c:ext>
          </c:extLst>
        </c:ser>
        <c:ser>
          <c:idx val="1"/>
          <c:order val="1"/>
          <c:tx>
            <c:strRef>
              <c:f>'Fig 2.11'!$C$5</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2.11'!$D$5:$AW$5</c:f>
              <c:numCache>
                <c:formatCode>0.0%</c:formatCode>
                <c:ptCount val="46"/>
                <c:pt idx="0">
                  <c:v>0.501</c:v>
                </c:pt>
                <c:pt idx="1">
                  <c:v>0.5</c:v>
                </c:pt>
                <c:pt idx="2">
                  <c:v>0.499</c:v>
                </c:pt>
                <c:pt idx="3">
                  <c:v>0.496</c:v>
                </c:pt>
                <c:pt idx="4">
                  <c:v>0.48899999999999999</c:v>
                </c:pt>
                <c:pt idx="5">
                  <c:v>0.48899999999999999</c:v>
                </c:pt>
                <c:pt idx="6">
                  <c:v>0.48699999999999999</c:v>
                </c:pt>
                <c:pt idx="7">
                  <c:v>0.48599999999999999</c:v>
                </c:pt>
                <c:pt idx="8">
                  <c:v>0.48399999999999999</c:v>
                </c:pt>
                <c:pt idx="9">
                  <c:v>0.48099999999999998</c:v>
                </c:pt>
                <c:pt idx="10">
                  <c:v>0.47899999999999998</c:v>
                </c:pt>
                <c:pt idx="11">
                  <c:v>0.47499999999999998</c:v>
                </c:pt>
                <c:pt idx="12">
                  <c:v>0.47199999999999998</c:v>
                </c:pt>
                <c:pt idx="13">
                  <c:v>0.46700000000000003</c:v>
                </c:pt>
                <c:pt idx="14">
                  <c:v>0.46300000000000002</c:v>
                </c:pt>
                <c:pt idx="15">
                  <c:v>0.45800000000000002</c:v>
                </c:pt>
                <c:pt idx="16">
                  <c:v>0.45400000000000001</c:v>
                </c:pt>
                <c:pt idx="17">
                  <c:v>0.44900000000000001</c:v>
                </c:pt>
                <c:pt idx="18">
                  <c:v>0.44500000000000001</c:v>
                </c:pt>
                <c:pt idx="19">
                  <c:v>0.441</c:v>
                </c:pt>
                <c:pt idx="20">
                  <c:v>0.438</c:v>
                </c:pt>
                <c:pt idx="21">
                  <c:v>0.435</c:v>
                </c:pt>
                <c:pt idx="22">
                  <c:v>0.433</c:v>
                </c:pt>
                <c:pt idx="23">
                  <c:v>0.432</c:v>
                </c:pt>
                <c:pt idx="24">
                  <c:v>0.43099999999999999</c:v>
                </c:pt>
                <c:pt idx="25">
                  <c:v>0.42899999999999999</c:v>
                </c:pt>
                <c:pt idx="26">
                  <c:v>0.42799999999999999</c:v>
                </c:pt>
                <c:pt idx="27">
                  <c:v>0.42599999999999999</c:v>
                </c:pt>
                <c:pt idx="28">
                  <c:v>0.42299999999999999</c:v>
                </c:pt>
                <c:pt idx="29">
                  <c:v>0.42099999999999999</c:v>
                </c:pt>
                <c:pt idx="30">
                  <c:v>0.41899999999999998</c:v>
                </c:pt>
                <c:pt idx="31">
                  <c:v>0.41699999999999998</c:v>
                </c:pt>
                <c:pt idx="32">
                  <c:v>0.41499999999999998</c:v>
                </c:pt>
                <c:pt idx="33">
                  <c:v>0.41399999999999998</c:v>
                </c:pt>
                <c:pt idx="34">
                  <c:v>0.41199999999999998</c:v>
                </c:pt>
                <c:pt idx="35">
                  <c:v>0.41099999999999998</c:v>
                </c:pt>
                <c:pt idx="36">
                  <c:v>0.41</c:v>
                </c:pt>
                <c:pt idx="37">
                  <c:v>0.40899999999999997</c:v>
                </c:pt>
                <c:pt idx="38">
                  <c:v>0.40799999999999997</c:v>
                </c:pt>
                <c:pt idx="39">
                  <c:v>0.40699999999999997</c:v>
                </c:pt>
                <c:pt idx="40">
                  <c:v>0.40699999999999997</c:v>
                </c:pt>
                <c:pt idx="41">
                  <c:v>0.40699999999999997</c:v>
                </c:pt>
                <c:pt idx="42">
                  <c:v>0.40699999999999997</c:v>
                </c:pt>
                <c:pt idx="43">
                  <c:v>0.40699999999999997</c:v>
                </c:pt>
                <c:pt idx="44">
                  <c:v>0.40699999999999997</c:v>
                </c:pt>
                <c:pt idx="45">
                  <c:v>0.40699999999999997</c:v>
                </c:pt>
              </c:numCache>
            </c:numRef>
          </c:val>
          <c:smooth val="0"/>
          <c:extLst>
            <c:ext xmlns:c16="http://schemas.microsoft.com/office/drawing/2014/chart" uri="{C3380CC4-5D6E-409C-BE32-E72D297353CC}">
              <c16:uniqueId val="{00000001-8D23-478C-B0B6-B0694040477C}"/>
            </c:ext>
          </c:extLst>
        </c:ser>
        <c:ser>
          <c:idx val="2"/>
          <c:order val="2"/>
          <c:tx>
            <c:strRef>
              <c:f>'Fig 2.11'!$C$6</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2.11'!$D$6:$AW$6</c:f>
              <c:numCache>
                <c:formatCode>0.0%</c:formatCode>
                <c:ptCount val="46"/>
                <c:pt idx="0">
                  <c:v>0.501</c:v>
                </c:pt>
                <c:pt idx="1">
                  <c:v>0.5</c:v>
                </c:pt>
                <c:pt idx="2">
                  <c:v>0.499</c:v>
                </c:pt>
                <c:pt idx="3">
                  <c:v>0.496</c:v>
                </c:pt>
                <c:pt idx="4">
                  <c:v>0.48899999999999999</c:v>
                </c:pt>
                <c:pt idx="5">
                  <c:v>0.48799999999999999</c:v>
                </c:pt>
                <c:pt idx="6">
                  <c:v>0.48699999999999999</c:v>
                </c:pt>
                <c:pt idx="7">
                  <c:v>0.48599999999999999</c:v>
                </c:pt>
                <c:pt idx="8">
                  <c:v>0.48399999999999999</c:v>
                </c:pt>
                <c:pt idx="9">
                  <c:v>0.48</c:v>
                </c:pt>
                <c:pt idx="10">
                  <c:v>0.47699999999999998</c:v>
                </c:pt>
                <c:pt idx="11">
                  <c:v>0.47199999999999998</c:v>
                </c:pt>
                <c:pt idx="12">
                  <c:v>0.46899999999999997</c:v>
                </c:pt>
                <c:pt idx="13">
                  <c:v>0.46500000000000002</c:v>
                </c:pt>
                <c:pt idx="14">
                  <c:v>0.46200000000000002</c:v>
                </c:pt>
                <c:pt idx="15">
                  <c:v>0.45900000000000002</c:v>
                </c:pt>
                <c:pt idx="16">
                  <c:v>0.45600000000000002</c:v>
                </c:pt>
                <c:pt idx="17">
                  <c:v>0.45200000000000001</c:v>
                </c:pt>
                <c:pt idx="18">
                  <c:v>0.44700000000000001</c:v>
                </c:pt>
                <c:pt idx="19">
                  <c:v>0.443</c:v>
                </c:pt>
                <c:pt idx="20">
                  <c:v>0.44</c:v>
                </c:pt>
                <c:pt idx="21">
                  <c:v>0.438</c:v>
                </c:pt>
                <c:pt idx="22">
                  <c:v>0.436</c:v>
                </c:pt>
                <c:pt idx="23">
                  <c:v>0.434</c:v>
                </c:pt>
                <c:pt idx="24">
                  <c:v>0.433</c:v>
                </c:pt>
                <c:pt idx="25">
                  <c:v>0.432</c:v>
                </c:pt>
                <c:pt idx="26">
                  <c:v>0.43</c:v>
                </c:pt>
                <c:pt idx="27">
                  <c:v>0.42799999999999999</c:v>
                </c:pt>
                <c:pt idx="28">
                  <c:v>0.42599999999999999</c:v>
                </c:pt>
                <c:pt idx="29">
                  <c:v>0.42299999999999999</c:v>
                </c:pt>
                <c:pt idx="30">
                  <c:v>0.42099999999999999</c:v>
                </c:pt>
                <c:pt idx="31">
                  <c:v>0.42</c:v>
                </c:pt>
                <c:pt idx="32">
                  <c:v>0.41799999999999998</c:v>
                </c:pt>
                <c:pt idx="33">
                  <c:v>0.41599999999999998</c:v>
                </c:pt>
                <c:pt idx="34">
                  <c:v>0.41499999999999998</c:v>
                </c:pt>
                <c:pt idx="35">
                  <c:v>0.41299999999999998</c:v>
                </c:pt>
                <c:pt idx="36">
                  <c:v>0.41199999999999998</c:v>
                </c:pt>
                <c:pt idx="37">
                  <c:v>0.41099999999999998</c:v>
                </c:pt>
                <c:pt idx="38">
                  <c:v>0.41</c:v>
                </c:pt>
                <c:pt idx="39">
                  <c:v>0.41</c:v>
                </c:pt>
                <c:pt idx="40">
                  <c:v>0.41</c:v>
                </c:pt>
                <c:pt idx="41">
                  <c:v>0.41</c:v>
                </c:pt>
                <c:pt idx="42">
                  <c:v>0.40899999999999997</c:v>
                </c:pt>
                <c:pt idx="43">
                  <c:v>0.40899999999999997</c:v>
                </c:pt>
                <c:pt idx="44">
                  <c:v>0.40899999999999997</c:v>
                </c:pt>
                <c:pt idx="45">
                  <c:v>0.40899999999999997</c:v>
                </c:pt>
              </c:numCache>
            </c:numRef>
          </c:val>
          <c:smooth val="0"/>
          <c:extLst>
            <c:ext xmlns:c16="http://schemas.microsoft.com/office/drawing/2014/chart" uri="{C3380CC4-5D6E-409C-BE32-E72D297353CC}">
              <c16:uniqueId val="{00000002-8D23-478C-B0B6-B0694040477C}"/>
            </c:ext>
          </c:extLst>
        </c:ser>
        <c:ser>
          <c:idx val="3"/>
          <c:order val="3"/>
          <c:tx>
            <c:strRef>
              <c:f>'Fig 2.11'!$C$7</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2.11'!$D$7:$AW$7</c:f>
              <c:numCache>
                <c:formatCode>0.0%</c:formatCode>
                <c:ptCount val="46"/>
                <c:pt idx="0">
                  <c:v>0.501</c:v>
                </c:pt>
                <c:pt idx="1">
                  <c:v>0.5</c:v>
                </c:pt>
                <c:pt idx="2">
                  <c:v>0.499</c:v>
                </c:pt>
                <c:pt idx="3">
                  <c:v>0.496</c:v>
                </c:pt>
                <c:pt idx="4">
                  <c:v>0.48899999999999999</c:v>
                </c:pt>
                <c:pt idx="5">
                  <c:v>0.48799999999999999</c:v>
                </c:pt>
                <c:pt idx="6">
                  <c:v>0.48599999999999999</c:v>
                </c:pt>
                <c:pt idx="7">
                  <c:v>0.48599999999999999</c:v>
                </c:pt>
                <c:pt idx="8">
                  <c:v>0.48199999999999998</c:v>
                </c:pt>
                <c:pt idx="9">
                  <c:v>0.48</c:v>
                </c:pt>
                <c:pt idx="10">
                  <c:v>0.47499999999999998</c:v>
                </c:pt>
                <c:pt idx="11">
                  <c:v>0.47</c:v>
                </c:pt>
                <c:pt idx="12">
                  <c:v>0.46500000000000002</c:v>
                </c:pt>
                <c:pt idx="13">
                  <c:v>0.46</c:v>
                </c:pt>
                <c:pt idx="14">
                  <c:v>0.45500000000000002</c:v>
                </c:pt>
                <c:pt idx="15">
                  <c:v>0.45100000000000001</c:v>
                </c:pt>
                <c:pt idx="16">
                  <c:v>0.44700000000000001</c:v>
                </c:pt>
                <c:pt idx="17">
                  <c:v>0.442</c:v>
                </c:pt>
                <c:pt idx="18">
                  <c:v>0.438</c:v>
                </c:pt>
                <c:pt idx="19">
                  <c:v>0.434</c:v>
                </c:pt>
                <c:pt idx="20">
                  <c:v>0.43099999999999999</c:v>
                </c:pt>
                <c:pt idx="21">
                  <c:v>0.42899999999999999</c:v>
                </c:pt>
                <c:pt idx="22">
                  <c:v>0.42699999999999999</c:v>
                </c:pt>
                <c:pt idx="23">
                  <c:v>0.42499999999999999</c:v>
                </c:pt>
                <c:pt idx="24">
                  <c:v>0.42399999999999999</c:v>
                </c:pt>
                <c:pt idx="25">
                  <c:v>0.42199999999999999</c:v>
                </c:pt>
                <c:pt idx="26">
                  <c:v>0.42099999999999999</c:v>
                </c:pt>
                <c:pt idx="27">
                  <c:v>0.41899999999999998</c:v>
                </c:pt>
                <c:pt idx="28">
                  <c:v>0.41699999999999998</c:v>
                </c:pt>
                <c:pt idx="29">
                  <c:v>0.41399999999999998</c:v>
                </c:pt>
                <c:pt idx="30">
                  <c:v>0.41199999999999998</c:v>
                </c:pt>
                <c:pt idx="31">
                  <c:v>0.41099999999999998</c:v>
                </c:pt>
                <c:pt idx="32">
                  <c:v>0.40899999999999997</c:v>
                </c:pt>
                <c:pt idx="33">
                  <c:v>0.40699999999999997</c:v>
                </c:pt>
                <c:pt idx="34">
                  <c:v>0.40500000000000003</c:v>
                </c:pt>
                <c:pt idx="35">
                  <c:v>0.40400000000000003</c:v>
                </c:pt>
                <c:pt idx="36">
                  <c:v>0.40300000000000002</c:v>
                </c:pt>
                <c:pt idx="37">
                  <c:v>0.40200000000000002</c:v>
                </c:pt>
                <c:pt idx="38">
                  <c:v>0.40100000000000002</c:v>
                </c:pt>
                <c:pt idx="39">
                  <c:v>0.4</c:v>
                </c:pt>
                <c:pt idx="40">
                  <c:v>0.4</c:v>
                </c:pt>
                <c:pt idx="41">
                  <c:v>0.4</c:v>
                </c:pt>
                <c:pt idx="42">
                  <c:v>0.4</c:v>
                </c:pt>
                <c:pt idx="43">
                  <c:v>0.39900000000000002</c:v>
                </c:pt>
                <c:pt idx="44">
                  <c:v>0.39900000000000002</c:v>
                </c:pt>
                <c:pt idx="45">
                  <c:v>0.39900000000000002</c:v>
                </c:pt>
              </c:numCache>
            </c:numRef>
          </c:val>
          <c:smooth val="0"/>
          <c:extLst>
            <c:ext xmlns:c16="http://schemas.microsoft.com/office/drawing/2014/chart" uri="{C3380CC4-5D6E-409C-BE32-E72D297353CC}">
              <c16:uniqueId val="{00000003-8D23-478C-B0B6-B0694040477C}"/>
            </c:ext>
          </c:extLst>
        </c:ser>
        <c:ser>
          <c:idx val="4"/>
          <c:order val="4"/>
          <c:tx>
            <c:strRef>
              <c:f>'Fig 2.11'!$C$8</c:f>
              <c:strCache>
                <c:ptCount val="1"/>
                <c:pt idx="0">
                  <c:v>C'</c:v>
                </c:pt>
              </c:strCache>
            </c:strRef>
          </c:tx>
          <c:spPr>
            <a:ln w="22225">
              <a:solidFill>
                <a:schemeClr val="tx1"/>
              </a:solidFill>
            </a:ln>
          </c:spPr>
          <c:marker>
            <c:symbol val="star"/>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2.11'!$D$8:$AW$8</c:f>
              <c:numCache>
                <c:formatCode>0.0%</c:formatCode>
                <c:ptCount val="46"/>
                <c:pt idx="0">
                  <c:v>0.501</c:v>
                </c:pt>
                <c:pt idx="1">
                  <c:v>0.5</c:v>
                </c:pt>
                <c:pt idx="2">
                  <c:v>0.499</c:v>
                </c:pt>
                <c:pt idx="3">
                  <c:v>0.496</c:v>
                </c:pt>
                <c:pt idx="4">
                  <c:v>0.48899999999999999</c:v>
                </c:pt>
                <c:pt idx="5">
                  <c:v>0.48899999999999999</c:v>
                </c:pt>
                <c:pt idx="6">
                  <c:v>0.48599999999999999</c:v>
                </c:pt>
                <c:pt idx="7">
                  <c:v>0.48599999999999999</c:v>
                </c:pt>
                <c:pt idx="8">
                  <c:v>0.48299999999999998</c:v>
                </c:pt>
                <c:pt idx="9">
                  <c:v>0.48</c:v>
                </c:pt>
                <c:pt idx="10">
                  <c:v>0.47499999999999998</c:v>
                </c:pt>
                <c:pt idx="11">
                  <c:v>0.47</c:v>
                </c:pt>
                <c:pt idx="12">
                  <c:v>0.46500000000000002</c:v>
                </c:pt>
                <c:pt idx="13">
                  <c:v>0.46</c:v>
                </c:pt>
                <c:pt idx="14">
                  <c:v>0.45600000000000002</c:v>
                </c:pt>
                <c:pt idx="15">
                  <c:v>0.45200000000000001</c:v>
                </c:pt>
                <c:pt idx="16">
                  <c:v>0.44700000000000001</c:v>
                </c:pt>
                <c:pt idx="17">
                  <c:v>0.443</c:v>
                </c:pt>
                <c:pt idx="18">
                  <c:v>0.439</c:v>
                </c:pt>
                <c:pt idx="19">
                  <c:v>0.435</c:v>
                </c:pt>
                <c:pt idx="20">
                  <c:v>0.432</c:v>
                </c:pt>
                <c:pt idx="21">
                  <c:v>0.42899999999999999</c:v>
                </c:pt>
                <c:pt idx="22">
                  <c:v>0.42699999999999999</c:v>
                </c:pt>
                <c:pt idx="23">
                  <c:v>0.42599999999999999</c:v>
                </c:pt>
                <c:pt idx="24">
                  <c:v>0.42499999999999999</c:v>
                </c:pt>
                <c:pt idx="25">
                  <c:v>0.42299999999999999</c:v>
                </c:pt>
                <c:pt idx="26">
                  <c:v>0.42199999999999999</c:v>
                </c:pt>
                <c:pt idx="27">
                  <c:v>0.42</c:v>
                </c:pt>
                <c:pt idx="28">
                  <c:v>0.41699999999999998</c:v>
                </c:pt>
                <c:pt idx="29">
                  <c:v>0.41499999999999998</c:v>
                </c:pt>
                <c:pt idx="30">
                  <c:v>0.41299999999999998</c:v>
                </c:pt>
                <c:pt idx="31">
                  <c:v>0.41099999999999998</c:v>
                </c:pt>
                <c:pt idx="32">
                  <c:v>0.40899999999999997</c:v>
                </c:pt>
                <c:pt idx="33">
                  <c:v>0.40799999999999997</c:v>
                </c:pt>
                <c:pt idx="34">
                  <c:v>0.40600000000000003</c:v>
                </c:pt>
                <c:pt idx="35">
                  <c:v>0.40500000000000003</c:v>
                </c:pt>
                <c:pt idx="36">
                  <c:v>0.40400000000000003</c:v>
                </c:pt>
                <c:pt idx="37">
                  <c:v>0.40300000000000002</c:v>
                </c:pt>
                <c:pt idx="38">
                  <c:v>0.40200000000000002</c:v>
                </c:pt>
                <c:pt idx="39">
                  <c:v>0.40100000000000002</c:v>
                </c:pt>
                <c:pt idx="40">
                  <c:v>0.40100000000000002</c:v>
                </c:pt>
                <c:pt idx="41">
                  <c:v>0.40100000000000002</c:v>
                </c:pt>
                <c:pt idx="42">
                  <c:v>0.40100000000000002</c:v>
                </c:pt>
                <c:pt idx="43">
                  <c:v>0.4</c:v>
                </c:pt>
                <c:pt idx="44">
                  <c:v>0.4</c:v>
                </c:pt>
                <c:pt idx="45">
                  <c:v>0.4</c:v>
                </c:pt>
              </c:numCache>
            </c:numRef>
          </c:val>
          <c:smooth val="0"/>
          <c:extLst>
            <c:ext xmlns:c16="http://schemas.microsoft.com/office/drawing/2014/chart" uri="{C3380CC4-5D6E-409C-BE32-E72D297353CC}">
              <c16:uniqueId val="{00000004-8D23-478C-B0B6-B0694040477C}"/>
            </c:ext>
          </c:extLst>
        </c:ser>
        <c:dLbls>
          <c:showLegendKey val="0"/>
          <c:showVal val="0"/>
          <c:showCatName val="0"/>
          <c:showSerName val="0"/>
          <c:showPercent val="0"/>
          <c:showBubbleSize val="0"/>
        </c:dLbls>
        <c:marker val="1"/>
        <c:smooth val="0"/>
        <c:axId val="124959360"/>
        <c:axId val="124962304"/>
      </c:lineChart>
      <c:catAx>
        <c:axId val="124959360"/>
        <c:scaling>
          <c:orientation val="minMax"/>
        </c:scaling>
        <c:delete val="0"/>
        <c:axPos val="b"/>
        <c:numFmt formatCode="General" sourceLinked="1"/>
        <c:majorTickMark val="out"/>
        <c:minorTickMark val="none"/>
        <c:tickLblPos val="low"/>
        <c:txPr>
          <a:bodyPr rot="-5400000" vert="horz"/>
          <a:lstStyle/>
          <a:p>
            <a:pPr>
              <a:defRPr/>
            </a:pPr>
            <a:endParaRPr lang="fr-FR"/>
          </a:p>
        </c:txPr>
        <c:crossAx val="124962304"/>
        <c:crosses val="autoZero"/>
        <c:auto val="1"/>
        <c:lblAlgn val="ctr"/>
        <c:lblOffset val="100"/>
        <c:tickLblSkip val="10"/>
        <c:noMultiLvlLbl val="0"/>
      </c:catAx>
      <c:valAx>
        <c:axId val="124962304"/>
        <c:scaling>
          <c:orientation val="minMax"/>
          <c:max val="0.60000000000000009"/>
          <c:min val="0.30000000000000004"/>
        </c:scaling>
        <c:delete val="0"/>
        <c:axPos val="l"/>
        <c:majorGridlines/>
        <c:numFmt formatCode="0%" sourceLinked="0"/>
        <c:majorTickMark val="out"/>
        <c:minorTickMark val="none"/>
        <c:tickLblPos val="nextTo"/>
        <c:crossAx val="124959360"/>
        <c:crosses val="autoZero"/>
        <c:crossBetween val="between"/>
        <c:majorUnit val="5.000000000000001E-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94"/>
          <c:y val="3.2064285714285712E-2"/>
          <c:w val="0.80694444444444446"/>
          <c:h val="0.6988388888888889"/>
        </c:manualLayout>
      </c:layout>
      <c:lineChart>
        <c:grouping val="standard"/>
        <c:varyColors val="0"/>
        <c:ser>
          <c:idx val="0"/>
          <c:order val="0"/>
          <c:tx>
            <c:strRef>
              <c:f>'Fig 2.11'!$C$9</c:f>
              <c:strCache>
                <c:ptCount val="1"/>
                <c:pt idx="0">
                  <c:v>A'</c:v>
                </c:pt>
              </c:strCache>
            </c:strRef>
          </c:tx>
          <c:spPr>
            <a:ln w="22225">
              <a:solidFill>
                <a:schemeClr val="tx1"/>
              </a:solidFill>
            </a:ln>
          </c:spPr>
          <c:marker>
            <c:symbol val="x"/>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2.11'!$D$9:$AW$9</c:f>
              <c:numCache>
                <c:formatCode>0.0%</c:formatCode>
                <c:ptCount val="46"/>
                <c:pt idx="0">
                  <c:v>0.32</c:v>
                </c:pt>
                <c:pt idx="1">
                  <c:v>0.31900000000000001</c:v>
                </c:pt>
                <c:pt idx="2">
                  <c:v>0.31900000000000001</c:v>
                </c:pt>
                <c:pt idx="3">
                  <c:v>0.32100000000000001</c:v>
                </c:pt>
                <c:pt idx="4">
                  <c:v>0.32</c:v>
                </c:pt>
                <c:pt idx="5">
                  <c:v>0.318</c:v>
                </c:pt>
                <c:pt idx="6">
                  <c:v>0.313</c:v>
                </c:pt>
                <c:pt idx="7">
                  <c:v>0.309</c:v>
                </c:pt>
                <c:pt idx="8">
                  <c:v>0.30599999999999999</c:v>
                </c:pt>
                <c:pt idx="9">
                  <c:v>0.30199999999999999</c:v>
                </c:pt>
                <c:pt idx="10">
                  <c:v>0.29899999999999999</c:v>
                </c:pt>
                <c:pt idx="11">
                  <c:v>0.29599999999999999</c:v>
                </c:pt>
                <c:pt idx="12">
                  <c:v>0.29299999999999998</c:v>
                </c:pt>
                <c:pt idx="13">
                  <c:v>0.29199999999999998</c:v>
                </c:pt>
                <c:pt idx="14">
                  <c:v>0.28999999999999998</c:v>
                </c:pt>
                <c:pt idx="15">
                  <c:v>0.28899999999999998</c:v>
                </c:pt>
                <c:pt idx="16">
                  <c:v>0.28799999999999998</c:v>
                </c:pt>
                <c:pt idx="17">
                  <c:v>0.28699999999999998</c:v>
                </c:pt>
                <c:pt idx="18">
                  <c:v>0.28599999999999998</c:v>
                </c:pt>
                <c:pt idx="19">
                  <c:v>0.28499999999999998</c:v>
                </c:pt>
                <c:pt idx="20">
                  <c:v>0.28299999999999997</c:v>
                </c:pt>
                <c:pt idx="21">
                  <c:v>0.28100000000000003</c:v>
                </c:pt>
                <c:pt idx="22">
                  <c:v>0.28000000000000003</c:v>
                </c:pt>
                <c:pt idx="23">
                  <c:v>0.27700000000000002</c:v>
                </c:pt>
                <c:pt idx="24">
                  <c:v>0.27500000000000002</c:v>
                </c:pt>
                <c:pt idx="25">
                  <c:v>0.27300000000000002</c:v>
                </c:pt>
                <c:pt idx="26">
                  <c:v>0.27100000000000002</c:v>
                </c:pt>
                <c:pt idx="27">
                  <c:v>0.27</c:v>
                </c:pt>
                <c:pt idx="28">
                  <c:v>0.26900000000000002</c:v>
                </c:pt>
                <c:pt idx="29">
                  <c:v>0.26800000000000002</c:v>
                </c:pt>
                <c:pt idx="30">
                  <c:v>0.26600000000000001</c:v>
                </c:pt>
                <c:pt idx="31">
                  <c:v>0.26500000000000001</c:v>
                </c:pt>
                <c:pt idx="32">
                  <c:v>0.26400000000000001</c:v>
                </c:pt>
                <c:pt idx="33">
                  <c:v>0.26300000000000001</c:v>
                </c:pt>
                <c:pt idx="34">
                  <c:v>0.26200000000000001</c:v>
                </c:pt>
                <c:pt idx="35">
                  <c:v>0.26100000000000001</c:v>
                </c:pt>
                <c:pt idx="36">
                  <c:v>0.26</c:v>
                </c:pt>
                <c:pt idx="37">
                  <c:v>0.25900000000000001</c:v>
                </c:pt>
                <c:pt idx="38">
                  <c:v>0.25800000000000001</c:v>
                </c:pt>
                <c:pt idx="39">
                  <c:v>0.25700000000000001</c:v>
                </c:pt>
                <c:pt idx="40">
                  <c:v>0.25600000000000001</c:v>
                </c:pt>
                <c:pt idx="41">
                  <c:v>0.255</c:v>
                </c:pt>
                <c:pt idx="42">
                  <c:v>0.255</c:v>
                </c:pt>
                <c:pt idx="43">
                  <c:v>0.254</c:v>
                </c:pt>
                <c:pt idx="44">
                  <c:v>0.254</c:v>
                </c:pt>
                <c:pt idx="45">
                  <c:v>0.253</c:v>
                </c:pt>
              </c:numCache>
            </c:numRef>
          </c:val>
          <c:smooth val="0"/>
          <c:extLst>
            <c:ext xmlns:c16="http://schemas.microsoft.com/office/drawing/2014/chart" uri="{C3380CC4-5D6E-409C-BE32-E72D297353CC}">
              <c16:uniqueId val="{00000000-B6AC-499F-B93D-30873B9356AA}"/>
            </c:ext>
          </c:extLst>
        </c:ser>
        <c:ser>
          <c:idx val="1"/>
          <c:order val="1"/>
          <c:tx>
            <c:strRef>
              <c:f>'Fig 2.11'!$C$10</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2.11'!$D$10:$AW$10</c:f>
              <c:numCache>
                <c:formatCode>0.0%</c:formatCode>
                <c:ptCount val="46"/>
                <c:pt idx="0">
                  <c:v>0.32</c:v>
                </c:pt>
                <c:pt idx="1">
                  <c:v>0.31900000000000001</c:v>
                </c:pt>
                <c:pt idx="2">
                  <c:v>0.31900000000000001</c:v>
                </c:pt>
                <c:pt idx="3">
                  <c:v>0.32100000000000001</c:v>
                </c:pt>
                <c:pt idx="4">
                  <c:v>0.32</c:v>
                </c:pt>
                <c:pt idx="5">
                  <c:v>0.318</c:v>
                </c:pt>
                <c:pt idx="6">
                  <c:v>0.314</c:v>
                </c:pt>
                <c:pt idx="7">
                  <c:v>0.31</c:v>
                </c:pt>
                <c:pt idx="8">
                  <c:v>0.30599999999999999</c:v>
                </c:pt>
                <c:pt idx="9">
                  <c:v>0.30199999999999999</c:v>
                </c:pt>
                <c:pt idx="10">
                  <c:v>0.3</c:v>
                </c:pt>
                <c:pt idx="11">
                  <c:v>0.29699999999999999</c:v>
                </c:pt>
                <c:pt idx="12">
                  <c:v>0.29499999999999998</c:v>
                </c:pt>
                <c:pt idx="13">
                  <c:v>0.29399999999999998</c:v>
                </c:pt>
                <c:pt idx="14">
                  <c:v>0.29299999999999998</c:v>
                </c:pt>
                <c:pt idx="15">
                  <c:v>0.29199999999999998</c:v>
                </c:pt>
                <c:pt idx="16">
                  <c:v>0.29199999999999998</c:v>
                </c:pt>
                <c:pt idx="17">
                  <c:v>0.29099999999999998</c:v>
                </c:pt>
                <c:pt idx="18">
                  <c:v>0.29099999999999998</c:v>
                </c:pt>
                <c:pt idx="19">
                  <c:v>0.28999999999999998</c:v>
                </c:pt>
                <c:pt idx="20">
                  <c:v>0.28899999999999998</c:v>
                </c:pt>
                <c:pt idx="21">
                  <c:v>0.28799999999999998</c:v>
                </c:pt>
                <c:pt idx="22">
                  <c:v>0.28599999999999998</c:v>
                </c:pt>
                <c:pt idx="23">
                  <c:v>0.28399999999999997</c:v>
                </c:pt>
                <c:pt idx="24">
                  <c:v>0.28199999999999997</c:v>
                </c:pt>
                <c:pt idx="25">
                  <c:v>0.28100000000000003</c:v>
                </c:pt>
                <c:pt idx="26">
                  <c:v>0.28000000000000003</c:v>
                </c:pt>
                <c:pt idx="27">
                  <c:v>0.27800000000000002</c:v>
                </c:pt>
                <c:pt idx="28">
                  <c:v>0.27800000000000002</c:v>
                </c:pt>
                <c:pt idx="29">
                  <c:v>0.27700000000000002</c:v>
                </c:pt>
                <c:pt idx="30">
                  <c:v>0.27600000000000002</c:v>
                </c:pt>
                <c:pt idx="31">
                  <c:v>0.27500000000000002</c:v>
                </c:pt>
                <c:pt idx="32">
                  <c:v>0.27400000000000002</c:v>
                </c:pt>
                <c:pt idx="33">
                  <c:v>0.27300000000000002</c:v>
                </c:pt>
                <c:pt idx="34">
                  <c:v>0.27200000000000002</c:v>
                </c:pt>
                <c:pt idx="35">
                  <c:v>0.27200000000000002</c:v>
                </c:pt>
                <c:pt idx="36">
                  <c:v>0.27100000000000002</c:v>
                </c:pt>
                <c:pt idx="37">
                  <c:v>0.27</c:v>
                </c:pt>
                <c:pt idx="38">
                  <c:v>0.27</c:v>
                </c:pt>
                <c:pt idx="39">
                  <c:v>0.26900000000000002</c:v>
                </c:pt>
                <c:pt idx="40">
                  <c:v>0.26800000000000002</c:v>
                </c:pt>
                <c:pt idx="41">
                  <c:v>0.26800000000000002</c:v>
                </c:pt>
                <c:pt idx="42">
                  <c:v>0.26700000000000002</c:v>
                </c:pt>
                <c:pt idx="43">
                  <c:v>0.26700000000000002</c:v>
                </c:pt>
                <c:pt idx="44">
                  <c:v>0.26600000000000001</c:v>
                </c:pt>
                <c:pt idx="45">
                  <c:v>0.26600000000000001</c:v>
                </c:pt>
              </c:numCache>
            </c:numRef>
          </c:val>
          <c:smooth val="0"/>
          <c:extLst>
            <c:ext xmlns:c16="http://schemas.microsoft.com/office/drawing/2014/chart" uri="{C3380CC4-5D6E-409C-BE32-E72D297353CC}">
              <c16:uniqueId val="{00000001-B6AC-499F-B93D-30873B9356AA}"/>
            </c:ext>
          </c:extLst>
        </c:ser>
        <c:ser>
          <c:idx val="2"/>
          <c:order val="2"/>
          <c:tx>
            <c:strRef>
              <c:f>'Fig 2.11'!$C$11</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2.11'!$D$11:$AW$11</c:f>
              <c:numCache>
                <c:formatCode>0.0%</c:formatCode>
                <c:ptCount val="46"/>
                <c:pt idx="0">
                  <c:v>0.32</c:v>
                </c:pt>
                <c:pt idx="1">
                  <c:v>0.31900000000000001</c:v>
                </c:pt>
                <c:pt idx="2">
                  <c:v>0.31900000000000001</c:v>
                </c:pt>
                <c:pt idx="3">
                  <c:v>0.32100000000000001</c:v>
                </c:pt>
                <c:pt idx="4">
                  <c:v>0.32</c:v>
                </c:pt>
                <c:pt idx="5">
                  <c:v>0.318</c:v>
                </c:pt>
                <c:pt idx="6">
                  <c:v>0.315</c:v>
                </c:pt>
                <c:pt idx="7">
                  <c:v>0.312</c:v>
                </c:pt>
                <c:pt idx="8">
                  <c:v>0.31</c:v>
                </c:pt>
                <c:pt idx="9">
                  <c:v>0.307</c:v>
                </c:pt>
                <c:pt idx="10">
                  <c:v>0.30499999999999999</c:v>
                </c:pt>
                <c:pt idx="11">
                  <c:v>0.30399999999999999</c:v>
                </c:pt>
                <c:pt idx="12">
                  <c:v>0.30299999999999999</c:v>
                </c:pt>
                <c:pt idx="13">
                  <c:v>0.30099999999999999</c:v>
                </c:pt>
                <c:pt idx="14">
                  <c:v>0.3</c:v>
                </c:pt>
                <c:pt idx="15">
                  <c:v>0.29899999999999999</c:v>
                </c:pt>
                <c:pt idx="16">
                  <c:v>0.29799999999999999</c:v>
                </c:pt>
                <c:pt idx="17">
                  <c:v>0.29799999999999999</c:v>
                </c:pt>
                <c:pt idx="18">
                  <c:v>0.29899999999999999</c:v>
                </c:pt>
                <c:pt idx="19">
                  <c:v>0.29899999999999999</c:v>
                </c:pt>
                <c:pt idx="20">
                  <c:v>0.29799999999999999</c:v>
                </c:pt>
                <c:pt idx="21">
                  <c:v>0.29799999999999999</c:v>
                </c:pt>
                <c:pt idx="22">
                  <c:v>0.29699999999999999</c:v>
                </c:pt>
                <c:pt idx="23">
                  <c:v>0.29599999999999999</c:v>
                </c:pt>
                <c:pt idx="24">
                  <c:v>0.29499999999999998</c:v>
                </c:pt>
                <c:pt idx="25">
                  <c:v>0.29399999999999998</c:v>
                </c:pt>
                <c:pt idx="26">
                  <c:v>0.29299999999999998</c:v>
                </c:pt>
                <c:pt idx="27">
                  <c:v>0.29199999999999998</c:v>
                </c:pt>
                <c:pt idx="28">
                  <c:v>0.29199999999999998</c:v>
                </c:pt>
                <c:pt idx="29">
                  <c:v>0.29199999999999998</c:v>
                </c:pt>
                <c:pt idx="30">
                  <c:v>0.29199999999999998</c:v>
                </c:pt>
                <c:pt idx="31">
                  <c:v>0.29099999999999998</c:v>
                </c:pt>
                <c:pt idx="32">
                  <c:v>0.29099999999999998</c:v>
                </c:pt>
                <c:pt idx="33">
                  <c:v>0.28999999999999998</c:v>
                </c:pt>
                <c:pt idx="34">
                  <c:v>0.28999999999999998</c:v>
                </c:pt>
                <c:pt idx="35">
                  <c:v>0.28999999999999998</c:v>
                </c:pt>
                <c:pt idx="36">
                  <c:v>0.28999999999999998</c:v>
                </c:pt>
                <c:pt idx="37">
                  <c:v>0.28899999999999998</c:v>
                </c:pt>
                <c:pt idx="38">
                  <c:v>0.28899999999999998</c:v>
                </c:pt>
                <c:pt idx="39">
                  <c:v>0.28899999999999998</c:v>
                </c:pt>
                <c:pt idx="40">
                  <c:v>0.28799999999999998</c:v>
                </c:pt>
                <c:pt idx="41">
                  <c:v>0.28799999999999998</c:v>
                </c:pt>
                <c:pt idx="42">
                  <c:v>0.28799999999999998</c:v>
                </c:pt>
                <c:pt idx="43">
                  <c:v>0.28699999999999998</c:v>
                </c:pt>
                <c:pt idx="44">
                  <c:v>0.28699999999999998</c:v>
                </c:pt>
                <c:pt idx="45">
                  <c:v>0.28699999999999998</c:v>
                </c:pt>
              </c:numCache>
            </c:numRef>
          </c:val>
          <c:smooth val="0"/>
          <c:extLst>
            <c:ext xmlns:c16="http://schemas.microsoft.com/office/drawing/2014/chart" uri="{C3380CC4-5D6E-409C-BE32-E72D297353CC}">
              <c16:uniqueId val="{00000002-B6AC-499F-B93D-30873B9356AA}"/>
            </c:ext>
          </c:extLst>
        </c:ser>
        <c:ser>
          <c:idx val="3"/>
          <c:order val="3"/>
          <c:tx>
            <c:strRef>
              <c:f>'Fig 2.11'!$C$12</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2.11'!$D$12:$AW$12</c:f>
              <c:numCache>
                <c:formatCode>0.0%</c:formatCode>
                <c:ptCount val="46"/>
                <c:pt idx="0">
                  <c:v>0.32</c:v>
                </c:pt>
                <c:pt idx="1">
                  <c:v>0.31900000000000001</c:v>
                </c:pt>
                <c:pt idx="2">
                  <c:v>0.31900000000000001</c:v>
                </c:pt>
                <c:pt idx="3">
                  <c:v>0.32100000000000001</c:v>
                </c:pt>
                <c:pt idx="4">
                  <c:v>0.32</c:v>
                </c:pt>
                <c:pt idx="5">
                  <c:v>0.318</c:v>
                </c:pt>
                <c:pt idx="6">
                  <c:v>0.314</c:v>
                </c:pt>
                <c:pt idx="7">
                  <c:v>0.311</c:v>
                </c:pt>
                <c:pt idx="8">
                  <c:v>0.308</c:v>
                </c:pt>
                <c:pt idx="9">
                  <c:v>0.30599999999999999</c:v>
                </c:pt>
                <c:pt idx="10">
                  <c:v>0.30599999999999999</c:v>
                </c:pt>
                <c:pt idx="11">
                  <c:v>0.307</c:v>
                </c:pt>
                <c:pt idx="12">
                  <c:v>0.307</c:v>
                </c:pt>
                <c:pt idx="13">
                  <c:v>0.308</c:v>
                </c:pt>
                <c:pt idx="14">
                  <c:v>0.308</c:v>
                </c:pt>
                <c:pt idx="15">
                  <c:v>0.309</c:v>
                </c:pt>
                <c:pt idx="16">
                  <c:v>0.31</c:v>
                </c:pt>
                <c:pt idx="17">
                  <c:v>0.311</c:v>
                </c:pt>
                <c:pt idx="18">
                  <c:v>0.311</c:v>
                </c:pt>
                <c:pt idx="19">
                  <c:v>0.312</c:v>
                </c:pt>
                <c:pt idx="20">
                  <c:v>0.312</c:v>
                </c:pt>
                <c:pt idx="21">
                  <c:v>0.312</c:v>
                </c:pt>
                <c:pt idx="22">
                  <c:v>0.312</c:v>
                </c:pt>
                <c:pt idx="23">
                  <c:v>0.311</c:v>
                </c:pt>
                <c:pt idx="24">
                  <c:v>0.31</c:v>
                </c:pt>
                <c:pt idx="25">
                  <c:v>0.309</c:v>
                </c:pt>
                <c:pt idx="26">
                  <c:v>0.309</c:v>
                </c:pt>
                <c:pt idx="27">
                  <c:v>0.309</c:v>
                </c:pt>
                <c:pt idx="28">
                  <c:v>0.309</c:v>
                </c:pt>
                <c:pt idx="29">
                  <c:v>0.309</c:v>
                </c:pt>
                <c:pt idx="30">
                  <c:v>0.309</c:v>
                </c:pt>
                <c:pt idx="31">
                  <c:v>0.309</c:v>
                </c:pt>
                <c:pt idx="32">
                  <c:v>0.309</c:v>
                </c:pt>
                <c:pt idx="33">
                  <c:v>0.309</c:v>
                </c:pt>
                <c:pt idx="34">
                  <c:v>0.309</c:v>
                </c:pt>
                <c:pt idx="35">
                  <c:v>0.309</c:v>
                </c:pt>
                <c:pt idx="36">
                  <c:v>0.309</c:v>
                </c:pt>
                <c:pt idx="37">
                  <c:v>0.309</c:v>
                </c:pt>
                <c:pt idx="38">
                  <c:v>0.309</c:v>
                </c:pt>
                <c:pt idx="39">
                  <c:v>0.308</c:v>
                </c:pt>
                <c:pt idx="40">
                  <c:v>0.308</c:v>
                </c:pt>
                <c:pt idx="41">
                  <c:v>0.308</c:v>
                </c:pt>
                <c:pt idx="42">
                  <c:v>0.308</c:v>
                </c:pt>
                <c:pt idx="43">
                  <c:v>0.308</c:v>
                </c:pt>
                <c:pt idx="44">
                  <c:v>0.308</c:v>
                </c:pt>
                <c:pt idx="45">
                  <c:v>0.308</c:v>
                </c:pt>
              </c:numCache>
            </c:numRef>
          </c:val>
          <c:smooth val="0"/>
          <c:extLst>
            <c:ext xmlns:c16="http://schemas.microsoft.com/office/drawing/2014/chart" uri="{C3380CC4-5D6E-409C-BE32-E72D297353CC}">
              <c16:uniqueId val="{00000003-B6AC-499F-B93D-30873B9356AA}"/>
            </c:ext>
          </c:extLst>
        </c:ser>
        <c:ser>
          <c:idx val="4"/>
          <c:order val="4"/>
          <c:tx>
            <c:strRef>
              <c:f>'Fig 2.11'!$C$13</c:f>
              <c:strCache>
                <c:ptCount val="1"/>
                <c:pt idx="0">
                  <c:v>C'</c:v>
                </c:pt>
              </c:strCache>
            </c:strRef>
          </c:tx>
          <c:spPr>
            <a:ln w="22225">
              <a:solidFill>
                <a:schemeClr val="tx1"/>
              </a:solidFill>
            </a:ln>
          </c:spPr>
          <c:marker>
            <c:symbol val="star"/>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2.11'!$D$13:$AW$13</c:f>
              <c:numCache>
                <c:formatCode>0.0%</c:formatCode>
                <c:ptCount val="46"/>
                <c:pt idx="0">
                  <c:v>0.32</c:v>
                </c:pt>
                <c:pt idx="1">
                  <c:v>0.31900000000000001</c:v>
                </c:pt>
                <c:pt idx="2">
                  <c:v>0.31900000000000001</c:v>
                </c:pt>
                <c:pt idx="3">
                  <c:v>0.32100000000000001</c:v>
                </c:pt>
                <c:pt idx="4">
                  <c:v>0.32</c:v>
                </c:pt>
                <c:pt idx="5">
                  <c:v>0.318</c:v>
                </c:pt>
                <c:pt idx="6">
                  <c:v>0.315</c:v>
                </c:pt>
                <c:pt idx="7">
                  <c:v>0.313</c:v>
                </c:pt>
                <c:pt idx="8">
                  <c:v>0.311</c:v>
                </c:pt>
                <c:pt idx="9">
                  <c:v>0.309</c:v>
                </c:pt>
                <c:pt idx="10">
                  <c:v>0.31</c:v>
                </c:pt>
                <c:pt idx="11">
                  <c:v>0.312</c:v>
                </c:pt>
                <c:pt idx="12">
                  <c:v>0.313</c:v>
                </c:pt>
                <c:pt idx="13">
                  <c:v>0.315</c:v>
                </c:pt>
                <c:pt idx="14">
                  <c:v>0.316</c:v>
                </c:pt>
                <c:pt idx="15">
                  <c:v>0.318</c:v>
                </c:pt>
                <c:pt idx="16">
                  <c:v>0.31900000000000001</c:v>
                </c:pt>
                <c:pt idx="17">
                  <c:v>0.32100000000000001</c:v>
                </c:pt>
                <c:pt idx="18">
                  <c:v>0.32300000000000001</c:v>
                </c:pt>
                <c:pt idx="19">
                  <c:v>0.32400000000000001</c:v>
                </c:pt>
                <c:pt idx="20">
                  <c:v>0.32500000000000001</c:v>
                </c:pt>
                <c:pt idx="21">
                  <c:v>0.32600000000000001</c:v>
                </c:pt>
                <c:pt idx="22">
                  <c:v>0.32600000000000001</c:v>
                </c:pt>
                <c:pt idx="23">
                  <c:v>0.32600000000000001</c:v>
                </c:pt>
                <c:pt idx="24">
                  <c:v>0.32600000000000001</c:v>
                </c:pt>
                <c:pt idx="25">
                  <c:v>0.32600000000000001</c:v>
                </c:pt>
                <c:pt idx="26">
                  <c:v>0.32600000000000001</c:v>
                </c:pt>
                <c:pt idx="27">
                  <c:v>0.32700000000000001</c:v>
                </c:pt>
                <c:pt idx="28">
                  <c:v>0.32800000000000001</c:v>
                </c:pt>
                <c:pt idx="29">
                  <c:v>0.32900000000000001</c:v>
                </c:pt>
                <c:pt idx="30">
                  <c:v>0.32900000000000001</c:v>
                </c:pt>
                <c:pt idx="31">
                  <c:v>0.33</c:v>
                </c:pt>
                <c:pt idx="32">
                  <c:v>0.33</c:v>
                </c:pt>
                <c:pt idx="33">
                  <c:v>0.33100000000000002</c:v>
                </c:pt>
                <c:pt idx="34">
                  <c:v>0.33100000000000002</c:v>
                </c:pt>
                <c:pt idx="35">
                  <c:v>0.33100000000000002</c:v>
                </c:pt>
                <c:pt idx="36">
                  <c:v>0.33200000000000002</c:v>
                </c:pt>
                <c:pt idx="37">
                  <c:v>0.33200000000000002</c:v>
                </c:pt>
                <c:pt idx="38">
                  <c:v>0.33200000000000002</c:v>
                </c:pt>
                <c:pt idx="39">
                  <c:v>0.33300000000000002</c:v>
                </c:pt>
                <c:pt idx="40">
                  <c:v>0.33300000000000002</c:v>
                </c:pt>
                <c:pt idx="41">
                  <c:v>0.33300000000000002</c:v>
                </c:pt>
                <c:pt idx="42">
                  <c:v>0.33300000000000002</c:v>
                </c:pt>
                <c:pt idx="43">
                  <c:v>0.33300000000000002</c:v>
                </c:pt>
                <c:pt idx="44">
                  <c:v>0.33400000000000002</c:v>
                </c:pt>
                <c:pt idx="45">
                  <c:v>0.33400000000000002</c:v>
                </c:pt>
              </c:numCache>
            </c:numRef>
          </c:val>
          <c:smooth val="0"/>
          <c:extLst>
            <c:ext xmlns:c16="http://schemas.microsoft.com/office/drawing/2014/chart" uri="{C3380CC4-5D6E-409C-BE32-E72D297353CC}">
              <c16:uniqueId val="{00000004-B6AC-499F-B93D-30873B9356AA}"/>
            </c:ext>
          </c:extLst>
        </c:ser>
        <c:dLbls>
          <c:showLegendKey val="0"/>
          <c:showVal val="0"/>
          <c:showCatName val="0"/>
          <c:showSerName val="0"/>
          <c:showPercent val="0"/>
          <c:showBubbleSize val="0"/>
        </c:dLbls>
        <c:marker val="1"/>
        <c:smooth val="0"/>
        <c:axId val="146279424"/>
        <c:axId val="146282368"/>
      </c:lineChart>
      <c:catAx>
        <c:axId val="14627942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46282368"/>
        <c:crosses val="autoZero"/>
        <c:auto val="1"/>
        <c:lblAlgn val="ctr"/>
        <c:lblOffset val="100"/>
        <c:tickLblSkip val="10"/>
        <c:noMultiLvlLbl val="0"/>
      </c:catAx>
      <c:valAx>
        <c:axId val="146282368"/>
        <c:scaling>
          <c:orientation val="minMax"/>
          <c:max val="0.35000000000000003"/>
          <c:min val="0.2"/>
        </c:scaling>
        <c:delete val="0"/>
        <c:axPos val="l"/>
        <c:majorGridlines/>
        <c:numFmt formatCode="0%" sourceLinked="0"/>
        <c:majorTickMark val="out"/>
        <c:minorTickMark val="none"/>
        <c:tickLblPos val="nextTo"/>
        <c:crossAx val="146279424"/>
        <c:crosses val="autoZero"/>
        <c:crossBetween val="between"/>
        <c:majorUnit val="5.000000000000001E-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94"/>
          <c:y val="3.2064285714285712E-2"/>
          <c:w val="0.80694444444444446"/>
          <c:h val="0.6988388888888889"/>
        </c:manualLayout>
      </c:layout>
      <c:lineChart>
        <c:grouping val="standard"/>
        <c:varyColors val="0"/>
        <c:ser>
          <c:idx val="0"/>
          <c:order val="0"/>
          <c:tx>
            <c:strRef>
              <c:f>'Fig 2.11'!$C$62</c:f>
              <c:strCache>
                <c:ptCount val="1"/>
                <c:pt idx="0">
                  <c:v>A'</c:v>
                </c:pt>
              </c:strCache>
            </c:strRef>
          </c:tx>
          <c:spPr>
            <a:ln w="22225">
              <a:solidFill>
                <a:schemeClr val="tx1"/>
              </a:solidFill>
            </a:ln>
          </c:spPr>
          <c:marker>
            <c:symbol val="x"/>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2.11'!$D$62:$AW$62</c:f>
              <c:numCache>
                <c:formatCode>0.0</c:formatCode>
                <c:ptCount val="46"/>
                <c:pt idx="0">
                  <c:v>0.4</c:v>
                </c:pt>
                <c:pt idx="1">
                  <c:v>0.4</c:v>
                </c:pt>
                <c:pt idx="2">
                  <c:v>0.4</c:v>
                </c:pt>
                <c:pt idx="3">
                  <c:v>0.5</c:v>
                </c:pt>
                <c:pt idx="4">
                  <c:v>0.6</c:v>
                </c:pt>
                <c:pt idx="5">
                  <c:v>0.5</c:v>
                </c:pt>
                <c:pt idx="6">
                  <c:v>0.4</c:v>
                </c:pt>
                <c:pt idx="7">
                  <c:v>0.3</c:v>
                </c:pt>
                <c:pt idx="8">
                  <c:v>0.1</c:v>
                </c:pt>
                <c:pt idx="9">
                  <c:v>0</c:v>
                </c:pt>
                <c:pt idx="10">
                  <c:v>-0.1</c:v>
                </c:pt>
                <c:pt idx="11">
                  <c:v>-0.2</c:v>
                </c:pt>
                <c:pt idx="12">
                  <c:v>-0.3</c:v>
                </c:pt>
                <c:pt idx="13">
                  <c:v>-0.4</c:v>
                </c:pt>
                <c:pt idx="14">
                  <c:v>-0.5</c:v>
                </c:pt>
                <c:pt idx="15">
                  <c:v>-0.5</c:v>
                </c:pt>
                <c:pt idx="16">
                  <c:v>-0.6</c:v>
                </c:pt>
                <c:pt idx="17">
                  <c:v>-0.7</c:v>
                </c:pt>
                <c:pt idx="18">
                  <c:v>-0.7</c:v>
                </c:pt>
                <c:pt idx="19">
                  <c:v>-0.8</c:v>
                </c:pt>
                <c:pt idx="20">
                  <c:v>-0.9</c:v>
                </c:pt>
                <c:pt idx="21">
                  <c:v>-1</c:v>
                </c:pt>
                <c:pt idx="22">
                  <c:v>-1.1000000000000001</c:v>
                </c:pt>
                <c:pt idx="23">
                  <c:v>-1.3</c:v>
                </c:pt>
                <c:pt idx="24">
                  <c:v>-1.5</c:v>
                </c:pt>
                <c:pt idx="25">
                  <c:v>-1.6</c:v>
                </c:pt>
                <c:pt idx="26">
                  <c:v>-1.8</c:v>
                </c:pt>
                <c:pt idx="27">
                  <c:v>-1.9</c:v>
                </c:pt>
                <c:pt idx="28">
                  <c:v>-2</c:v>
                </c:pt>
                <c:pt idx="29">
                  <c:v>-2</c:v>
                </c:pt>
                <c:pt idx="30">
                  <c:v>-2.1</c:v>
                </c:pt>
                <c:pt idx="31">
                  <c:v>-2.2000000000000002</c:v>
                </c:pt>
                <c:pt idx="32">
                  <c:v>-2.2999999999999998</c:v>
                </c:pt>
                <c:pt idx="33">
                  <c:v>-2.2999999999999998</c:v>
                </c:pt>
                <c:pt idx="34">
                  <c:v>-2.4</c:v>
                </c:pt>
                <c:pt idx="35">
                  <c:v>-2.5</c:v>
                </c:pt>
                <c:pt idx="36">
                  <c:v>-2.5</c:v>
                </c:pt>
                <c:pt idx="37">
                  <c:v>-2.6</c:v>
                </c:pt>
                <c:pt idx="38">
                  <c:v>-2.7</c:v>
                </c:pt>
                <c:pt idx="39">
                  <c:v>-2.8</c:v>
                </c:pt>
                <c:pt idx="40">
                  <c:v>-2.9</c:v>
                </c:pt>
                <c:pt idx="41">
                  <c:v>-3</c:v>
                </c:pt>
                <c:pt idx="42">
                  <c:v>-3</c:v>
                </c:pt>
                <c:pt idx="43">
                  <c:v>-3.1</c:v>
                </c:pt>
                <c:pt idx="44">
                  <c:v>-3.2</c:v>
                </c:pt>
                <c:pt idx="45">
                  <c:v>-3.2</c:v>
                </c:pt>
              </c:numCache>
            </c:numRef>
          </c:val>
          <c:smooth val="0"/>
          <c:extLst>
            <c:ext xmlns:c16="http://schemas.microsoft.com/office/drawing/2014/chart" uri="{C3380CC4-5D6E-409C-BE32-E72D297353CC}">
              <c16:uniqueId val="{00000000-26CB-43B1-A304-0AA44E69758F}"/>
            </c:ext>
          </c:extLst>
        </c:ser>
        <c:ser>
          <c:idx val="1"/>
          <c:order val="1"/>
          <c:tx>
            <c:strRef>
              <c:f>'Fig 2.11'!$C$63</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2.11'!$D$63:$AW$63</c:f>
              <c:numCache>
                <c:formatCode>0.0</c:formatCode>
                <c:ptCount val="46"/>
                <c:pt idx="0">
                  <c:v>0.4</c:v>
                </c:pt>
                <c:pt idx="1">
                  <c:v>0.4</c:v>
                </c:pt>
                <c:pt idx="2">
                  <c:v>0.4</c:v>
                </c:pt>
                <c:pt idx="3">
                  <c:v>0.5</c:v>
                </c:pt>
                <c:pt idx="4">
                  <c:v>0.6</c:v>
                </c:pt>
                <c:pt idx="5">
                  <c:v>0.5</c:v>
                </c:pt>
                <c:pt idx="6">
                  <c:v>0.4</c:v>
                </c:pt>
                <c:pt idx="7">
                  <c:v>0.3</c:v>
                </c:pt>
                <c:pt idx="8">
                  <c:v>0.2</c:v>
                </c:pt>
                <c:pt idx="9">
                  <c:v>0.1</c:v>
                </c:pt>
                <c:pt idx="10">
                  <c:v>0</c:v>
                </c:pt>
                <c:pt idx="11">
                  <c:v>-0.1</c:v>
                </c:pt>
                <c:pt idx="12">
                  <c:v>-0.2</c:v>
                </c:pt>
                <c:pt idx="13">
                  <c:v>-0.3</c:v>
                </c:pt>
                <c:pt idx="14">
                  <c:v>-0.3</c:v>
                </c:pt>
                <c:pt idx="15">
                  <c:v>-0.3</c:v>
                </c:pt>
                <c:pt idx="16">
                  <c:v>-0.4</c:v>
                </c:pt>
                <c:pt idx="17">
                  <c:v>-0.4</c:v>
                </c:pt>
                <c:pt idx="18">
                  <c:v>-0.4</c:v>
                </c:pt>
                <c:pt idx="19">
                  <c:v>-0.5</c:v>
                </c:pt>
                <c:pt idx="20">
                  <c:v>-0.5</c:v>
                </c:pt>
                <c:pt idx="21">
                  <c:v>-0.6</c:v>
                </c:pt>
                <c:pt idx="22">
                  <c:v>-0.7</c:v>
                </c:pt>
                <c:pt idx="23">
                  <c:v>-0.8</c:v>
                </c:pt>
                <c:pt idx="24">
                  <c:v>-0.9</c:v>
                </c:pt>
                <c:pt idx="25">
                  <c:v>-1.1000000000000001</c:v>
                </c:pt>
                <c:pt idx="26">
                  <c:v>-1.2</c:v>
                </c:pt>
                <c:pt idx="27">
                  <c:v>-1.2</c:v>
                </c:pt>
                <c:pt idx="28">
                  <c:v>-1.3</c:v>
                </c:pt>
                <c:pt idx="29">
                  <c:v>-1.3</c:v>
                </c:pt>
                <c:pt idx="30">
                  <c:v>-1.4</c:v>
                </c:pt>
                <c:pt idx="31">
                  <c:v>-1.4</c:v>
                </c:pt>
                <c:pt idx="32">
                  <c:v>-1.5</c:v>
                </c:pt>
                <c:pt idx="33">
                  <c:v>-1.5</c:v>
                </c:pt>
                <c:pt idx="34">
                  <c:v>-1.6</c:v>
                </c:pt>
                <c:pt idx="35">
                  <c:v>-1.6</c:v>
                </c:pt>
                <c:pt idx="36">
                  <c:v>-1.7</c:v>
                </c:pt>
                <c:pt idx="37">
                  <c:v>-1.7</c:v>
                </c:pt>
                <c:pt idx="38">
                  <c:v>-1.8</c:v>
                </c:pt>
                <c:pt idx="39">
                  <c:v>-1.8</c:v>
                </c:pt>
                <c:pt idx="40">
                  <c:v>-1.9</c:v>
                </c:pt>
                <c:pt idx="41">
                  <c:v>-2</c:v>
                </c:pt>
                <c:pt idx="42">
                  <c:v>-2</c:v>
                </c:pt>
                <c:pt idx="43">
                  <c:v>-2.1</c:v>
                </c:pt>
                <c:pt idx="44">
                  <c:v>-2.1</c:v>
                </c:pt>
                <c:pt idx="45">
                  <c:v>-2.1</c:v>
                </c:pt>
              </c:numCache>
            </c:numRef>
          </c:val>
          <c:smooth val="0"/>
          <c:extLst>
            <c:ext xmlns:c16="http://schemas.microsoft.com/office/drawing/2014/chart" uri="{C3380CC4-5D6E-409C-BE32-E72D297353CC}">
              <c16:uniqueId val="{00000001-26CB-43B1-A304-0AA44E69758F}"/>
            </c:ext>
          </c:extLst>
        </c:ser>
        <c:ser>
          <c:idx val="2"/>
          <c:order val="2"/>
          <c:tx>
            <c:strRef>
              <c:f>'Fig 2.11'!$C$64</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2.11'!$D$64:$AW$64</c:f>
              <c:numCache>
                <c:formatCode>0.0</c:formatCode>
                <c:ptCount val="46"/>
                <c:pt idx="0">
                  <c:v>0.4</c:v>
                </c:pt>
                <c:pt idx="1">
                  <c:v>0.4</c:v>
                </c:pt>
                <c:pt idx="2">
                  <c:v>0.4</c:v>
                </c:pt>
                <c:pt idx="3">
                  <c:v>0.5</c:v>
                </c:pt>
                <c:pt idx="4">
                  <c:v>0.6</c:v>
                </c:pt>
                <c:pt idx="5">
                  <c:v>0.5</c:v>
                </c:pt>
                <c:pt idx="6">
                  <c:v>0.4</c:v>
                </c:pt>
                <c:pt idx="7">
                  <c:v>0.3</c:v>
                </c:pt>
                <c:pt idx="8">
                  <c:v>0.3</c:v>
                </c:pt>
                <c:pt idx="9">
                  <c:v>0.2</c:v>
                </c:pt>
                <c:pt idx="10">
                  <c:v>0.1</c:v>
                </c:pt>
                <c:pt idx="11">
                  <c:v>0.1</c:v>
                </c:pt>
                <c:pt idx="12">
                  <c:v>0.1</c:v>
                </c:pt>
                <c:pt idx="13">
                  <c:v>0</c:v>
                </c:pt>
                <c:pt idx="14">
                  <c:v>0</c:v>
                </c:pt>
                <c:pt idx="15">
                  <c:v>0</c:v>
                </c:pt>
                <c:pt idx="16">
                  <c:v>-0.1</c:v>
                </c:pt>
                <c:pt idx="17">
                  <c:v>-0.1</c:v>
                </c:pt>
                <c:pt idx="18">
                  <c:v>0</c:v>
                </c:pt>
                <c:pt idx="19">
                  <c:v>0</c:v>
                </c:pt>
                <c:pt idx="20">
                  <c:v>0</c:v>
                </c:pt>
                <c:pt idx="21">
                  <c:v>-0.1</c:v>
                </c:pt>
                <c:pt idx="22">
                  <c:v>-0.1</c:v>
                </c:pt>
                <c:pt idx="23">
                  <c:v>-0.2</c:v>
                </c:pt>
                <c:pt idx="24">
                  <c:v>-0.2</c:v>
                </c:pt>
                <c:pt idx="25">
                  <c:v>-0.3</c:v>
                </c:pt>
                <c:pt idx="26">
                  <c:v>-0.3</c:v>
                </c:pt>
                <c:pt idx="27">
                  <c:v>-0.4</c:v>
                </c:pt>
                <c:pt idx="28">
                  <c:v>-0.4</c:v>
                </c:pt>
                <c:pt idx="29">
                  <c:v>-0.4</c:v>
                </c:pt>
                <c:pt idx="30">
                  <c:v>-0.4</c:v>
                </c:pt>
                <c:pt idx="31">
                  <c:v>-0.4</c:v>
                </c:pt>
                <c:pt idx="32">
                  <c:v>-0.4</c:v>
                </c:pt>
                <c:pt idx="33">
                  <c:v>-0.4</c:v>
                </c:pt>
                <c:pt idx="34">
                  <c:v>-0.5</c:v>
                </c:pt>
                <c:pt idx="35">
                  <c:v>-0.5</c:v>
                </c:pt>
                <c:pt idx="36">
                  <c:v>-0.5</c:v>
                </c:pt>
                <c:pt idx="37">
                  <c:v>-0.5</c:v>
                </c:pt>
                <c:pt idx="38">
                  <c:v>-0.5</c:v>
                </c:pt>
                <c:pt idx="39">
                  <c:v>-0.5</c:v>
                </c:pt>
                <c:pt idx="40">
                  <c:v>-0.6</c:v>
                </c:pt>
                <c:pt idx="41">
                  <c:v>-0.6</c:v>
                </c:pt>
                <c:pt idx="42">
                  <c:v>-0.6</c:v>
                </c:pt>
                <c:pt idx="43">
                  <c:v>-0.6</c:v>
                </c:pt>
                <c:pt idx="44">
                  <c:v>-0.6</c:v>
                </c:pt>
                <c:pt idx="45">
                  <c:v>-0.6</c:v>
                </c:pt>
              </c:numCache>
            </c:numRef>
          </c:val>
          <c:smooth val="0"/>
          <c:extLst>
            <c:ext xmlns:c16="http://schemas.microsoft.com/office/drawing/2014/chart" uri="{C3380CC4-5D6E-409C-BE32-E72D297353CC}">
              <c16:uniqueId val="{00000002-26CB-43B1-A304-0AA44E69758F}"/>
            </c:ext>
          </c:extLst>
        </c:ser>
        <c:ser>
          <c:idx val="3"/>
          <c:order val="3"/>
          <c:tx>
            <c:strRef>
              <c:f>'Fig 2.11'!$C$65</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2.11'!$D$65:$AW$65</c:f>
              <c:numCache>
                <c:formatCode>0.0</c:formatCode>
                <c:ptCount val="46"/>
                <c:pt idx="0">
                  <c:v>0.4</c:v>
                </c:pt>
                <c:pt idx="1">
                  <c:v>0.4</c:v>
                </c:pt>
                <c:pt idx="2">
                  <c:v>0.4</c:v>
                </c:pt>
                <c:pt idx="3">
                  <c:v>0.5</c:v>
                </c:pt>
                <c:pt idx="4">
                  <c:v>0.6</c:v>
                </c:pt>
                <c:pt idx="5">
                  <c:v>0.5</c:v>
                </c:pt>
                <c:pt idx="6">
                  <c:v>0.4</c:v>
                </c:pt>
                <c:pt idx="7">
                  <c:v>0.3</c:v>
                </c:pt>
                <c:pt idx="8">
                  <c:v>0.3</c:v>
                </c:pt>
                <c:pt idx="9">
                  <c:v>0.2</c:v>
                </c:pt>
                <c:pt idx="10">
                  <c:v>0.2</c:v>
                </c:pt>
                <c:pt idx="11">
                  <c:v>0.3</c:v>
                </c:pt>
                <c:pt idx="12">
                  <c:v>0.3</c:v>
                </c:pt>
                <c:pt idx="13">
                  <c:v>0.4</c:v>
                </c:pt>
                <c:pt idx="14">
                  <c:v>0.4</c:v>
                </c:pt>
                <c:pt idx="15">
                  <c:v>0.4</c:v>
                </c:pt>
                <c:pt idx="16">
                  <c:v>0.5</c:v>
                </c:pt>
                <c:pt idx="17">
                  <c:v>0.6</c:v>
                </c:pt>
                <c:pt idx="18">
                  <c:v>0.6</c:v>
                </c:pt>
                <c:pt idx="19">
                  <c:v>0.7</c:v>
                </c:pt>
                <c:pt idx="20">
                  <c:v>0.7</c:v>
                </c:pt>
                <c:pt idx="21">
                  <c:v>0.7</c:v>
                </c:pt>
                <c:pt idx="22">
                  <c:v>0.7</c:v>
                </c:pt>
                <c:pt idx="23">
                  <c:v>0.7</c:v>
                </c:pt>
                <c:pt idx="24">
                  <c:v>0.7</c:v>
                </c:pt>
                <c:pt idx="25">
                  <c:v>0.7</c:v>
                </c:pt>
                <c:pt idx="26">
                  <c:v>0.6</c:v>
                </c:pt>
                <c:pt idx="27">
                  <c:v>0.6</c:v>
                </c:pt>
                <c:pt idx="28">
                  <c:v>0.6</c:v>
                </c:pt>
                <c:pt idx="29">
                  <c:v>0.7</c:v>
                </c:pt>
                <c:pt idx="30">
                  <c:v>0.7</c:v>
                </c:pt>
                <c:pt idx="31">
                  <c:v>0.7</c:v>
                </c:pt>
                <c:pt idx="32">
                  <c:v>0.7</c:v>
                </c:pt>
                <c:pt idx="33">
                  <c:v>0.7</c:v>
                </c:pt>
                <c:pt idx="34">
                  <c:v>0.7</c:v>
                </c:pt>
                <c:pt idx="35">
                  <c:v>0.7</c:v>
                </c:pt>
                <c:pt idx="36">
                  <c:v>0.7</c:v>
                </c:pt>
                <c:pt idx="37">
                  <c:v>0.7</c:v>
                </c:pt>
                <c:pt idx="38">
                  <c:v>0.7</c:v>
                </c:pt>
                <c:pt idx="39">
                  <c:v>0.7</c:v>
                </c:pt>
                <c:pt idx="40">
                  <c:v>0.7</c:v>
                </c:pt>
                <c:pt idx="41">
                  <c:v>0.7</c:v>
                </c:pt>
                <c:pt idx="42">
                  <c:v>0.7</c:v>
                </c:pt>
                <c:pt idx="43">
                  <c:v>0.7</c:v>
                </c:pt>
                <c:pt idx="44">
                  <c:v>0.7</c:v>
                </c:pt>
                <c:pt idx="45">
                  <c:v>0.7</c:v>
                </c:pt>
              </c:numCache>
            </c:numRef>
          </c:val>
          <c:smooth val="0"/>
          <c:extLst>
            <c:ext xmlns:c16="http://schemas.microsoft.com/office/drawing/2014/chart" uri="{C3380CC4-5D6E-409C-BE32-E72D297353CC}">
              <c16:uniqueId val="{00000003-26CB-43B1-A304-0AA44E69758F}"/>
            </c:ext>
          </c:extLst>
        </c:ser>
        <c:ser>
          <c:idx val="4"/>
          <c:order val="4"/>
          <c:tx>
            <c:strRef>
              <c:f>'Fig 2.11'!$C$66</c:f>
              <c:strCache>
                <c:ptCount val="1"/>
                <c:pt idx="0">
                  <c:v>C'</c:v>
                </c:pt>
              </c:strCache>
            </c:strRef>
          </c:tx>
          <c:spPr>
            <a:ln w="22225">
              <a:solidFill>
                <a:schemeClr val="tx1"/>
              </a:solidFill>
            </a:ln>
          </c:spPr>
          <c:marker>
            <c:symbol val="star"/>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2.11'!$D$66:$AW$66</c:f>
              <c:numCache>
                <c:formatCode>0.0</c:formatCode>
                <c:ptCount val="46"/>
                <c:pt idx="0">
                  <c:v>0.4</c:v>
                </c:pt>
                <c:pt idx="1">
                  <c:v>0.4</c:v>
                </c:pt>
                <c:pt idx="2">
                  <c:v>0.4</c:v>
                </c:pt>
                <c:pt idx="3">
                  <c:v>0.5</c:v>
                </c:pt>
                <c:pt idx="4">
                  <c:v>0.6</c:v>
                </c:pt>
                <c:pt idx="5">
                  <c:v>0.5</c:v>
                </c:pt>
                <c:pt idx="6">
                  <c:v>0.5</c:v>
                </c:pt>
                <c:pt idx="7">
                  <c:v>0.4</c:v>
                </c:pt>
                <c:pt idx="8">
                  <c:v>0.4</c:v>
                </c:pt>
                <c:pt idx="9">
                  <c:v>0.4</c:v>
                </c:pt>
                <c:pt idx="10">
                  <c:v>0.4</c:v>
                </c:pt>
                <c:pt idx="11">
                  <c:v>0.5</c:v>
                </c:pt>
                <c:pt idx="12">
                  <c:v>0.6</c:v>
                </c:pt>
                <c:pt idx="13">
                  <c:v>0.7</c:v>
                </c:pt>
                <c:pt idx="14">
                  <c:v>0.8</c:v>
                </c:pt>
                <c:pt idx="15">
                  <c:v>0.9</c:v>
                </c:pt>
                <c:pt idx="16">
                  <c:v>1</c:v>
                </c:pt>
                <c:pt idx="17">
                  <c:v>1.1000000000000001</c:v>
                </c:pt>
                <c:pt idx="18">
                  <c:v>1.2</c:v>
                </c:pt>
                <c:pt idx="19">
                  <c:v>1.3</c:v>
                </c:pt>
                <c:pt idx="20">
                  <c:v>1.4</c:v>
                </c:pt>
                <c:pt idx="21">
                  <c:v>1.4</c:v>
                </c:pt>
                <c:pt idx="22">
                  <c:v>1.5</c:v>
                </c:pt>
                <c:pt idx="23">
                  <c:v>1.5</c:v>
                </c:pt>
                <c:pt idx="24">
                  <c:v>1.6</c:v>
                </c:pt>
                <c:pt idx="25">
                  <c:v>1.6</c:v>
                </c:pt>
                <c:pt idx="26">
                  <c:v>1.7</c:v>
                </c:pt>
                <c:pt idx="27">
                  <c:v>1.7</c:v>
                </c:pt>
                <c:pt idx="28">
                  <c:v>1.7</c:v>
                </c:pt>
                <c:pt idx="29">
                  <c:v>1.8</c:v>
                </c:pt>
                <c:pt idx="30">
                  <c:v>1.8</c:v>
                </c:pt>
                <c:pt idx="31">
                  <c:v>1.9</c:v>
                </c:pt>
                <c:pt idx="32">
                  <c:v>1.9</c:v>
                </c:pt>
                <c:pt idx="33">
                  <c:v>1.9</c:v>
                </c:pt>
                <c:pt idx="34">
                  <c:v>1.9</c:v>
                </c:pt>
                <c:pt idx="35">
                  <c:v>2</c:v>
                </c:pt>
                <c:pt idx="36">
                  <c:v>2</c:v>
                </c:pt>
                <c:pt idx="37">
                  <c:v>2</c:v>
                </c:pt>
                <c:pt idx="38">
                  <c:v>2</c:v>
                </c:pt>
                <c:pt idx="39">
                  <c:v>2.1</c:v>
                </c:pt>
                <c:pt idx="40">
                  <c:v>2.1</c:v>
                </c:pt>
                <c:pt idx="41">
                  <c:v>2.2000000000000002</c:v>
                </c:pt>
                <c:pt idx="42">
                  <c:v>2.2000000000000002</c:v>
                </c:pt>
                <c:pt idx="43">
                  <c:v>2.2000000000000002</c:v>
                </c:pt>
                <c:pt idx="44">
                  <c:v>2.2999999999999998</c:v>
                </c:pt>
                <c:pt idx="45">
                  <c:v>2.2999999999999998</c:v>
                </c:pt>
              </c:numCache>
            </c:numRef>
          </c:val>
          <c:smooth val="0"/>
          <c:extLst>
            <c:ext xmlns:c16="http://schemas.microsoft.com/office/drawing/2014/chart" uri="{C3380CC4-5D6E-409C-BE32-E72D297353CC}">
              <c16:uniqueId val="{00000004-26CB-43B1-A304-0AA44E69758F}"/>
            </c:ext>
          </c:extLst>
        </c:ser>
        <c:dLbls>
          <c:showLegendKey val="0"/>
          <c:showVal val="0"/>
          <c:showCatName val="0"/>
          <c:showSerName val="0"/>
          <c:showPercent val="0"/>
          <c:showBubbleSize val="0"/>
        </c:dLbls>
        <c:marker val="1"/>
        <c:smooth val="0"/>
        <c:axId val="146306944"/>
        <c:axId val="146309888"/>
      </c:lineChart>
      <c:catAx>
        <c:axId val="146306944"/>
        <c:scaling>
          <c:orientation val="minMax"/>
        </c:scaling>
        <c:delete val="0"/>
        <c:axPos val="b"/>
        <c:numFmt formatCode="General" sourceLinked="1"/>
        <c:majorTickMark val="out"/>
        <c:minorTickMark val="none"/>
        <c:tickLblPos val="low"/>
        <c:txPr>
          <a:bodyPr rot="-5400000" vert="horz"/>
          <a:lstStyle/>
          <a:p>
            <a:pPr>
              <a:defRPr/>
            </a:pPr>
            <a:endParaRPr lang="fr-FR"/>
          </a:p>
        </c:txPr>
        <c:crossAx val="146309888"/>
        <c:crosses val="autoZero"/>
        <c:auto val="1"/>
        <c:lblAlgn val="ctr"/>
        <c:lblOffset val="100"/>
        <c:tickLblSkip val="10"/>
        <c:noMultiLvlLbl val="0"/>
      </c:catAx>
      <c:valAx>
        <c:axId val="146309888"/>
        <c:scaling>
          <c:orientation val="minMax"/>
          <c:max val="5"/>
          <c:min val="-5"/>
        </c:scaling>
        <c:delete val="0"/>
        <c:axPos val="l"/>
        <c:majorGridlines/>
        <c:numFmt formatCode="0" sourceLinked="0"/>
        <c:majorTickMark val="out"/>
        <c:minorTickMark val="none"/>
        <c:tickLblPos val="nextTo"/>
        <c:crossAx val="146306944"/>
        <c:crosses val="autoZero"/>
        <c:crossBetween val="between"/>
        <c:majorUnit val="1"/>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517895299145301"/>
          <c:y val="3.2064285714285712E-2"/>
          <c:w val="0.69163354700854696"/>
          <c:h val="0.6988388888888889"/>
        </c:manualLayout>
      </c:layout>
      <c:lineChart>
        <c:grouping val="standard"/>
        <c:varyColors val="0"/>
        <c:ser>
          <c:idx val="0"/>
          <c:order val="0"/>
          <c:tx>
            <c:strRef>
              <c:f>'Fig 2.11'!$C$52</c:f>
              <c:strCache>
                <c:ptCount val="1"/>
                <c:pt idx="0">
                  <c:v>A'</c:v>
                </c:pt>
              </c:strCache>
            </c:strRef>
          </c:tx>
          <c:spPr>
            <a:ln w="22225">
              <a:solidFill>
                <a:schemeClr val="tx1"/>
              </a:solidFill>
            </a:ln>
          </c:spPr>
          <c:marker>
            <c:symbol val="x"/>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2.11'!$D$52:$AW$52</c:f>
              <c:numCache>
                <c:formatCode>0.0%</c:formatCode>
                <c:ptCount val="46"/>
                <c:pt idx="0">
                  <c:v>-1.4E-2</c:v>
                </c:pt>
                <c:pt idx="1">
                  <c:v>-1.2E-2</c:v>
                </c:pt>
                <c:pt idx="2">
                  <c:v>-1.2E-2</c:v>
                </c:pt>
                <c:pt idx="3">
                  <c:v>-1.4999999999999999E-2</c:v>
                </c:pt>
                <c:pt idx="4">
                  <c:v>-1.7999999999999999E-2</c:v>
                </c:pt>
                <c:pt idx="5">
                  <c:v>-1.4999999999999999E-2</c:v>
                </c:pt>
                <c:pt idx="6">
                  <c:v>-1.2E-2</c:v>
                </c:pt>
                <c:pt idx="7">
                  <c:v>-8.0000000000000002E-3</c:v>
                </c:pt>
                <c:pt idx="8">
                  <c:v>-4.0000000000000001E-3</c:v>
                </c:pt>
                <c:pt idx="9">
                  <c:v>0</c:v>
                </c:pt>
                <c:pt idx="10">
                  <c:v>2E-3</c:v>
                </c:pt>
                <c:pt idx="11">
                  <c:v>5.0000000000000001E-3</c:v>
                </c:pt>
                <c:pt idx="12">
                  <c:v>8.0000000000000002E-3</c:v>
                </c:pt>
                <c:pt idx="13">
                  <c:v>1.0999999999999999E-2</c:v>
                </c:pt>
                <c:pt idx="14">
                  <c:v>1.2E-2</c:v>
                </c:pt>
                <c:pt idx="15">
                  <c:v>1.4E-2</c:v>
                </c:pt>
                <c:pt idx="16">
                  <c:v>1.4999999999999999E-2</c:v>
                </c:pt>
                <c:pt idx="17">
                  <c:v>1.6E-2</c:v>
                </c:pt>
                <c:pt idx="18">
                  <c:v>1.7000000000000001E-2</c:v>
                </c:pt>
                <c:pt idx="19">
                  <c:v>1.9E-2</c:v>
                </c:pt>
                <c:pt idx="20">
                  <c:v>0.02</c:v>
                </c:pt>
                <c:pt idx="21">
                  <c:v>2.1999999999999999E-2</c:v>
                </c:pt>
                <c:pt idx="22">
                  <c:v>2.5000000000000001E-2</c:v>
                </c:pt>
                <c:pt idx="23">
                  <c:v>2.8000000000000001E-2</c:v>
                </c:pt>
                <c:pt idx="24">
                  <c:v>0.03</c:v>
                </c:pt>
                <c:pt idx="25">
                  <c:v>3.3000000000000002E-2</c:v>
                </c:pt>
                <c:pt idx="26">
                  <c:v>3.5000000000000003E-2</c:v>
                </c:pt>
                <c:pt idx="27">
                  <c:v>3.6999999999999998E-2</c:v>
                </c:pt>
                <c:pt idx="28">
                  <c:v>3.7999999999999999E-2</c:v>
                </c:pt>
                <c:pt idx="29">
                  <c:v>3.9E-2</c:v>
                </c:pt>
                <c:pt idx="30">
                  <c:v>4.1000000000000002E-2</c:v>
                </c:pt>
                <c:pt idx="31">
                  <c:v>4.2000000000000003E-2</c:v>
                </c:pt>
                <c:pt idx="32">
                  <c:v>4.2999999999999997E-2</c:v>
                </c:pt>
                <c:pt idx="33">
                  <c:v>4.4999999999999998E-2</c:v>
                </c:pt>
                <c:pt idx="34">
                  <c:v>4.5999999999999999E-2</c:v>
                </c:pt>
                <c:pt idx="35">
                  <c:v>4.7E-2</c:v>
                </c:pt>
                <c:pt idx="36">
                  <c:v>4.8000000000000001E-2</c:v>
                </c:pt>
                <c:pt idx="37">
                  <c:v>4.9000000000000002E-2</c:v>
                </c:pt>
                <c:pt idx="38">
                  <c:v>0.05</c:v>
                </c:pt>
                <c:pt idx="39">
                  <c:v>5.0999999999999997E-2</c:v>
                </c:pt>
                <c:pt idx="40">
                  <c:v>5.1999999999999998E-2</c:v>
                </c:pt>
                <c:pt idx="41">
                  <c:v>5.2999999999999999E-2</c:v>
                </c:pt>
                <c:pt idx="42">
                  <c:v>5.3999999999999999E-2</c:v>
                </c:pt>
                <c:pt idx="43">
                  <c:v>5.3999999999999999E-2</c:v>
                </c:pt>
                <c:pt idx="44">
                  <c:v>5.5E-2</c:v>
                </c:pt>
                <c:pt idx="45">
                  <c:v>5.5E-2</c:v>
                </c:pt>
              </c:numCache>
            </c:numRef>
          </c:val>
          <c:smooth val="0"/>
          <c:extLst>
            <c:ext xmlns:c16="http://schemas.microsoft.com/office/drawing/2014/chart" uri="{C3380CC4-5D6E-409C-BE32-E72D297353CC}">
              <c16:uniqueId val="{00000000-9367-4AE9-A317-A13FD4F24FAA}"/>
            </c:ext>
          </c:extLst>
        </c:ser>
        <c:ser>
          <c:idx val="1"/>
          <c:order val="1"/>
          <c:tx>
            <c:strRef>
              <c:f>'Fig 2.11'!$C$53</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2.11'!$D$53:$AW$53</c:f>
              <c:numCache>
                <c:formatCode>0.0%</c:formatCode>
                <c:ptCount val="46"/>
                <c:pt idx="0">
                  <c:v>-1.4E-2</c:v>
                </c:pt>
                <c:pt idx="1">
                  <c:v>-1.2E-2</c:v>
                </c:pt>
                <c:pt idx="2">
                  <c:v>-1.2E-2</c:v>
                </c:pt>
                <c:pt idx="3">
                  <c:v>-1.4999999999999999E-2</c:v>
                </c:pt>
                <c:pt idx="4">
                  <c:v>-1.7999999999999999E-2</c:v>
                </c:pt>
                <c:pt idx="5">
                  <c:v>-1.6E-2</c:v>
                </c:pt>
                <c:pt idx="6">
                  <c:v>-1.2999999999999999E-2</c:v>
                </c:pt>
                <c:pt idx="7">
                  <c:v>-8.9999999999999993E-3</c:v>
                </c:pt>
                <c:pt idx="8">
                  <c:v>-5.0000000000000001E-3</c:v>
                </c:pt>
                <c:pt idx="9">
                  <c:v>-2E-3</c:v>
                </c:pt>
                <c:pt idx="10">
                  <c:v>1E-3</c:v>
                </c:pt>
                <c:pt idx="11">
                  <c:v>3.0000000000000001E-3</c:v>
                </c:pt>
                <c:pt idx="12">
                  <c:v>6.0000000000000001E-3</c:v>
                </c:pt>
                <c:pt idx="13">
                  <c:v>7.0000000000000001E-3</c:v>
                </c:pt>
                <c:pt idx="14">
                  <c:v>8.0000000000000002E-3</c:v>
                </c:pt>
                <c:pt idx="15">
                  <c:v>8.9999999999999993E-3</c:v>
                </c:pt>
                <c:pt idx="16">
                  <c:v>8.9999999999999993E-3</c:v>
                </c:pt>
                <c:pt idx="17">
                  <c:v>0.01</c:v>
                </c:pt>
                <c:pt idx="18">
                  <c:v>0.01</c:v>
                </c:pt>
                <c:pt idx="19">
                  <c:v>1.0999999999999999E-2</c:v>
                </c:pt>
                <c:pt idx="20">
                  <c:v>1.2E-2</c:v>
                </c:pt>
                <c:pt idx="21">
                  <c:v>1.2999999999999999E-2</c:v>
                </c:pt>
                <c:pt idx="22">
                  <c:v>1.4999999999999999E-2</c:v>
                </c:pt>
                <c:pt idx="23">
                  <c:v>1.7000000000000001E-2</c:v>
                </c:pt>
                <c:pt idx="24">
                  <c:v>0.02</c:v>
                </c:pt>
                <c:pt idx="25">
                  <c:v>2.1999999999999999E-2</c:v>
                </c:pt>
                <c:pt idx="26">
                  <c:v>2.3E-2</c:v>
                </c:pt>
                <c:pt idx="27">
                  <c:v>2.5000000000000001E-2</c:v>
                </c:pt>
                <c:pt idx="28">
                  <c:v>2.5000000000000001E-2</c:v>
                </c:pt>
                <c:pt idx="29">
                  <c:v>2.5999999999999999E-2</c:v>
                </c:pt>
                <c:pt idx="30">
                  <c:v>2.7E-2</c:v>
                </c:pt>
                <c:pt idx="31">
                  <c:v>2.8000000000000001E-2</c:v>
                </c:pt>
                <c:pt idx="32">
                  <c:v>2.9000000000000001E-2</c:v>
                </c:pt>
                <c:pt idx="33">
                  <c:v>0.03</c:v>
                </c:pt>
                <c:pt idx="34">
                  <c:v>3.1E-2</c:v>
                </c:pt>
                <c:pt idx="35">
                  <c:v>3.2000000000000001E-2</c:v>
                </c:pt>
                <c:pt idx="36">
                  <c:v>3.2000000000000001E-2</c:v>
                </c:pt>
                <c:pt idx="37">
                  <c:v>3.3000000000000002E-2</c:v>
                </c:pt>
                <c:pt idx="38">
                  <c:v>3.4000000000000002E-2</c:v>
                </c:pt>
                <c:pt idx="39">
                  <c:v>3.5000000000000003E-2</c:v>
                </c:pt>
                <c:pt idx="40">
                  <c:v>3.5000000000000003E-2</c:v>
                </c:pt>
                <c:pt idx="41">
                  <c:v>3.5999999999999997E-2</c:v>
                </c:pt>
                <c:pt idx="42">
                  <c:v>3.6999999999999998E-2</c:v>
                </c:pt>
                <c:pt idx="43">
                  <c:v>3.6999999999999998E-2</c:v>
                </c:pt>
                <c:pt idx="44">
                  <c:v>3.6999999999999998E-2</c:v>
                </c:pt>
                <c:pt idx="45">
                  <c:v>3.7999999999999999E-2</c:v>
                </c:pt>
              </c:numCache>
            </c:numRef>
          </c:val>
          <c:smooth val="0"/>
          <c:extLst>
            <c:ext xmlns:c16="http://schemas.microsoft.com/office/drawing/2014/chart" uri="{C3380CC4-5D6E-409C-BE32-E72D297353CC}">
              <c16:uniqueId val="{00000001-9367-4AE9-A317-A13FD4F24FAA}"/>
            </c:ext>
          </c:extLst>
        </c:ser>
        <c:ser>
          <c:idx val="2"/>
          <c:order val="2"/>
          <c:tx>
            <c:strRef>
              <c:f>'Fig 2.11'!$C$54</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2.11'!$D$54:$AW$54</c:f>
              <c:numCache>
                <c:formatCode>0.0%</c:formatCode>
                <c:ptCount val="46"/>
                <c:pt idx="0">
                  <c:v>-1.4E-2</c:v>
                </c:pt>
                <c:pt idx="1">
                  <c:v>-1.2E-2</c:v>
                </c:pt>
                <c:pt idx="2">
                  <c:v>-1.2E-2</c:v>
                </c:pt>
                <c:pt idx="3">
                  <c:v>-1.4999999999999999E-2</c:v>
                </c:pt>
                <c:pt idx="4">
                  <c:v>-1.7999999999999999E-2</c:v>
                </c:pt>
                <c:pt idx="5">
                  <c:v>-1.6E-2</c:v>
                </c:pt>
                <c:pt idx="6">
                  <c:v>-1.2E-2</c:v>
                </c:pt>
                <c:pt idx="7">
                  <c:v>-0.01</c:v>
                </c:pt>
                <c:pt idx="8">
                  <c:v>-8.0000000000000002E-3</c:v>
                </c:pt>
                <c:pt idx="9">
                  <c:v>-5.0000000000000001E-3</c:v>
                </c:pt>
                <c:pt idx="10">
                  <c:v>-3.0000000000000001E-3</c:v>
                </c:pt>
                <c:pt idx="11">
                  <c:v>-3.0000000000000001E-3</c:v>
                </c:pt>
                <c:pt idx="12">
                  <c:v>-2E-3</c:v>
                </c:pt>
                <c:pt idx="13">
                  <c:v>-1E-3</c:v>
                </c:pt>
                <c:pt idx="14">
                  <c:v>0</c:v>
                </c:pt>
                <c:pt idx="15">
                  <c:v>1E-3</c:v>
                </c:pt>
                <c:pt idx="16">
                  <c:v>2E-3</c:v>
                </c:pt>
                <c:pt idx="17">
                  <c:v>1E-3</c:v>
                </c:pt>
                <c:pt idx="18">
                  <c:v>1E-3</c:v>
                </c:pt>
                <c:pt idx="19">
                  <c:v>0</c:v>
                </c:pt>
                <c:pt idx="20">
                  <c:v>1E-3</c:v>
                </c:pt>
                <c:pt idx="21">
                  <c:v>1E-3</c:v>
                </c:pt>
                <c:pt idx="22">
                  <c:v>2E-3</c:v>
                </c:pt>
                <c:pt idx="23">
                  <c:v>3.0000000000000001E-3</c:v>
                </c:pt>
                <c:pt idx="24">
                  <c:v>5.0000000000000001E-3</c:v>
                </c:pt>
                <c:pt idx="25">
                  <c:v>6.0000000000000001E-3</c:v>
                </c:pt>
                <c:pt idx="26">
                  <c:v>7.0000000000000001E-3</c:v>
                </c:pt>
                <c:pt idx="27">
                  <c:v>7.0000000000000001E-3</c:v>
                </c:pt>
                <c:pt idx="28">
                  <c:v>7.0000000000000001E-3</c:v>
                </c:pt>
                <c:pt idx="29">
                  <c:v>8.0000000000000002E-3</c:v>
                </c:pt>
                <c:pt idx="30">
                  <c:v>8.0000000000000002E-3</c:v>
                </c:pt>
                <c:pt idx="31">
                  <c:v>8.0000000000000002E-3</c:v>
                </c:pt>
                <c:pt idx="32">
                  <c:v>8.0000000000000002E-3</c:v>
                </c:pt>
                <c:pt idx="33">
                  <c:v>8.9999999999999993E-3</c:v>
                </c:pt>
                <c:pt idx="34">
                  <c:v>8.9999999999999993E-3</c:v>
                </c:pt>
                <c:pt idx="35">
                  <c:v>8.9999999999999993E-3</c:v>
                </c:pt>
                <c:pt idx="36">
                  <c:v>0.01</c:v>
                </c:pt>
                <c:pt idx="37">
                  <c:v>0.01</c:v>
                </c:pt>
                <c:pt idx="38">
                  <c:v>0.01</c:v>
                </c:pt>
                <c:pt idx="39">
                  <c:v>1.0999999999999999E-2</c:v>
                </c:pt>
                <c:pt idx="40">
                  <c:v>1.0999999999999999E-2</c:v>
                </c:pt>
                <c:pt idx="41">
                  <c:v>1.0999999999999999E-2</c:v>
                </c:pt>
                <c:pt idx="42">
                  <c:v>1.0999999999999999E-2</c:v>
                </c:pt>
                <c:pt idx="43">
                  <c:v>1.0999999999999999E-2</c:v>
                </c:pt>
                <c:pt idx="44">
                  <c:v>1.0999999999999999E-2</c:v>
                </c:pt>
                <c:pt idx="45">
                  <c:v>1.0999999999999999E-2</c:v>
                </c:pt>
              </c:numCache>
            </c:numRef>
          </c:val>
          <c:smooth val="0"/>
          <c:extLst>
            <c:ext xmlns:c16="http://schemas.microsoft.com/office/drawing/2014/chart" uri="{C3380CC4-5D6E-409C-BE32-E72D297353CC}">
              <c16:uniqueId val="{00000002-9367-4AE9-A317-A13FD4F24FAA}"/>
            </c:ext>
          </c:extLst>
        </c:ser>
        <c:ser>
          <c:idx val="3"/>
          <c:order val="3"/>
          <c:tx>
            <c:strRef>
              <c:f>'Fig 2.11'!$C$55</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2.11'!$D$55:$AW$55</c:f>
              <c:numCache>
                <c:formatCode>0.0%</c:formatCode>
                <c:ptCount val="46"/>
                <c:pt idx="0">
                  <c:v>-1.4E-2</c:v>
                </c:pt>
                <c:pt idx="1">
                  <c:v>-1.2E-2</c:v>
                </c:pt>
                <c:pt idx="2">
                  <c:v>-1.2E-2</c:v>
                </c:pt>
                <c:pt idx="3">
                  <c:v>-1.4999999999999999E-2</c:v>
                </c:pt>
                <c:pt idx="4">
                  <c:v>-1.7999999999999999E-2</c:v>
                </c:pt>
                <c:pt idx="5">
                  <c:v>-1.6E-2</c:v>
                </c:pt>
                <c:pt idx="6">
                  <c:v>-1.2999999999999999E-2</c:v>
                </c:pt>
                <c:pt idx="7">
                  <c:v>-0.01</c:v>
                </c:pt>
                <c:pt idx="8">
                  <c:v>-8.0000000000000002E-3</c:v>
                </c:pt>
                <c:pt idx="9">
                  <c:v>-5.0000000000000001E-3</c:v>
                </c:pt>
                <c:pt idx="10">
                  <c:v>-6.0000000000000001E-3</c:v>
                </c:pt>
                <c:pt idx="11">
                  <c:v>-7.0000000000000001E-3</c:v>
                </c:pt>
                <c:pt idx="12">
                  <c:v>-8.9999999999999993E-3</c:v>
                </c:pt>
                <c:pt idx="13">
                  <c:v>-0.01</c:v>
                </c:pt>
                <c:pt idx="14">
                  <c:v>-1.0999999999999999E-2</c:v>
                </c:pt>
                <c:pt idx="15">
                  <c:v>-1.2E-2</c:v>
                </c:pt>
                <c:pt idx="16">
                  <c:v>-1.2999999999999999E-2</c:v>
                </c:pt>
                <c:pt idx="17">
                  <c:v>-1.4E-2</c:v>
                </c:pt>
                <c:pt idx="18">
                  <c:v>-1.4999999999999999E-2</c:v>
                </c:pt>
                <c:pt idx="19">
                  <c:v>-1.6E-2</c:v>
                </c:pt>
                <c:pt idx="20">
                  <c:v>-1.7000000000000001E-2</c:v>
                </c:pt>
                <c:pt idx="21">
                  <c:v>-1.7000000000000001E-2</c:v>
                </c:pt>
                <c:pt idx="22">
                  <c:v>-1.6E-2</c:v>
                </c:pt>
                <c:pt idx="23">
                  <c:v>-1.4999999999999999E-2</c:v>
                </c:pt>
                <c:pt idx="24">
                  <c:v>-1.4999999999999999E-2</c:v>
                </c:pt>
                <c:pt idx="25">
                  <c:v>-1.4E-2</c:v>
                </c:pt>
                <c:pt idx="26">
                  <c:v>-1.4E-2</c:v>
                </c:pt>
                <c:pt idx="27">
                  <c:v>-1.2999999999999999E-2</c:v>
                </c:pt>
                <c:pt idx="28">
                  <c:v>-1.4E-2</c:v>
                </c:pt>
                <c:pt idx="29">
                  <c:v>-1.4E-2</c:v>
                </c:pt>
                <c:pt idx="30">
                  <c:v>-1.4E-2</c:v>
                </c:pt>
                <c:pt idx="31">
                  <c:v>-1.4E-2</c:v>
                </c:pt>
                <c:pt idx="32">
                  <c:v>-1.4E-2</c:v>
                </c:pt>
                <c:pt idx="33">
                  <c:v>-1.4E-2</c:v>
                </c:pt>
                <c:pt idx="34">
                  <c:v>-1.4E-2</c:v>
                </c:pt>
                <c:pt idx="35">
                  <c:v>-1.4E-2</c:v>
                </c:pt>
                <c:pt idx="36">
                  <c:v>-1.4E-2</c:v>
                </c:pt>
                <c:pt idx="37">
                  <c:v>-1.4E-2</c:v>
                </c:pt>
                <c:pt idx="38">
                  <c:v>-1.4E-2</c:v>
                </c:pt>
                <c:pt idx="39">
                  <c:v>-1.4E-2</c:v>
                </c:pt>
                <c:pt idx="40">
                  <c:v>-1.4E-2</c:v>
                </c:pt>
                <c:pt idx="41">
                  <c:v>-1.2999999999999999E-2</c:v>
                </c:pt>
                <c:pt idx="42">
                  <c:v>-1.2999999999999999E-2</c:v>
                </c:pt>
                <c:pt idx="43">
                  <c:v>-1.4E-2</c:v>
                </c:pt>
                <c:pt idx="44">
                  <c:v>-1.4E-2</c:v>
                </c:pt>
                <c:pt idx="45">
                  <c:v>-1.4E-2</c:v>
                </c:pt>
              </c:numCache>
            </c:numRef>
          </c:val>
          <c:smooth val="0"/>
          <c:extLst>
            <c:ext xmlns:c16="http://schemas.microsoft.com/office/drawing/2014/chart" uri="{C3380CC4-5D6E-409C-BE32-E72D297353CC}">
              <c16:uniqueId val="{00000003-9367-4AE9-A317-A13FD4F24FAA}"/>
            </c:ext>
          </c:extLst>
        </c:ser>
        <c:ser>
          <c:idx val="4"/>
          <c:order val="4"/>
          <c:tx>
            <c:strRef>
              <c:f>'Fig 2.11'!$C$56</c:f>
              <c:strCache>
                <c:ptCount val="1"/>
                <c:pt idx="0">
                  <c:v>C'</c:v>
                </c:pt>
              </c:strCache>
            </c:strRef>
          </c:tx>
          <c:spPr>
            <a:ln w="22225">
              <a:solidFill>
                <a:schemeClr val="tx1"/>
              </a:solidFill>
            </a:ln>
          </c:spPr>
          <c:marker>
            <c:symbol val="star"/>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2.11'!$D$56:$AW$56</c:f>
              <c:numCache>
                <c:formatCode>0.0%</c:formatCode>
                <c:ptCount val="46"/>
                <c:pt idx="0">
                  <c:v>-1.4E-2</c:v>
                </c:pt>
                <c:pt idx="1">
                  <c:v>-1.2E-2</c:v>
                </c:pt>
                <c:pt idx="2">
                  <c:v>-1.2E-2</c:v>
                </c:pt>
                <c:pt idx="3">
                  <c:v>-1.4999999999999999E-2</c:v>
                </c:pt>
                <c:pt idx="4">
                  <c:v>-1.7999999999999999E-2</c:v>
                </c:pt>
                <c:pt idx="5">
                  <c:v>-1.6E-2</c:v>
                </c:pt>
                <c:pt idx="6">
                  <c:v>-1.4E-2</c:v>
                </c:pt>
                <c:pt idx="7">
                  <c:v>-1.2E-2</c:v>
                </c:pt>
                <c:pt idx="8">
                  <c:v>-1.0999999999999999E-2</c:v>
                </c:pt>
                <c:pt idx="9">
                  <c:v>-0.01</c:v>
                </c:pt>
                <c:pt idx="10">
                  <c:v>-1.2E-2</c:v>
                </c:pt>
                <c:pt idx="11">
                  <c:v>-1.4999999999999999E-2</c:v>
                </c:pt>
                <c:pt idx="12">
                  <c:v>-1.7999999999999999E-2</c:v>
                </c:pt>
                <c:pt idx="13">
                  <c:v>-0.02</c:v>
                </c:pt>
                <c:pt idx="14">
                  <c:v>-2.1999999999999999E-2</c:v>
                </c:pt>
                <c:pt idx="15">
                  <c:v>-2.4E-2</c:v>
                </c:pt>
                <c:pt idx="16">
                  <c:v>-2.5999999999999999E-2</c:v>
                </c:pt>
                <c:pt idx="17">
                  <c:v>-2.9000000000000001E-2</c:v>
                </c:pt>
                <c:pt idx="18">
                  <c:v>-3.1E-2</c:v>
                </c:pt>
                <c:pt idx="19">
                  <c:v>-3.3000000000000002E-2</c:v>
                </c:pt>
                <c:pt idx="20">
                  <c:v>-3.5000000000000003E-2</c:v>
                </c:pt>
                <c:pt idx="21">
                  <c:v>-3.5000000000000003E-2</c:v>
                </c:pt>
                <c:pt idx="22">
                  <c:v>-3.5999999999999997E-2</c:v>
                </c:pt>
                <c:pt idx="23">
                  <c:v>-3.5999999999999997E-2</c:v>
                </c:pt>
                <c:pt idx="24">
                  <c:v>-3.5999999999999997E-2</c:v>
                </c:pt>
                <c:pt idx="25">
                  <c:v>-3.5999999999999997E-2</c:v>
                </c:pt>
                <c:pt idx="26">
                  <c:v>-3.6999999999999998E-2</c:v>
                </c:pt>
                <c:pt idx="27">
                  <c:v>-3.6999999999999998E-2</c:v>
                </c:pt>
                <c:pt idx="28">
                  <c:v>-3.7999999999999999E-2</c:v>
                </c:pt>
                <c:pt idx="29">
                  <c:v>-3.9E-2</c:v>
                </c:pt>
                <c:pt idx="30">
                  <c:v>-0.04</c:v>
                </c:pt>
                <c:pt idx="31">
                  <c:v>-4.1000000000000002E-2</c:v>
                </c:pt>
                <c:pt idx="32">
                  <c:v>-4.1000000000000002E-2</c:v>
                </c:pt>
                <c:pt idx="33">
                  <c:v>-4.2000000000000003E-2</c:v>
                </c:pt>
                <c:pt idx="34">
                  <c:v>-4.2000000000000003E-2</c:v>
                </c:pt>
                <c:pt idx="35">
                  <c:v>-4.2999999999999997E-2</c:v>
                </c:pt>
                <c:pt idx="36">
                  <c:v>-4.3999999999999997E-2</c:v>
                </c:pt>
                <c:pt idx="37">
                  <c:v>-4.3999999999999997E-2</c:v>
                </c:pt>
                <c:pt idx="38">
                  <c:v>-4.4999999999999998E-2</c:v>
                </c:pt>
                <c:pt idx="39">
                  <c:v>-4.4999999999999998E-2</c:v>
                </c:pt>
                <c:pt idx="40">
                  <c:v>-4.4999999999999998E-2</c:v>
                </c:pt>
                <c:pt idx="41">
                  <c:v>-4.4999999999999998E-2</c:v>
                </c:pt>
                <c:pt idx="42">
                  <c:v>-4.5999999999999999E-2</c:v>
                </c:pt>
                <c:pt idx="43">
                  <c:v>-4.5999999999999999E-2</c:v>
                </c:pt>
                <c:pt idx="44">
                  <c:v>-4.7E-2</c:v>
                </c:pt>
                <c:pt idx="45">
                  <c:v>-4.8000000000000001E-2</c:v>
                </c:pt>
              </c:numCache>
            </c:numRef>
          </c:val>
          <c:smooth val="0"/>
          <c:extLst>
            <c:ext xmlns:c16="http://schemas.microsoft.com/office/drawing/2014/chart" uri="{C3380CC4-5D6E-409C-BE32-E72D297353CC}">
              <c16:uniqueId val="{00000004-9367-4AE9-A317-A13FD4F24FAA}"/>
            </c:ext>
          </c:extLst>
        </c:ser>
        <c:dLbls>
          <c:showLegendKey val="0"/>
          <c:showVal val="0"/>
          <c:showCatName val="0"/>
          <c:showSerName val="0"/>
          <c:showPercent val="0"/>
          <c:showBubbleSize val="0"/>
        </c:dLbls>
        <c:marker val="1"/>
        <c:smooth val="0"/>
        <c:axId val="146329984"/>
        <c:axId val="146332672"/>
      </c:lineChart>
      <c:catAx>
        <c:axId val="146329984"/>
        <c:scaling>
          <c:orientation val="minMax"/>
        </c:scaling>
        <c:delete val="0"/>
        <c:axPos val="b"/>
        <c:numFmt formatCode="General" sourceLinked="1"/>
        <c:majorTickMark val="out"/>
        <c:minorTickMark val="none"/>
        <c:tickLblPos val="low"/>
        <c:txPr>
          <a:bodyPr rot="-5400000" vert="horz"/>
          <a:lstStyle/>
          <a:p>
            <a:pPr>
              <a:defRPr/>
            </a:pPr>
            <a:endParaRPr lang="fr-FR"/>
          </a:p>
        </c:txPr>
        <c:crossAx val="146332672"/>
        <c:crosses val="autoZero"/>
        <c:auto val="1"/>
        <c:lblAlgn val="ctr"/>
        <c:lblOffset val="100"/>
        <c:tickLblSkip val="10"/>
        <c:noMultiLvlLbl val="0"/>
      </c:catAx>
      <c:valAx>
        <c:axId val="146332672"/>
        <c:scaling>
          <c:orientation val="minMax"/>
          <c:max val="6.0000000000000012E-2"/>
          <c:min val="-6.0000000000000012E-2"/>
        </c:scaling>
        <c:delete val="0"/>
        <c:axPos val="l"/>
        <c:majorGridlines/>
        <c:title>
          <c:tx>
            <c:rich>
              <a:bodyPr rot="-5400000" vert="horz"/>
              <a:lstStyle/>
              <a:p>
                <a:pPr>
                  <a:defRPr/>
                </a:pPr>
                <a:r>
                  <a:rPr lang="en-US"/>
                  <a:t>en points de %</a:t>
                </a:r>
              </a:p>
            </c:rich>
          </c:tx>
          <c:overlay val="0"/>
        </c:title>
        <c:numFmt formatCode="0%" sourceLinked="0"/>
        <c:majorTickMark val="out"/>
        <c:minorTickMark val="none"/>
        <c:tickLblPos val="nextTo"/>
        <c:crossAx val="146329984"/>
        <c:crosses val="autoZero"/>
        <c:crossBetween val="between"/>
        <c:majorUnit val="2.0000000000000004E-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75801282051281"/>
          <c:y val="3.2064285714285712E-2"/>
          <c:w val="0.70520192307692309"/>
          <c:h val="0.6988388888888889"/>
        </c:manualLayout>
      </c:layout>
      <c:lineChart>
        <c:grouping val="standard"/>
        <c:varyColors val="0"/>
        <c:ser>
          <c:idx val="0"/>
          <c:order val="0"/>
          <c:tx>
            <c:strRef>
              <c:f>'Fig 2.11'!$C$57</c:f>
              <c:strCache>
                <c:ptCount val="1"/>
                <c:pt idx="0">
                  <c:v>A'</c:v>
                </c:pt>
              </c:strCache>
            </c:strRef>
          </c:tx>
          <c:spPr>
            <a:ln w="22225">
              <a:solidFill>
                <a:schemeClr val="tx1"/>
              </a:solidFill>
            </a:ln>
          </c:spPr>
          <c:marker>
            <c:symbol val="x"/>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2.11'!$D$57:$AW$57</c:f>
              <c:numCache>
                <c:formatCode>0.0%</c:formatCode>
                <c:ptCount val="46"/>
                <c:pt idx="0">
                  <c:v>8.9999999999999993E-3</c:v>
                </c:pt>
                <c:pt idx="1">
                  <c:v>8.0000000000000002E-3</c:v>
                </c:pt>
                <c:pt idx="2">
                  <c:v>8.0000000000000002E-3</c:v>
                </c:pt>
                <c:pt idx="3">
                  <c:v>0.01</c:v>
                </c:pt>
                <c:pt idx="4">
                  <c:v>1.0999999999999999E-2</c:v>
                </c:pt>
                <c:pt idx="5">
                  <c:v>0.01</c:v>
                </c:pt>
                <c:pt idx="6">
                  <c:v>8.0000000000000002E-3</c:v>
                </c:pt>
                <c:pt idx="7">
                  <c:v>5.0000000000000001E-3</c:v>
                </c:pt>
                <c:pt idx="8">
                  <c:v>3.0000000000000001E-3</c:v>
                </c:pt>
                <c:pt idx="9">
                  <c:v>0</c:v>
                </c:pt>
                <c:pt idx="10">
                  <c:v>-1E-3</c:v>
                </c:pt>
                <c:pt idx="11">
                  <c:v>-3.0000000000000001E-3</c:v>
                </c:pt>
                <c:pt idx="12">
                  <c:v>-5.0000000000000001E-3</c:v>
                </c:pt>
                <c:pt idx="13">
                  <c:v>-7.0000000000000001E-3</c:v>
                </c:pt>
                <c:pt idx="14">
                  <c:v>-8.0000000000000002E-3</c:v>
                </c:pt>
                <c:pt idx="15">
                  <c:v>-8.9999999999999993E-3</c:v>
                </c:pt>
                <c:pt idx="16">
                  <c:v>-0.01</c:v>
                </c:pt>
                <c:pt idx="17">
                  <c:v>-1.0999999999999999E-2</c:v>
                </c:pt>
                <c:pt idx="18">
                  <c:v>-1.2E-2</c:v>
                </c:pt>
                <c:pt idx="19">
                  <c:v>-1.2999999999999999E-2</c:v>
                </c:pt>
                <c:pt idx="20">
                  <c:v>-1.4E-2</c:v>
                </c:pt>
                <c:pt idx="21">
                  <c:v>-1.4999999999999999E-2</c:v>
                </c:pt>
                <c:pt idx="22">
                  <c:v>-1.7000000000000001E-2</c:v>
                </c:pt>
                <c:pt idx="23">
                  <c:v>-1.9E-2</c:v>
                </c:pt>
                <c:pt idx="24">
                  <c:v>-2.1000000000000001E-2</c:v>
                </c:pt>
                <c:pt idx="25">
                  <c:v>-2.3E-2</c:v>
                </c:pt>
                <c:pt idx="26">
                  <c:v>-2.4E-2</c:v>
                </c:pt>
                <c:pt idx="27">
                  <c:v>-2.5000000000000001E-2</c:v>
                </c:pt>
                <c:pt idx="28">
                  <c:v>-2.7E-2</c:v>
                </c:pt>
                <c:pt idx="29">
                  <c:v>-2.8000000000000001E-2</c:v>
                </c:pt>
                <c:pt idx="30">
                  <c:v>-2.9000000000000001E-2</c:v>
                </c:pt>
                <c:pt idx="31">
                  <c:v>-0.03</c:v>
                </c:pt>
                <c:pt idx="32">
                  <c:v>-3.1E-2</c:v>
                </c:pt>
                <c:pt idx="33">
                  <c:v>-3.2000000000000001E-2</c:v>
                </c:pt>
                <c:pt idx="34">
                  <c:v>-3.3000000000000002E-2</c:v>
                </c:pt>
                <c:pt idx="35">
                  <c:v>-3.3000000000000002E-2</c:v>
                </c:pt>
                <c:pt idx="36">
                  <c:v>-3.4000000000000002E-2</c:v>
                </c:pt>
                <c:pt idx="37">
                  <c:v>-3.5000000000000003E-2</c:v>
                </c:pt>
                <c:pt idx="38">
                  <c:v>-3.5999999999999997E-2</c:v>
                </c:pt>
                <c:pt idx="39">
                  <c:v>-3.6999999999999998E-2</c:v>
                </c:pt>
                <c:pt idx="40">
                  <c:v>-3.6999999999999998E-2</c:v>
                </c:pt>
                <c:pt idx="41">
                  <c:v>-3.7999999999999999E-2</c:v>
                </c:pt>
                <c:pt idx="42">
                  <c:v>-3.9E-2</c:v>
                </c:pt>
                <c:pt idx="43">
                  <c:v>-3.9E-2</c:v>
                </c:pt>
                <c:pt idx="44">
                  <c:v>-3.9E-2</c:v>
                </c:pt>
                <c:pt idx="45">
                  <c:v>-0.04</c:v>
                </c:pt>
              </c:numCache>
            </c:numRef>
          </c:val>
          <c:smooth val="0"/>
          <c:extLst>
            <c:ext xmlns:c16="http://schemas.microsoft.com/office/drawing/2014/chart" uri="{C3380CC4-5D6E-409C-BE32-E72D297353CC}">
              <c16:uniqueId val="{00000000-204B-4E0F-8F6F-E7F32FB7B195}"/>
            </c:ext>
          </c:extLst>
        </c:ser>
        <c:ser>
          <c:idx val="1"/>
          <c:order val="1"/>
          <c:tx>
            <c:strRef>
              <c:f>'Fig 2.11'!$C$58</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2.11'!$D$58:$AW$58</c:f>
              <c:numCache>
                <c:formatCode>0.0%</c:formatCode>
                <c:ptCount val="46"/>
                <c:pt idx="0">
                  <c:v>8.9999999999999993E-3</c:v>
                </c:pt>
                <c:pt idx="1">
                  <c:v>8.0000000000000002E-3</c:v>
                </c:pt>
                <c:pt idx="2">
                  <c:v>8.0000000000000002E-3</c:v>
                </c:pt>
                <c:pt idx="3">
                  <c:v>0.01</c:v>
                </c:pt>
                <c:pt idx="4">
                  <c:v>1.0999999999999999E-2</c:v>
                </c:pt>
                <c:pt idx="5">
                  <c:v>0.01</c:v>
                </c:pt>
                <c:pt idx="6">
                  <c:v>8.0000000000000002E-3</c:v>
                </c:pt>
                <c:pt idx="7">
                  <c:v>6.0000000000000001E-3</c:v>
                </c:pt>
                <c:pt idx="8">
                  <c:v>3.0000000000000001E-3</c:v>
                </c:pt>
                <c:pt idx="9">
                  <c:v>1E-3</c:v>
                </c:pt>
                <c:pt idx="10">
                  <c:v>0</c:v>
                </c:pt>
                <c:pt idx="11">
                  <c:v>-2E-3</c:v>
                </c:pt>
                <c:pt idx="12">
                  <c:v>-4.0000000000000001E-3</c:v>
                </c:pt>
                <c:pt idx="13">
                  <c:v>-5.0000000000000001E-3</c:v>
                </c:pt>
                <c:pt idx="14">
                  <c:v>-5.0000000000000001E-3</c:v>
                </c:pt>
                <c:pt idx="15">
                  <c:v>-6.0000000000000001E-3</c:v>
                </c:pt>
                <c:pt idx="16">
                  <c:v>-6.0000000000000001E-3</c:v>
                </c:pt>
                <c:pt idx="17">
                  <c:v>-6.0000000000000001E-3</c:v>
                </c:pt>
                <c:pt idx="18">
                  <c:v>-7.0000000000000001E-3</c:v>
                </c:pt>
                <c:pt idx="19">
                  <c:v>-7.0000000000000001E-3</c:v>
                </c:pt>
                <c:pt idx="20">
                  <c:v>-8.0000000000000002E-3</c:v>
                </c:pt>
                <c:pt idx="21">
                  <c:v>-8.9999999999999993E-3</c:v>
                </c:pt>
                <c:pt idx="22">
                  <c:v>-0.01</c:v>
                </c:pt>
                <c:pt idx="23">
                  <c:v>-1.2E-2</c:v>
                </c:pt>
                <c:pt idx="24">
                  <c:v>-1.4E-2</c:v>
                </c:pt>
                <c:pt idx="25">
                  <c:v>-1.4999999999999999E-2</c:v>
                </c:pt>
                <c:pt idx="26">
                  <c:v>-1.6E-2</c:v>
                </c:pt>
                <c:pt idx="27">
                  <c:v>-1.7000000000000001E-2</c:v>
                </c:pt>
                <c:pt idx="28">
                  <c:v>-1.7999999999999999E-2</c:v>
                </c:pt>
                <c:pt idx="29">
                  <c:v>-1.7999999999999999E-2</c:v>
                </c:pt>
                <c:pt idx="30">
                  <c:v>-1.9E-2</c:v>
                </c:pt>
                <c:pt idx="31">
                  <c:v>-0.02</c:v>
                </c:pt>
                <c:pt idx="32">
                  <c:v>-2.1000000000000001E-2</c:v>
                </c:pt>
                <c:pt idx="33">
                  <c:v>-2.1000000000000001E-2</c:v>
                </c:pt>
                <c:pt idx="34">
                  <c:v>-2.1999999999999999E-2</c:v>
                </c:pt>
                <c:pt idx="35">
                  <c:v>-2.3E-2</c:v>
                </c:pt>
                <c:pt idx="36">
                  <c:v>-2.3E-2</c:v>
                </c:pt>
                <c:pt idx="37">
                  <c:v>-2.4E-2</c:v>
                </c:pt>
                <c:pt idx="38">
                  <c:v>-2.4E-2</c:v>
                </c:pt>
                <c:pt idx="39">
                  <c:v>-2.5000000000000001E-2</c:v>
                </c:pt>
                <c:pt idx="40">
                  <c:v>-2.5999999999999999E-2</c:v>
                </c:pt>
                <c:pt idx="41">
                  <c:v>-2.5999999999999999E-2</c:v>
                </c:pt>
                <c:pt idx="42">
                  <c:v>-2.5999999999999999E-2</c:v>
                </c:pt>
                <c:pt idx="43">
                  <c:v>-2.7E-2</c:v>
                </c:pt>
                <c:pt idx="44">
                  <c:v>-2.7E-2</c:v>
                </c:pt>
                <c:pt idx="45">
                  <c:v>-2.7E-2</c:v>
                </c:pt>
              </c:numCache>
            </c:numRef>
          </c:val>
          <c:smooth val="0"/>
          <c:extLst>
            <c:ext xmlns:c16="http://schemas.microsoft.com/office/drawing/2014/chart" uri="{C3380CC4-5D6E-409C-BE32-E72D297353CC}">
              <c16:uniqueId val="{00000001-204B-4E0F-8F6F-E7F32FB7B195}"/>
            </c:ext>
          </c:extLst>
        </c:ser>
        <c:ser>
          <c:idx val="2"/>
          <c:order val="2"/>
          <c:tx>
            <c:strRef>
              <c:f>'Fig 2.11'!$C$59</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2.11'!$D$59:$AW$59</c:f>
              <c:numCache>
                <c:formatCode>0.0%</c:formatCode>
                <c:ptCount val="46"/>
                <c:pt idx="0">
                  <c:v>8.9999999999999993E-3</c:v>
                </c:pt>
                <c:pt idx="1">
                  <c:v>8.0000000000000002E-3</c:v>
                </c:pt>
                <c:pt idx="2">
                  <c:v>8.0000000000000002E-3</c:v>
                </c:pt>
                <c:pt idx="3">
                  <c:v>0.01</c:v>
                </c:pt>
                <c:pt idx="4">
                  <c:v>1.0999999999999999E-2</c:v>
                </c:pt>
                <c:pt idx="5">
                  <c:v>0.01</c:v>
                </c:pt>
                <c:pt idx="6">
                  <c:v>8.0000000000000002E-3</c:v>
                </c:pt>
                <c:pt idx="7">
                  <c:v>6.0000000000000001E-3</c:v>
                </c:pt>
                <c:pt idx="8">
                  <c:v>5.0000000000000001E-3</c:v>
                </c:pt>
                <c:pt idx="9">
                  <c:v>3.0000000000000001E-3</c:v>
                </c:pt>
                <c:pt idx="10">
                  <c:v>2E-3</c:v>
                </c:pt>
                <c:pt idx="11">
                  <c:v>2E-3</c:v>
                </c:pt>
                <c:pt idx="12">
                  <c:v>1E-3</c:v>
                </c:pt>
                <c:pt idx="13">
                  <c:v>1E-3</c:v>
                </c:pt>
                <c:pt idx="14">
                  <c:v>0</c:v>
                </c:pt>
                <c:pt idx="15">
                  <c:v>-1E-3</c:v>
                </c:pt>
                <c:pt idx="16">
                  <c:v>-1E-3</c:v>
                </c:pt>
                <c:pt idx="17">
                  <c:v>-1E-3</c:v>
                </c:pt>
                <c:pt idx="18">
                  <c:v>-1E-3</c:v>
                </c:pt>
                <c:pt idx="19">
                  <c:v>0</c:v>
                </c:pt>
                <c:pt idx="20">
                  <c:v>0</c:v>
                </c:pt>
                <c:pt idx="21">
                  <c:v>-1E-3</c:v>
                </c:pt>
                <c:pt idx="22">
                  <c:v>-1E-3</c:v>
                </c:pt>
                <c:pt idx="23">
                  <c:v>-2E-3</c:v>
                </c:pt>
                <c:pt idx="24">
                  <c:v>-3.0000000000000001E-3</c:v>
                </c:pt>
                <c:pt idx="25">
                  <c:v>-4.0000000000000001E-3</c:v>
                </c:pt>
                <c:pt idx="26">
                  <c:v>-5.0000000000000001E-3</c:v>
                </c:pt>
                <c:pt idx="27">
                  <c:v>-5.0000000000000001E-3</c:v>
                </c:pt>
                <c:pt idx="28">
                  <c:v>-5.0000000000000001E-3</c:v>
                </c:pt>
                <c:pt idx="29">
                  <c:v>-5.0000000000000001E-3</c:v>
                </c:pt>
                <c:pt idx="30">
                  <c:v>-6.0000000000000001E-3</c:v>
                </c:pt>
                <c:pt idx="31">
                  <c:v>-6.0000000000000001E-3</c:v>
                </c:pt>
                <c:pt idx="32">
                  <c:v>-6.0000000000000001E-3</c:v>
                </c:pt>
                <c:pt idx="33">
                  <c:v>-6.0000000000000001E-3</c:v>
                </c:pt>
                <c:pt idx="34">
                  <c:v>-7.0000000000000001E-3</c:v>
                </c:pt>
                <c:pt idx="35">
                  <c:v>-7.0000000000000001E-3</c:v>
                </c:pt>
                <c:pt idx="36">
                  <c:v>-7.0000000000000001E-3</c:v>
                </c:pt>
                <c:pt idx="37">
                  <c:v>-7.0000000000000001E-3</c:v>
                </c:pt>
                <c:pt idx="38">
                  <c:v>-7.0000000000000001E-3</c:v>
                </c:pt>
                <c:pt idx="39">
                  <c:v>-8.0000000000000002E-3</c:v>
                </c:pt>
                <c:pt idx="40">
                  <c:v>-8.0000000000000002E-3</c:v>
                </c:pt>
                <c:pt idx="41">
                  <c:v>-8.0000000000000002E-3</c:v>
                </c:pt>
                <c:pt idx="42">
                  <c:v>-8.0000000000000002E-3</c:v>
                </c:pt>
                <c:pt idx="43">
                  <c:v>-8.0000000000000002E-3</c:v>
                </c:pt>
                <c:pt idx="44">
                  <c:v>-8.0000000000000002E-3</c:v>
                </c:pt>
                <c:pt idx="45">
                  <c:v>-8.0000000000000002E-3</c:v>
                </c:pt>
              </c:numCache>
            </c:numRef>
          </c:val>
          <c:smooth val="0"/>
          <c:extLst>
            <c:ext xmlns:c16="http://schemas.microsoft.com/office/drawing/2014/chart" uri="{C3380CC4-5D6E-409C-BE32-E72D297353CC}">
              <c16:uniqueId val="{00000002-204B-4E0F-8F6F-E7F32FB7B195}"/>
            </c:ext>
          </c:extLst>
        </c:ser>
        <c:ser>
          <c:idx val="3"/>
          <c:order val="3"/>
          <c:tx>
            <c:strRef>
              <c:f>'Fig 2.11'!$C$60</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2.11'!$D$60:$AW$60</c:f>
              <c:numCache>
                <c:formatCode>0.0%</c:formatCode>
                <c:ptCount val="46"/>
                <c:pt idx="0">
                  <c:v>8.9999999999999993E-3</c:v>
                </c:pt>
                <c:pt idx="1">
                  <c:v>8.0000000000000002E-3</c:v>
                </c:pt>
                <c:pt idx="2">
                  <c:v>8.0000000000000002E-3</c:v>
                </c:pt>
                <c:pt idx="3">
                  <c:v>0.01</c:v>
                </c:pt>
                <c:pt idx="4">
                  <c:v>1.2E-2</c:v>
                </c:pt>
                <c:pt idx="5">
                  <c:v>0.01</c:v>
                </c:pt>
                <c:pt idx="6">
                  <c:v>8.0000000000000002E-3</c:v>
                </c:pt>
                <c:pt idx="7">
                  <c:v>6.0000000000000001E-3</c:v>
                </c:pt>
                <c:pt idx="8">
                  <c:v>5.0000000000000001E-3</c:v>
                </c:pt>
                <c:pt idx="9">
                  <c:v>3.0000000000000001E-3</c:v>
                </c:pt>
                <c:pt idx="10">
                  <c:v>4.0000000000000001E-3</c:v>
                </c:pt>
                <c:pt idx="11">
                  <c:v>5.0000000000000001E-3</c:v>
                </c:pt>
                <c:pt idx="12">
                  <c:v>6.0000000000000001E-3</c:v>
                </c:pt>
                <c:pt idx="13">
                  <c:v>6.0000000000000001E-3</c:v>
                </c:pt>
                <c:pt idx="14">
                  <c:v>7.0000000000000001E-3</c:v>
                </c:pt>
                <c:pt idx="15">
                  <c:v>8.0000000000000002E-3</c:v>
                </c:pt>
                <c:pt idx="16">
                  <c:v>8.9999999999999993E-3</c:v>
                </c:pt>
                <c:pt idx="17">
                  <c:v>0.01</c:v>
                </c:pt>
                <c:pt idx="18">
                  <c:v>0.01</c:v>
                </c:pt>
                <c:pt idx="19">
                  <c:v>1.0999999999999999E-2</c:v>
                </c:pt>
                <c:pt idx="20">
                  <c:v>1.2E-2</c:v>
                </c:pt>
                <c:pt idx="21">
                  <c:v>1.2E-2</c:v>
                </c:pt>
                <c:pt idx="22">
                  <c:v>1.2E-2</c:v>
                </c:pt>
                <c:pt idx="23">
                  <c:v>1.0999999999999999E-2</c:v>
                </c:pt>
                <c:pt idx="24">
                  <c:v>0.01</c:v>
                </c:pt>
                <c:pt idx="25">
                  <c:v>0.01</c:v>
                </c:pt>
                <c:pt idx="26">
                  <c:v>0.01</c:v>
                </c:pt>
                <c:pt idx="27">
                  <c:v>0.01</c:v>
                </c:pt>
                <c:pt idx="28">
                  <c:v>0.01</c:v>
                </c:pt>
                <c:pt idx="29">
                  <c:v>0.01</c:v>
                </c:pt>
                <c:pt idx="30">
                  <c:v>0.01</c:v>
                </c:pt>
                <c:pt idx="31">
                  <c:v>0.01</c:v>
                </c:pt>
                <c:pt idx="32">
                  <c:v>0.01</c:v>
                </c:pt>
                <c:pt idx="33">
                  <c:v>0.01</c:v>
                </c:pt>
                <c:pt idx="34">
                  <c:v>0.01</c:v>
                </c:pt>
                <c:pt idx="35">
                  <c:v>0.01</c:v>
                </c:pt>
                <c:pt idx="36">
                  <c:v>0.01</c:v>
                </c:pt>
                <c:pt idx="37">
                  <c:v>0.01</c:v>
                </c:pt>
                <c:pt idx="38">
                  <c:v>0.01</c:v>
                </c:pt>
                <c:pt idx="39">
                  <c:v>0.01</c:v>
                </c:pt>
                <c:pt idx="40">
                  <c:v>0.01</c:v>
                </c:pt>
                <c:pt idx="41">
                  <c:v>0.01</c:v>
                </c:pt>
                <c:pt idx="42">
                  <c:v>0.01</c:v>
                </c:pt>
                <c:pt idx="43">
                  <c:v>0.01</c:v>
                </c:pt>
                <c:pt idx="44">
                  <c:v>0.01</c:v>
                </c:pt>
                <c:pt idx="45">
                  <c:v>1.0999999999999999E-2</c:v>
                </c:pt>
              </c:numCache>
            </c:numRef>
          </c:val>
          <c:smooth val="0"/>
          <c:extLst>
            <c:ext xmlns:c16="http://schemas.microsoft.com/office/drawing/2014/chart" uri="{C3380CC4-5D6E-409C-BE32-E72D297353CC}">
              <c16:uniqueId val="{00000003-204B-4E0F-8F6F-E7F32FB7B195}"/>
            </c:ext>
          </c:extLst>
        </c:ser>
        <c:ser>
          <c:idx val="4"/>
          <c:order val="4"/>
          <c:tx>
            <c:strRef>
              <c:f>'Fig 2.11'!$C$61</c:f>
              <c:strCache>
                <c:ptCount val="1"/>
                <c:pt idx="0">
                  <c:v>C'</c:v>
                </c:pt>
              </c:strCache>
            </c:strRef>
          </c:tx>
          <c:spPr>
            <a:ln w="22225">
              <a:solidFill>
                <a:schemeClr val="tx1"/>
              </a:solidFill>
            </a:ln>
          </c:spPr>
          <c:marker>
            <c:symbol val="star"/>
            <c:size val="4"/>
            <c:spPr>
              <a:noFill/>
              <a:ln>
                <a:solidFill>
                  <a:schemeClr val="tx1"/>
                </a:solidFill>
              </a:ln>
            </c:spPr>
          </c:marker>
          <c:cat>
            <c:numRef>
              <c:f>'Fig 2.11'!$D$3:$AW$3</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'Fig 2.11'!$D$61:$AW$61</c:f>
              <c:numCache>
                <c:formatCode>0.0%</c:formatCode>
                <c:ptCount val="46"/>
                <c:pt idx="0">
                  <c:v>8.9999999999999993E-3</c:v>
                </c:pt>
                <c:pt idx="1">
                  <c:v>8.0000000000000002E-3</c:v>
                </c:pt>
                <c:pt idx="2">
                  <c:v>8.0000000000000002E-3</c:v>
                </c:pt>
                <c:pt idx="3">
                  <c:v>0.01</c:v>
                </c:pt>
                <c:pt idx="4">
                  <c:v>1.2E-2</c:v>
                </c:pt>
                <c:pt idx="5">
                  <c:v>0.01</c:v>
                </c:pt>
                <c:pt idx="6">
                  <c:v>8.9999999999999993E-3</c:v>
                </c:pt>
                <c:pt idx="7">
                  <c:v>8.0000000000000002E-3</c:v>
                </c:pt>
                <c:pt idx="8">
                  <c:v>7.0000000000000001E-3</c:v>
                </c:pt>
                <c:pt idx="9">
                  <c:v>6.0000000000000001E-3</c:v>
                </c:pt>
                <c:pt idx="10">
                  <c:v>8.0000000000000002E-3</c:v>
                </c:pt>
                <c:pt idx="11">
                  <c:v>0.01</c:v>
                </c:pt>
                <c:pt idx="12">
                  <c:v>1.0999999999999999E-2</c:v>
                </c:pt>
                <c:pt idx="13">
                  <c:v>1.2999999999999999E-2</c:v>
                </c:pt>
                <c:pt idx="14">
                  <c:v>1.4999999999999999E-2</c:v>
                </c:pt>
                <c:pt idx="15">
                  <c:v>1.6E-2</c:v>
                </c:pt>
                <c:pt idx="16">
                  <c:v>1.7999999999999999E-2</c:v>
                </c:pt>
                <c:pt idx="17">
                  <c:v>0.02</c:v>
                </c:pt>
                <c:pt idx="18">
                  <c:v>2.1000000000000001E-2</c:v>
                </c:pt>
                <c:pt idx="19">
                  <c:v>2.3E-2</c:v>
                </c:pt>
                <c:pt idx="20">
                  <c:v>2.4E-2</c:v>
                </c:pt>
                <c:pt idx="21">
                  <c:v>2.5000000000000001E-2</c:v>
                </c:pt>
                <c:pt idx="22">
                  <c:v>2.5000000000000001E-2</c:v>
                </c:pt>
                <c:pt idx="23">
                  <c:v>2.5000000000000001E-2</c:v>
                </c:pt>
                <c:pt idx="24">
                  <c:v>2.5999999999999999E-2</c:v>
                </c:pt>
                <c:pt idx="25">
                  <c:v>2.5999999999999999E-2</c:v>
                </c:pt>
                <c:pt idx="26">
                  <c:v>2.5999999999999999E-2</c:v>
                </c:pt>
                <c:pt idx="27">
                  <c:v>2.7E-2</c:v>
                </c:pt>
                <c:pt idx="28">
                  <c:v>2.8000000000000001E-2</c:v>
                </c:pt>
                <c:pt idx="29">
                  <c:v>2.8000000000000001E-2</c:v>
                </c:pt>
                <c:pt idx="30">
                  <c:v>2.9000000000000001E-2</c:v>
                </c:pt>
                <c:pt idx="31">
                  <c:v>0.03</c:v>
                </c:pt>
                <c:pt idx="32">
                  <c:v>0.03</c:v>
                </c:pt>
                <c:pt idx="33">
                  <c:v>3.1E-2</c:v>
                </c:pt>
                <c:pt idx="34">
                  <c:v>3.1E-2</c:v>
                </c:pt>
                <c:pt idx="35">
                  <c:v>3.2000000000000001E-2</c:v>
                </c:pt>
                <c:pt idx="36">
                  <c:v>3.2000000000000001E-2</c:v>
                </c:pt>
                <c:pt idx="37">
                  <c:v>3.3000000000000002E-2</c:v>
                </c:pt>
                <c:pt idx="38">
                  <c:v>3.3000000000000002E-2</c:v>
                </c:pt>
                <c:pt idx="39">
                  <c:v>3.3000000000000002E-2</c:v>
                </c:pt>
                <c:pt idx="40">
                  <c:v>3.4000000000000002E-2</c:v>
                </c:pt>
                <c:pt idx="41">
                  <c:v>3.4000000000000002E-2</c:v>
                </c:pt>
                <c:pt idx="42">
                  <c:v>3.4000000000000002E-2</c:v>
                </c:pt>
                <c:pt idx="43">
                  <c:v>3.5000000000000003E-2</c:v>
                </c:pt>
                <c:pt idx="44">
                  <c:v>3.5000000000000003E-2</c:v>
                </c:pt>
                <c:pt idx="45">
                  <c:v>3.5999999999999997E-2</c:v>
                </c:pt>
              </c:numCache>
            </c:numRef>
          </c:val>
          <c:smooth val="0"/>
          <c:extLst>
            <c:ext xmlns:c16="http://schemas.microsoft.com/office/drawing/2014/chart" uri="{C3380CC4-5D6E-409C-BE32-E72D297353CC}">
              <c16:uniqueId val="{00000004-204B-4E0F-8F6F-E7F32FB7B195}"/>
            </c:ext>
          </c:extLst>
        </c:ser>
        <c:dLbls>
          <c:showLegendKey val="0"/>
          <c:showVal val="0"/>
          <c:showCatName val="0"/>
          <c:showSerName val="0"/>
          <c:showPercent val="0"/>
          <c:showBubbleSize val="0"/>
        </c:dLbls>
        <c:marker val="1"/>
        <c:smooth val="0"/>
        <c:axId val="146762368"/>
        <c:axId val="146765312"/>
      </c:lineChart>
      <c:catAx>
        <c:axId val="146762368"/>
        <c:scaling>
          <c:orientation val="minMax"/>
        </c:scaling>
        <c:delete val="0"/>
        <c:axPos val="b"/>
        <c:numFmt formatCode="General" sourceLinked="1"/>
        <c:majorTickMark val="out"/>
        <c:minorTickMark val="none"/>
        <c:tickLblPos val="low"/>
        <c:txPr>
          <a:bodyPr rot="-5400000" vert="horz"/>
          <a:lstStyle/>
          <a:p>
            <a:pPr>
              <a:defRPr/>
            </a:pPr>
            <a:endParaRPr lang="fr-FR"/>
          </a:p>
        </c:txPr>
        <c:crossAx val="146765312"/>
        <c:crosses val="autoZero"/>
        <c:auto val="1"/>
        <c:lblAlgn val="ctr"/>
        <c:lblOffset val="100"/>
        <c:tickLblSkip val="10"/>
        <c:noMultiLvlLbl val="0"/>
      </c:catAx>
      <c:valAx>
        <c:axId val="146765312"/>
        <c:scaling>
          <c:orientation val="minMax"/>
          <c:max val="5.000000000000001E-2"/>
          <c:min val="-5.000000000000001E-2"/>
        </c:scaling>
        <c:delete val="0"/>
        <c:axPos val="l"/>
        <c:majorGridlines/>
        <c:title>
          <c:tx>
            <c:rich>
              <a:bodyPr rot="-5400000" vert="horz"/>
              <a:lstStyle/>
              <a:p>
                <a:pPr>
                  <a:defRPr/>
                </a:pPr>
                <a:r>
                  <a:rPr lang="en-US"/>
                  <a:t>en points de %</a:t>
                </a:r>
              </a:p>
            </c:rich>
          </c:tx>
          <c:layout>
            <c:manualLayout>
              <c:xMode val="edge"/>
              <c:yMode val="edge"/>
              <c:x val="0"/>
              <c:y val="0.197825"/>
            </c:manualLayout>
          </c:layout>
          <c:overlay val="0"/>
        </c:title>
        <c:numFmt formatCode="0%" sourceLinked="0"/>
        <c:majorTickMark val="out"/>
        <c:minorTickMark val="none"/>
        <c:tickLblPos val="nextTo"/>
        <c:crossAx val="146762368"/>
        <c:crosses val="autoZero"/>
        <c:crossBetween val="between"/>
        <c:majorUnit val="1.0000000000000002E-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05349764183406"/>
          <c:y val="3.0754761904761906E-2"/>
          <c:w val="0.84162963451939199"/>
          <c:h val="0.7267689814814815"/>
        </c:manualLayout>
      </c:layout>
      <c:lineChart>
        <c:grouping val="standard"/>
        <c:varyColors val="0"/>
        <c:ser>
          <c:idx val="0"/>
          <c:order val="0"/>
          <c:tx>
            <c:strRef>
              <c:f>'Fig 2.12'!$C$5</c:f>
              <c:strCache>
                <c:ptCount val="1"/>
                <c:pt idx="0">
                  <c:v>ensemble</c:v>
                </c:pt>
              </c:strCache>
            </c:strRef>
          </c:tx>
          <c:spPr>
            <a:ln w="31750">
              <a:solidFill>
                <a:schemeClr val="tx1"/>
              </a:solidFill>
            </a:ln>
          </c:spPr>
          <c:marker>
            <c:symbol val="none"/>
          </c:marker>
          <c:cat>
            <c:numRef>
              <c:f>'Fig 2.12'!$M$4:$U$4</c:f>
              <c:numCache>
                <c:formatCode>General</c:formatCode>
                <c:ptCount val="9"/>
                <c:pt idx="0">
                  <c:v>2005</c:v>
                </c:pt>
                <c:pt idx="1">
                  <c:v>2006</c:v>
                </c:pt>
                <c:pt idx="2">
                  <c:v>2007</c:v>
                </c:pt>
                <c:pt idx="3">
                  <c:v>2008</c:v>
                </c:pt>
                <c:pt idx="4">
                  <c:v>2009</c:v>
                </c:pt>
                <c:pt idx="5">
                  <c:v>2010</c:v>
                </c:pt>
                <c:pt idx="6">
                  <c:v>2011</c:v>
                </c:pt>
                <c:pt idx="7">
                  <c:v>2012</c:v>
                </c:pt>
                <c:pt idx="8">
                  <c:v>2013</c:v>
                </c:pt>
              </c:numCache>
            </c:numRef>
          </c:cat>
          <c:val>
            <c:numRef>
              <c:f>'Fig 2.12'!$M$5:$U$5</c:f>
              <c:numCache>
                <c:formatCode>0.0%</c:formatCode>
                <c:ptCount val="9"/>
                <c:pt idx="3">
                  <c:v>0.629</c:v>
                </c:pt>
                <c:pt idx="4">
                  <c:v>0.64300000000000002</c:v>
                </c:pt>
                <c:pt idx="5">
                  <c:v>0.63700000000000001</c:v>
                </c:pt>
                <c:pt idx="6">
                  <c:v>0.64900000000000002</c:v>
                </c:pt>
                <c:pt idx="7">
                  <c:v>0.65100000000000002</c:v>
                </c:pt>
                <c:pt idx="8">
                  <c:v>0.65900000000000003</c:v>
                </c:pt>
              </c:numCache>
            </c:numRef>
          </c:val>
          <c:smooth val="0"/>
          <c:extLst>
            <c:ext xmlns:c16="http://schemas.microsoft.com/office/drawing/2014/chart" uri="{C3380CC4-5D6E-409C-BE32-E72D297353CC}">
              <c16:uniqueId val="{00000000-A3B7-46FC-9B42-BCB844C94071}"/>
            </c:ext>
          </c:extLst>
        </c:ser>
        <c:ser>
          <c:idx val="1"/>
          <c:order val="1"/>
          <c:tx>
            <c:strRef>
              <c:f>'Fig 2.12'!$C$6</c:f>
              <c:strCache>
                <c:ptCount val="1"/>
                <c:pt idx="0">
                  <c:v>femmes</c:v>
                </c:pt>
              </c:strCache>
            </c:strRef>
          </c:tx>
          <c:spPr>
            <a:ln w="12700">
              <a:solidFill>
                <a:schemeClr val="tx1"/>
              </a:solidFill>
              <a:prstDash val="solid"/>
            </a:ln>
          </c:spPr>
          <c:marker>
            <c:symbol val="triangle"/>
            <c:size val="4"/>
            <c:spPr>
              <a:solidFill>
                <a:schemeClr val="bg1"/>
              </a:solidFill>
              <a:ln w="9525">
                <a:solidFill>
                  <a:schemeClr val="tx1"/>
                </a:solidFill>
              </a:ln>
            </c:spPr>
          </c:marker>
          <c:cat>
            <c:numRef>
              <c:f>'Fig 2.12'!$M$4:$U$4</c:f>
              <c:numCache>
                <c:formatCode>General</c:formatCode>
                <c:ptCount val="9"/>
                <c:pt idx="0">
                  <c:v>2005</c:v>
                </c:pt>
                <c:pt idx="1">
                  <c:v>2006</c:v>
                </c:pt>
                <c:pt idx="2">
                  <c:v>2007</c:v>
                </c:pt>
                <c:pt idx="3">
                  <c:v>2008</c:v>
                </c:pt>
                <c:pt idx="4">
                  <c:v>2009</c:v>
                </c:pt>
                <c:pt idx="5">
                  <c:v>2010</c:v>
                </c:pt>
                <c:pt idx="6">
                  <c:v>2011</c:v>
                </c:pt>
                <c:pt idx="7">
                  <c:v>2012</c:v>
                </c:pt>
                <c:pt idx="8">
                  <c:v>2013</c:v>
                </c:pt>
              </c:numCache>
            </c:numRef>
          </c:cat>
          <c:val>
            <c:numRef>
              <c:f>'Fig 2.12'!$M$6:$U$6</c:f>
              <c:numCache>
                <c:formatCode>0.0%</c:formatCode>
                <c:ptCount val="9"/>
                <c:pt idx="3">
                  <c:v>0.51100000000000001</c:v>
                </c:pt>
                <c:pt idx="4">
                  <c:v>0.52400000000000002</c:v>
                </c:pt>
                <c:pt idx="5">
                  <c:v>0.52200000000000002</c:v>
                </c:pt>
                <c:pt idx="6">
                  <c:v>0.52800000000000002</c:v>
                </c:pt>
                <c:pt idx="7">
                  <c:v>0.54</c:v>
                </c:pt>
                <c:pt idx="8">
                  <c:v>0.55100000000000005</c:v>
                </c:pt>
              </c:numCache>
            </c:numRef>
          </c:val>
          <c:smooth val="0"/>
          <c:extLst>
            <c:ext xmlns:c16="http://schemas.microsoft.com/office/drawing/2014/chart" uri="{C3380CC4-5D6E-409C-BE32-E72D297353CC}">
              <c16:uniqueId val="{00000001-A3B7-46FC-9B42-BCB844C94071}"/>
            </c:ext>
          </c:extLst>
        </c:ser>
        <c:ser>
          <c:idx val="2"/>
          <c:order val="2"/>
          <c:tx>
            <c:strRef>
              <c:f>'Fig 2.12'!$C$7</c:f>
              <c:strCache>
                <c:ptCount val="1"/>
                <c:pt idx="0">
                  <c:v>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2.12'!$M$4:$U$4</c:f>
              <c:numCache>
                <c:formatCode>General</c:formatCode>
                <c:ptCount val="9"/>
                <c:pt idx="0">
                  <c:v>2005</c:v>
                </c:pt>
                <c:pt idx="1">
                  <c:v>2006</c:v>
                </c:pt>
                <c:pt idx="2">
                  <c:v>2007</c:v>
                </c:pt>
                <c:pt idx="3">
                  <c:v>2008</c:v>
                </c:pt>
                <c:pt idx="4">
                  <c:v>2009</c:v>
                </c:pt>
                <c:pt idx="5">
                  <c:v>2010</c:v>
                </c:pt>
                <c:pt idx="6">
                  <c:v>2011</c:v>
                </c:pt>
                <c:pt idx="7">
                  <c:v>2012</c:v>
                </c:pt>
                <c:pt idx="8">
                  <c:v>2013</c:v>
                </c:pt>
              </c:numCache>
            </c:numRef>
          </c:cat>
          <c:val>
            <c:numRef>
              <c:f>'Fig 2.12'!$M$7:$U$7</c:f>
              <c:numCache>
                <c:formatCode>0.0%</c:formatCode>
                <c:ptCount val="9"/>
                <c:pt idx="3">
                  <c:v>0.76100000000000001</c:v>
                </c:pt>
                <c:pt idx="4">
                  <c:v>0.77800000000000002</c:v>
                </c:pt>
                <c:pt idx="5">
                  <c:v>0.77100000000000002</c:v>
                </c:pt>
                <c:pt idx="6">
                  <c:v>0.79</c:v>
                </c:pt>
                <c:pt idx="7">
                  <c:v>0.77900000000000003</c:v>
                </c:pt>
                <c:pt idx="8">
                  <c:v>0.78500000000000003</c:v>
                </c:pt>
              </c:numCache>
            </c:numRef>
          </c:val>
          <c:smooth val="0"/>
          <c:extLst>
            <c:ext xmlns:c16="http://schemas.microsoft.com/office/drawing/2014/chart" uri="{C3380CC4-5D6E-409C-BE32-E72D297353CC}">
              <c16:uniqueId val="{00000002-A3B7-46FC-9B42-BCB844C94071}"/>
            </c:ext>
          </c:extLst>
        </c:ser>
        <c:dLbls>
          <c:showLegendKey val="0"/>
          <c:showVal val="0"/>
          <c:showCatName val="0"/>
          <c:showSerName val="0"/>
          <c:showPercent val="0"/>
          <c:showBubbleSize val="0"/>
        </c:dLbls>
        <c:smooth val="0"/>
        <c:axId val="146788352"/>
        <c:axId val="146790656"/>
      </c:lineChart>
      <c:catAx>
        <c:axId val="146788352"/>
        <c:scaling>
          <c:orientation val="minMax"/>
        </c:scaling>
        <c:delete val="0"/>
        <c:axPos val="b"/>
        <c:title>
          <c:tx>
            <c:rich>
              <a:bodyPr/>
              <a:lstStyle/>
              <a:p>
                <a:pPr>
                  <a:defRPr/>
                </a:pPr>
                <a:r>
                  <a:rPr lang="fr-FR"/>
                  <a:t>année</a:t>
                </a:r>
              </a:p>
            </c:rich>
          </c:tx>
          <c:layout>
            <c:manualLayout>
              <c:xMode val="edge"/>
              <c:yMode val="edge"/>
              <c:x val="0.84245904558404561"/>
              <c:y val="0.67570416666666666"/>
            </c:manualLayout>
          </c:layout>
          <c:overlay val="0"/>
        </c:title>
        <c:numFmt formatCode="General" sourceLinked="1"/>
        <c:majorTickMark val="out"/>
        <c:minorTickMark val="none"/>
        <c:tickLblPos val="nextTo"/>
        <c:txPr>
          <a:bodyPr rot="-5400000" vert="horz"/>
          <a:lstStyle/>
          <a:p>
            <a:pPr>
              <a:defRPr sz="900"/>
            </a:pPr>
            <a:endParaRPr lang="fr-FR"/>
          </a:p>
        </c:txPr>
        <c:crossAx val="146790656"/>
        <c:crosses val="autoZero"/>
        <c:auto val="1"/>
        <c:lblAlgn val="ctr"/>
        <c:lblOffset val="100"/>
        <c:tickLblSkip val="1"/>
        <c:noMultiLvlLbl val="0"/>
      </c:catAx>
      <c:valAx>
        <c:axId val="146790656"/>
        <c:scaling>
          <c:orientation val="minMax"/>
          <c:max val="1.1000000000000001"/>
          <c:min val="0.4"/>
        </c:scaling>
        <c:delete val="0"/>
        <c:axPos val="l"/>
        <c:majorGridlines/>
        <c:numFmt formatCode="0%" sourceLinked="0"/>
        <c:majorTickMark val="out"/>
        <c:minorTickMark val="none"/>
        <c:tickLblPos val="nextTo"/>
        <c:crossAx val="146788352"/>
        <c:crosses val="autoZero"/>
        <c:crossBetween val="between"/>
        <c:majorUnit val="0.1"/>
      </c:valAx>
    </c:plotArea>
    <c:legend>
      <c:legendPos val="b"/>
      <c:layout>
        <c:manualLayout>
          <c:xMode val="edge"/>
          <c:yMode val="edge"/>
          <c:x val="3.1215150689472101E-2"/>
          <c:y val="0.92033412042502949"/>
          <c:w val="0.94905223920426296"/>
          <c:h val="6.9348288075560802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05349764183406"/>
          <c:y val="3.0754761904761906E-2"/>
          <c:w val="0.84162963451939199"/>
          <c:h val="0.70913009259259263"/>
        </c:manualLayout>
      </c:layout>
      <c:lineChart>
        <c:grouping val="standard"/>
        <c:varyColors val="0"/>
        <c:ser>
          <c:idx val="0"/>
          <c:order val="0"/>
          <c:tx>
            <c:strRef>
              <c:f>'Fig 2.12'!$C$8</c:f>
              <c:strCache>
                <c:ptCount val="1"/>
                <c:pt idx="0">
                  <c:v>ensemble</c:v>
                </c:pt>
              </c:strCache>
            </c:strRef>
          </c:tx>
          <c:spPr>
            <a:ln w="31750">
              <a:solidFill>
                <a:srgbClr val="002060"/>
              </a:solidFill>
            </a:ln>
          </c:spPr>
          <c:marker>
            <c:symbol val="none"/>
          </c:marker>
          <c:cat>
            <c:numRef>
              <c:f>'Fig 2.12'!$D$4:$U$4</c:f>
              <c:numCache>
                <c:formatCode>General</c:formatCode>
                <c:ptCount val="18"/>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numCache>
            </c:numRef>
          </c:cat>
          <c:val>
            <c:numRef>
              <c:f>'Fig 2.12'!$D$8:$U$8</c:f>
              <c:numCache>
                <c:formatCode>0.0%</c:formatCode>
                <c:ptCount val="18"/>
                <c:pt idx="0">
                  <c:v>1.024</c:v>
                </c:pt>
                <c:pt idx="1">
                  <c:v>1.022</c:v>
                </c:pt>
                <c:pt idx="2">
                  <c:v>1.0269999999999999</c:v>
                </c:pt>
                <c:pt idx="3">
                  <c:v>1.03</c:v>
                </c:pt>
                <c:pt idx="4">
                  <c:v>1.03</c:v>
                </c:pt>
                <c:pt idx="5">
                  <c:v>1.0189999999999999</c:v>
                </c:pt>
                <c:pt idx="6">
                  <c:v>1.0149999999999999</c:v>
                </c:pt>
                <c:pt idx="7">
                  <c:v>1.014</c:v>
                </c:pt>
                <c:pt idx="8">
                  <c:v>1.0169999999999999</c:v>
                </c:pt>
                <c:pt idx="9">
                  <c:v>1.024</c:v>
                </c:pt>
                <c:pt idx="10">
                  <c:v>1.026</c:v>
                </c:pt>
                <c:pt idx="11">
                  <c:v>1.026</c:v>
                </c:pt>
                <c:pt idx="12">
                  <c:v>1.02</c:v>
                </c:pt>
                <c:pt idx="13">
                  <c:v>1.02</c:v>
                </c:pt>
                <c:pt idx="14">
                  <c:v>1.0209999999999999</c:v>
                </c:pt>
                <c:pt idx="15">
                  <c:v>1.0249999999999999</c:v>
                </c:pt>
                <c:pt idx="16">
                  <c:v>1.026</c:v>
                </c:pt>
              </c:numCache>
            </c:numRef>
          </c:val>
          <c:smooth val="0"/>
          <c:extLst>
            <c:ext xmlns:c16="http://schemas.microsoft.com/office/drawing/2014/chart" uri="{C3380CC4-5D6E-409C-BE32-E72D297353CC}">
              <c16:uniqueId val="{00000000-F831-4152-884A-B9D91BAE52EB}"/>
            </c:ext>
          </c:extLst>
        </c:ser>
        <c:ser>
          <c:idx val="1"/>
          <c:order val="1"/>
          <c:tx>
            <c:strRef>
              <c:f>'Fig 2.12'!$C$9</c:f>
              <c:strCache>
                <c:ptCount val="1"/>
                <c:pt idx="0">
                  <c:v>femmes</c:v>
                </c:pt>
              </c:strCache>
            </c:strRef>
          </c:tx>
          <c:spPr>
            <a:ln w="12700">
              <a:solidFill>
                <a:srgbClr val="002060">
                  <a:alpha val="50000"/>
                </a:srgbClr>
              </a:solidFill>
              <a:prstDash val="solid"/>
            </a:ln>
          </c:spPr>
          <c:marker>
            <c:symbol val="triangle"/>
            <c:size val="4"/>
            <c:spPr>
              <a:solidFill>
                <a:schemeClr val="bg1"/>
              </a:solidFill>
              <a:ln w="9525">
                <a:solidFill>
                  <a:srgbClr val="002060">
                    <a:alpha val="50000"/>
                  </a:srgbClr>
                </a:solidFill>
              </a:ln>
            </c:spPr>
          </c:marker>
          <c:cat>
            <c:numRef>
              <c:f>'Fig 2.12'!$D$4:$U$4</c:f>
              <c:numCache>
                <c:formatCode>General</c:formatCode>
                <c:ptCount val="18"/>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numCache>
            </c:numRef>
          </c:cat>
          <c:val>
            <c:numRef>
              <c:f>'Fig 2.12'!$D$9:$U$9</c:f>
              <c:numCache>
                <c:formatCode>0.0%</c:formatCode>
                <c:ptCount val="18"/>
                <c:pt idx="0">
                  <c:v>0.99199999999999999</c:v>
                </c:pt>
                <c:pt idx="1">
                  <c:v>0.98899999999999999</c:v>
                </c:pt>
                <c:pt idx="2">
                  <c:v>0.99099999999999999</c:v>
                </c:pt>
                <c:pt idx="3">
                  <c:v>0.995</c:v>
                </c:pt>
                <c:pt idx="4">
                  <c:v>0.999</c:v>
                </c:pt>
                <c:pt idx="5">
                  <c:v>0.98899999999999999</c:v>
                </c:pt>
                <c:pt idx="6">
                  <c:v>0.98699999999999999</c:v>
                </c:pt>
                <c:pt idx="7">
                  <c:v>0.98399999999999999</c:v>
                </c:pt>
                <c:pt idx="8">
                  <c:v>0.98799999999999999</c:v>
                </c:pt>
                <c:pt idx="9">
                  <c:v>0.995</c:v>
                </c:pt>
                <c:pt idx="10">
                  <c:v>0.999</c:v>
                </c:pt>
                <c:pt idx="11">
                  <c:v>0.998</c:v>
                </c:pt>
                <c:pt idx="12">
                  <c:v>0.99199999999999999</c:v>
                </c:pt>
                <c:pt idx="13">
                  <c:v>0.995</c:v>
                </c:pt>
                <c:pt idx="14">
                  <c:v>0.998</c:v>
                </c:pt>
                <c:pt idx="15">
                  <c:v>1.004</c:v>
                </c:pt>
                <c:pt idx="16">
                  <c:v>1.004</c:v>
                </c:pt>
              </c:numCache>
            </c:numRef>
          </c:val>
          <c:smooth val="0"/>
          <c:extLst>
            <c:ext xmlns:c16="http://schemas.microsoft.com/office/drawing/2014/chart" uri="{C3380CC4-5D6E-409C-BE32-E72D297353CC}">
              <c16:uniqueId val="{00000001-F831-4152-884A-B9D91BAE52EB}"/>
            </c:ext>
          </c:extLst>
        </c:ser>
        <c:ser>
          <c:idx val="2"/>
          <c:order val="2"/>
          <c:tx>
            <c:strRef>
              <c:f>'Fig 2.12'!$C$10</c:f>
              <c:strCache>
                <c:ptCount val="1"/>
                <c:pt idx="0">
                  <c:v>hommes</c:v>
                </c:pt>
              </c:strCache>
            </c:strRef>
          </c:tx>
          <c:spPr>
            <a:ln w="22225">
              <a:solidFill>
                <a:srgbClr val="002060">
                  <a:alpha val="50000"/>
                </a:srgbClr>
              </a:solidFill>
            </a:ln>
          </c:spPr>
          <c:marker>
            <c:symbol val="plus"/>
            <c:size val="5"/>
            <c:spPr>
              <a:noFill/>
              <a:ln w="19050">
                <a:solidFill>
                  <a:srgbClr val="002060">
                    <a:alpha val="50000"/>
                  </a:srgbClr>
                </a:solidFill>
              </a:ln>
            </c:spPr>
          </c:marker>
          <c:cat>
            <c:numRef>
              <c:f>'Fig 2.12'!$D$4:$U$4</c:f>
              <c:numCache>
                <c:formatCode>General</c:formatCode>
                <c:ptCount val="18"/>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numCache>
            </c:numRef>
          </c:cat>
          <c:val>
            <c:numRef>
              <c:f>'Fig 2.12'!$D$10:$U$10</c:f>
              <c:numCache>
                <c:formatCode>0.0%</c:formatCode>
                <c:ptCount val="18"/>
                <c:pt idx="0">
                  <c:v>1.0469999999999999</c:v>
                </c:pt>
                <c:pt idx="1">
                  <c:v>1.048</c:v>
                </c:pt>
                <c:pt idx="2">
                  <c:v>1.056</c:v>
                </c:pt>
                <c:pt idx="3">
                  <c:v>1.0580000000000001</c:v>
                </c:pt>
                <c:pt idx="4">
                  <c:v>1.0529999999999999</c:v>
                </c:pt>
                <c:pt idx="5">
                  <c:v>1.046</c:v>
                </c:pt>
                <c:pt idx="6">
                  <c:v>1.0449999999999999</c:v>
                </c:pt>
                <c:pt idx="7">
                  <c:v>1.052</c:v>
                </c:pt>
                <c:pt idx="8">
                  <c:v>1.052</c:v>
                </c:pt>
                <c:pt idx="9">
                  <c:v>1.06</c:v>
                </c:pt>
                <c:pt idx="10">
                  <c:v>1.0589999999999999</c:v>
                </c:pt>
                <c:pt idx="11">
                  <c:v>1.0609999999999999</c:v>
                </c:pt>
                <c:pt idx="12">
                  <c:v>1.054</c:v>
                </c:pt>
                <c:pt idx="13">
                  <c:v>1.052</c:v>
                </c:pt>
                <c:pt idx="14">
                  <c:v>1.0489999999999999</c:v>
                </c:pt>
                <c:pt idx="15">
                  <c:v>1.0509999999999999</c:v>
                </c:pt>
                <c:pt idx="16">
                  <c:v>1.052</c:v>
                </c:pt>
              </c:numCache>
            </c:numRef>
          </c:val>
          <c:smooth val="0"/>
          <c:extLst>
            <c:ext xmlns:c16="http://schemas.microsoft.com/office/drawing/2014/chart" uri="{C3380CC4-5D6E-409C-BE32-E72D297353CC}">
              <c16:uniqueId val="{00000002-F831-4152-884A-B9D91BAE52EB}"/>
            </c:ext>
          </c:extLst>
        </c:ser>
        <c:dLbls>
          <c:showLegendKey val="0"/>
          <c:showVal val="0"/>
          <c:showCatName val="0"/>
          <c:showSerName val="0"/>
          <c:showPercent val="0"/>
          <c:showBubbleSize val="0"/>
        </c:dLbls>
        <c:smooth val="0"/>
        <c:axId val="146811904"/>
        <c:axId val="146814464"/>
      </c:lineChart>
      <c:catAx>
        <c:axId val="146811904"/>
        <c:scaling>
          <c:orientation val="minMax"/>
        </c:scaling>
        <c:delete val="0"/>
        <c:axPos val="b"/>
        <c:title>
          <c:tx>
            <c:rich>
              <a:bodyPr/>
              <a:lstStyle/>
              <a:p>
                <a:pPr>
                  <a:defRPr/>
                </a:pPr>
                <a:r>
                  <a:rPr lang="fr-FR"/>
                  <a:t>année</a:t>
                </a:r>
              </a:p>
            </c:rich>
          </c:tx>
          <c:layout>
            <c:manualLayout>
              <c:xMode val="edge"/>
              <c:yMode val="edge"/>
              <c:x val="0.85150462962962958"/>
              <c:y val="0.65218564814814817"/>
            </c:manualLayout>
          </c:layout>
          <c:overlay val="0"/>
        </c:title>
        <c:numFmt formatCode="General" sourceLinked="1"/>
        <c:majorTickMark val="out"/>
        <c:minorTickMark val="none"/>
        <c:tickLblPos val="nextTo"/>
        <c:txPr>
          <a:bodyPr rot="-5400000" vert="horz"/>
          <a:lstStyle/>
          <a:p>
            <a:pPr>
              <a:defRPr sz="900"/>
            </a:pPr>
            <a:endParaRPr lang="fr-FR"/>
          </a:p>
        </c:txPr>
        <c:crossAx val="146814464"/>
        <c:crosses val="autoZero"/>
        <c:auto val="1"/>
        <c:lblAlgn val="ctr"/>
        <c:lblOffset val="100"/>
        <c:tickLblSkip val="1"/>
        <c:noMultiLvlLbl val="0"/>
      </c:catAx>
      <c:valAx>
        <c:axId val="146814464"/>
        <c:scaling>
          <c:orientation val="minMax"/>
          <c:max val="1.1000000000000001"/>
          <c:min val="0.4"/>
        </c:scaling>
        <c:delete val="0"/>
        <c:axPos val="l"/>
        <c:majorGridlines/>
        <c:numFmt formatCode="0%" sourceLinked="0"/>
        <c:majorTickMark val="out"/>
        <c:minorTickMark val="none"/>
        <c:tickLblPos val="nextTo"/>
        <c:crossAx val="146811904"/>
        <c:crosses val="autoZero"/>
        <c:crossBetween val="between"/>
        <c:majorUnit val="0.1"/>
      </c:valAx>
    </c:plotArea>
    <c:legend>
      <c:legendPos val="b"/>
      <c:layout>
        <c:manualLayout>
          <c:xMode val="edge"/>
          <c:yMode val="edge"/>
          <c:x val="3.1215150689472101E-2"/>
          <c:y val="0.92033412042502949"/>
          <c:w val="0.94905223920426296"/>
          <c:h val="6.9348288075560802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82371794871794"/>
          <c:y val="3.2064285714285712E-2"/>
          <c:w val="0.80694444444444446"/>
          <c:h val="0.6988388888888889"/>
        </c:manualLayout>
      </c:layout>
      <c:lineChart>
        <c:grouping val="standard"/>
        <c:varyColors val="0"/>
        <c:ser>
          <c:idx val="5"/>
          <c:order val="0"/>
          <c:tx>
            <c:strRef>
              <c:f>'Fig 2.13'!$C$5</c:f>
              <c:strCache>
                <c:ptCount val="1"/>
                <c:pt idx="0">
                  <c:v>Obs</c:v>
                </c:pt>
              </c:strCache>
            </c:strRef>
          </c:tx>
          <c:spPr>
            <a:ln w="50800">
              <a:solidFill>
                <a:schemeClr val="bg1">
                  <a:lumMod val="50000"/>
                </a:schemeClr>
              </a:solidFill>
            </a:ln>
          </c:spPr>
          <c:marker>
            <c:symbol val="none"/>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2.13'!$M$5:$BP$5</c:f>
              <c:numCache>
                <c:formatCode>0.0%</c:formatCode>
                <c:ptCount val="56"/>
                <c:pt idx="4">
                  <c:v>0.63800000000000001</c:v>
                </c:pt>
                <c:pt idx="5">
                  <c:v>0.63300000000000001</c:v>
                </c:pt>
                <c:pt idx="6">
                  <c:v>0.64200000000000002</c:v>
                </c:pt>
                <c:pt idx="7">
                  <c:v>0.65100000000000002</c:v>
                </c:pt>
                <c:pt idx="8">
                  <c:v>0.65500000000000003</c:v>
                </c:pt>
              </c:numCache>
            </c:numRef>
          </c:val>
          <c:smooth val="0"/>
          <c:extLst>
            <c:ext xmlns:c16="http://schemas.microsoft.com/office/drawing/2014/chart" uri="{C3380CC4-5D6E-409C-BE32-E72D297353CC}">
              <c16:uniqueId val="{00000000-F843-473F-939D-A77C6274461F}"/>
            </c:ext>
          </c:extLst>
        </c:ser>
        <c:ser>
          <c:idx val="0"/>
          <c:order val="1"/>
          <c:tx>
            <c:strRef>
              <c:f>'Fig 2.13'!$C$6</c:f>
              <c:strCache>
                <c:ptCount val="1"/>
                <c:pt idx="0">
                  <c:v>A'</c:v>
                </c:pt>
              </c:strCache>
            </c:strRef>
          </c:tx>
          <c:spPr>
            <a:ln w="22225">
              <a:solidFill>
                <a:schemeClr val="tx1"/>
              </a:solidFill>
            </a:ln>
          </c:spPr>
          <c:marker>
            <c:symbol val="x"/>
            <c:size val="4"/>
            <c:spPr>
              <a:noFill/>
              <a:ln>
                <a:solidFill>
                  <a:schemeClr val="tx1"/>
                </a:solidFill>
              </a:ln>
            </c:spPr>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2.13'!$M$6:$BP$6</c:f>
              <c:numCache>
                <c:formatCode>0.0%</c:formatCode>
                <c:ptCount val="56"/>
                <c:pt idx="9">
                  <c:v>0.66100000000000003</c:v>
                </c:pt>
                <c:pt idx="10">
                  <c:v>0.66100000000000003</c:v>
                </c:pt>
                <c:pt idx="11">
                  <c:v>0.65800000000000003</c:v>
                </c:pt>
                <c:pt idx="12">
                  <c:v>0.65800000000000003</c:v>
                </c:pt>
                <c:pt idx="13">
                  <c:v>0.65900000000000003</c:v>
                </c:pt>
                <c:pt idx="14">
                  <c:v>0.65400000000000003</c:v>
                </c:pt>
                <c:pt idx="15">
                  <c:v>0.65100000000000002</c:v>
                </c:pt>
                <c:pt idx="16">
                  <c:v>0.64400000000000002</c:v>
                </c:pt>
                <c:pt idx="17">
                  <c:v>0.63800000000000001</c:v>
                </c:pt>
                <c:pt idx="18">
                  <c:v>0.629</c:v>
                </c:pt>
                <c:pt idx="19">
                  <c:v>0.622</c:v>
                </c:pt>
                <c:pt idx="20">
                  <c:v>0.61499999999999999</c:v>
                </c:pt>
                <c:pt idx="21">
                  <c:v>0.60599999999999998</c:v>
                </c:pt>
                <c:pt idx="22">
                  <c:v>0.59799999999999998</c:v>
                </c:pt>
                <c:pt idx="23">
                  <c:v>0.58899999999999997</c:v>
                </c:pt>
                <c:pt idx="24">
                  <c:v>0.58099999999999996</c:v>
                </c:pt>
                <c:pt idx="25">
                  <c:v>0.57399999999999995</c:v>
                </c:pt>
                <c:pt idx="26">
                  <c:v>0.56599999999999995</c:v>
                </c:pt>
                <c:pt idx="27">
                  <c:v>0.55900000000000005</c:v>
                </c:pt>
                <c:pt idx="28">
                  <c:v>0.55100000000000005</c:v>
                </c:pt>
                <c:pt idx="29">
                  <c:v>0.54500000000000004</c:v>
                </c:pt>
                <c:pt idx="30">
                  <c:v>0.53800000000000003</c:v>
                </c:pt>
                <c:pt idx="31">
                  <c:v>0.53200000000000003</c:v>
                </c:pt>
                <c:pt idx="32">
                  <c:v>0.52700000000000002</c:v>
                </c:pt>
                <c:pt idx="33">
                  <c:v>0.52100000000000002</c:v>
                </c:pt>
                <c:pt idx="34">
                  <c:v>0.51600000000000001</c:v>
                </c:pt>
                <c:pt idx="35">
                  <c:v>0.51100000000000001</c:v>
                </c:pt>
                <c:pt idx="36">
                  <c:v>0.50700000000000001</c:v>
                </c:pt>
                <c:pt idx="37">
                  <c:v>0.502</c:v>
                </c:pt>
                <c:pt idx="38">
                  <c:v>0.497</c:v>
                </c:pt>
                <c:pt idx="39">
                  <c:v>0.49199999999999999</c:v>
                </c:pt>
                <c:pt idx="40">
                  <c:v>0.48799999999999999</c:v>
                </c:pt>
                <c:pt idx="41">
                  <c:v>0.48399999999999999</c:v>
                </c:pt>
                <c:pt idx="42">
                  <c:v>0.48</c:v>
                </c:pt>
                <c:pt idx="43">
                  <c:v>0.47599999999999998</c:v>
                </c:pt>
                <c:pt idx="44">
                  <c:v>0.47299999999999998</c:v>
                </c:pt>
                <c:pt idx="45">
                  <c:v>0.47</c:v>
                </c:pt>
                <c:pt idx="46">
                  <c:v>0.46700000000000003</c:v>
                </c:pt>
                <c:pt idx="47">
                  <c:v>0.46500000000000002</c:v>
                </c:pt>
                <c:pt idx="48">
                  <c:v>0.46200000000000002</c:v>
                </c:pt>
                <c:pt idx="49">
                  <c:v>0.46</c:v>
                </c:pt>
                <c:pt idx="50">
                  <c:v>0.45800000000000002</c:v>
                </c:pt>
                <c:pt idx="51">
                  <c:v>0.45700000000000002</c:v>
                </c:pt>
                <c:pt idx="52">
                  <c:v>0.45600000000000002</c:v>
                </c:pt>
                <c:pt idx="53">
                  <c:v>0.45500000000000002</c:v>
                </c:pt>
                <c:pt idx="54">
                  <c:v>0.45400000000000001</c:v>
                </c:pt>
                <c:pt idx="55">
                  <c:v>0.45400000000000001</c:v>
                </c:pt>
              </c:numCache>
            </c:numRef>
          </c:val>
          <c:smooth val="0"/>
          <c:extLst>
            <c:ext xmlns:c16="http://schemas.microsoft.com/office/drawing/2014/chart" uri="{C3380CC4-5D6E-409C-BE32-E72D297353CC}">
              <c16:uniqueId val="{00000001-F843-473F-939D-A77C6274461F}"/>
            </c:ext>
          </c:extLst>
        </c:ser>
        <c:ser>
          <c:idx val="1"/>
          <c:order val="2"/>
          <c:tx>
            <c:strRef>
              <c:f>'Fig 2.13'!$C$7</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2.13'!$M$7:$BP$7</c:f>
              <c:numCache>
                <c:formatCode>0.0%</c:formatCode>
                <c:ptCount val="56"/>
                <c:pt idx="9">
                  <c:v>0.66100000000000003</c:v>
                </c:pt>
                <c:pt idx="10">
                  <c:v>0.66100000000000003</c:v>
                </c:pt>
                <c:pt idx="11">
                  <c:v>0.65800000000000003</c:v>
                </c:pt>
                <c:pt idx="12">
                  <c:v>0.65800000000000003</c:v>
                </c:pt>
                <c:pt idx="13">
                  <c:v>0.65900000000000003</c:v>
                </c:pt>
                <c:pt idx="14">
                  <c:v>0.65400000000000003</c:v>
                </c:pt>
                <c:pt idx="15">
                  <c:v>0.65100000000000002</c:v>
                </c:pt>
                <c:pt idx="16">
                  <c:v>0.64400000000000002</c:v>
                </c:pt>
                <c:pt idx="17">
                  <c:v>0.63900000000000001</c:v>
                </c:pt>
                <c:pt idx="18">
                  <c:v>0.63100000000000001</c:v>
                </c:pt>
                <c:pt idx="19">
                  <c:v>0.623</c:v>
                </c:pt>
                <c:pt idx="20">
                  <c:v>0.61699999999999999</c:v>
                </c:pt>
                <c:pt idx="21">
                  <c:v>0.60899999999999999</c:v>
                </c:pt>
                <c:pt idx="22">
                  <c:v>0.60099999999999998</c:v>
                </c:pt>
                <c:pt idx="23">
                  <c:v>0.59399999999999997</c:v>
                </c:pt>
                <c:pt idx="24">
                  <c:v>0.58699999999999997</c:v>
                </c:pt>
                <c:pt idx="25">
                  <c:v>0.57999999999999996</c:v>
                </c:pt>
                <c:pt idx="26">
                  <c:v>0.57299999999999995</c:v>
                </c:pt>
                <c:pt idx="27">
                  <c:v>0.56699999999999995</c:v>
                </c:pt>
                <c:pt idx="28">
                  <c:v>0.56000000000000005</c:v>
                </c:pt>
                <c:pt idx="29">
                  <c:v>0.55500000000000005</c:v>
                </c:pt>
                <c:pt idx="30">
                  <c:v>0.54900000000000004</c:v>
                </c:pt>
                <c:pt idx="31">
                  <c:v>0.54400000000000004</c:v>
                </c:pt>
                <c:pt idx="32">
                  <c:v>0.53900000000000003</c:v>
                </c:pt>
                <c:pt idx="33">
                  <c:v>0.53400000000000003</c:v>
                </c:pt>
                <c:pt idx="34">
                  <c:v>0.53</c:v>
                </c:pt>
                <c:pt idx="35">
                  <c:v>0.52600000000000002</c:v>
                </c:pt>
                <c:pt idx="36">
                  <c:v>0.52200000000000002</c:v>
                </c:pt>
                <c:pt idx="37">
                  <c:v>0.51700000000000002</c:v>
                </c:pt>
                <c:pt idx="38">
                  <c:v>0.51300000000000001</c:v>
                </c:pt>
                <c:pt idx="39">
                  <c:v>0.50900000000000001</c:v>
                </c:pt>
                <c:pt idx="40">
                  <c:v>0.505</c:v>
                </c:pt>
                <c:pt idx="41">
                  <c:v>0.502</c:v>
                </c:pt>
                <c:pt idx="42">
                  <c:v>0.498</c:v>
                </c:pt>
                <c:pt idx="43">
                  <c:v>0.495</c:v>
                </c:pt>
                <c:pt idx="44">
                  <c:v>0.49199999999999999</c:v>
                </c:pt>
                <c:pt idx="45">
                  <c:v>0.48899999999999999</c:v>
                </c:pt>
                <c:pt idx="46">
                  <c:v>0.48699999999999999</c:v>
                </c:pt>
                <c:pt idx="47">
                  <c:v>0.48499999999999999</c:v>
                </c:pt>
                <c:pt idx="48">
                  <c:v>0.48299999999999998</c:v>
                </c:pt>
                <c:pt idx="49">
                  <c:v>0.48099999999999998</c:v>
                </c:pt>
                <c:pt idx="50">
                  <c:v>0.47899999999999998</c:v>
                </c:pt>
                <c:pt idx="51">
                  <c:v>0.47799999999999998</c:v>
                </c:pt>
                <c:pt idx="52">
                  <c:v>0.47799999999999998</c:v>
                </c:pt>
                <c:pt idx="53">
                  <c:v>0.47699999999999998</c:v>
                </c:pt>
                <c:pt idx="54">
                  <c:v>0.47599999999999998</c:v>
                </c:pt>
                <c:pt idx="55">
                  <c:v>0.47599999999999998</c:v>
                </c:pt>
              </c:numCache>
            </c:numRef>
          </c:val>
          <c:smooth val="0"/>
          <c:extLst>
            <c:ext xmlns:c16="http://schemas.microsoft.com/office/drawing/2014/chart" uri="{C3380CC4-5D6E-409C-BE32-E72D297353CC}">
              <c16:uniqueId val="{00000002-F843-473F-939D-A77C6274461F}"/>
            </c:ext>
          </c:extLst>
        </c:ser>
        <c:ser>
          <c:idx val="2"/>
          <c:order val="3"/>
          <c:tx>
            <c:strRef>
              <c:f>'Fig 2.13'!$C$8</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2.13'!$M$8:$BP$8</c:f>
              <c:numCache>
                <c:formatCode>0.0%</c:formatCode>
                <c:ptCount val="56"/>
                <c:pt idx="9">
                  <c:v>0.66100000000000003</c:v>
                </c:pt>
                <c:pt idx="10">
                  <c:v>0.66100000000000003</c:v>
                </c:pt>
                <c:pt idx="11">
                  <c:v>0.65800000000000003</c:v>
                </c:pt>
                <c:pt idx="12">
                  <c:v>0.65800000000000003</c:v>
                </c:pt>
                <c:pt idx="13">
                  <c:v>0.65900000000000003</c:v>
                </c:pt>
                <c:pt idx="14">
                  <c:v>0.65400000000000003</c:v>
                </c:pt>
                <c:pt idx="15">
                  <c:v>0.65</c:v>
                </c:pt>
                <c:pt idx="16">
                  <c:v>0.64400000000000002</c:v>
                </c:pt>
                <c:pt idx="17">
                  <c:v>0.64</c:v>
                </c:pt>
                <c:pt idx="18">
                  <c:v>0.63400000000000001</c:v>
                </c:pt>
                <c:pt idx="19">
                  <c:v>0.626</c:v>
                </c:pt>
                <c:pt idx="20">
                  <c:v>0.61899999999999999</c:v>
                </c:pt>
                <c:pt idx="21">
                  <c:v>0.61299999999999999</c:v>
                </c:pt>
                <c:pt idx="22">
                  <c:v>0.60699999999999998</c:v>
                </c:pt>
                <c:pt idx="23">
                  <c:v>0.60099999999999998</c:v>
                </c:pt>
                <c:pt idx="24">
                  <c:v>0.59599999999999997</c:v>
                </c:pt>
                <c:pt idx="25">
                  <c:v>0.59099999999999997</c:v>
                </c:pt>
                <c:pt idx="26">
                  <c:v>0.58599999999999997</c:v>
                </c:pt>
                <c:pt idx="27">
                  <c:v>0.58099999999999996</c:v>
                </c:pt>
                <c:pt idx="28">
                  <c:v>0.57499999999999996</c:v>
                </c:pt>
                <c:pt idx="29">
                  <c:v>0.57099999999999995</c:v>
                </c:pt>
                <c:pt idx="30">
                  <c:v>0.56699999999999995</c:v>
                </c:pt>
                <c:pt idx="31">
                  <c:v>0.56299999999999994</c:v>
                </c:pt>
                <c:pt idx="32">
                  <c:v>0.55900000000000005</c:v>
                </c:pt>
                <c:pt idx="33">
                  <c:v>0.55500000000000005</c:v>
                </c:pt>
                <c:pt idx="34">
                  <c:v>0.55200000000000005</c:v>
                </c:pt>
                <c:pt idx="35">
                  <c:v>0.54900000000000004</c:v>
                </c:pt>
                <c:pt idx="36">
                  <c:v>0.54600000000000004</c:v>
                </c:pt>
                <c:pt idx="37">
                  <c:v>0.54300000000000004</c:v>
                </c:pt>
                <c:pt idx="38">
                  <c:v>0.53900000000000003</c:v>
                </c:pt>
                <c:pt idx="39">
                  <c:v>0.53600000000000003</c:v>
                </c:pt>
                <c:pt idx="40">
                  <c:v>0.53300000000000003</c:v>
                </c:pt>
                <c:pt idx="41">
                  <c:v>0.53</c:v>
                </c:pt>
                <c:pt idx="42">
                  <c:v>0.52800000000000002</c:v>
                </c:pt>
                <c:pt idx="43">
                  <c:v>0.52500000000000002</c:v>
                </c:pt>
                <c:pt idx="44">
                  <c:v>0.52300000000000002</c:v>
                </c:pt>
                <c:pt idx="45">
                  <c:v>0.52100000000000002</c:v>
                </c:pt>
                <c:pt idx="46">
                  <c:v>0.51900000000000002</c:v>
                </c:pt>
                <c:pt idx="47">
                  <c:v>0.51800000000000002</c:v>
                </c:pt>
                <c:pt idx="48">
                  <c:v>0.51600000000000001</c:v>
                </c:pt>
                <c:pt idx="49">
                  <c:v>0.51500000000000001</c:v>
                </c:pt>
                <c:pt idx="50">
                  <c:v>0.51400000000000001</c:v>
                </c:pt>
                <c:pt idx="51">
                  <c:v>0.51400000000000001</c:v>
                </c:pt>
                <c:pt idx="52">
                  <c:v>0.51300000000000001</c:v>
                </c:pt>
                <c:pt idx="53">
                  <c:v>0.51300000000000001</c:v>
                </c:pt>
                <c:pt idx="54">
                  <c:v>0.51300000000000001</c:v>
                </c:pt>
                <c:pt idx="55">
                  <c:v>0.51300000000000001</c:v>
                </c:pt>
              </c:numCache>
            </c:numRef>
          </c:val>
          <c:smooth val="0"/>
          <c:extLst>
            <c:ext xmlns:c16="http://schemas.microsoft.com/office/drawing/2014/chart" uri="{C3380CC4-5D6E-409C-BE32-E72D297353CC}">
              <c16:uniqueId val="{00000003-F843-473F-939D-A77C6274461F}"/>
            </c:ext>
          </c:extLst>
        </c:ser>
        <c:ser>
          <c:idx val="3"/>
          <c:order val="4"/>
          <c:tx>
            <c:strRef>
              <c:f>'Fig 2.13'!$C$9</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2.13'!$M$9:$BP$9</c:f>
              <c:numCache>
                <c:formatCode>0.0%</c:formatCode>
                <c:ptCount val="56"/>
                <c:pt idx="9">
                  <c:v>0.66100000000000003</c:v>
                </c:pt>
                <c:pt idx="10">
                  <c:v>0.66100000000000003</c:v>
                </c:pt>
                <c:pt idx="11">
                  <c:v>0.65800000000000003</c:v>
                </c:pt>
                <c:pt idx="12">
                  <c:v>0.65800000000000003</c:v>
                </c:pt>
                <c:pt idx="13">
                  <c:v>0.65900000000000003</c:v>
                </c:pt>
                <c:pt idx="14">
                  <c:v>0.65400000000000003</c:v>
                </c:pt>
                <c:pt idx="15">
                  <c:v>0.65</c:v>
                </c:pt>
                <c:pt idx="16">
                  <c:v>0.64300000000000002</c:v>
                </c:pt>
                <c:pt idx="17">
                  <c:v>0.63900000000000001</c:v>
                </c:pt>
                <c:pt idx="18">
                  <c:v>0.63200000000000001</c:v>
                </c:pt>
                <c:pt idx="19">
                  <c:v>0.625</c:v>
                </c:pt>
                <c:pt idx="20">
                  <c:v>0.62</c:v>
                </c:pt>
                <c:pt idx="21">
                  <c:v>0.61499999999999999</c:v>
                </c:pt>
                <c:pt idx="22">
                  <c:v>0.61</c:v>
                </c:pt>
                <c:pt idx="23">
                  <c:v>0.60599999999999998</c:v>
                </c:pt>
                <c:pt idx="24">
                  <c:v>0.60099999999999998</c:v>
                </c:pt>
                <c:pt idx="25">
                  <c:v>0.59699999999999998</c:v>
                </c:pt>
                <c:pt idx="26">
                  <c:v>0.59299999999999997</c:v>
                </c:pt>
                <c:pt idx="27">
                  <c:v>0.58899999999999997</c:v>
                </c:pt>
                <c:pt idx="28">
                  <c:v>0.58399999999999996</c:v>
                </c:pt>
                <c:pt idx="29">
                  <c:v>0.58099999999999996</c:v>
                </c:pt>
                <c:pt idx="30">
                  <c:v>0.57699999999999996</c:v>
                </c:pt>
                <c:pt idx="31">
                  <c:v>0.57399999999999995</c:v>
                </c:pt>
                <c:pt idx="32">
                  <c:v>0.57099999999999995</c:v>
                </c:pt>
                <c:pt idx="33">
                  <c:v>0.56799999999999995</c:v>
                </c:pt>
                <c:pt idx="34">
                  <c:v>0.56499999999999995</c:v>
                </c:pt>
                <c:pt idx="35">
                  <c:v>0.56299999999999994</c:v>
                </c:pt>
                <c:pt idx="36">
                  <c:v>0.56100000000000005</c:v>
                </c:pt>
                <c:pt idx="37">
                  <c:v>0.55800000000000005</c:v>
                </c:pt>
                <c:pt idx="38">
                  <c:v>0.55500000000000005</c:v>
                </c:pt>
                <c:pt idx="39">
                  <c:v>0.55200000000000005</c:v>
                </c:pt>
                <c:pt idx="40">
                  <c:v>0.55000000000000004</c:v>
                </c:pt>
                <c:pt idx="41">
                  <c:v>0.54800000000000004</c:v>
                </c:pt>
                <c:pt idx="42">
                  <c:v>0.54500000000000004</c:v>
                </c:pt>
                <c:pt idx="43">
                  <c:v>0.54300000000000004</c:v>
                </c:pt>
                <c:pt idx="44">
                  <c:v>0.54100000000000004</c:v>
                </c:pt>
                <c:pt idx="45">
                  <c:v>0.53900000000000003</c:v>
                </c:pt>
                <c:pt idx="46">
                  <c:v>0.53800000000000003</c:v>
                </c:pt>
                <c:pt idx="47">
                  <c:v>0.53600000000000003</c:v>
                </c:pt>
                <c:pt idx="48">
                  <c:v>0.53500000000000003</c:v>
                </c:pt>
                <c:pt idx="49">
                  <c:v>0.53400000000000003</c:v>
                </c:pt>
                <c:pt idx="50">
                  <c:v>0.53300000000000003</c:v>
                </c:pt>
                <c:pt idx="51">
                  <c:v>0.53300000000000003</c:v>
                </c:pt>
                <c:pt idx="52">
                  <c:v>0.53300000000000003</c:v>
                </c:pt>
                <c:pt idx="53">
                  <c:v>0.53300000000000003</c:v>
                </c:pt>
                <c:pt idx="54">
                  <c:v>0.53300000000000003</c:v>
                </c:pt>
                <c:pt idx="55">
                  <c:v>0.53300000000000003</c:v>
                </c:pt>
              </c:numCache>
            </c:numRef>
          </c:val>
          <c:smooth val="0"/>
          <c:extLst>
            <c:ext xmlns:c16="http://schemas.microsoft.com/office/drawing/2014/chart" uri="{C3380CC4-5D6E-409C-BE32-E72D297353CC}">
              <c16:uniqueId val="{00000004-F843-473F-939D-A77C6274461F}"/>
            </c:ext>
          </c:extLst>
        </c:ser>
        <c:ser>
          <c:idx val="4"/>
          <c:order val="5"/>
          <c:tx>
            <c:strRef>
              <c:f>'Fig 2.13'!$C$10</c:f>
              <c:strCache>
                <c:ptCount val="1"/>
                <c:pt idx="0">
                  <c:v>C'</c:v>
                </c:pt>
              </c:strCache>
            </c:strRef>
          </c:tx>
          <c:spPr>
            <a:ln w="22225">
              <a:solidFill>
                <a:schemeClr val="tx1"/>
              </a:solidFill>
            </a:ln>
          </c:spPr>
          <c:marker>
            <c:symbol val="star"/>
            <c:size val="4"/>
            <c:spPr>
              <a:noFill/>
              <a:ln>
                <a:solidFill>
                  <a:schemeClr val="tx1"/>
                </a:solidFill>
              </a:ln>
            </c:spPr>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2.13'!$M$10:$BP$10</c:f>
              <c:numCache>
                <c:formatCode>0.0%</c:formatCode>
                <c:ptCount val="56"/>
                <c:pt idx="9">
                  <c:v>0.66100000000000003</c:v>
                </c:pt>
                <c:pt idx="10">
                  <c:v>0.66100000000000003</c:v>
                </c:pt>
                <c:pt idx="11">
                  <c:v>0.65800000000000003</c:v>
                </c:pt>
                <c:pt idx="12">
                  <c:v>0.65800000000000003</c:v>
                </c:pt>
                <c:pt idx="13">
                  <c:v>0.65900000000000003</c:v>
                </c:pt>
                <c:pt idx="14">
                  <c:v>0.65400000000000003</c:v>
                </c:pt>
                <c:pt idx="15">
                  <c:v>0.65100000000000002</c:v>
                </c:pt>
                <c:pt idx="16">
                  <c:v>0.64500000000000002</c:v>
                </c:pt>
                <c:pt idx="17">
                  <c:v>0.64200000000000002</c:v>
                </c:pt>
                <c:pt idx="18">
                  <c:v>0.63700000000000001</c:v>
                </c:pt>
                <c:pt idx="19">
                  <c:v>0.63200000000000001</c:v>
                </c:pt>
                <c:pt idx="20">
                  <c:v>0.629</c:v>
                </c:pt>
                <c:pt idx="21">
                  <c:v>0.625</c:v>
                </c:pt>
                <c:pt idx="22">
                  <c:v>0.622</c:v>
                </c:pt>
                <c:pt idx="23">
                  <c:v>0.61899999999999999</c:v>
                </c:pt>
                <c:pt idx="24">
                  <c:v>0.61599999999999999</c:v>
                </c:pt>
                <c:pt idx="25">
                  <c:v>0.61399999999999999</c:v>
                </c:pt>
                <c:pt idx="26">
                  <c:v>0.61099999999999999</c:v>
                </c:pt>
                <c:pt idx="27">
                  <c:v>0.60799999999999998</c:v>
                </c:pt>
                <c:pt idx="28">
                  <c:v>0.60599999999999998</c:v>
                </c:pt>
                <c:pt idx="29">
                  <c:v>0.60299999999999998</c:v>
                </c:pt>
                <c:pt idx="30">
                  <c:v>0.60099999999999998</c:v>
                </c:pt>
                <c:pt idx="31">
                  <c:v>0.59899999999999998</c:v>
                </c:pt>
                <c:pt idx="32">
                  <c:v>0.59699999999999998</c:v>
                </c:pt>
                <c:pt idx="33">
                  <c:v>0.59599999999999997</c:v>
                </c:pt>
                <c:pt idx="34">
                  <c:v>0.59399999999999997</c:v>
                </c:pt>
                <c:pt idx="35">
                  <c:v>0.59299999999999997</c:v>
                </c:pt>
                <c:pt idx="36">
                  <c:v>0.59199999999999997</c:v>
                </c:pt>
                <c:pt idx="37">
                  <c:v>0.59</c:v>
                </c:pt>
                <c:pt idx="38">
                  <c:v>0.58799999999999997</c:v>
                </c:pt>
                <c:pt idx="39">
                  <c:v>0.58599999999999997</c:v>
                </c:pt>
                <c:pt idx="40">
                  <c:v>0.58399999999999996</c:v>
                </c:pt>
                <c:pt idx="41">
                  <c:v>0.58299999999999996</c:v>
                </c:pt>
                <c:pt idx="42">
                  <c:v>0.58099999999999996</c:v>
                </c:pt>
                <c:pt idx="43">
                  <c:v>0.57999999999999996</c:v>
                </c:pt>
                <c:pt idx="44">
                  <c:v>0.57899999999999996</c:v>
                </c:pt>
                <c:pt idx="45">
                  <c:v>0.57799999999999996</c:v>
                </c:pt>
                <c:pt idx="46">
                  <c:v>0.57699999999999996</c:v>
                </c:pt>
                <c:pt idx="47">
                  <c:v>0.57599999999999996</c:v>
                </c:pt>
                <c:pt idx="48">
                  <c:v>0.57599999999999996</c:v>
                </c:pt>
                <c:pt idx="49">
                  <c:v>0.57499999999999996</c:v>
                </c:pt>
                <c:pt idx="50">
                  <c:v>0.57499999999999996</c:v>
                </c:pt>
                <c:pt idx="51">
                  <c:v>0.57499999999999996</c:v>
                </c:pt>
                <c:pt idx="52">
                  <c:v>0.57599999999999996</c:v>
                </c:pt>
                <c:pt idx="53">
                  <c:v>0.57599999999999996</c:v>
                </c:pt>
                <c:pt idx="54">
                  <c:v>0.57599999999999996</c:v>
                </c:pt>
                <c:pt idx="55">
                  <c:v>0.57699999999999996</c:v>
                </c:pt>
              </c:numCache>
            </c:numRef>
          </c:val>
          <c:smooth val="0"/>
          <c:extLst>
            <c:ext xmlns:c16="http://schemas.microsoft.com/office/drawing/2014/chart" uri="{C3380CC4-5D6E-409C-BE32-E72D297353CC}">
              <c16:uniqueId val="{00000005-F843-473F-939D-A77C6274461F}"/>
            </c:ext>
          </c:extLst>
        </c:ser>
        <c:dLbls>
          <c:showLegendKey val="0"/>
          <c:showVal val="0"/>
          <c:showCatName val="0"/>
          <c:showSerName val="0"/>
          <c:showPercent val="0"/>
          <c:showBubbleSize val="0"/>
        </c:dLbls>
        <c:smooth val="0"/>
        <c:axId val="147265408"/>
        <c:axId val="147271680"/>
      </c:lineChart>
      <c:catAx>
        <c:axId val="147265408"/>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47271680"/>
        <c:crosses val="autoZero"/>
        <c:auto val="1"/>
        <c:lblAlgn val="ctr"/>
        <c:lblOffset val="100"/>
        <c:tickLblSkip val="10"/>
        <c:noMultiLvlLbl val="0"/>
      </c:catAx>
      <c:valAx>
        <c:axId val="147271680"/>
        <c:scaling>
          <c:orientation val="minMax"/>
          <c:max val="1.1000000000000001"/>
          <c:min val="0.2"/>
        </c:scaling>
        <c:delete val="0"/>
        <c:axPos val="l"/>
        <c:majorGridlines/>
        <c:numFmt formatCode="0%" sourceLinked="0"/>
        <c:majorTickMark val="out"/>
        <c:minorTickMark val="none"/>
        <c:tickLblPos val="nextTo"/>
        <c:crossAx val="147265408"/>
        <c:crosses val="autoZero"/>
        <c:crossBetween val="between"/>
        <c:majorUnit val="0.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869301994302"/>
          <c:y val="3.2064285714285712E-2"/>
          <c:w val="0.80694444444444446"/>
          <c:h val="0.6988388888888889"/>
        </c:manualLayout>
      </c:layout>
      <c:lineChart>
        <c:grouping val="standard"/>
        <c:varyColors val="0"/>
        <c:ser>
          <c:idx val="5"/>
          <c:order val="0"/>
          <c:tx>
            <c:strRef>
              <c:f>'Fig 2.13'!$C$11</c:f>
              <c:strCache>
                <c:ptCount val="1"/>
                <c:pt idx="0">
                  <c:v>Obs</c:v>
                </c:pt>
              </c:strCache>
            </c:strRef>
          </c:tx>
          <c:spPr>
            <a:ln w="50800">
              <a:solidFill>
                <a:schemeClr val="bg1">
                  <a:lumMod val="50000"/>
                </a:schemeClr>
              </a:solidFill>
            </a:ln>
          </c:spPr>
          <c:marker>
            <c:symbol val="none"/>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2.13'!$M$11:$BP$11</c:f>
              <c:numCache>
                <c:formatCode>0.0%</c:formatCode>
                <c:ptCount val="56"/>
                <c:pt idx="0">
                  <c:v>1.024</c:v>
                </c:pt>
                <c:pt idx="1">
                  <c:v>1.026</c:v>
                </c:pt>
                <c:pt idx="2">
                  <c:v>1.026</c:v>
                </c:pt>
                <c:pt idx="3">
                  <c:v>1.02</c:v>
                </c:pt>
                <c:pt idx="4">
                  <c:v>1.02</c:v>
                </c:pt>
                <c:pt idx="5">
                  <c:v>1.0209999999999999</c:v>
                </c:pt>
                <c:pt idx="6">
                  <c:v>1.0249999999999999</c:v>
                </c:pt>
                <c:pt idx="7">
                  <c:v>1.026</c:v>
                </c:pt>
              </c:numCache>
            </c:numRef>
          </c:val>
          <c:smooth val="0"/>
          <c:extLst>
            <c:ext xmlns:c16="http://schemas.microsoft.com/office/drawing/2014/chart" uri="{C3380CC4-5D6E-409C-BE32-E72D297353CC}">
              <c16:uniqueId val="{00000000-F968-4104-BDC3-09675FBBA87E}"/>
            </c:ext>
          </c:extLst>
        </c:ser>
        <c:ser>
          <c:idx val="0"/>
          <c:order val="1"/>
          <c:tx>
            <c:strRef>
              <c:f>'Fig 2.13'!$C$12</c:f>
              <c:strCache>
                <c:ptCount val="1"/>
                <c:pt idx="0">
                  <c:v>A'</c:v>
                </c:pt>
              </c:strCache>
            </c:strRef>
          </c:tx>
          <c:spPr>
            <a:ln w="22225">
              <a:solidFill>
                <a:schemeClr val="tx1"/>
              </a:solidFill>
            </a:ln>
          </c:spPr>
          <c:marker>
            <c:symbol val="x"/>
            <c:size val="4"/>
            <c:spPr>
              <a:noFill/>
              <a:ln>
                <a:solidFill>
                  <a:schemeClr val="tx1"/>
                </a:solidFill>
              </a:ln>
            </c:spPr>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2.13'!$M$12:$BP$12</c:f>
              <c:numCache>
                <c:formatCode>0.0%</c:formatCode>
                <c:ptCount val="56"/>
                <c:pt idx="8">
                  <c:v>1.0329999999999999</c:v>
                </c:pt>
                <c:pt idx="9">
                  <c:v>1.046</c:v>
                </c:pt>
                <c:pt idx="10">
                  <c:v>1.0489999999999999</c:v>
                </c:pt>
                <c:pt idx="11">
                  <c:v>1.0449999999999999</c:v>
                </c:pt>
                <c:pt idx="12">
                  <c:v>1.0449999999999999</c:v>
                </c:pt>
                <c:pt idx="13">
                  <c:v>1.046</c:v>
                </c:pt>
                <c:pt idx="14">
                  <c:v>1.036</c:v>
                </c:pt>
                <c:pt idx="15">
                  <c:v>1.032</c:v>
                </c:pt>
                <c:pt idx="16">
                  <c:v>1.018</c:v>
                </c:pt>
                <c:pt idx="17">
                  <c:v>1.008</c:v>
                </c:pt>
                <c:pt idx="18">
                  <c:v>0.99299999999999999</c:v>
                </c:pt>
                <c:pt idx="19">
                  <c:v>0.98</c:v>
                </c:pt>
                <c:pt idx="20">
                  <c:v>0.96799999999999997</c:v>
                </c:pt>
                <c:pt idx="21">
                  <c:v>0.95499999999999996</c:v>
                </c:pt>
                <c:pt idx="22">
                  <c:v>0.94199999999999995</c:v>
                </c:pt>
                <c:pt idx="23">
                  <c:v>0.93</c:v>
                </c:pt>
                <c:pt idx="24">
                  <c:v>0.91800000000000004</c:v>
                </c:pt>
                <c:pt idx="25">
                  <c:v>0.90700000000000003</c:v>
                </c:pt>
                <c:pt idx="26">
                  <c:v>0.89700000000000002</c:v>
                </c:pt>
                <c:pt idx="27">
                  <c:v>0.88600000000000001</c:v>
                </c:pt>
                <c:pt idx="28">
                  <c:v>0.873</c:v>
                </c:pt>
                <c:pt idx="29">
                  <c:v>0.86299999999999999</c:v>
                </c:pt>
                <c:pt idx="30">
                  <c:v>0.85499999999999998</c:v>
                </c:pt>
                <c:pt idx="31">
                  <c:v>0.84699999999999998</c:v>
                </c:pt>
                <c:pt idx="32">
                  <c:v>0.84</c:v>
                </c:pt>
                <c:pt idx="33">
                  <c:v>0.83299999999999996</c:v>
                </c:pt>
                <c:pt idx="34">
                  <c:v>0.82499999999999996</c:v>
                </c:pt>
                <c:pt idx="35">
                  <c:v>0.81699999999999995</c:v>
                </c:pt>
                <c:pt idx="36">
                  <c:v>0.80800000000000005</c:v>
                </c:pt>
                <c:pt idx="37">
                  <c:v>0.79900000000000004</c:v>
                </c:pt>
                <c:pt idx="38">
                  <c:v>0.79</c:v>
                </c:pt>
                <c:pt idx="39">
                  <c:v>0.78200000000000003</c:v>
                </c:pt>
                <c:pt idx="40">
                  <c:v>0.77500000000000002</c:v>
                </c:pt>
                <c:pt idx="41">
                  <c:v>0.77</c:v>
                </c:pt>
                <c:pt idx="42">
                  <c:v>0.76500000000000001</c:v>
                </c:pt>
                <c:pt idx="43">
                  <c:v>0.76</c:v>
                </c:pt>
                <c:pt idx="44">
                  <c:v>0.75600000000000001</c:v>
                </c:pt>
                <c:pt idx="45">
                  <c:v>0.753</c:v>
                </c:pt>
                <c:pt idx="46">
                  <c:v>0.75</c:v>
                </c:pt>
                <c:pt idx="47">
                  <c:v>0.747</c:v>
                </c:pt>
                <c:pt idx="48">
                  <c:v>0.745</c:v>
                </c:pt>
                <c:pt idx="49">
                  <c:v>0.74099999999999999</c:v>
                </c:pt>
                <c:pt idx="50">
                  <c:v>0.73899999999999999</c:v>
                </c:pt>
                <c:pt idx="51">
                  <c:v>0.73599999999999999</c:v>
                </c:pt>
                <c:pt idx="52">
                  <c:v>0.73299999999999998</c:v>
                </c:pt>
                <c:pt idx="53">
                  <c:v>0.73099999999999998</c:v>
                </c:pt>
                <c:pt idx="54">
                  <c:v>0.72899999999999998</c:v>
                </c:pt>
                <c:pt idx="55">
                  <c:v>0.72699999999999998</c:v>
                </c:pt>
              </c:numCache>
            </c:numRef>
          </c:val>
          <c:smooth val="0"/>
          <c:extLst>
            <c:ext xmlns:c16="http://schemas.microsoft.com/office/drawing/2014/chart" uri="{C3380CC4-5D6E-409C-BE32-E72D297353CC}">
              <c16:uniqueId val="{00000001-F968-4104-BDC3-09675FBBA87E}"/>
            </c:ext>
          </c:extLst>
        </c:ser>
        <c:ser>
          <c:idx val="1"/>
          <c:order val="2"/>
          <c:tx>
            <c:strRef>
              <c:f>'Fig 2.13'!$C$13</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2.13'!$M$13:$BP$13</c:f>
              <c:numCache>
                <c:formatCode>0.0%</c:formatCode>
                <c:ptCount val="56"/>
                <c:pt idx="8">
                  <c:v>1.0329999999999999</c:v>
                </c:pt>
                <c:pt idx="9">
                  <c:v>1.046</c:v>
                </c:pt>
                <c:pt idx="10">
                  <c:v>1.0489999999999999</c:v>
                </c:pt>
                <c:pt idx="11">
                  <c:v>1.0449999999999999</c:v>
                </c:pt>
                <c:pt idx="12">
                  <c:v>1.0449999999999999</c:v>
                </c:pt>
                <c:pt idx="13">
                  <c:v>1.046</c:v>
                </c:pt>
                <c:pt idx="14">
                  <c:v>1.036</c:v>
                </c:pt>
                <c:pt idx="15">
                  <c:v>1.032</c:v>
                </c:pt>
                <c:pt idx="16">
                  <c:v>1.0189999999999999</c:v>
                </c:pt>
                <c:pt idx="17">
                  <c:v>1.0089999999999999</c:v>
                </c:pt>
                <c:pt idx="18">
                  <c:v>0.995</c:v>
                </c:pt>
                <c:pt idx="19">
                  <c:v>0.98199999999999998</c:v>
                </c:pt>
                <c:pt idx="20">
                  <c:v>0.97099999999999997</c:v>
                </c:pt>
                <c:pt idx="21">
                  <c:v>0.95799999999999996</c:v>
                </c:pt>
                <c:pt idx="22">
                  <c:v>0.94699999999999995</c:v>
                </c:pt>
                <c:pt idx="23">
                  <c:v>0.93600000000000005</c:v>
                </c:pt>
                <c:pt idx="24">
                  <c:v>0.92600000000000005</c:v>
                </c:pt>
                <c:pt idx="25">
                  <c:v>0.91600000000000004</c:v>
                </c:pt>
                <c:pt idx="26">
                  <c:v>0.90800000000000003</c:v>
                </c:pt>
                <c:pt idx="27">
                  <c:v>0.89800000000000002</c:v>
                </c:pt>
                <c:pt idx="28">
                  <c:v>0.88700000000000001</c:v>
                </c:pt>
                <c:pt idx="29">
                  <c:v>0.878</c:v>
                </c:pt>
                <c:pt idx="30">
                  <c:v>0.871</c:v>
                </c:pt>
                <c:pt idx="31">
                  <c:v>0.86399999999999999</c:v>
                </c:pt>
                <c:pt idx="32">
                  <c:v>0.85799999999999998</c:v>
                </c:pt>
                <c:pt idx="33">
                  <c:v>0.85199999999999998</c:v>
                </c:pt>
                <c:pt idx="34">
                  <c:v>0.84499999999999997</c:v>
                </c:pt>
                <c:pt idx="35">
                  <c:v>0.83799999999999997</c:v>
                </c:pt>
                <c:pt idx="36">
                  <c:v>0.83099999999999996</c:v>
                </c:pt>
                <c:pt idx="37">
                  <c:v>0.82199999999999995</c:v>
                </c:pt>
                <c:pt idx="38">
                  <c:v>0.81399999999999995</c:v>
                </c:pt>
                <c:pt idx="39">
                  <c:v>0.80700000000000005</c:v>
                </c:pt>
                <c:pt idx="40">
                  <c:v>0.80100000000000005</c:v>
                </c:pt>
                <c:pt idx="41">
                  <c:v>0.79600000000000004</c:v>
                </c:pt>
                <c:pt idx="42">
                  <c:v>0.79200000000000004</c:v>
                </c:pt>
                <c:pt idx="43">
                  <c:v>0.78800000000000003</c:v>
                </c:pt>
                <c:pt idx="44">
                  <c:v>0.78500000000000003</c:v>
                </c:pt>
                <c:pt idx="45">
                  <c:v>0.78300000000000003</c:v>
                </c:pt>
                <c:pt idx="46">
                  <c:v>0.78</c:v>
                </c:pt>
                <c:pt idx="47">
                  <c:v>0.77800000000000002</c:v>
                </c:pt>
                <c:pt idx="48">
                  <c:v>0.77700000000000002</c:v>
                </c:pt>
                <c:pt idx="49">
                  <c:v>0.77400000000000002</c:v>
                </c:pt>
                <c:pt idx="50">
                  <c:v>0.77100000000000002</c:v>
                </c:pt>
                <c:pt idx="51">
                  <c:v>0.76900000000000002</c:v>
                </c:pt>
                <c:pt idx="52">
                  <c:v>0.76700000000000002</c:v>
                </c:pt>
                <c:pt idx="53">
                  <c:v>0.76400000000000001</c:v>
                </c:pt>
                <c:pt idx="54">
                  <c:v>0.76300000000000001</c:v>
                </c:pt>
                <c:pt idx="55">
                  <c:v>0.76100000000000001</c:v>
                </c:pt>
              </c:numCache>
            </c:numRef>
          </c:val>
          <c:smooth val="0"/>
          <c:extLst>
            <c:ext xmlns:c16="http://schemas.microsoft.com/office/drawing/2014/chart" uri="{C3380CC4-5D6E-409C-BE32-E72D297353CC}">
              <c16:uniqueId val="{00000002-F968-4104-BDC3-09675FBBA87E}"/>
            </c:ext>
          </c:extLst>
        </c:ser>
        <c:ser>
          <c:idx val="2"/>
          <c:order val="3"/>
          <c:tx>
            <c:strRef>
              <c:f>'Fig 2.13'!$C$14</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2.13'!$M$14:$BP$14</c:f>
              <c:numCache>
                <c:formatCode>0.0%</c:formatCode>
                <c:ptCount val="56"/>
                <c:pt idx="8">
                  <c:v>1.0329999999999999</c:v>
                </c:pt>
                <c:pt idx="9">
                  <c:v>1.046</c:v>
                </c:pt>
                <c:pt idx="10">
                  <c:v>1.048</c:v>
                </c:pt>
                <c:pt idx="11">
                  <c:v>1.0449999999999999</c:v>
                </c:pt>
                <c:pt idx="12">
                  <c:v>1.0449999999999999</c:v>
                </c:pt>
                <c:pt idx="13">
                  <c:v>1.0449999999999999</c:v>
                </c:pt>
                <c:pt idx="14">
                  <c:v>1.0369999999999999</c:v>
                </c:pt>
                <c:pt idx="15">
                  <c:v>1.03</c:v>
                </c:pt>
                <c:pt idx="16">
                  <c:v>1.0189999999999999</c:v>
                </c:pt>
                <c:pt idx="17">
                  <c:v>1.012</c:v>
                </c:pt>
                <c:pt idx="18">
                  <c:v>1.002</c:v>
                </c:pt>
                <c:pt idx="19">
                  <c:v>0.98899999999999999</c:v>
                </c:pt>
                <c:pt idx="20">
                  <c:v>0.97899999999999998</c:v>
                </c:pt>
                <c:pt idx="21">
                  <c:v>0.97</c:v>
                </c:pt>
                <c:pt idx="22">
                  <c:v>0.96099999999999997</c:v>
                </c:pt>
                <c:pt idx="23">
                  <c:v>0.95199999999999996</c:v>
                </c:pt>
                <c:pt idx="24">
                  <c:v>0.94399999999999995</c:v>
                </c:pt>
                <c:pt idx="25">
                  <c:v>0.93600000000000005</c:v>
                </c:pt>
                <c:pt idx="26">
                  <c:v>0.92700000000000005</c:v>
                </c:pt>
                <c:pt idx="27">
                  <c:v>0.91900000000000004</c:v>
                </c:pt>
                <c:pt idx="28">
                  <c:v>0.91</c:v>
                </c:pt>
                <c:pt idx="29">
                  <c:v>0.90400000000000003</c:v>
                </c:pt>
                <c:pt idx="30">
                  <c:v>0.89900000000000002</c:v>
                </c:pt>
                <c:pt idx="31">
                  <c:v>0.89400000000000002</c:v>
                </c:pt>
                <c:pt idx="32">
                  <c:v>0.89</c:v>
                </c:pt>
                <c:pt idx="33">
                  <c:v>0.88600000000000001</c:v>
                </c:pt>
                <c:pt idx="34">
                  <c:v>0.88</c:v>
                </c:pt>
                <c:pt idx="35">
                  <c:v>0.875</c:v>
                </c:pt>
                <c:pt idx="36">
                  <c:v>0.87</c:v>
                </c:pt>
                <c:pt idx="37">
                  <c:v>0.86299999999999999</c:v>
                </c:pt>
                <c:pt idx="38">
                  <c:v>0.85799999999999998</c:v>
                </c:pt>
                <c:pt idx="39">
                  <c:v>0.85299999999999998</c:v>
                </c:pt>
                <c:pt idx="40">
                  <c:v>0.84899999999999998</c:v>
                </c:pt>
                <c:pt idx="41">
                  <c:v>0.84499999999999997</c:v>
                </c:pt>
                <c:pt idx="42">
                  <c:v>0.84099999999999997</c:v>
                </c:pt>
                <c:pt idx="43">
                  <c:v>0.83599999999999997</c:v>
                </c:pt>
                <c:pt idx="44">
                  <c:v>0.83199999999999996</c:v>
                </c:pt>
                <c:pt idx="45">
                  <c:v>0.82899999999999996</c:v>
                </c:pt>
                <c:pt idx="46">
                  <c:v>0.82599999999999996</c:v>
                </c:pt>
                <c:pt idx="47">
                  <c:v>0.82399999999999995</c:v>
                </c:pt>
                <c:pt idx="48">
                  <c:v>0.82299999999999995</c:v>
                </c:pt>
                <c:pt idx="49">
                  <c:v>0.82199999999999995</c:v>
                </c:pt>
                <c:pt idx="50">
                  <c:v>0.82099999999999995</c:v>
                </c:pt>
                <c:pt idx="51">
                  <c:v>0.82199999999999995</c:v>
                </c:pt>
                <c:pt idx="52">
                  <c:v>0.82099999999999995</c:v>
                </c:pt>
                <c:pt idx="53">
                  <c:v>0.82099999999999995</c:v>
                </c:pt>
                <c:pt idx="54">
                  <c:v>0.82</c:v>
                </c:pt>
                <c:pt idx="55">
                  <c:v>0.82099999999999995</c:v>
                </c:pt>
              </c:numCache>
            </c:numRef>
          </c:val>
          <c:smooth val="0"/>
          <c:extLst>
            <c:ext xmlns:c16="http://schemas.microsoft.com/office/drawing/2014/chart" uri="{C3380CC4-5D6E-409C-BE32-E72D297353CC}">
              <c16:uniqueId val="{00000003-F968-4104-BDC3-09675FBBA87E}"/>
            </c:ext>
          </c:extLst>
        </c:ser>
        <c:ser>
          <c:idx val="3"/>
          <c:order val="4"/>
          <c:tx>
            <c:strRef>
              <c:f>'Fig 2.13'!$C$15</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2.13'!$M$15:$BP$15</c:f>
              <c:numCache>
                <c:formatCode>0.0%</c:formatCode>
                <c:ptCount val="56"/>
                <c:pt idx="8">
                  <c:v>1.0329999999999999</c:v>
                </c:pt>
                <c:pt idx="9">
                  <c:v>1.046</c:v>
                </c:pt>
                <c:pt idx="10">
                  <c:v>1.0489999999999999</c:v>
                </c:pt>
                <c:pt idx="11">
                  <c:v>1.046</c:v>
                </c:pt>
                <c:pt idx="12">
                  <c:v>1.046</c:v>
                </c:pt>
                <c:pt idx="13">
                  <c:v>1.046</c:v>
                </c:pt>
                <c:pt idx="14">
                  <c:v>1.038</c:v>
                </c:pt>
                <c:pt idx="15">
                  <c:v>1.032</c:v>
                </c:pt>
                <c:pt idx="16">
                  <c:v>1.0189999999999999</c:v>
                </c:pt>
                <c:pt idx="17">
                  <c:v>1.0109999999999999</c:v>
                </c:pt>
                <c:pt idx="18">
                  <c:v>0.999</c:v>
                </c:pt>
                <c:pt idx="19">
                  <c:v>0.98799999999999999</c:v>
                </c:pt>
                <c:pt idx="20">
                  <c:v>0.98</c:v>
                </c:pt>
                <c:pt idx="21">
                  <c:v>0.97199999999999998</c:v>
                </c:pt>
                <c:pt idx="22">
                  <c:v>0.96499999999999997</c:v>
                </c:pt>
                <c:pt idx="23">
                  <c:v>0.95799999999999996</c:v>
                </c:pt>
                <c:pt idx="24">
                  <c:v>0.95299999999999996</c:v>
                </c:pt>
                <c:pt idx="25">
                  <c:v>0.94699999999999995</c:v>
                </c:pt>
                <c:pt idx="26">
                  <c:v>0.94099999999999995</c:v>
                </c:pt>
                <c:pt idx="27">
                  <c:v>0.93400000000000005</c:v>
                </c:pt>
                <c:pt idx="28">
                  <c:v>0.92700000000000005</c:v>
                </c:pt>
                <c:pt idx="29">
                  <c:v>0.92200000000000004</c:v>
                </c:pt>
                <c:pt idx="30">
                  <c:v>0.91500000000000004</c:v>
                </c:pt>
                <c:pt idx="31">
                  <c:v>0.91100000000000003</c:v>
                </c:pt>
                <c:pt idx="32">
                  <c:v>0.90800000000000003</c:v>
                </c:pt>
                <c:pt idx="33">
                  <c:v>0.90500000000000003</c:v>
                </c:pt>
                <c:pt idx="34">
                  <c:v>0.90100000000000002</c:v>
                </c:pt>
                <c:pt idx="35">
                  <c:v>0.89800000000000002</c:v>
                </c:pt>
                <c:pt idx="36">
                  <c:v>0.89400000000000002</c:v>
                </c:pt>
                <c:pt idx="37">
                  <c:v>0.88900000000000001</c:v>
                </c:pt>
                <c:pt idx="38">
                  <c:v>0.88500000000000001</c:v>
                </c:pt>
                <c:pt idx="39">
                  <c:v>0.88100000000000001</c:v>
                </c:pt>
                <c:pt idx="40">
                  <c:v>0.878</c:v>
                </c:pt>
                <c:pt idx="41">
                  <c:v>0.876</c:v>
                </c:pt>
                <c:pt idx="42">
                  <c:v>0.874</c:v>
                </c:pt>
                <c:pt idx="43">
                  <c:v>0.871</c:v>
                </c:pt>
                <c:pt idx="44">
                  <c:v>0.86799999999999999</c:v>
                </c:pt>
                <c:pt idx="45">
                  <c:v>0.86699999999999999</c:v>
                </c:pt>
                <c:pt idx="46">
                  <c:v>0.86499999999999999</c:v>
                </c:pt>
                <c:pt idx="47">
                  <c:v>0.86299999999999999</c:v>
                </c:pt>
                <c:pt idx="48">
                  <c:v>0.86099999999999999</c:v>
                </c:pt>
                <c:pt idx="49">
                  <c:v>0.86</c:v>
                </c:pt>
                <c:pt idx="50">
                  <c:v>0.85899999999999999</c:v>
                </c:pt>
                <c:pt idx="51">
                  <c:v>0.85899999999999999</c:v>
                </c:pt>
                <c:pt idx="52">
                  <c:v>0.85899999999999999</c:v>
                </c:pt>
                <c:pt idx="53">
                  <c:v>0.85799999999999998</c:v>
                </c:pt>
                <c:pt idx="54">
                  <c:v>0.85799999999999998</c:v>
                </c:pt>
                <c:pt idx="55">
                  <c:v>0.85699999999999998</c:v>
                </c:pt>
              </c:numCache>
            </c:numRef>
          </c:val>
          <c:smooth val="0"/>
          <c:extLst>
            <c:ext xmlns:c16="http://schemas.microsoft.com/office/drawing/2014/chart" uri="{C3380CC4-5D6E-409C-BE32-E72D297353CC}">
              <c16:uniqueId val="{00000004-F968-4104-BDC3-09675FBBA87E}"/>
            </c:ext>
          </c:extLst>
        </c:ser>
        <c:ser>
          <c:idx val="4"/>
          <c:order val="5"/>
          <c:tx>
            <c:strRef>
              <c:f>'Fig 2.13'!$C$16</c:f>
              <c:strCache>
                <c:ptCount val="1"/>
                <c:pt idx="0">
                  <c:v>C'</c:v>
                </c:pt>
              </c:strCache>
            </c:strRef>
          </c:tx>
          <c:spPr>
            <a:ln w="22225">
              <a:solidFill>
                <a:schemeClr val="tx1"/>
              </a:solidFill>
            </a:ln>
          </c:spPr>
          <c:marker>
            <c:symbol val="star"/>
            <c:size val="4"/>
            <c:spPr>
              <a:noFill/>
              <a:ln>
                <a:solidFill>
                  <a:schemeClr val="tx1"/>
                </a:solidFill>
              </a:ln>
            </c:spPr>
          </c:marker>
          <c:cat>
            <c:numRef>
              <c:f>'Fig 2.13'!$M$4:$BP$4</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2.13'!$M$16:$BP$16</c:f>
              <c:numCache>
                <c:formatCode>0.0%</c:formatCode>
                <c:ptCount val="56"/>
                <c:pt idx="8">
                  <c:v>1.0329999999999999</c:v>
                </c:pt>
                <c:pt idx="9">
                  <c:v>1.046</c:v>
                </c:pt>
                <c:pt idx="10">
                  <c:v>1.0489999999999999</c:v>
                </c:pt>
                <c:pt idx="11">
                  <c:v>1.046</c:v>
                </c:pt>
                <c:pt idx="12">
                  <c:v>1.046</c:v>
                </c:pt>
                <c:pt idx="13">
                  <c:v>1.046</c:v>
                </c:pt>
                <c:pt idx="14">
                  <c:v>1.038</c:v>
                </c:pt>
                <c:pt idx="15">
                  <c:v>1.0329999999999999</c:v>
                </c:pt>
                <c:pt idx="16">
                  <c:v>1.0209999999999999</c:v>
                </c:pt>
                <c:pt idx="17">
                  <c:v>1.016</c:v>
                </c:pt>
                <c:pt idx="18">
                  <c:v>1.0069999999999999</c:v>
                </c:pt>
                <c:pt idx="19">
                  <c:v>0.998</c:v>
                </c:pt>
                <c:pt idx="20">
                  <c:v>0.99299999999999999</c:v>
                </c:pt>
                <c:pt idx="21">
                  <c:v>0.98699999999999999</c:v>
                </c:pt>
                <c:pt idx="22">
                  <c:v>0.98299999999999998</c:v>
                </c:pt>
                <c:pt idx="23">
                  <c:v>0.97799999999999998</c:v>
                </c:pt>
                <c:pt idx="24">
                  <c:v>0.97499999999999998</c:v>
                </c:pt>
                <c:pt idx="25">
                  <c:v>0.97199999999999998</c:v>
                </c:pt>
                <c:pt idx="26">
                  <c:v>0.96799999999999997</c:v>
                </c:pt>
                <c:pt idx="27">
                  <c:v>0.96299999999999997</c:v>
                </c:pt>
                <c:pt idx="28">
                  <c:v>0.95799999999999996</c:v>
                </c:pt>
                <c:pt idx="29">
                  <c:v>0.95399999999999996</c:v>
                </c:pt>
                <c:pt idx="30">
                  <c:v>0.95</c:v>
                </c:pt>
                <c:pt idx="31">
                  <c:v>0.94799999999999995</c:v>
                </c:pt>
                <c:pt idx="32">
                  <c:v>0.94699999999999995</c:v>
                </c:pt>
                <c:pt idx="33">
                  <c:v>0.94499999999999995</c:v>
                </c:pt>
                <c:pt idx="34">
                  <c:v>0.94299999999999995</c:v>
                </c:pt>
                <c:pt idx="35">
                  <c:v>0.94099999999999995</c:v>
                </c:pt>
                <c:pt idx="36">
                  <c:v>0.93899999999999995</c:v>
                </c:pt>
                <c:pt idx="37">
                  <c:v>0.93600000000000005</c:v>
                </c:pt>
                <c:pt idx="38">
                  <c:v>0.93300000000000005</c:v>
                </c:pt>
                <c:pt idx="39">
                  <c:v>0.93</c:v>
                </c:pt>
                <c:pt idx="40">
                  <c:v>0.92900000000000005</c:v>
                </c:pt>
                <c:pt idx="41">
                  <c:v>0.92900000000000005</c:v>
                </c:pt>
                <c:pt idx="42">
                  <c:v>0.92800000000000005</c:v>
                </c:pt>
                <c:pt idx="43">
                  <c:v>0.92600000000000005</c:v>
                </c:pt>
                <c:pt idx="44">
                  <c:v>0.92500000000000004</c:v>
                </c:pt>
                <c:pt idx="45">
                  <c:v>0.92500000000000004</c:v>
                </c:pt>
                <c:pt idx="46">
                  <c:v>0.92400000000000004</c:v>
                </c:pt>
                <c:pt idx="47">
                  <c:v>0.92300000000000004</c:v>
                </c:pt>
                <c:pt idx="48">
                  <c:v>0.92200000000000004</c:v>
                </c:pt>
                <c:pt idx="49">
                  <c:v>0.92200000000000004</c:v>
                </c:pt>
                <c:pt idx="50">
                  <c:v>0.92300000000000004</c:v>
                </c:pt>
                <c:pt idx="51">
                  <c:v>0.92300000000000004</c:v>
                </c:pt>
                <c:pt idx="52">
                  <c:v>0.92400000000000004</c:v>
                </c:pt>
                <c:pt idx="53">
                  <c:v>0.92400000000000004</c:v>
                </c:pt>
                <c:pt idx="54">
                  <c:v>0.92400000000000004</c:v>
                </c:pt>
                <c:pt idx="55">
                  <c:v>0.92400000000000004</c:v>
                </c:pt>
              </c:numCache>
            </c:numRef>
          </c:val>
          <c:smooth val="0"/>
          <c:extLst>
            <c:ext xmlns:c16="http://schemas.microsoft.com/office/drawing/2014/chart" uri="{C3380CC4-5D6E-409C-BE32-E72D297353CC}">
              <c16:uniqueId val="{00000005-F968-4104-BDC3-09675FBBA87E}"/>
            </c:ext>
          </c:extLst>
        </c:ser>
        <c:dLbls>
          <c:showLegendKey val="0"/>
          <c:showVal val="0"/>
          <c:showCatName val="0"/>
          <c:showSerName val="0"/>
          <c:showPercent val="0"/>
          <c:showBubbleSize val="0"/>
        </c:dLbls>
        <c:smooth val="0"/>
        <c:axId val="147287424"/>
        <c:axId val="147297792"/>
      </c:lineChart>
      <c:catAx>
        <c:axId val="14728742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47297792"/>
        <c:crosses val="autoZero"/>
        <c:auto val="1"/>
        <c:lblAlgn val="ctr"/>
        <c:lblOffset val="100"/>
        <c:tickLblSkip val="10"/>
        <c:noMultiLvlLbl val="0"/>
      </c:catAx>
      <c:valAx>
        <c:axId val="147297792"/>
        <c:scaling>
          <c:orientation val="minMax"/>
          <c:max val="1.1000000000000001"/>
          <c:min val="0.2"/>
        </c:scaling>
        <c:delete val="0"/>
        <c:axPos val="l"/>
        <c:majorGridlines/>
        <c:numFmt formatCode="0%" sourceLinked="0"/>
        <c:majorTickMark val="out"/>
        <c:minorTickMark val="none"/>
        <c:tickLblPos val="nextTo"/>
        <c:crossAx val="147287424"/>
        <c:crosses val="autoZero"/>
        <c:crossBetween val="between"/>
        <c:majorUnit val="0.2"/>
      </c:valAx>
    </c:plotArea>
    <c:legend>
      <c:legendPos val="b"/>
      <c:layout>
        <c:manualLayout>
          <c:xMode val="edge"/>
          <c:yMode val="edge"/>
          <c:x val="1.6152222222222221E-2"/>
          <c:y val="0.88251468253968257"/>
          <c:w val="0.97710296296296295"/>
          <c:h val="0.11748531746031746"/>
        </c:manualLayout>
      </c:layout>
      <c:overlay val="0"/>
    </c:legend>
    <c:plotVisOnly val="1"/>
    <c:dispBlanksAs val="gap"/>
    <c:showDLblsOverMax val="0"/>
  </c:chart>
  <c:printSettings>
    <c:headerFooter/>
    <c:pageMargins b="0.75" l="0.7" r="0.7" t="0.75" header="0.3" footer="0.3"/>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076620370370356E-2"/>
          <c:y val="3.5880555555555554E-2"/>
          <c:w val="0.57791597222222235"/>
          <c:h val="0.80908379629629623"/>
        </c:manualLayout>
      </c:layout>
      <c:lineChart>
        <c:grouping val="standard"/>
        <c:varyColors val="0"/>
        <c:ser>
          <c:idx val="0"/>
          <c:order val="0"/>
          <c:tx>
            <c:strRef>
              <c:f>'Fig 2.14'!$B$5</c:f>
              <c:strCache>
                <c:ptCount val="1"/>
                <c:pt idx="0">
                  <c:v>Ensemble des retraités</c:v>
                </c:pt>
              </c:strCache>
            </c:strRef>
          </c:tx>
          <c:spPr>
            <a:ln w="31750">
              <a:solidFill>
                <a:schemeClr val="tx1"/>
              </a:solidFill>
            </a:ln>
          </c:spPr>
          <c:marker>
            <c:symbol val="none"/>
          </c:marker>
          <c:cat>
            <c:numRef>
              <c:f>'Fig 2.14'!$C$4:$S$4</c:f>
              <c:numCache>
                <c:formatCode>General</c:formatCode>
                <c:ptCount val="17"/>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numCache>
            </c:numRef>
          </c:cat>
          <c:val>
            <c:numRef>
              <c:f>'Fig 2.14'!$C$5:$S$5</c:f>
              <c:numCache>
                <c:formatCode>0.0%</c:formatCode>
                <c:ptCount val="17"/>
                <c:pt idx="0">
                  <c:v>9.6000000000000002E-2</c:v>
                </c:pt>
                <c:pt idx="1">
                  <c:v>9.1999999999999998E-2</c:v>
                </c:pt>
                <c:pt idx="2">
                  <c:v>9.2999999999999999E-2</c:v>
                </c:pt>
                <c:pt idx="3">
                  <c:v>9.4E-2</c:v>
                </c:pt>
                <c:pt idx="4">
                  <c:v>9.8000000000000004E-2</c:v>
                </c:pt>
                <c:pt idx="5">
                  <c:v>9.6000000000000002E-2</c:v>
                </c:pt>
                <c:pt idx="6">
                  <c:v>9.7000000000000003E-2</c:v>
                </c:pt>
                <c:pt idx="7">
                  <c:v>8.7999999999999995E-2</c:v>
                </c:pt>
                <c:pt idx="8">
                  <c:v>8.5000000000000006E-2</c:v>
                </c:pt>
                <c:pt idx="9">
                  <c:v>9.0999999999999998E-2</c:v>
                </c:pt>
                <c:pt idx="10">
                  <c:v>9.5000000000000001E-2</c:v>
                </c:pt>
                <c:pt idx="11">
                  <c:v>9.8000000000000004E-2</c:v>
                </c:pt>
                <c:pt idx="12">
                  <c:v>9.9000000000000005E-2</c:v>
                </c:pt>
                <c:pt idx="13">
                  <c:v>9.9000000000000005E-2</c:v>
                </c:pt>
                <c:pt idx="14">
                  <c:v>0.1</c:v>
                </c:pt>
                <c:pt idx="15">
                  <c:v>9.2999999999999999E-2</c:v>
                </c:pt>
                <c:pt idx="16">
                  <c:v>8.4000000000000005E-2</c:v>
                </c:pt>
              </c:numCache>
            </c:numRef>
          </c:val>
          <c:smooth val="0"/>
          <c:extLst>
            <c:ext xmlns:c16="http://schemas.microsoft.com/office/drawing/2014/chart" uri="{C3380CC4-5D6E-409C-BE32-E72D297353CC}">
              <c16:uniqueId val="{00000000-2DE0-4FF0-9775-AE178C68260E}"/>
            </c:ext>
          </c:extLst>
        </c:ser>
        <c:ser>
          <c:idx val="1"/>
          <c:order val="1"/>
          <c:tx>
            <c:strRef>
              <c:f>'Fig 2.14'!$B$6</c:f>
              <c:strCache>
                <c:ptCount val="1"/>
                <c:pt idx="0">
                  <c:v>Retraitées femmes</c:v>
                </c:pt>
              </c:strCache>
            </c:strRef>
          </c:tx>
          <c:spPr>
            <a:ln w="12700">
              <a:solidFill>
                <a:schemeClr val="tx1"/>
              </a:solidFill>
              <a:prstDash val="solid"/>
            </a:ln>
          </c:spPr>
          <c:marker>
            <c:symbol val="triangle"/>
            <c:size val="4"/>
            <c:spPr>
              <a:solidFill>
                <a:schemeClr val="bg1"/>
              </a:solidFill>
              <a:ln w="9525">
                <a:solidFill>
                  <a:schemeClr val="tx1"/>
                </a:solidFill>
              </a:ln>
            </c:spPr>
          </c:marker>
          <c:cat>
            <c:numRef>
              <c:f>'Fig 2.14'!$C$4:$S$4</c:f>
              <c:numCache>
                <c:formatCode>General</c:formatCode>
                <c:ptCount val="17"/>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numCache>
            </c:numRef>
          </c:cat>
          <c:val>
            <c:numRef>
              <c:f>'Fig 2.14'!$C$6:$S$6</c:f>
              <c:numCache>
                <c:formatCode>0.0%</c:formatCode>
                <c:ptCount val="17"/>
                <c:pt idx="6">
                  <c:v>0.108</c:v>
                </c:pt>
                <c:pt idx="7">
                  <c:v>9.7000000000000003E-2</c:v>
                </c:pt>
                <c:pt idx="8">
                  <c:v>9.7000000000000003E-2</c:v>
                </c:pt>
                <c:pt idx="9">
                  <c:v>0.10299999999999999</c:v>
                </c:pt>
                <c:pt idx="10">
                  <c:v>0.106</c:v>
                </c:pt>
                <c:pt idx="11">
                  <c:v>0.108</c:v>
                </c:pt>
                <c:pt idx="12">
                  <c:v>0.114</c:v>
                </c:pt>
                <c:pt idx="13">
                  <c:v>0.11</c:v>
                </c:pt>
                <c:pt idx="14">
                  <c:v>0.109</c:v>
                </c:pt>
                <c:pt idx="15">
                  <c:v>0.10100000000000001</c:v>
                </c:pt>
                <c:pt idx="16">
                  <c:v>9.0999999999999998E-2</c:v>
                </c:pt>
              </c:numCache>
            </c:numRef>
          </c:val>
          <c:smooth val="0"/>
          <c:extLst>
            <c:ext xmlns:c16="http://schemas.microsoft.com/office/drawing/2014/chart" uri="{C3380CC4-5D6E-409C-BE32-E72D297353CC}">
              <c16:uniqueId val="{00000001-2DE0-4FF0-9775-AE178C68260E}"/>
            </c:ext>
          </c:extLst>
        </c:ser>
        <c:ser>
          <c:idx val="2"/>
          <c:order val="2"/>
          <c:tx>
            <c:strRef>
              <c:f>'Fig 2.14'!$B$7</c:f>
              <c:strCache>
                <c:ptCount val="1"/>
                <c:pt idx="0">
                  <c:v>Retraités hommes</c:v>
                </c:pt>
              </c:strCache>
            </c:strRef>
          </c:tx>
          <c:spPr>
            <a:ln w="22225">
              <a:solidFill>
                <a:schemeClr val="bg1">
                  <a:lumMod val="65000"/>
                </a:schemeClr>
              </a:solidFill>
            </a:ln>
          </c:spPr>
          <c:marker>
            <c:symbol val="plus"/>
            <c:size val="5"/>
            <c:spPr>
              <a:solidFill>
                <a:schemeClr val="bg1"/>
              </a:solidFill>
              <a:ln w="19050">
                <a:solidFill>
                  <a:schemeClr val="bg1">
                    <a:lumMod val="65000"/>
                  </a:schemeClr>
                </a:solidFill>
              </a:ln>
            </c:spPr>
          </c:marker>
          <c:cat>
            <c:numRef>
              <c:f>'Fig 2.14'!$C$4:$S$4</c:f>
              <c:numCache>
                <c:formatCode>General</c:formatCode>
                <c:ptCount val="17"/>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numCache>
            </c:numRef>
          </c:cat>
          <c:val>
            <c:numRef>
              <c:f>'Fig 2.14'!$C$7:$S$7</c:f>
              <c:numCache>
                <c:formatCode>0.0%</c:formatCode>
                <c:ptCount val="17"/>
                <c:pt idx="6">
                  <c:v>8.4000000000000005E-2</c:v>
                </c:pt>
                <c:pt idx="7">
                  <c:v>7.8E-2</c:v>
                </c:pt>
                <c:pt idx="8">
                  <c:v>7.0000000000000007E-2</c:v>
                </c:pt>
                <c:pt idx="9">
                  <c:v>7.6999999999999999E-2</c:v>
                </c:pt>
                <c:pt idx="10">
                  <c:v>8.2000000000000003E-2</c:v>
                </c:pt>
                <c:pt idx="11">
                  <c:v>8.5999999999999993E-2</c:v>
                </c:pt>
                <c:pt idx="12">
                  <c:v>8.1000000000000003E-2</c:v>
                </c:pt>
                <c:pt idx="13">
                  <c:v>8.5999999999999993E-2</c:v>
                </c:pt>
                <c:pt idx="14">
                  <c:v>9.0999999999999998E-2</c:v>
                </c:pt>
                <c:pt idx="15">
                  <c:v>8.3000000000000004E-2</c:v>
                </c:pt>
                <c:pt idx="16">
                  <c:v>7.5999999999999998E-2</c:v>
                </c:pt>
              </c:numCache>
            </c:numRef>
          </c:val>
          <c:smooth val="0"/>
          <c:extLst>
            <c:ext xmlns:c16="http://schemas.microsoft.com/office/drawing/2014/chart" uri="{C3380CC4-5D6E-409C-BE32-E72D297353CC}">
              <c16:uniqueId val="{00000002-2DE0-4FF0-9775-AE178C68260E}"/>
            </c:ext>
          </c:extLst>
        </c:ser>
        <c:ser>
          <c:idx val="3"/>
          <c:order val="3"/>
          <c:tx>
            <c:strRef>
              <c:f>'Fig 2.14'!$B$8</c:f>
              <c:strCache>
                <c:ptCount val="1"/>
                <c:pt idx="0">
                  <c:v>Pour comparaison : ensemble de la population</c:v>
                </c:pt>
              </c:strCache>
            </c:strRef>
          </c:tx>
          <c:spPr>
            <a:ln w="15875">
              <a:solidFill>
                <a:schemeClr val="tx1">
                  <a:lumMod val="50000"/>
                  <a:lumOff val="50000"/>
                </a:schemeClr>
              </a:solidFill>
              <a:prstDash val="sysDash"/>
            </a:ln>
          </c:spPr>
          <c:marker>
            <c:symbol val="none"/>
          </c:marker>
          <c:cat>
            <c:numRef>
              <c:f>'Fig 2.14'!$C$4:$S$4</c:f>
              <c:numCache>
                <c:formatCode>General</c:formatCode>
                <c:ptCount val="17"/>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numCache>
            </c:numRef>
          </c:cat>
          <c:val>
            <c:numRef>
              <c:f>'Fig 2.14'!$C$8:$S$8</c:f>
              <c:numCache>
                <c:formatCode>0.0%</c:formatCode>
                <c:ptCount val="17"/>
                <c:pt idx="0">
                  <c:v>0.14499999999999999</c:v>
                </c:pt>
                <c:pt idx="1">
                  <c:v>0.14199999999999999</c:v>
                </c:pt>
                <c:pt idx="2">
                  <c:v>0.13800000000000001</c:v>
                </c:pt>
                <c:pt idx="3">
                  <c:v>0.13500000000000001</c:v>
                </c:pt>
                <c:pt idx="4">
                  <c:v>0.13600000000000001</c:v>
                </c:pt>
                <c:pt idx="5">
                  <c:v>0.13400000000000001</c:v>
                </c:pt>
                <c:pt idx="6">
                  <c:v>0.129</c:v>
                </c:pt>
                <c:pt idx="7">
                  <c:v>0.13</c:v>
                </c:pt>
                <c:pt idx="8">
                  <c:v>0.126</c:v>
                </c:pt>
                <c:pt idx="9">
                  <c:v>0.13100000000000001</c:v>
                </c:pt>
                <c:pt idx="10">
                  <c:v>0.13100000000000001</c:v>
                </c:pt>
                <c:pt idx="11">
                  <c:v>0.13400000000000001</c:v>
                </c:pt>
                <c:pt idx="12">
                  <c:v>0.13</c:v>
                </c:pt>
                <c:pt idx="13">
                  <c:v>0.13500000000000001</c:v>
                </c:pt>
                <c:pt idx="14">
                  <c:v>0.14000000000000001</c:v>
                </c:pt>
                <c:pt idx="15">
                  <c:v>0.14299999999999999</c:v>
                </c:pt>
                <c:pt idx="16">
                  <c:v>0.13900000000000001</c:v>
                </c:pt>
              </c:numCache>
            </c:numRef>
          </c:val>
          <c:smooth val="0"/>
          <c:extLst>
            <c:ext xmlns:c16="http://schemas.microsoft.com/office/drawing/2014/chart" uri="{C3380CC4-5D6E-409C-BE32-E72D297353CC}">
              <c16:uniqueId val="{00000003-2DE0-4FF0-9775-AE178C68260E}"/>
            </c:ext>
          </c:extLst>
        </c:ser>
        <c:dLbls>
          <c:showLegendKey val="0"/>
          <c:showVal val="0"/>
          <c:showCatName val="0"/>
          <c:showSerName val="0"/>
          <c:showPercent val="0"/>
          <c:showBubbleSize val="0"/>
        </c:dLbls>
        <c:smooth val="0"/>
        <c:axId val="147367424"/>
        <c:axId val="147369344"/>
      </c:lineChart>
      <c:catAx>
        <c:axId val="147367424"/>
        <c:scaling>
          <c:orientation val="minMax"/>
        </c:scaling>
        <c:delete val="0"/>
        <c:axPos val="b"/>
        <c:title>
          <c:tx>
            <c:rich>
              <a:bodyPr/>
              <a:lstStyle/>
              <a:p>
                <a:pPr>
                  <a:defRPr/>
                </a:pPr>
                <a:r>
                  <a:rPr lang="fr-FR"/>
                  <a:t>année</a:t>
                </a:r>
              </a:p>
            </c:rich>
          </c:tx>
          <c:layout>
            <c:manualLayout>
              <c:xMode val="edge"/>
              <c:yMode val="edge"/>
              <c:x val="0.5674731481481482"/>
              <c:y val="0.74625972222222225"/>
            </c:manualLayout>
          </c:layout>
          <c:overlay val="0"/>
        </c:title>
        <c:numFmt formatCode="General" sourceLinked="1"/>
        <c:majorTickMark val="out"/>
        <c:minorTickMark val="none"/>
        <c:tickLblPos val="nextTo"/>
        <c:txPr>
          <a:bodyPr rot="-5400000" vert="horz"/>
          <a:lstStyle/>
          <a:p>
            <a:pPr>
              <a:defRPr sz="900"/>
            </a:pPr>
            <a:endParaRPr lang="fr-FR"/>
          </a:p>
        </c:txPr>
        <c:crossAx val="147369344"/>
        <c:crosses val="autoZero"/>
        <c:auto val="1"/>
        <c:lblAlgn val="ctr"/>
        <c:lblOffset val="100"/>
        <c:tickLblSkip val="1"/>
        <c:noMultiLvlLbl val="0"/>
      </c:catAx>
      <c:valAx>
        <c:axId val="147369344"/>
        <c:scaling>
          <c:orientation val="minMax"/>
          <c:max val="0.16000000000000003"/>
          <c:min val="0"/>
        </c:scaling>
        <c:delete val="0"/>
        <c:axPos val="l"/>
        <c:majorGridlines/>
        <c:numFmt formatCode="0%" sourceLinked="0"/>
        <c:majorTickMark val="out"/>
        <c:minorTickMark val="none"/>
        <c:tickLblPos val="nextTo"/>
        <c:crossAx val="147367424"/>
        <c:crosses val="autoZero"/>
        <c:crossBetween val="between"/>
      </c:valAx>
    </c:plotArea>
    <c:legend>
      <c:legendPos val="r"/>
      <c:legendEntry>
        <c:idx val="3"/>
        <c:txPr>
          <a:bodyPr/>
          <a:lstStyle/>
          <a:p>
            <a:pPr>
              <a:defRPr sz="900" i="1"/>
            </a:pPr>
            <a:endParaRPr lang="fr-FR"/>
          </a:p>
        </c:txPr>
      </c:legendEntry>
      <c:layout>
        <c:manualLayout>
          <c:xMode val="edge"/>
          <c:yMode val="edge"/>
          <c:x val="0.66322870370370368"/>
          <c:y val="6.1964814814814813E-2"/>
          <c:w val="0.33383148148148151"/>
          <c:h val="0.81139444444444431"/>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59298433048433"/>
          <c:y val="3.5880555555555554E-2"/>
          <c:w val="0.75703774928774925"/>
          <c:h val="0.71216990740740738"/>
        </c:manualLayout>
      </c:layout>
      <c:lineChart>
        <c:grouping val="standard"/>
        <c:varyColors val="0"/>
        <c:ser>
          <c:idx val="0"/>
          <c:order val="0"/>
          <c:tx>
            <c:strRef>
              <c:f>'Fig 2.15'!$B$11</c:f>
              <c:strCache>
                <c:ptCount val="1"/>
                <c:pt idx="0">
                  <c:v>A'</c:v>
                </c:pt>
              </c:strCache>
            </c:strRef>
          </c:tx>
          <c:spPr>
            <a:ln w="22225">
              <a:solidFill>
                <a:srgbClr val="002060"/>
              </a:solidFill>
            </a:ln>
          </c:spPr>
          <c:marker>
            <c:symbol val="x"/>
            <c:size val="4"/>
            <c:spPr>
              <a:noFill/>
              <a:ln>
                <a:solidFill>
                  <a:srgbClr val="002060"/>
                </a:solidFill>
              </a:ln>
            </c:spPr>
          </c:marker>
          <c:cat>
            <c:numRef>
              <c:f>'Fig 2.15'!$C$4:$BA$4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2.15'!$C$11:$BA$11</c:f>
              <c:numCache>
                <c:formatCode>0.0%</c:formatCode>
                <c:ptCount val="51"/>
                <c:pt idx="0">
                  <c:v>0.80300000000000005</c:v>
                </c:pt>
                <c:pt idx="1">
                  <c:v>0.79300000000000004</c:v>
                </c:pt>
                <c:pt idx="2">
                  <c:v>0.78</c:v>
                </c:pt>
                <c:pt idx="3">
                  <c:v>0.78</c:v>
                </c:pt>
                <c:pt idx="4">
                  <c:v>0.76900000000000002</c:v>
                </c:pt>
                <c:pt idx="5">
                  <c:v>0.76200000000000001</c:v>
                </c:pt>
                <c:pt idx="6">
                  <c:v>0.753</c:v>
                </c:pt>
                <c:pt idx="7">
                  <c:v>0.748</c:v>
                </c:pt>
                <c:pt idx="8">
                  <c:v>0.74</c:v>
                </c:pt>
                <c:pt idx="9">
                  <c:v>0.745</c:v>
                </c:pt>
                <c:pt idx="10">
                  <c:v>0.73399999999999999</c:v>
                </c:pt>
                <c:pt idx="11">
                  <c:v>0.73899999999999999</c:v>
                </c:pt>
                <c:pt idx="12">
                  <c:v>0.747</c:v>
                </c:pt>
                <c:pt idx="13">
                  <c:v>0.75</c:v>
                </c:pt>
                <c:pt idx="14">
                  <c:v>0.749</c:v>
                </c:pt>
                <c:pt idx="15">
                  <c:v>0.75</c:v>
                </c:pt>
                <c:pt idx="16">
                  <c:v>0.74399999999999999</c:v>
                </c:pt>
                <c:pt idx="17">
                  <c:v>0.74199999999999999</c:v>
                </c:pt>
                <c:pt idx="18">
                  <c:v>0.73799999999999999</c:v>
                </c:pt>
                <c:pt idx="19">
                  <c:v>0.73599999999999999</c:v>
                </c:pt>
                <c:pt idx="20">
                  <c:v>0.73199999999999998</c:v>
                </c:pt>
                <c:pt idx="21">
                  <c:v>0.72599999999999998</c:v>
                </c:pt>
                <c:pt idx="22">
                  <c:v>0.72</c:v>
                </c:pt>
                <c:pt idx="23">
                  <c:v>0.71199999999999997</c:v>
                </c:pt>
                <c:pt idx="24">
                  <c:v>0.71</c:v>
                </c:pt>
                <c:pt idx="25">
                  <c:v>0.70299999999999996</c:v>
                </c:pt>
                <c:pt idx="26">
                  <c:v>0.69599999999999995</c:v>
                </c:pt>
                <c:pt idx="27">
                  <c:v>0.68500000000000005</c:v>
                </c:pt>
                <c:pt idx="28">
                  <c:v>0.68400000000000005</c:v>
                </c:pt>
                <c:pt idx="29">
                  <c:v>0.67700000000000005</c:v>
                </c:pt>
                <c:pt idx="30">
                  <c:v>0.66800000000000004</c:v>
                </c:pt>
                <c:pt idx="31">
                  <c:v>0.66100000000000003</c:v>
                </c:pt>
                <c:pt idx="32">
                  <c:v>0.65500000000000003</c:v>
                </c:pt>
                <c:pt idx="33">
                  <c:v>0.65700000000000003</c:v>
                </c:pt>
                <c:pt idx="34">
                  <c:v>0.65300000000000002</c:v>
                </c:pt>
                <c:pt idx="35">
                  <c:v>0.64800000000000002</c:v>
                </c:pt>
                <c:pt idx="36">
                  <c:v>0.64500000000000002</c:v>
                </c:pt>
                <c:pt idx="37">
                  <c:v>0.64200000000000002</c:v>
                </c:pt>
                <c:pt idx="38">
                  <c:v>0.63800000000000001</c:v>
                </c:pt>
                <c:pt idx="39">
                  <c:v>0.63600000000000001</c:v>
                </c:pt>
                <c:pt idx="40">
                  <c:v>0.63400000000000001</c:v>
                </c:pt>
                <c:pt idx="41">
                  <c:v>0.63300000000000001</c:v>
                </c:pt>
                <c:pt idx="42">
                  <c:v>0.63200000000000001</c:v>
                </c:pt>
                <c:pt idx="43">
                  <c:v>0.63100000000000001</c:v>
                </c:pt>
                <c:pt idx="44">
                  <c:v>0.63</c:v>
                </c:pt>
                <c:pt idx="45">
                  <c:v>0.629</c:v>
                </c:pt>
                <c:pt idx="46">
                  <c:v>0.628</c:v>
                </c:pt>
                <c:pt idx="47">
                  <c:v>0.628</c:v>
                </c:pt>
                <c:pt idx="48">
                  <c:v>0.627</c:v>
                </c:pt>
                <c:pt idx="49">
                  <c:v>0.627</c:v>
                </c:pt>
                <c:pt idx="50">
                  <c:v>0.627</c:v>
                </c:pt>
              </c:numCache>
            </c:numRef>
          </c:val>
          <c:smooth val="0"/>
          <c:extLst>
            <c:ext xmlns:c16="http://schemas.microsoft.com/office/drawing/2014/chart" uri="{C3380CC4-5D6E-409C-BE32-E72D297353CC}">
              <c16:uniqueId val="{00000000-A5D4-4331-8ABE-17A6F677B52F}"/>
            </c:ext>
          </c:extLst>
        </c:ser>
        <c:ser>
          <c:idx val="1"/>
          <c:order val="1"/>
          <c:tx>
            <c:strRef>
              <c:f>'Fig 2.15'!$B$12</c:f>
              <c:strCache>
                <c:ptCount val="1"/>
                <c:pt idx="0">
                  <c:v>A'</c:v>
                </c:pt>
              </c:strCache>
            </c:strRef>
          </c:tx>
          <c:spPr>
            <a:ln w="22225">
              <a:solidFill>
                <a:srgbClr val="002060"/>
              </a:solidFill>
            </a:ln>
          </c:spPr>
          <c:marker>
            <c:symbol val="circle"/>
            <c:size val="4"/>
            <c:spPr>
              <a:solidFill>
                <a:schemeClr val="bg1">
                  <a:lumMod val="65000"/>
                </a:schemeClr>
              </a:solidFill>
              <a:ln>
                <a:solidFill>
                  <a:srgbClr val="002060"/>
                </a:solidFill>
              </a:ln>
            </c:spPr>
          </c:marker>
          <c:cat>
            <c:numRef>
              <c:f>'Fig 2.15'!$C$4:$BA$4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2.15'!$C$12:$BA$12</c:f>
              <c:numCache>
                <c:formatCode>0.0%</c:formatCode>
                <c:ptCount val="51"/>
                <c:pt idx="0">
                  <c:v>0.80300000000000005</c:v>
                </c:pt>
                <c:pt idx="1">
                  <c:v>0.79300000000000004</c:v>
                </c:pt>
                <c:pt idx="2">
                  <c:v>0.78</c:v>
                </c:pt>
                <c:pt idx="3">
                  <c:v>0.78</c:v>
                </c:pt>
                <c:pt idx="4">
                  <c:v>0.76900000000000002</c:v>
                </c:pt>
                <c:pt idx="5">
                  <c:v>0.76200000000000001</c:v>
                </c:pt>
                <c:pt idx="6">
                  <c:v>0.753</c:v>
                </c:pt>
                <c:pt idx="7">
                  <c:v>0.748</c:v>
                </c:pt>
                <c:pt idx="8">
                  <c:v>0.74</c:v>
                </c:pt>
                <c:pt idx="9">
                  <c:v>0.745</c:v>
                </c:pt>
                <c:pt idx="10">
                  <c:v>0.73399999999999999</c:v>
                </c:pt>
                <c:pt idx="11">
                  <c:v>0.73899999999999999</c:v>
                </c:pt>
                <c:pt idx="12">
                  <c:v>0.747</c:v>
                </c:pt>
                <c:pt idx="13">
                  <c:v>0.75</c:v>
                </c:pt>
                <c:pt idx="14">
                  <c:v>0.749</c:v>
                </c:pt>
                <c:pt idx="15">
                  <c:v>0.75</c:v>
                </c:pt>
                <c:pt idx="16">
                  <c:v>0.74399999999999999</c:v>
                </c:pt>
                <c:pt idx="17">
                  <c:v>0.74199999999999999</c:v>
                </c:pt>
                <c:pt idx="18">
                  <c:v>0.73799999999999999</c:v>
                </c:pt>
                <c:pt idx="19">
                  <c:v>0.73599999999999999</c:v>
                </c:pt>
                <c:pt idx="20">
                  <c:v>0.73199999999999998</c:v>
                </c:pt>
                <c:pt idx="21">
                  <c:v>0.72699999999999998</c:v>
                </c:pt>
                <c:pt idx="22">
                  <c:v>0.72099999999999997</c:v>
                </c:pt>
                <c:pt idx="23">
                  <c:v>0.71299999999999997</c:v>
                </c:pt>
                <c:pt idx="24">
                  <c:v>0.71199999999999997</c:v>
                </c:pt>
                <c:pt idx="25">
                  <c:v>0.70499999999999996</c:v>
                </c:pt>
                <c:pt idx="26">
                  <c:v>0.69899999999999995</c:v>
                </c:pt>
                <c:pt idx="27">
                  <c:v>0.69</c:v>
                </c:pt>
                <c:pt idx="28">
                  <c:v>0.69</c:v>
                </c:pt>
                <c:pt idx="29">
                  <c:v>0.68500000000000005</c:v>
                </c:pt>
                <c:pt idx="30">
                  <c:v>0.67700000000000005</c:v>
                </c:pt>
                <c:pt idx="31">
                  <c:v>0.67100000000000004</c:v>
                </c:pt>
                <c:pt idx="32">
                  <c:v>0.66600000000000004</c:v>
                </c:pt>
                <c:pt idx="33">
                  <c:v>0.66800000000000004</c:v>
                </c:pt>
                <c:pt idx="34">
                  <c:v>0.66500000000000004</c:v>
                </c:pt>
                <c:pt idx="35">
                  <c:v>0.66</c:v>
                </c:pt>
                <c:pt idx="36">
                  <c:v>0.65800000000000003</c:v>
                </c:pt>
                <c:pt idx="37">
                  <c:v>0.65600000000000003</c:v>
                </c:pt>
                <c:pt idx="38">
                  <c:v>0.65300000000000002</c:v>
                </c:pt>
                <c:pt idx="39">
                  <c:v>0.65100000000000002</c:v>
                </c:pt>
                <c:pt idx="40">
                  <c:v>0.65</c:v>
                </c:pt>
                <c:pt idx="41">
                  <c:v>0.64900000000000002</c:v>
                </c:pt>
                <c:pt idx="42">
                  <c:v>0.64700000000000002</c:v>
                </c:pt>
                <c:pt idx="43">
                  <c:v>0.64700000000000002</c:v>
                </c:pt>
                <c:pt idx="44">
                  <c:v>0.64600000000000002</c:v>
                </c:pt>
                <c:pt idx="45">
                  <c:v>0.64500000000000002</c:v>
                </c:pt>
                <c:pt idx="46">
                  <c:v>0.64500000000000002</c:v>
                </c:pt>
                <c:pt idx="47">
                  <c:v>0.64400000000000002</c:v>
                </c:pt>
                <c:pt idx="48">
                  <c:v>0.64400000000000002</c:v>
                </c:pt>
                <c:pt idx="49">
                  <c:v>0.64400000000000002</c:v>
                </c:pt>
                <c:pt idx="50">
                  <c:v>0.64400000000000002</c:v>
                </c:pt>
              </c:numCache>
            </c:numRef>
          </c:val>
          <c:smooth val="0"/>
          <c:extLst>
            <c:ext xmlns:c16="http://schemas.microsoft.com/office/drawing/2014/chart" uri="{C3380CC4-5D6E-409C-BE32-E72D297353CC}">
              <c16:uniqueId val="{00000001-A5D4-4331-8ABE-17A6F677B52F}"/>
            </c:ext>
          </c:extLst>
        </c:ser>
        <c:ser>
          <c:idx val="2"/>
          <c:order val="2"/>
          <c:tx>
            <c:strRef>
              <c:f>'Fig 2.15'!$B$13</c:f>
              <c:strCache>
                <c:ptCount val="1"/>
                <c:pt idx="0">
                  <c:v>B</c:v>
                </c:pt>
              </c:strCache>
            </c:strRef>
          </c:tx>
          <c:spPr>
            <a:ln w="22225">
              <a:solidFill>
                <a:srgbClr val="002060"/>
              </a:solidFill>
            </a:ln>
          </c:spPr>
          <c:marker>
            <c:symbol val="triangle"/>
            <c:size val="4"/>
            <c:spPr>
              <a:solidFill>
                <a:schemeClr val="bg1"/>
              </a:solidFill>
              <a:ln>
                <a:solidFill>
                  <a:srgbClr val="002060"/>
                </a:solidFill>
              </a:ln>
            </c:spPr>
          </c:marker>
          <c:cat>
            <c:numRef>
              <c:f>'Fig 2.15'!$C$4:$BA$4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2.15'!$C$13:$BA$13</c:f>
              <c:numCache>
                <c:formatCode>0.0%</c:formatCode>
                <c:ptCount val="51"/>
                <c:pt idx="0">
                  <c:v>0.80300000000000005</c:v>
                </c:pt>
                <c:pt idx="1">
                  <c:v>0.79300000000000004</c:v>
                </c:pt>
                <c:pt idx="2">
                  <c:v>0.78</c:v>
                </c:pt>
                <c:pt idx="3">
                  <c:v>0.78</c:v>
                </c:pt>
                <c:pt idx="4">
                  <c:v>0.76900000000000002</c:v>
                </c:pt>
                <c:pt idx="5">
                  <c:v>0.76200000000000001</c:v>
                </c:pt>
                <c:pt idx="6">
                  <c:v>0.753</c:v>
                </c:pt>
                <c:pt idx="7">
                  <c:v>0.748</c:v>
                </c:pt>
                <c:pt idx="8">
                  <c:v>0.74</c:v>
                </c:pt>
                <c:pt idx="9">
                  <c:v>0.745</c:v>
                </c:pt>
                <c:pt idx="10">
                  <c:v>0.73399999999999999</c:v>
                </c:pt>
                <c:pt idx="11">
                  <c:v>0.73899999999999999</c:v>
                </c:pt>
                <c:pt idx="12">
                  <c:v>0.747</c:v>
                </c:pt>
                <c:pt idx="13">
                  <c:v>0.75</c:v>
                </c:pt>
                <c:pt idx="14">
                  <c:v>0.749</c:v>
                </c:pt>
                <c:pt idx="15">
                  <c:v>0.75</c:v>
                </c:pt>
                <c:pt idx="16">
                  <c:v>0.74399999999999999</c:v>
                </c:pt>
                <c:pt idx="17">
                  <c:v>0.74199999999999999</c:v>
                </c:pt>
                <c:pt idx="18">
                  <c:v>0.73799999999999999</c:v>
                </c:pt>
                <c:pt idx="19">
                  <c:v>0.73599999999999999</c:v>
                </c:pt>
                <c:pt idx="20">
                  <c:v>0.73099999999999998</c:v>
                </c:pt>
                <c:pt idx="21">
                  <c:v>0.72499999999999998</c:v>
                </c:pt>
                <c:pt idx="22">
                  <c:v>0.72099999999999997</c:v>
                </c:pt>
                <c:pt idx="23">
                  <c:v>0.71399999999999997</c:v>
                </c:pt>
                <c:pt idx="24">
                  <c:v>0.71299999999999997</c:v>
                </c:pt>
                <c:pt idx="25">
                  <c:v>0.70899999999999996</c:v>
                </c:pt>
                <c:pt idx="26">
                  <c:v>0.70399999999999996</c:v>
                </c:pt>
                <c:pt idx="27">
                  <c:v>0.69799999999999995</c:v>
                </c:pt>
                <c:pt idx="28">
                  <c:v>0.7</c:v>
                </c:pt>
                <c:pt idx="29">
                  <c:v>0.69699999999999995</c:v>
                </c:pt>
                <c:pt idx="30">
                  <c:v>0.69099999999999995</c:v>
                </c:pt>
                <c:pt idx="31">
                  <c:v>0.68700000000000006</c:v>
                </c:pt>
                <c:pt idx="32">
                  <c:v>0.68300000000000005</c:v>
                </c:pt>
                <c:pt idx="33">
                  <c:v>0.68600000000000005</c:v>
                </c:pt>
                <c:pt idx="34">
                  <c:v>0.68400000000000005</c:v>
                </c:pt>
                <c:pt idx="35">
                  <c:v>0.68100000000000005</c:v>
                </c:pt>
                <c:pt idx="36">
                  <c:v>0.67900000000000005</c:v>
                </c:pt>
                <c:pt idx="37">
                  <c:v>0.67800000000000005</c:v>
                </c:pt>
                <c:pt idx="38">
                  <c:v>0.67600000000000005</c:v>
                </c:pt>
                <c:pt idx="39">
                  <c:v>0.67500000000000004</c:v>
                </c:pt>
                <c:pt idx="40">
                  <c:v>0.67400000000000004</c:v>
                </c:pt>
                <c:pt idx="41">
                  <c:v>0.67300000000000004</c:v>
                </c:pt>
                <c:pt idx="42">
                  <c:v>0.67300000000000004</c:v>
                </c:pt>
                <c:pt idx="43">
                  <c:v>0.67200000000000004</c:v>
                </c:pt>
                <c:pt idx="44">
                  <c:v>0.67200000000000004</c:v>
                </c:pt>
                <c:pt idx="45">
                  <c:v>0.67100000000000004</c:v>
                </c:pt>
                <c:pt idx="46">
                  <c:v>0.67100000000000004</c:v>
                </c:pt>
                <c:pt idx="47">
                  <c:v>0.67100000000000004</c:v>
                </c:pt>
                <c:pt idx="48">
                  <c:v>0.67100000000000004</c:v>
                </c:pt>
                <c:pt idx="49">
                  <c:v>0.67</c:v>
                </c:pt>
                <c:pt idx="50">
                  <c:v>0.67</c:v>
                </c:pt>
              </c:numCache>
            </c:numRef>
          </c:val>
          <c:smooth val="0"/>
          <c:extLst>
            <c:ext xmlns:c16="http://schemas.microsoft.com/office/drawing/2014/chart" uri="{C3380CC4-5D6E-409C-BE32-E72D297353CC}">
              <c16:uniqueId val="{00000002-A5D4-4331-8ABE-17A6F677B52F}"/>
            </c:ext>
          </c:extLst>
        </c:ser>
        <c:ser>
          <c:idx val="3"/>
          <c:order val="3"/>
          <c:tx>
            <c:strRef>
              <c:f>'Fig 2.15'!$B$14</c:f>
              <c:strCache>
                <c:ptCount val="1"/>
                <c:pt idx="0">
                  <c:v>C</c:v>
                </c:pt>
              </c:strCache>
            </c:strRef>
          </c:tx>
          <c:spPr>
            <a:ln w="22225">
              <a:solidFill>
                <a:srgbClr val="002060"/>
              </a:solidFill>
            </a:ln>
          </c:spPr>
          <c:marker>
            <c:symbol val="diamond"/>
            <c:size val="4"/>
            <c:spPr>
              <a:solidFill>
                <a:srgbClr val="002060"/>
              </a:solidFill>
              <a:ln>
                <a:solidFill>
                  <a:srgbClr val="002060"/>
                </a:solidFill>
              </a:ln>
            </c:spPr>
          </c:marker>
          <c:cat>
            <c:numRef>
              <c:f>'Fig 2.15'!$C$4:$BA$4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2.15'!$C$14:$BA$14</c:f>
              <c:numCache>
                <c:formatCode>0.0%</c:formatCode>
                <c:ptCount val="51"/>
                <c:pt idx="0">
                  <c:v>0.80300000000000005</c:v>
                </c:pt>
                <c:pt idx="1">
                  <c:v>0.79300000000000004</c:v>
                </c:pt>
                <c:pt idx="2">
                  <c:v>0.78</c:v>
                </c:pt>
                <c:pt idx="3">
                  <c:v>0.78</c:v>
                </c:pt>
                <c:pt idx="4">
                  <c:v>0.76900000000000002</c:v>
                </c:pt>
                <c:pt idx="5">
                  <c:v>0.76200000000000001</c:v>
                </c:pt>
                <c:pt idx="6">
                  <c:v>0.753</c:v>
                </c:pt>
                <c:pt idx="7">
                  <c:v>0.748</c:v>
                </c:pt>
                <c:pt idx="8">
                  <c:v>0.74</c:v>
                </c:pt>
                <c:pt idx="9">
                  <c:v>0.745</c:v>
                </c:pt>
                <c:pt idx="10">
                  <c:v>0.73399999999999999</c:v>
                </c:pt>
                <c:pt idx="11">
                  <c:v>0.73899999999999999</c:v>
                </c:pt>
                <c:pt idx="12">
                  <c:v>0.747</c:v>
                </c:pt>
                <c:pt idx="13">
                  <c:v>0.75</c:v>
                </c:pt>
                <c:pt idx="14">
                  <c:v>0.749</c:v>
                </c:pt>
                <c:pt idx="15">
                  <c:v>0.75</c:v>
                </c:pt>
                <c:pt idx="16">
                  <c:v>0.74399999999999999</c:v>
                </c:pt>
                <c:pt idx="17">
                  <c:v>0.74199999999999999</c:v>
                </c:pt>
                <c:pt idx="18">
                  <c:v>0.73799999999999999</c:v>
                </c:pt>
                <c:pt idx="19">
                  <c:v>0.73599999999999999</c:v>
                </c:pt>
                <c:pt idx="20">
                  <c:v>0.73199999999999998</c:v>
                </c:pt>
                <c:pt idx="21">
                  <c:v>0.72499999999999998</c:v>
                </c:pt>
                <c:pt idx="22">
                  <c:v>0.72099999999999997</c:v>
                </c:pt>
                <c:pt idx="23">
                  <c:v>0.71499999999999997</c:v>
                </c:pt>
                <c:pt idx="24">
                  <c:v>0.71599999999999997</c:v>
                </c:pt>
                <c:pt idx="25">
                  <c:v>0.71299999999999997</c:v>
                </c:pt>
                <c:pt idx="26">
                  <c:v>0.71</c:v>
                </c:pt>
                <c:pt idx="27">
                  <c:v>0.70499999999999996</c:v>
                </c:pt>
                <c:pt idx="28">
                  <c:v>0.70899999999999996</c:v>
                </c:pt>
                <c:pt idx="29">
                  <c:v>0.70599999999999996</c:v>
                </c:pt>
                <c:pt idx="30">
                  <c:v>0.70199999999999996</c:v>
                </c:pt>
                <c:pt idx="31">
                  <c:v>0.69899999999999995</c:v>
                </c:pt>
                <c:pt idx="32">
                  <c:v>0.69599999999999995</c:v>
                </c:pt>
                <c:pt idx="33">
                  <c:v>0.7</c:v>
                </c:pt>
                <c:pt idx="34">
                  <c:v>0.69799999999999995</c:v>
                </c:pt>
                <c:pt idx="35">
                  <c:v>0.69599999999999995</c:v>
                </c:pt>
                <c:pt idx="36">
                  <c:v>0.69499999999999995</c:v>
                </c:pt>
                <c:pt idx="37">
                  <c:v>0.69399999999999995</c:v>
                </c:pt>
                <c:pt idx="38">
                  <c:v>0.69199999999999995</c:v>
                </c:pt>
                <c:pt idx="39">
                  <c:v>0.69199999999999995</c:v>
                </c:pt>
                <c:pt idx="40">
                  <c:v>0.69099999999999995</c:v>
                </c:pt>
                <c:pt idx="41">
                  <c:v>0.69099999999999995</c:v>
                </c:pt>
                <c:pt idx="42">
                  <c:v>0.69099999999999995</c:v>
                </c:pt>
                <c:pt idx="43">
                  <c:v>0.69</c:v>
                </c:pt>
                <c:pt idx="44">
                  <c:v>0.69</c:v>
                </c:pt>
                <c:pt idx="45">
                  <c:v>0.69</c:v>
                </c:pt>
                <c:pt idx="46">
                  <c:v>0.69</c:v>
                </c:pt>
                <c:pt idx="47">
                  <c:v>0.68899999999999995</c:v>
                </c:pt>
                <c:pt idx="48">
                  <c:v>0.68899999999999995</c:v>
                </c:pt>
                <c:pt idx="49">
                  <c:v>0.68899999999999995</c:v>
                </c:pt>
                <c:pt idx="50">
                  <c:v>0.68899999999999995</c:v>
                </c:pt>
              </c:numCache>
            </c:numRef>
          </c:val>
          <c:smooth val="0"/>
          <c:extLst>
            <c:ext xmlns:c16="http://schemas.microsoft.com/office/drawing/2014/chart" uri="{C3380CC4-5D6E-409C-BE32-E72D297353CC}">
              <c16:uniqueId val="{00000003-A5D4-4331-8ABE-17A6F677B52F}"/>
            </c:ext>
          </c:extLst>
        </c:ser>
        <c:ser>
          <c:idx val="4"/>
          <c:order val="4"/>
          <c:tx>
            <c:strRef>
              <c:f>'Fig 2.15'!$B$15</c:f>
              <c:strCache>
                <c:ptCount val="1"/>
                <c:pt idx="0">
                  <c:v>C'</c:v>
                </c:pt>
              </c:strCache>
            </c:strRef>
          </c:tx>
          <c:spPr>
            <a:ln w="22225">
              <a:solidFill>
                <a:srgbClr val="002060"/>
              </a:solidFill>
            </a:ln>
          </c:spPr>
          <c:marker>
            <c:symbol val="star"/>
            <c:size val="4"/>
            <c:spPr>
              <a:noFill/>
              <a:ln>
                <a:solidFill>
                  <a:srgbClr val="002060"/>
                </a:solidFill>
              </a:ln>
            </c:spPr>
          </c:marker>
          <c:cat>
            <c:numRef>
              <c:f>'Fig 2.15'!$C$4:$BA$4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2.15'!$C$15:$BA$15</c:f>
              <c:numCache>
                <c:formatCode>0.0%</c:formatCode>
                <c:ptCount val="51"/>
                <c:pt idx="0">
                  <c:v>0.80300000000000005</c:v>
                </c:pt>
                <c:pt idx="1">
                  <c:v>0.79300000000000004</c:v>
                </c:pt>
                <c:pt idx="2">
                  <c:v>0.78</c:v>
                </c:pt>
                <c:pt idx="3">
                  <c:v>0.78</c:v>
                </c:pt>
                <c:pt idx="4">
                  <c:v>0.76900000000000002</c:v>
                </c:pt>
                <c:pt idx="5">
                  <c:v>0.76200000000000001</c:v>
                </c:pt>
                <c:pt idx="6">
                  <c:v>0.753</c:v>
                </c:pt>
                <c:pt idx="7">
                  <c:v>0.748</c:v>
                </c:pt>
                <c:pt idx="8">
                  <c:v>0.74</c:v>
                </c:pt>
                <c:pt idx="9">
                  <c:v>0.745</c:v>
                </c:pt>
                <c:pt idx="10">
                  <c:v>0.73399999999999999</c:v>
                </c:pt>
                <c:pt idx="11">
                  <c:v>0.73899999999999999</c:v>
                </c:pt>
                <c:pt idx="12">
                  <c:v>0.747</c:v>
                </c:pt>
                <c:pt idx="13">
                  <c:v>0.75</c:v>
                </c:pt>
                <c:pt idx="14">
                  <c:v>0.749</c:v>
                </c:pt>
                <c:pt idx="15">
                  <c:v>0.75</c:v>
                </c:pt>
                <c:pt idx="16">
                  <c:v>0.74399999999999999</c:v>
                </c:pt>
                <c:pt idx="17">
                  <c:v>0.74199999999999999</c:v>
                </c:pt>
                <c:pt idx="18">
                  <c:v>0.73799999999999999</c:v>
                </c:pt>
                <c:pt idx="19">
                  <c:v>0.73599999999999999</c:v>
                </c:pt>
                <c:pt idx="20">
                  <c:v>0.73199999999999998</c:v>
                </c:pt>
                <c:pt idx="21">
                  <c:v>0.72699999999999998</c:v>
                </c:pt>
                <c:pt idx="22">
                  <c:v>0.72499999999999998</c:v>
                </c:pt>
                <c:pt idx="23">
                  <c:v>0.72199999999999998</c:v>
                </c:pt>
                <c:pt idx="24">
                  <c:v>0.72599999999999998</c:v>
                </c:pt>
                <c:pt idx="25">
                  <c:v>0.72499999999999998</c:v>
                </c:pt>
                <c:pt idx="26">
                  <c:v>0.72299999999999998</c:v>
                </c:pt>
                <c:pt idx="27">
                  <c:v>0.72099999999999997</c:v>
                </c:pt>
                <c:pt idx="28">
                  <c:v>0.72599999999999998</c:v>
                </c:pt>
                <c:pt idx="29">
                  <c:v>0.72399999999999998</c:v>
                </c:pt>
                <c:pt idx="30">
                  <c:v>0.72199999999999998</c:v>
                </c:pt>
                <c:pt idx="31">
                  <c:v>0.72099999999999997</c:v>
                </c:pt>
                <c:pt idx="32">
                  <c:v>0.71899999999999997</c:v>
                </c:pt>
                <c:pt idx="33">
                  <c:v>0.72299999999999998</c:v>
                </c:pt>
                <c:pt idx="34">
                  <c:v>0.72199999999999998</c:v>
                </c:pt>
                <c:pt idx="35">
                  <c:v>0.72099999999999997</c:v>
                </c:pt>
                <c:pt idx="36">
                  <c:v>0.72099999999999997</c:v>
                </c:pt>
                <c:pt idx="37">
                  <c:v>0.72</c:v>
                </c:pt>
                <c:pt idx="38">
                  <c:v>0.72</c:v>
                </c:pt>
                <c:pt idx="39">
                  <c:v>0.72</c:v>
                </c:pt>
                <c:pt idx="40">
                  <c:v>0.71899999999999997</c:v>
                </c:pt>
                <c:pt idx="41">
                  <c:v>0.71899999999999997</c:v>
                </c:pt>
                <c:pt idx="42">
                  <c:v>0.71899999999999997</c:v>
                </c:pt>
                <c:pt idx="43">
                  <c:v>0.71899999999999997</c:v>
                </c:pt>
                <c:pt idx="44">
                  <c:v>0.71899999999999997</c:v>
                </c:pt>
                <c:pt idx="45">
                  <c:v>0.71899999999999997</c:v>
                </c:pt>
                <c:pt idx="46">
                  <c:v>0.71899999999999997</c:v>
                </c:pt>
                <c:pt idx="47">
                  <c:v>0.71899999999999997</c:v>
                </c:pt>
                <c:pt idx="48">
                  <c:v>0.71899999999999997</c:v>
                </c:pt>
                <c:pt idx="49">
                  <c:v>0.71899999999999997</c:v>
                </c:pt>
                <c:pt idx="50">
                  <c:v>0.71899999999999997</c:v>
                </c:pt>
              </c:numCache>
            </c:numRef>
          </c:val>
          <c:smooth val="0"/>
          <c:extLst>
            <c:ext xmlns:c16="http://schemas.microsoft.com/office/drawing/2014/chart" uri="{C3380CC4-5D6E-409C-BE32-E72D297353CC}">
              <c16:uniqueId val="{00000004-A5D4-4331-8ABE-17A6F677B52F}"/>
            </c:ext>
          </c:extLst>
        </c:ser>
        <c:dLbls>
          <c:showLegendKey val="0"/>
          <c:showVal val="0"/>
          <c:showCatName val="0"/>
          <c:showSerName val="0"/>
          <c:showPercent val="0"/>
          <c:showBubbleSize val="0"/>
        </c:dLbls>
        <c:marker val="1"/>
        <c:smooth val="0"/>
        <c:axId val="147418112"/>
        <c:axId val="147420672"/>
      </c:lineChart>
      <c:catAx>
        <c:axId val="147418112"/>
        <c:scaling>
          <c:orientation val="minMax"/>
        </c:scaling>
        <c:delete val="0"/>
        <c:axPos val="b"/>
        <c:title>
          <c:tx>
            <c:rich>
              <a:bodyPr/>
              <a:lstStyle/>
              <a:p>
                <a:pPr>
                  <a:defRPr/>
                </a:pPr>
                <a:r>
                  <a:rPr lang="en-US"/>
                  <a:t>génération</a:t>
                </a:r>
              </a:p>
            </c:rich>
          </c:tx>
          <c:layout>
            <c:manualLayout>
              <c:xMode val="edge"/>
              <c:yMode val="edge"/>
              <c:x val="0.73834116809116801"/>
              <c:y val="0.64575879629629629"/>
            </c:manualLayout>
          </c:layout>
          <c:overlay val="0"/>
        </c:title>
        <c:numFmt formatCode="General" sourceLinked="1"/>
        <c:majorTickMark val="out"/>
        <c:minorTickMark val="none"/>
        <c:tickLblPos val="nextTo"/>
        <c:txPr>
          <a:bodyPr rot="-5400000" vert="horz"/>
          <a:lstStyle/>
          <a:p>
            <a:pPr>
              <a:defRPr/>
            </a:pPr>
            <a:endParaRPr lang="fr-FR"/>
          </a:p>
        </c:txPr>
        <c:crossAx val="147420672"/>
        <c:crosses val="autoZero"/>
        <c:auto val="1"/>
        <c:lblAlgn val="ctr"/>
        <c:lblOffset val="100"/>
        <c:tickLblSkip val="10"/>
        <c:noMultiLvlLbl val="0"/>
      </c:catAx>
      <c:valAx>
        <c:axId val="147420672"/>
        <c:scaling>
          <c:orientation val="minMax"/>
          <c:max val="0.85000000000000009"/>
          <c:min val="0.55000000000000004"/>
        </c:scaling>
        <c:delete val="0"/>
        <c:axPos val="l"/>
        <c:majorGridlines/>
        <c:title>
          <c:tx>
            <c:rich>
              <a:bodyPr rot="-5400000" vert="horz"/>
              <a:lstStyle/>
              <a:p>
                <a:pPr>
                  <a:defRPr/>
                </a:pPr>
                <a:r>
                  <a:rPr lang="en-US"/>
                  <a:t>en % du dernier salaire net</a:t>
                </a:r>
              </a:p>
            </c:rich>
          </c:tx>
          <c:layout>
            <c:manualLayout>
              <c:xMode val="edge"/>
              <c:yMode val="edge"/>
              <c:x val="2.1335470085470077E-3"/>
              <c:y val="4.7095833333333337E-2"/>
            </c:manualLayout>
          </c:layout>
          <c:overlay val="0"/>
        </c:title>
        <c:numFmt formatCode="0%" sourceLinked="0"/>
        <c:majorTickMark val="out"/>
        <c:minorTickMark val="none"/>
        <c:tickLblPos val="nextTo"/>
        <c:crossAx val="147418112"/>
        <c:crosses val="autoZero"/>
        <c:crossBetween val="between"/>
        <c:majorUnit val="5.000000000000001E-2"/>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59298433048433"/>
          <c:y val="3.5880555555555554E-2"/>
          <c:w val="0.75703774928774925"/>
          <c:h val="0.71216990740740738"/>
        </c:manualLayout>
      </c:layout>
      <c:lineChart>
        <c:grouping val="standard"/>
        <c:varyColors val="0"/>
        <c:ser>
          <c:idx val="0"/>
          <c:order val="0"/>
          <c:tx>
            <c:strRef>
              <c:f>'Fig 2.15'!$B$5</c:f>
              <c:strCache>
                <c:ptCount val="1"/>
                <c:pt idx="0">
                  <c:v>A'</c:v>
                </c:pt>
              </c:strCache>
            </c:strRef>
          </c:tx>
          <c:spPr>
            <a:ln w="22225">
              <a:solidFill>
                <a:schemeClr val="tx1"/>
              </a:solidFill>
            </a:ln>
          </c:spPr>
          <c:marker>
            <c:symbol val="x"/>
            <c:size val="4"/>
            <c:spPr>
              <a:noFill/>
              <a:ln>
                <a:solidFill>
                  <a:schemeClr val="tx1"/>
                </a:solidFill>
              </a:ln>
            </c:spPr>
          </c:marker>
          <c:cat>
            <c:numRef>
              <c:f>'Fig 2.15'!$C$4:$BA$4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2.15'!$C$5:$BA$5</c:f>
              <c:numCache>
                <c:formatCode>0.0%</c:formatCode>
                <c:ptCount val="51"/>
                <c:pt idx="7">
                  <c:v>0.50800000000000001</c:v>
                </c:pt>
                <c:pt idx="8">
                  <c:v>0.503</c:v>
                </c:pt>
                <c:pt idx="9">
                  <c:v>0.503</c:v>
                </c:pt>
                <c:pt idx="10">
                  <c:v>0.48699999999999999</c:v>
                </c:pt>
                <c:pt idx="11">
                  <c:v>0.48</c:v>
                </c:pt>
                <c:pt idx="12">
                  <c:v>0.47099999999999997</c:v>
                </c:pt>
                <c:pt idx="13">
                  <c:v>0.46700000000000003</c:v>
                </c:pt>
                <c:pt idx="14">
                  <c:v>0.46600000000000003</c:v>
                </c:pt>
                <c:pt idx="15">
                  <c:v>0.46300000000000002</c:v>
                </c:pt>
                <c:pt idx="16">
                  <c:v>0.45400000000000001</c:v>
                </c:pt>
                <c:pt idx="17">
                  <c:v>0.44600000000000001</c:v>
                </c:pt>
                <c:pt idx="18">
                  <c:v>0.439</c:v>
                </c:pt>
                <c:pt idx="19">
                  <c:v>0.43</c:v>
                </c:pt>
                <c:pt idx="20">
                  <c:v>0.42099999999999999</c:v>
                </c:pt>
                <c:pt idx="21">
                  <c:v>0.41399999999999998</c:v>
                </c:pt>
                <c:pt idx="22">
                  <c:v>0.40899999999999997</c:v>
                </c:pt>
                <c:pt idx="23">
                  <c:v>0.40699999999999997</c:v>
                </c:pt>
                <c:pt idx="24">
                  <c:v>0.40100000000000002</c:v>
                </c:pt>
                <c:pt idx="25">
                  <c:v>0.39300000000000002</c:v>
                </c:pt>
                <c:pt idx="26">
                  <c:v>0.39100000000000001</c:v>
                </c:pt>
                <c:pt idx="27">
                  <c:v>0.38700000000000001</c:v>
                </c:pt>
                <c:pt idx="28">
                  <c:v>0.38300000000000001</c:v>
                </c:pt>
                <c:pt idx="29">
                  <c:v>0.38100000000000001</c:v>
                </c:pt>
                <c:pt idx="30">
                  <c:v>0.38</c:v>
                </c:pt>
                <c:pt idx="31">
                  <c:v>0.38100000000000001</c:v>
                </c:pt>
                <c:pt idx="32">
                  <c:v>0.38</c:v>
                </c:pt>
                <c:pt idx="33">
                  <c:v>0.378</c:v>
                </c:pt>
                <c:pt idx="34">
                  <c:v>0.379</c:v>
                </c:pt>
                <c:pt idx="35">
                  <c:v>0.38</c:v>
                </c:pt>
                <c:pt idx="36">
                  <c:v>0.379</c:v>
                </c:pt>
                <c:pt idx="37">
                  <c:v>0.375</c:v>
                </c:pt>
                <c:pt idx="38">
                  <c:v>0.373</c:v>
                </c:pt>
                <c:pt idx="39">
                  <c:v>0.373</c:v>
                </c:pt>
                <c:pt idx="40">
                  <c:v>0.376</c:v>
                </c:pt>
                <c:pt idx="41">
                  <c:v>0.373</c:v>
                </c:pt>
                <c:pt idx="42">
                  <c:v>0.373</c:v>
                </c:pt>
                <c:pt idx="43">
                  <c:v>0.374</c:v>
                </c:pt>
                <c:pt idx="44">
                  <c:v>0.37</c:v>
                </c:pt>
                <c:pt idx="45">
                  <c:v>0.378</c:v>
                </c:pt>
                <c:pt idx="46">
                  <c:v>0.378</c:v>
                </c:pt>
                <c:pt idx="47">
                  <c:v>0.38200000000000001</c:v>
                </c:pt>
                <c:pt idx="48">
                  <c:v>0.38</c:v>
                </c:pt>
                <c:pt idx="49">
                  <c:v>0.38400000000000001</c:v>
                </c:pt>
                <c:pt idx="50">
                  <c:v>0.38400000000000001</c:v>
                </c:pt>
              </c:numCache>
            </c:numRef>
          </c:val>
          <c:smooth val="0"/>
          <c:extLst>
            <c:ext xmlns:c16="http://schemas.microsoft.com/office/drawing/2014/chart" uri="{C3380CC4-5D6E-409C-BE32-E72D297353CC}">
              <c16:uniqueId val="{00000000-8DF3-45D9-99EA-93D7BD4CE0DB}"/>
            </c:ext>
          </c:extLst>
        </c:ser>
        <c:ser>
          <c:idx val="1"/>
          <c:order val="1"/>
          <c:tx>
            <c:strRef>
              <c:f>'Fig 2.15'!$B$6</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2.15'!$C$6:$BA$6</c:f>
              <c:numCache>
                <c:formatCode>0.0%</c:formatCode>
                <c:ptCount val="51"/>
                <c:pt idx="7">
                  <c:v>0.50800000000000001</c:v>
                </c:pt>
                <c:pt idx="8">
                  <c:v>0.503</c:v>
                </c:pt>
                <c:pt idx="9">
                  <c:v>0.503</c:v>
                </c:pt>
                <c:pt idx="10">
                  <c:v>0.48699999999999999</c:v>
                </c:pt>
                <c:pt idx="11">
                  <c:v>0.48</c:v>
                </c:pt>
                <c:pt idx="12">
                  <c:v>0.47099999999999997</c:v>
                </c:pt>
                <c:pt idx="13">
                  <c:v>0.46800000000000003</c:v>
                </c:pt>
                <c:pt idx="14">
                  <c:v>0.46700000000000003</c:v>
                </c:pt>
                <c:pt idx="15">
                  <c:v>0.46400000000000002</c:v>
                </c:pt>
                <c:pt idx="16">
                  <c:v>0.45500000000000002</c:v>
                </c:pt>
                <c:pt idx="17">
                  <c:v>0.44700000000000001</c:v>
                </c:pt>
                <c:pt idx="18">
                  <c:v>0.44</c:v>
                </c:pt>
                <c:pt idx="19">
                  <c:v>0.432</c:v>
                </c:pt>
                <c:pt idx="20">
                  <c:v>0.42399999999999999</c:v>
                </c:pt>
                <c:pt idx="21">
                  <c:v>0.41799999999999998</c:v>
                </c:pt>
                <c:pt idx="22">
                  <c:v>0.41299999999999998</c:v>
                </c:pt>
                <c:pt idx="23">
                  <c:v>0.41199999999999998</c:v>
                </c:pt>
                <c:pt idx="24">
                  <c:v>0.40699999999999997</c:v>
                </c:pt>
                <c:pt idx="25">
                  <c:v>0.4</c:v>
                </c:pt>
                <c:pt idx="26">
                  <c:v>0.39800000000000002</c:v>
                </c:pt>
                <c:pt idx="27">
                  <c:v>0.39400000000000002</c:v>
                </c:pt>
                <c:pt idx="28">
                  <c:v>0.39100000000000001</c:v>
                </c:pt>
                <c:pt idx="29">
                  <c:v>0.38900000000000001</c:v>
                </c:pt>
                <c:pt idx="30">
                  <c:v>0.38800000000000001</c:v>
                </c:pt>
                <c:pt idx="31">
                  <c:v>0.39</c:v>
                </c:pt>
                <c:pt idx="32">
                  <c:v>0.39</c:v>
                </c:pt>
                <c:pt idx="33">
                  <c:v>0.38800000000000001</c:v>
                </c:pt>
                <c:pt idx="34">
                  <c:v>0.38900000000000001</c:v>
                </c:pt>
                <c:pt idx="35">
                  <c:v>0.39</c:v>
                </c:pt>
                <c:pt idx="36">
                  <c:v>0.39</c:v>
                </c:pt>
                <c:pt idx="37">
                  <c:v>0.38600000000000001</c:v>
                </c:pt>
                <c:pt idx="38">
                  <c:v>0.38400000000000001</c:v>
                </c:pt>
                <c:pt idx="39">
                  <c:v>0.38400000000000001</c:v>
                </c:pt>
                <c:pt idx="40">
                  <c:v>0.38800000000000001</c:v>
                </c:pt>
                <c:pt idx="41">
                  <c:v>0.38500000000000001</c:v>
                </c:pt>
                <c:pt idx="42">
                  <c:v>0.38500000000000001</c:v>
                </c:pt>
                <c:pt idx="43">
                  <c:v>0.38600000000000001</c:v>
                </c:pt>
                <c:pt idx="44">
                  <c:v>0.38200000000000001</c:v>
                </c:pt>
                <c:pt idx="45">
                  <c:v>0.39100000000000001</c:v>
                </c:pt>
                <c:pt idx="46">
                  <c:v>0.39100000000000001</c:v>
                </c:pt>
                <c:pt idx="47">
                  <c:v>0.39500000000000002</c:v>
                </c:pt>
                <c:pt idx="48">
                  <c:v>0.39200000000000002</c:v>
                </c:pt>
                <c:pt idx="49">
                  <c:v>0.39700000000000002</c:v>
                </c:pt>
                <c:pt idx="50">
                  <c:v>0.39800000000000002</c:v>
                </c:pt>
              </c:numCache>
            </c:numRef>
          </c:val>
          <c:smooth val="0"/>
          <c:extLst>
            <c:ext xmlns:c16="http://schemas.microsoft.com/office/drawing/2014/chart" uri="{C3380CC4-5D6E-409C-BE32-E72D297353CC}">
              <c16:uniqueId val="{00000001-8DF3-45D9-99EA-93D7BD4CE0DB}"/>
            </c:ext>
          </c:extLst>
        </c:ser>
        <c:ser>
          <c:idx val="2"/>
          <c:order val="2"/>
          <c:tx>
            <c:strRef>
              <c:f>'Fig 2.15'!$B$7</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2.15'!$C$7:$BA$7</c:f>
              <c:numCache>
                <c:formatCode>0.0%</c:formatCode>
                <c:ptCount val="51"/>
                <c:pt idx="0">
                  <c:v>0.45900000000000002</c:v>
                </c:pt>
                <c:pt idx="1">
                  <c:v>0.47699999999999998</c:v>
                </c:pt>
                <c:pt idx="2">
                  <c:v>0.48299999999999998</c:v>
                </c:pt>
                <c:pt idx="3">
                  <c:v>0.496</c:v>
                </c:pt>
                <c:pt idx="4">
                  <c:v>0.498</c:v>
                </c:pt>
                <c:pt idx="5">
                  <c:v>0.5</c:v>
                </c:pt>
                <c:pt idx="6">
                  <c:v>0.51200000000000001</c:v>
                </c:pt>
                <c:pt idx="7">
                  <c:v>0.50800000000000001</c:v>
                </c:pt>
                <c:pt idx="8">
                  <c:v>0.503</c:v>
                </c:pt>
                <c:pt idx="9">
                  <c:v>0.503</c:v>
                </c:pt>
                <c:pt idx="10">
                  <c:v>0.48699999999999999</c:v>
                </c:pt>
                <c:pt idx="11">
                  <c:v>0.48</c:v>
                </c:pt>
                <c:pt idx="12">
                  <c:v>0.47</c:v>
                </c:pt>
                <c:pt idx="13">
                  <c:v>0.46600000000000003</c:v>
                </c:pt>
                <c:pt idx="14">
                  <c:v>0.46600000000000003</c:v>
                </c:pt>
                <c:pt idx="15">
                  <c:v>0.46400000000000002</c:v>
                </c:pt>
                <c:pt idx="16">
                  <c:v>0.45500000000000002</c:v>
                </c:pt>
                <c:pt idx="17">
                  <c:v>0.44800000000000001</c:v>
                </c:pt>
                <c:pt idx="18">
                  <c:v>0.441</c:v>
                </c:pt>
                <c:pt idx="19">
                  <c:v>0.434</c:v>
                </c:pt>
                <c:pt idx="20">
                  <c:v>0.42799999999999999</c:v>
                </c:pt>
                <c:pt idx="21">
                  <c:v>0.42299999999999999</c:v>
                </c:pt>
                <c:pt idx="22">
                  <c:v>0.41899999999999998</c:v>
                </c:pt>
                <c:pt idx="23">
                  <c:v>0.41899999999999998</c:v>
                </c:pt>
                <c:pt idx="24">
                  <c:v>0.41399999999999998</c:v>
                </c:pt>
                <c:pt idx="25">
                  <c:v>0.40799999999999997</c:v>
                </c:pt>
                <c:pt idx="26">
                  <c:v>0.40699999999999997</c:v>
                </c:pt>
                <c:pt idx="27">
                  <c:v>0.40400000000000003</c:v>
                </c:pt>
                <c:pt idx="28">
                  <c:v>0.40200000000000002</c:v>
                </c:pt>
                <c:pt idx="29">
                  <c:v>0.40100000000000002</c:v>
                </c:pt>
                <c:pt idx="30">
                  <c:v>0.40100000000000002</c:v>
                </c:pt>
                <c:pt idx="31">
                  <c:v>0.40300000000000002</c:v>
                </c:pt>
                <c:pt idx="32">
                  <c:v>0.40300000000000002</c:v>
                </c:pt>
                <c:pt idx="33">
                  <c:v>0.40200000000000002</c:v>
                </c:pt>
                <c:pt idx="34">
                  <c:v>0.40400000000000003</c:v>
                </c:pt>
                <c:pt idx="35">
                  <c:v>0.40600000000000003</c:v>
                </c:pt>
                <c:pt idx="36">
                  <c:v>0.40600000000000003</c:v>
                </c:pt>
                <c:pt idx="37">
                  <c:v>0.40300000000000002</c:v>
                </c:pt>
                <c:pt idx="38">
                  <c:v>0.40100000000000002</c:v>
                </c:pt>
                <c:pt idx="39">
                  <c:v>0.40200000000000002</c:v>
                </c:pt>
                <c:pt idx="40">
                  <c:v>0.40600000000000003</c:v>
                </c:pt>
                <c:pt idx="41">
                  <c:v>0.40300000000000002</c:v>
                </c:pt>
                <c:pt idx="42">
                  <c:v>0.40400000000000003</c:v>
                </c:pt>
                <c:pt idx="43">
                  <c:v>0.40500000000000003</c:v>
                </c:pt>
                <c:pt idx="44">
                  <c:v>0.40200000000000002</c:v>
                </c:pt>
                <c:pt idx="45">
                  <c:v>0.41099999999999998</c:v>
                </c:pt>
                <c:pt idx="46">
                  <c:v>0.41099999999999998</c:v>
                </c:pt>
                <c:pt idx="47">
                  <c:v>0.41499999999999998</c:v>
                </c:pt>
                <c:pt idx="48">
                  <c:v>0.41299999999999998</c:v>
                </c:pt>
                <c:pt idx="49">
                  <c:v>0.41699999999999998</c:v>
                </c:pt>
                <c:pt idx="50">
                  <c:v>0.41899999999999998</c:v>
                </c:pt>
              </c:numCache>
            </c:numRef>
          </c:val>
          <c:smooth val="0"/>
          <c:extLst>
            <c:ext xmlns:c16="http://schemas.microsoft.com/office/drawing/2014/chart" uri="{C3380CC4-5D6E-409C-BE32-E72D297353CC}">
              <c16:uniqueId val="{00000002-8DF3-45D9-99EA-93D7BD4CE0DB}"/>
            </c:ext>
          </c:extLst>
        </c:ser>
        <c:ser>
          <c:idx val="3"/>
          <c:order val="3"/>
          <c:tx>
            <c:strRef>
              <c:f>'Fig 2.15'!$B$8</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2.15'!$C$8:$BA$8</c:f>
              <c:numCache>
                <c:formatCode>0.0%</c:formatCode>
                <c:ptCount val="51"/>
                <c:pt idx="7">
                  <c:v>0.50800000000000001</c:v>
                </c:pt>
                <c:pt idx="8">
                  <c:v>0.503</c:v>
                </c:pt>
                <c:pt idx="9">
                  <c:v>0.503</c:v>
                </c:pt>
                <c:pt idx="10">
                  <c:v>0.48699999999999999</c:v>
                </c:pt>
                <c:pt idx="11">
                  <c:v>0.48</c:v>
                </c:pt>
                <c:pt idx="12">
                  <c:v>0.47099999999999997</c:v>
                </c:pt>
                <c:pt idx="13">
                  <c:v>0.46600000000000003</c:v>
                </c:pt>
                <c:pt idx="14">
                  <c:v>0.46600000000000003</c:v>
                </c:pt>
                <c:pt idx="15">
                  <c:v>0.46400000000000002</c:v>
                </c:pt>
                <c:pt idx="16">
                  <c:v>0.45600000000000002</c:v>
                </c:pt>
                <c:pt idx="17">
                  <c:v>0.44900000000000001</c:v>
                </c:pt>
                <c:pt idx="18">
                  <c:v>0.44400000000000001</c:v>
                </c:pt>
                <c:pt idx="19">
                  <c:v>0.438</c:v>
                </c:pt>
                <c:pt idx="20">
                  <c:v>0.432</c:v>
                </c:pt>
                <c:pt idx="21">
                  <c:v>0.42699999999999999</c:v>
                </c:pt>
                <c:pt idx="22">
                  <c:v>0.42399999999999999</c:v>
                </c:pt>
                <c:pt idx="23">
                  <c:v>0.42499999999999999</c:v>
                </c:pt>
                <c:pt idx="24">
                  <c:v>0.42099999999999999</c:v>
                </c:pt>
                <c:pt idx="25">
                  <c:v>0.41499999999999998</c:v>
                </c:pt>
                <c:pt idx="26">
                  <c:v>0.41399999999999998</c:v>
                </c:pt>
                <c:pt idx="27">
                  <c:v>0.41199999999999998</c:v>
                </c:pt>
                <c:pt idx="28">
                  <c:v>0.40899999999999997</c:v>
                </c:pt>
                <c:pt idx="29">
                  <c:v>0.40799999999999997</c:v>
                </c:pt>
                <c:pt idx="30">
                  <c:v>0.40899999999999997</c:v>
                </c:pt>
                <c:pt idx="31">
                  <c:v>0.41</c:v>
                </c:pt>
                <c:pt idx="32">
                  <c:v>0.41099999999999998</c:v>
                </c:pt>
                <c:pt idx="33">
                  <c:v>0.41</c:v>
                </c:pt>
                <c:pt idx="34">
                  <c:v>0.41199999999999998</c:v>
                </c:pt>
                <c:pt idx="35">
                  <c:v>0.41399999999999998</c:v>
                </c:pt>
                <c:pt idx="36">
                  <c:v>0.41499999999999998</c:v>
                </c:pt>
                <c:pt idx="37">
                  <c:v>0.41099999999999998</c:v>
                </c:pt>
                <c:pt idx="38">
                  <c:v>0.41099999999999998</c:v>
                </c:pt>
                <c:pt idx="39">
                  <c:v>0.41099999999999998</c:v>
                </c:pt>
                <c:pt idx="40">
                  <c:v>0.41599999999999998</c:v>
                </c:pt>
                <c:pt idx="41">
                  <c:v>0.41299999999999998</c:v>
                </c:pt>
                <c:pt idx="42">
                  <c:v>0.41299999999999998</c:v>
                </c:pt>
                <c:pt idx="43">
                  <c:v>0.41399999999999998</c:v>
                </c:pt>
                <c:pt idx="44">
                  <c:v>0.41099999999999998</c:v>
                </c:pt>
                <c:pt idx="45">
                  <c:v>0.42099999999999999</c:v>
                </c:pt>
                <c:pt idx="46">
                  <c:v>0.42099999999999999</c:v>
                </c:pt>
                <c:pt idx="47">
                  <c:v>0.42399999999999999</c:v>
                </c:pt>
                <c:pt idx="48">
                  <c:v>0.42299999999999999</c:v>
                </c:pt>
                <c:pt idx="49">
                  <c:v>0.42699999999999999</c:v>
                </c:pt>
                <c:pt idx="50">
                  <c:v>0.42899999999999999</c:v>
                </c:pt>
              </c:numCache>
            </c:numRef>
          </c:val>
          <c:smooth val="0"/>
          <c:extLst>
            <c:ext xmlns:c16="http://schemas.microsoft.com/office/drawing/2014/chart" uri="{C3380CC4-5D6E-409C-BE32-E72D297353CC}">
              <c16:uniqueId val="{00000003-8DF3-45D9-99EA-93D7BD4CE0DB}"/>
            </c:ext>
          </c:extLst>
        </c:ser>
        <c:ser>
          <c:idx val="4"/>
          <c:order val="4"/>
          <c:tx>
            <c:strRef>
              <c:f>'Fig 2.15'!$B$9</c:f>
              <c:strCache>
                <c:ptCount val="1"/>
                <c:pt idx="0">
                  <c:v>C'</c:v>
                </c:pt>
              </c:strCache>
            </c:strRef>
          </c:tx>
          <c:spPr>
            <a:ln w="22225">
              <a:solidFill>
                <a:schemeClr val="tx1"/>
              </a:solidFill>
            </a:ln>
          </c:spPr>
          <c:marker>
            <c:symbol val="star"/>
            <c:size val="4"/>
            <c:spPr>
              <a:noFill/>
              <a:ln>
                <a:solidFill>
                  <a:schemeClr val="tx1"/>
                </a:solidFill>
              </a:ln>
            </c:spPr>
          </c:marker>
          <c:cat>
            <c:numRef>
              <c:f>'Fig 2.15'!$C$4:$BA$4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2.15'!$C$9:$BA$9</c:f>
              <c:numCache>
                <c:formatCode>0.0%</c:formatCode>
                <c:ptCount val="51"/>
                <c:pt idx="7">
                  <c:v>0.50800000000000001</c:v>
                </c:pt>
                <c:pt idx="8">
                  <c:v>0.503</c:v>
                </c:pt>
                <c:pt idx="9">
                  <c:v>0.503</c:v>
                </c:pt>
                <c:pt idx="10">
                  <c:v>0.48699999999999999</c:v>
                </c:pt>
                <c:pt idx="11">
                  <c:v>0.48</c:v>
                </c:pt>
                <c:pt idx="12">
                  <c:v>0.47099999999999997</c:v>
                </c:pt>
                <c:pt idx="13">
                  <c:v>0.46700000000000003</c:v>
                </c:pt>
                <c:pt idx="14">
                  <c:v>0.46899999999999997</c:v>
                </c:pt>
                <c:pt idx="15">
                  <c:v>0.46800000000000003</c:v>
                </c:pt>
                <c:pt idx="16">
                  <c:v>0.46</c:v>
                </c:pt>
                <c:pt idx="17">
                  <c:v>0.45600000000000002</c:v>
                </c:pt>
                <c:pt idx="18">
                  <c:v>0.45100000000000001</c:v>
                </c:pt>
                <c:pt idx="19">
                  <c:v>0.44600000000000001</c:v>
                </c:pt>
                <c:pt idx="20">
                  <c:v>0.441</c:v>
                </c:pt>
                <c:pt idx="21">
                  <c:v>0.438</c:v>
                </c:pt>
                <c:pt idx="22">
                  <c:v>0.435</c:v>
                </c:pt>
                <c:pt idx="23">
                  <c:v>0.437</c:v>
                </c:pt>
                <c:pt idx="24">
                  <c:v>0.434</c:v>
                </c:pt>
                <c:pt idx="25">
                  <c:v>0.42799999999999999</c:v>
                </c:pt>
                <c:pt idx="26">
                  <c:v>0.42799999999999999</c:v>
                </c:pt>
                <c:pt idx="27">
                  <c:v>0.42599999999999999</c:v>
                </c:pt>
                <c:pt idx="28">
                  <c:v>0.42499999999999999</c:v>
                </c:pt>
                <c:pt idx="29">
                  <c:v>0.42399999999999999</c:v>
                </c:pt>
                <c:pt idx="30">
                  <c:v>0.42499999999999999</c:v>
                </c:pt>
                <c:pt idx="31">
                  <c:v>0.42799999999999999</c:v>
                </c:pt>
                <c:pt idx="32">
                  <c:v>0.42899999999999999</c:v>
                </c:pt>
                <c:pt idx="33">
                  <c:v>0.42899999999999999</c:v>
                </c:pt>
                <c:pt idx="34">
                  <c:v>0.43099999999999999</c:v>
                </c:pt>
                <c:pt idx="35">
                  <c:v>0.433</c:v>
                </c:pt>
                <c:pt idx="36">
                  <c:v>0.434</c:v>
                </c:pt>
                <c:pt idx="37">
                  <c:v>0.43099999999999999</c:v>
                </c:pt>
                <c:pt idx="38">
                  <c:v>0.43099999999999999</c:v>
                </c:pt>
                <c:pt idx="39">
                  <c:v>0.432</c:v>
                </c:pt>
                <c:pt idx="40">
                  <c:v>0.437</c:v>
                </c:pt>
                <c:pt idx="41">
                  <c:v>0.434</c:v>
                </c:pt>
                <c:pt idx="42">
                  <c:v>0.435</c:v>
                </c:pt>
                <c:pt idx="43">
                  <c:v>0.437</c:v>
                </c:pt>
                <c:pt idx="44">
                  <c:v>0.434</c:v>
                </c:pt>
                <c:pt idx="45">
                  <c:v>0.44400000000000001</c:v>
                </c:pt>
                <c:pt idx="46">
                  <c:v>0.44500000000000001</c:v>
                </c:pt>
                <c:pt idx="47">
                  <c:v>0.44800000000000001</c:v>
                </c:pt>
                <c:pt idx="48">
                  <c:v>0.44700000000000001</c:v>
                </c:pt>
                <c:pt idx="49">
                  <c:v>0.45100000000000001</c:v>
                </c:pt>
                <c:pt idx="50">
                  <c:v>0.45300000000000001</c:v>
                </c:pt>
              </c:numCache>
            </c:numRef>
          </c:val>
          <c:smooth val="0"/>
          <c:extLst>
            <c:ext xmlns:c16="http://schemas.microsoft.com/office/drawing/2014/chart" uri="{C3380CC4-5D6E-409C-BE32-E72D297353CC}">
              <c16:uniqueId val="{00000004-8DF3-45D9-99EA-93D7BD4CE0DB}"/>
            </c:ext>
          </c:extLst>
        </c:ser>
        <c:dLbls>
          <c:showLegendKey val="0"/>
          <c:showVal val="0"/>
          <c:showCatName val="0"/>
          <c:showSerName val="0"/>
          <c:showPercent val="0"/>
          <c:showBubbleSize val="0"/>
        </c:dLbls>
        <c:marker val="1"/>
        <c:smooth val="0"/>
        <c:axId val="147448192"/>
        <c:axId val="147450496"/>
      </c:lineChart>
      <c:catAx>
        <c:axId val="147448192"/>
        <c:scaling>
          <c:orientation val="minMax"/>
        </c:scaling>
        <c:delete val="0"/>
        <c:axPos val="b"/>
        <c:title>
          <c:tx>
            <c:rich>
              <a:bodyPr/>
              <a:lstStyle/>
              <a:p>
                <a:pPr>
                  <a:defRPr/>
                </a:pPr>
                <a:r>
                  <a:rPr lang="en-US"/>
                  <a:t>génération</a:t>
                </a:r>
              </a:p>
            </c:rich>
          </c:tx>
          <c:layout>
            <c:manualLayout>
              <c:xMode val="edge"/>
              <c:yMode val="edge"/>
              <c:x val="0.74286396011396005"/>
              <c:y val="0.66339768518518516"/>
            </c:manualLayout>
          </c:layout>
          <c:overlay val="0"/>
        </c:title>
        <c:numFmt formatCode="General" sourceLinked="1"/>
        <c:majorTickMark val="out"/>
        <c:minorTickMark val="none"/>
        <c:tickLblPos val="nextTo"/>
        <c:txPr>
          <a:bodyPr rot="-5400000" vert="horz"/>
          <a:lstStyle/>
          <a:p>
            <a:pPr>
              <a:defRPr/>
            </a:pPr>
            <a:endParaRPr lang="fr-FR"/>
          </a:p>
        </c:txPr>
        <c:crossAx val="147450496"/>
        <c:crosses val="autoZero"/>
        <c:auto val="1"/>
        <c:lblAlgn val="ctr"/>
        <c:lblOffset val="100"/>
        <c:tickLblSkip val="10"/>
        <c:noMultiLvlLbl val="0"/>
      </c:catAx>
      <c:valAx>
        <c:axId val="147450496"/>
        <c:scaling>
          <c:orientation val="minMax"/>
          <c:max val="0.60000000000000009"/>
          <c:min val="0.30000000000000004"/>
        </c:scaling>
        <c:delete val="0"/>
        <c:axPos val="l"/>
        <c:majorGridlines/>
        <c:title>
          <c:tx>
            <c:rich>
              <a:bodyPr rot="-5400000" vert="horz"/>
              <a:lstStyle/>
              <a:p>
                <a:pPr>
                  <a:defRPr/>
                </a:pPr>
                <a:r>
                  <a:rPr lang="en-US"/>
                  <a:t>en % du SMPT (à 68 ans)</a:t>
                </a:r>
              </a:p>
            </c:rich>
          </c:tx>
          <c:layout>
            <c:manualLayout>
              <c:xMode val="edge"/>
              <c:yMode val="edge"/>
              <c:x val="2.1335470085470077E-3"/>
              <c:y val="4.7095833333333337E-2"/>
            </c:manualLayout>
          </c:layout>
          <c:overlay val="0"/>
        </c:title>
        <c:numFmt formatCode="0%" sourceLinked="0"/>
        <c:majorTickMark val="out"/>
        <c:minorTickMark val="none"/>
        <c:tickLblPos val="nextTo"/>
        <c:crossAx val="147448192"/>
        <c:crosses val="autoZero"/>
        <c:crossBetween val="between"/>
        <c:majorUnit val="5.000000000000001E-2"/>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59298433048433"/>
          <c:y val="3.5880555555555554E-2"/>
          <c:w val="0.75703774928774925"/>
          <c:h val="0.71216990740740738"/>
        </c:manualLayout>
      </c:layout>
      <c:lineChart>
        <c:grouping val="standard"/>
        <c:varyColors val="0"/>
        <c:ser>
          <c:idx val="0"/>
          <c:order val="0"/>
          <c:tx>
            <c:strRef>
              <c:f>'Fig 2.17'!$B$5</c:f>
              <c:strCache>
                <c:ptCount val="1"/>
                <c:pt idx="0">
                  <c:v>A'</c:v>
                </c:pt>
              </c:strCache>
            </c:strRef>
          </c:tx>
          <c:spPr>
            <a:ln w="22225">
              <a:solidFill>
                <a:schemeClr val="tx1"/>
              </a:solidFill>
            </a:ln>
          </c:spPr>
          <c:marker>
            <c:symbol val="x"/>
            <c:size val="4"/>
            <c:spPr>
              <a:noFill/>
              <a:ln>
                <a:solidFill>
                  <a:schemeClr val="tx1"/>
                </a:solidFill>
              </a:ln>
            </c:spPr>
          </c:marker>
          <c:cat>
            <c:numRef>
              <c:f>'Fig 2.17'!$C$4:$BA$4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2.17'!$C$5:$BA$5</c:f>
              <c:numCache>
                <c:formatCode>0.0%</c:formatCode>
                <c:ptCount val="51"/>
                <c:pt idx="0">
                  <c:v>0.91500000000000004</c:v>
                </c:pt>
                <c:pt idx="1">
                  <c:v>0.90600000000000003</c:v>
                </c:pt>
                <c:pt idx="2">
                  <c:v>0.89300000000000002</c:v>
                </c:pt>
                <c:pt idx="3">
                  <c:v>0.89300000000000002</c:v>
                </c:pt>
                <c:pt idx="4">
                  <c:v>0.88100000000000001</c:v>
                </c:pt>
                <c:pt idx="5">
                  <c:v>0.876</c:v>
                </c:pt>
                <c:pt idx="6">
                  <c:v>0.871</c:v>
                </c:pt>
                <c:pt idx="7">
                  <c:v>0.86699999999999999</c:v>
                </c:pt>
                <c:pt idx="8">
                  <c:v>0.879</c:v>
                </c:pt>
                <c:pt idx="9">
                  <c:v>0.878</c:v>
                </c:pt>
                <c:pt idx="10">
                  <c:v>0.88200000000000001</c:v>
                </c:pt>
                <c:pt idx="11">
                  <c:v>0.88</c:v>
                </c:pt>
                <c:pt idx="12">
                  <c:v>0.88600000000000001</c:v>
                </c:pt>
                <c:pt idx="13">
                  <c:v>0.88400000000000001</c:v>
                </c:pt>
                <c:pt idx="14">
                  <c:v>0.88700000000000001</c:v>
                </c:pt>
                <c:pt idx="15">
                  <c:v>0.88200000000000001</c:v>
                </c:pt>
                <c:pt idx="16">
                  <c:v>0.88100000000000001</c:v>
                </c:pt>
                <c:pt idx="17">
                  <c:v>0.87</c:v>
                </c:pt>
                <c:pt idx="18">
                  <c:v>0.876</c:v>
                </c:pt>
                <c:pt idx="19">
                  <c:v>0.86299999999999999</c:v>
                </c:pt>
                <c:pt idx="20">
                  <c:v>0.84799999999999998</c:v>
                </c:pt>
                <c:pt idx="21">
                  <c:v>0.83299999999999996</c:v>
                </c:pt>
                <c:pt idx="22">
                  <c:v>0.82699999999999996</c:v>
                </c:pt>
                <c:pt idx="23">
                  <c:v>0.81799999999999995</c:v>
                </c:pt>
                <c:pt idx="24">
                  <c:v>0.81599999999999995</c:v>
                </c:pt>
                <c:pt idx="25">
                  <c:v>0.81</c:v>
                </c:pt>
                <c:pt idx="26">
                  <c:v>0.80400000000000005</c:v>
                </c:pt>
                <c:pt idx="27">
                  <c:v>0.79600000000000004</c:v>
                </c:pt>
                <c:pt idx="28">
                  <c:v>0.79</c:v>
                </c:pt>
                <c:pt idx="29">
                  <c:v>0.78500000000000003</c:v>
                </c:pt>
                <c:pt idx="30">
                  <c:v>0.78300000000000003</c:v>
                </c:pt>
                <c:pt idx="31">
                  <c:v>0.78100000000000003</c:v>
                </c:pt>
                <c:pt idx="32">
                  <c:v>0.78</c:v>
                </c:pt>
                <c:pt idx="33">
                  <c:v>0.77900000000000003</c:v>
                </c:pt>
                <c:pt idx="34">
                  <c:v>0.77800000000000002</c:v>
                </c:pt>
                <c:pt idx="35">
                  <c:v>0.78100000000000003</c:v>
                </c:pt>
                <c:pt idx="36">
                  <c:v>0.78200000000000003</c:v>
                </c:pt>
                <c:pt idx="37">
                  <c:v>0.78</c:v>
                </c:pt>
                <c:pt idx="38">
                  <c:v>0.78300000000000003</c:v>
                </c:pt>
                <c:pt idx="39">
                  <c:v>0.78500000000000003</c:v>
                </c:pt>
                <c:pt idx="40">
                  <c:v>0.78300000000000003</c:v>
                </c:pt>
                <c:pt idx="41">
                  <c:v>0.78500000000000003</c:v>
                </c:pt>
                <c:pt idx="42">
                  <c:v>0.78400000000000003</c:v>
                </c:pt>
                <c:pt idx="43">
                  <c:v>0.78500000000000003</c:v>
                </c:pt>
                <c:pt idx="44">
                  <c:v>0.78400000000000003</c:v>
                </c:pt>
                <c:pt idx="45">
                  <c:v>0.78300000000000003</c:v>
                </c:pt>
                <c:pt idx="46">
                  <c:v>0.78500000000000003</c:v>
                </c:pt>
                <c:pt idx="47">
                  <c:v>0.78300000000000003</c:v>
                </c:pt>
                <c:pt idx="48">
                  <c:v>0.78300000000000003</c:v>
                </c:pt>
                <c:pt idx="49">
                  <c:v>0.78200000000000003</c:v>
                </c:pt>
                <c:pt idx="50">
                  <c:v>0.78200000000000003</c:v>
                </c:pt>
              </c:numCache>
            </c:numRef>
          </c:val>
          <c:smooth val="0"/>
          <c:extLst>
            <c:ext xmlns:c16="http://schemas.microsoft.com/office/drawing/2014/chart" uri="{C3380CC4-5D6E-409C-BE32-E72D297353CC}">
              <c16:uniqueId val="{00000000-C5FD-4078-A0C6-858992BCB26D}"/>
            </c:ext>
          </c:extLst>
        </c:ser>
        <c:ser>
          <c:idx val="1"/>
          <c:order val="1"/>
          <c:tx>
            <c:strRef>
              <c:f>'Fig 2.17'!$B$6</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2.17'!$C$4:$BA$4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2.17'!$C$6:$BA$6</c:f>
              <c:numCache>
                <c:formatCode>0.0%</c:formatCode>
                <c:ptCount val="51"/>
                <c:pt idx="0">
                  <c:v>0.91500000000000004</c:v>
                </c:pt>
                <c:pt idx="1">
                  <c:v>0.90600000000000003</c:v>
                </c:pt>
                <c:pt idx="2">
                  <c:v>0.89300000000000002</c:v>
                </c:pt>
                <c:pt idx="3">
                  <c:v>0.89300000000000002</c:v>
                </c:pt>
                <c:pt idx="4">
                  <c:v>0.88100000000000001</c:v>
                </c:pt>
                <c:pt idx="5">
                  <c:v>0.876</c:v>
                </c:pt>
                <c:pt idx="6">
                  <c:v>0.871</c:v>
                </c:pt>
                <c:pt idx="7">
                  <c:v>0.86699999999999999</c:v>
                </c:pt>
                <c:pt idx="8">
                  <c:v>0.88</c:v>
                </c:pt>
                <c:pt idx="9">
                  <c:v>0.879</c:v>
                </c:pt>
                <c:pt idx="10">
                  <c:v>0.88300000000000001</c:v>
                </c:pt>
                <c:pt idx="11">
                  <c:v>0.88100000000000001</c:v>
                </c:pt>
                <c:pt idx="12">
                  <c:v>0.88700000000000001</c:v>
                </c:pt>
                <c:pt idx="13">
                  <c:v>0.88600000000000001</c:v>
                </c:pt>
                <c:pt idx="14">
                  <c:v>0.88800000000000001</c:v>
                </c:pt>
                <c:pt idx="15">
                  <c:v>0.88400000000000001</c:v>
                </c:pt>
                <c:pt idx="16">
                  <c:v>0.88400000000000001</c:v>
                </c:pt>
                <c:pt idx="17">
                  <c:v>0.873</c:v>
                </c:pt>
                <c:pt idx="18">
                  <c:v>0.88</c:v>
                </c:pt>
                <c:pt idx="19">
                  <c:v>0.86799999999999999</c:v>
                </c:pt>
                <c:pt idx="20">
                  <c:v>0.85299999999999998</c:v>
                </c:pt>
                <c:pt idx="21">
                  <c:v>0.83899999999999997</c:v>
                </c:pt>
                <c:pt idx="22">
                  <c:v>0.83399999999999996</c:v>
                </c:pt>
                <c:pt idx="23">
                  <c:v>0.82699999999999996</c:v>
                </c:pt>
                <c:pt idx="24">
                  <c:v>0.82499999999999996</c:v>
                </c:pt>
                <c:pt idx="25">
                  <c:v>0.82</c:v>
                </c:pt>
                <c:pt idx="26">
                  <c:v>0.81499999999999995</c:v>
                </c:pt>
                <c:pt idx="27">
                  <c:v>0.80800000000000005</c:v>
                </c:pt>
                <c:pt idx="28">
                  <c:v>0.80300000000000005</c:v>
                </c:pt>
                <c:pt idx="29">
                  <c:v>0.79900000000000004</c:v>
                </c:pt>
                <c:pt idx="30">
                  <c:v>0.79800000000000004</c:v>
                </c:pt>
                <c:pt idx="31">
                  <c:v>0.79700000000000004</c:v>
                </c:pt>
                <c:pt idx="32">
                  <c:v>0.79800000000000004</c:v>
                </c:pt>
                <c:pt idx="33">
                  <c:v>0.79700000000000004</c:v>
                </c:pt>
                <c:pt idx="34">
                  <c:v>0.79600000000000004</c:v>
                </c:pt>
                <c:pt idx="35">
                  <c:v>0.79900000000000004</c:v>
                </c:pt>
                <c:pt idx="36">
                  <c:v>0.8</c:v>
                </c:pt>
                <c:pt idx="37">
                  <c:v>0.79900000000000004</c:v>
                </c:pt>
                <c:pt idx="38">
                  <c:v>0.80200000000000005</c:v>
                </c:pt>
                <c:pt idx="39">
                  <c:v>0.80300000000000005</c:v>
                </c:pt>
                <c:pt idx="40">
                  <c:v>0.80200000000000005</c:v>
                </c:pt>
                <c:pt idx="41">
                  <c:v>0.80300000000000005</c:v>
                </c:pt>
                <c:pt idx="42">
                  <c:v>0.80200000000000005</c:v>
                </c:pt>
                <c:pt idx="43">
                  <c:v>0.80300000000000005</c:v>
                </c:pt>
                <c:pt idx="44">
                  <c:v>0.80200000000000005</c:v>
                </c:pt>
                <c:pt idx="45">
                  <c:v>0.80200000000000005</c:v>
                </c:pt>
                <c:pt idx="46">
                  <c:v>0.80300000000000005</c:v>
                </c:pt>
                <c:pt idx="47">
                  <c:v>0.80200000000000005</c:v>
                </c:pt>
                <c:pt idx="48">
                  <c:v>0.80100000000000005</c:v>
                </c:pt>
                <c:pt idx="49">
                  <c:v>0.80100000000000005</c:v>
                </c:pt>
                <c:pt idx="50">
                  <c:v>0.8</c:v>
                </c:pt>
              </c:numCache>
            </c:numRef>
          </c:val>
          <c:smooth val="0"/>
          <c:extLst>
            <c:ext xmlns:c16="http://schemas.microsoft.com/office/drawing/2014/chart" uri="{C3380CC4-5D6E-409C-BE32-E72D297353CC}">
              <c16:uniqueId val="{00000001-C5FD-4078-A0C6-858992BCB26D}"/>
            </c:ext>
          </c:extLst>
        </c:ser>
        <c:ser>
          <c:idx val="2"/>
          <c:order val="2"/>
          <c:tx>
            <c:strRef>
              <c:f>'Fig 2.17'!$B$7</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2.17'!$C$4:$BA$4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2.17'!$C$7:$BA$7</c:f>
              <c:numCache>
                <c:formatCode>0.0%</c:formatCode>
                <c:ptCount val="51"/>
                <c:pt idx="0">
                  <c:v>0.91500000000000004</c:v>
                </c:pt>
                <c:pt idx="1">
                  <c:v>0.90600000000000003</c:v>
                </c:pt>
                <c:pt idx="2">
                  <c:v>0.89300000000000002</c:v>
                </c:pt>
                <c:pt idx="3">
                  <c:v>0.89300000000000002</c:v>
                </c:pt>
                <c:pt idx="4">
                  <c:v>0.88100000000000001</c:v>
                </c:pt>
                <c:pt idx="5">
                  <c:v>0.876</c:v>
                </c:pt>
                <c:pt idx="6">
                  <c:v>0.87</c:v>
                </c:pt>
                <c:pt idx="7">
                  <c:v>0.86699999999999999</c:v>
                </c:pt>
                <c:pt idx="8">
                  <c:v>0.879</c:v>
                </c:pt>
                <c:pt idx="9">
                  <c:v>0.879</c:v>
                </c:pt>
                <c:pt idx="10">
                  <c:v>0.88300000000000001</c:v>
                </c:pt>
                <c:pt idx="11">
                  <c:v>0.88200000000000001</c:v>
                </c:pt>
                <c:pt idx="12">
                  <c:v>0.88800000000000001</c:v>
                </c:pt>
                <c:pt idx="13">
                  <c:v>0.88700000000000001</c:v>
                </c:pt>
                <c:pt idx="14">
                  <c:v>0.89</c:v>
                </c:pt>
                <c:pt idx="15">
                  <c:v>0.88700000000000001</c:v>
                </c:pt>
                <c:pt idx="16">
                  <c:v>0.88800000000000001</c:v>
                </c:pt>
                <c:pt idx="17">
                  <c:v>0.878</c:v>
                </c:pt>
                <c:pt idx="18">
                  <c:v>0.88600000000000001</c:v>
                </c:pt>
                <c:pt idx="19">
                  <c:v>0.875</c:v>
                </c:pt>
                <c:pt idx="20">
                  <c:v>0.86099999999999999</c:v>
                </c:pt>
                <c:pt idx="21">
                  <c:v>0.84799999999999998</c:v>
                </c:pt>
                <c:pt idx="22">
                  <c:v>0.84499999999999997</c:v>
                </c:pt>
                <c:pt idx="23">
                  <c:v>0.83799999999999997</c:v>
                </c:pt>
                <c:pt idx="24">
                  <c:v>0.83899999999999997</c:v>
                </c:pt>
                <c:pt idx="25">
                  <c:v>0.83499999999999996</c:v>
                </c:pt>
                <c:pt idx="26">
                  <c:v>0.83199999999999996</c:v>
                </c:pt>
                <c:pt idx="27">
                  <c:v>0.82599999999999996</c:v>
                </c:pt>
                <c:pt idx="28">
                  <c:v>0.82499999999999996</c:v>
                </c:pt>
                <c:pt idx="29">
                  <c:v>0.82399999999999995</c:v>
                </c:pt>
                <c:pt idx="30">
                  <c:v>0.82299999999999995</c:v>
                </c:pt>
                <c:pt idx="31">
                  <c:v>0.82399999999999995</c:v>
                </c:pt>
                <c:pt idx="32">
                  <c:v>0.82699999999999996</c:v>
                </c:pt>
                <c:pt idx="33">
                  <c:v>0.82699999999999996</c:v>
                </c:pt>
                <c:pt idx="34">
                  <c:v>0.82599999999999996</c:v>
                </c:pt>
                <c:pt idx="35">
                  <c:v>0.82799999999999996</c:v>
                </c:pt>
                <c:pt idx="36">
                  <c:v>0.82899999999999996</c:v>
                </c:pt>
                <c:pt idx="37">
                  <c:v>0.82799999999999996</c:v>
                </c:pt>
                <c:pt idx="38">
                  <c:v>0.83099999999999996</c:v>
                </c:pt>
                <c:pt idx="39">
                  <c:v>0.83199999999999996</c:v>
                </c:pt>
                <c:pt idx="40">
                  <c:v>0.83099999999999996</c:v>
                </c:pt>
                <c:pt idx="41">
                  <c:v>0.83099999999999996</c:v>
                </c:pt>
                <c:pt idx="42">
                  <c:v>0.83099999999999996</c:v>
                </c:pt>
                <c:pt idx="43">
                  <c:v>0.83199999999999996</c:v>
                </c:pt>
                <c:pt idx="44">
                  <c:v>0.83099999999999996</c:v>
                </c:pt>
                <c:pt idx="45">
                  <c:v>0.83099999999999996</c:v>
                </c:pt>
                <c:pt idx="46">
                  <c:v>0.83199999999999996</c:v>
                </c:pt>
                <c:pt idx="47">
                  <c:v>0.83099999999999996</c:v>
                </c:pt>
                <c:pt idx="48">
                  <c:v>0.83</c:v>
                </c:pt>
                <c:pt idx="49">
                  <c:v>0.83</c:v>
                </c:pt>
                <c:pt idx="50">
                  <c:v>0.82899999999999996</c:v>
                </c:pt>
              </c:numCache>
            </c:numRef>
          </c:val>
          <c:smooth val="0"/>
          <c:extLst>
            <c:ext xmlns:c16="http://schemas.microsoft.com/office/drawing/2014/chart" uri="{C3380CC4-5D6E-409C-BE32-E72D297353CC}">
              <c16:uniqueId val="{00000002-C5FD-4078-A0C6-858992BCB26D}"/>
            </c:ext>
          </c:extLst>
        </c:ser>
        <c:ser>
          <c:idx val="3"/>
          <c:order val="3"/>
          <c:tx>
            <c:strRef>
              <c:f>'Fig 2.17'!$B$8</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2.17'!$C$4:$BA$4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2.17'!$C$8:$BA$8</c:f>
              <c:numCache>
                <c:formatCode>0.0%</c:formatCode>
                <c:ptCount val="51"/>
                <c:pt idx="0">
                  <c:v>0.91500000000000004</c:v>
                </c:pt>
                <c:pt idx="1">
                  <c:v>0.90600000000000003</c:v>
                </c:pt>
                <c:pt idx="2">
                  <c:v>0.89300000000000002</c:v>
                </c:pt>
                <c:pt idx="3">
                  <c:v>0.89300000000000002</c:v>
                </c:pt>
                <c:pt idx="4">
                  <c:v>0.88100000000000001</c:v>
                </c:pt>
                <c:pt idx="5">
                  <c:v>0.876</c:v>
                </c:pt>
                <c:pt idx="6">
                  <c:v>0.87</c:v>
                </c:pt>
                <c:pt idx="7">
                  <c:v>0.86699999999999999</c:v>
                </c:pt>
                <c:pt idx="8">
                  <c:v>0.88</c:v>
                </c:pt>
                <c:pt idx="9">
                  <c:v>0.879</c:v>
                </c:pt>
                <c:pt idx="10">
                  <c:v>0.88400000000000001</c:v>
                </c:pt>
                <c:pt idx="11">
                  <c:v>0.88300000000000001</c:v>
                </c:pt>
                <c:pt idx="12">
                  <c:v>0.88900000000000001</c:v>
                </c:pt>
                <c:pt idx="13">
                  <c:v>0.88900000000000001</c:v>
                </c:pt>
                <c:pt idx="14">
                  <c:v>0.89300000000000002</c:v>
                </c:pt>
                <c:pt idx="15">
                  <c:v>0.89</c:v>
                </c:pt>
                <c:pt idx="16">
                  <c:v>0.89200000000000002</c:v>
                </c:pt>
                <c:pt idx="17">
                  <c:v>0.88200000000000001</c:v>
                </c:pt>
                <c:pt idx="18">
                  <c:v>0.89100000000000001</c:v>
                </c:pt>
                <c:pt idx="19">
                  <c:v>0.88100000000000001</c:v>
                </c:pt>
                <c:pt idx="20">
                  <c:v>0.86799999999999999</c:v>
                </c:pt>
                <c:pt idx="21">
                  <c:v>0.85599999999999998</c:v>
                </c:pt>
                <c:pt idx="22">
                  <c:v>0.85399999999999998</c:v>
                </c:pt>
                <c:pt idx="23">
                  <c:v>0.84799999999999998</c:v>
                </c:pt>
                <c:pt idx="24">
                  <c:v>0.85</c:v>
                </c:pt>
                <c:pt idx="25">
                  <c:v>0.84699999999999998</c:v>
                </c:pt>
                <c:pt idx="26">
                  <c:v>0.84499999999999997</c:v>
                </c:pt>
                <c:pt idx="27">
                  <c:v>0.84099999999999997</c:v>
                </c:pt>
                <c:pt idx="28">
                  <c:v>0.84</c:v>
                </c:pt>
                <c:pt idx="29">
                  <c:v>0.84199999999999997</c:v>
                </c:pt>
                <c:pt idx="30">
                  <c:v>0.84299999999999997</c:v>
                </c:pt>
                <c:pt idx="31">
                  <c:v>0.84499999999999997</c:v>
                </c:pt>
                <c:pt idx="32">
                  <c:v>0.84799999999999998</c:v>
                </c:pt>
                <c:pt idx="33">
                  <c:v>0.84699999999999998</c:v>
                </c:pt>
                <c:pt idx="34">
                  <c:v>0.84599999999999997</c:v>
                </c:pt>
                <c:pt idx="35">
                  <c:v>0.84899999999999998</c:v>
                </c:pt>
                <c:pt idx="36">
                  <c:v>0.84899999999999998</c:v>
                </c:pt>
                <c:pt idx="37">
                  <c:v>0.84799999999999998</c:v>
                </c:pt>
                <c:pt idx="38">
                  <c:v>0.85099999999999998</c:v>
                </c:pt>
                <c:pt idx="39">
                  <c:v>0.85099999999999998</c:v>
                </c:pt>
                <c:pt idx="40">
                  <c:v>0.85099999999999998</c:v>
                </c:pt>
                <c:pt idx="41">
                  <c:v>0.85099999999999998</c:v>
                </c:pt>
                <c:pt idx="42">
                  <c:v>0.85099999999999998</c:v>
                </c:pt>
                <c:pt idx="43">
                  <c:v>0.85099999999999998</c:v>
                </c:pt>
                <c:pt idx="44">
                  <c:v>0.85099999999999998</c:v>
                </c:pt>
                <c:pt idx="45">
                  <c:v>0.85099999999999998</c:v>
                </c:pt>
                <c:pt idx="46">
                  <c:v>0.85099999999999998</c:v>
                </c:pt>
                <c:pt idx="47">
                  <c:v>0.85099999999999998</c:v>
                </c:pt>
                <c:pt idx="48">
                  <c:v>0.85</c:v>
                </c:pt>
                <c:pt idx="49">
                  <c:v>0.85</c:v>
                </c:pt>
                <c:pt idx="50">
                  <c:v>0.84899999999999998</c:v>
                </c:pt>
              </c:numCache>
            </c:numRef>
          </c:val>
          <c:smooth val="0"/>
          <c:extLst>
            <c:ext xmlns:c16="http://schemas.microsoft.com/office/drawing/2014/chart" uri="{C3380CC4-5D6E-409C-BE32-E72D297353CC}">
              <c16:uniqueId val="{00000003-C5FD-4078-A0C6-858992BCB26D}"/>
            </c:ext>
          </c:extLst>
        </c:ser>
        <c:ser>
          <c:idx val="4"/>
          <c:order val="4"/>
          <c:tx>
            <c:strRef>
              <c:f>'Fig 2.17'!$B$9</c:f>
              <c:strCache>
                <c:ptCount val="1"/>
                <c:pt idx="0">
                  <c:v>C'</c:v>
                </c:pt>
              </c:strCache>
            </c:strRef>
          </c:tx>
          <c:spPr>
            <a:ln w="22225">
              <a:solidFill>
                <a:schemeClr val="tx1"/>
              </a:solidFill>
            </a:ln>
          </c:spPr>
          <c:marker>
            <c:symbol val="star"/>
            <c:size val="4"/>
            <c:spPr>
              <a:noFill/>
              <a:ln>
                <a:solidFill>
                  <a:schemeClr val="tx1"/>
                </a:solidFill>
              </a:ln>
            </c:spPr>
          </c:marker>
          <c:cat>
            <c:numRef>
              <c:f>'Fig 2.17'!$C$4:$BA$4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2.17'!$C$9:$BA$9</c:f>
              <c:numCache>
                <c:formatCode>0.0%</c:formatCode>
                <c:ptCount val="51"/>
                <c:pt idx="0">
                  <c:v>0.91500000000000004</c:v>
                </c:pt>
                <c:pt idx="1">
                  <c:v>0.90600000000000003</c:v>
                </c:pt>
                <c:pt idx="2">
                  <c:v>0.89300000000000002</c:v>
                </c:pt>
                <c:pt idx="3">
                  <c:v>0.89300000000000002</c:v>
                </c:pt>
                <c:pt idx="4">
                  <c:v>0.88100000000000001</c:v>
                </c:pt>
                <c:pt idx="5">
                  <c:v>0.876</c:v>
                </c:pt>
                <c:pt idx="6">
                  <c:v>0.871</c:v>
                </c:pt>
                <c:pt idx="7">
                  <c:v>0.86799999999999999</c:v>
                </c:pt>
                <c:pt idx="8">
                  <c:v>0.88100000000000001</c:v>
                </c:pt>
                <c:pt idx="9">
                  <c:v>0.88100000000000001</c:v>
                </c:pt>
                <c:pt idx="10">
                  <c:v>0.88600000000000001</c:v>
                </c:pt>
                <c:pt idx="11">
                  <c:v>0.88600000000000001</c:v>
                </c:pt>
                <c:pt idx="12">
                  <c:v>0.89300000000000002</c:v>
                </c:pt>
                <c:pt idx="13">
                  <c:v>0.89400000000000002</c:v>
                </c:pt>
                <c:pt idx="14">
                  <c:v>0.89900000000000002</c:v>
                </c:pt>
                <c:pt idx="15">
                  <c:v>0.89800000000000002</c:v>
                </c:pt>
                <c:pt idx="16">
                  <c:v>0.9</c:v>
                </c:pt>
                <c:pt idx="17">
                  <c:v>0.89300000000000002</c:v>
                </c:pt>
                <c:pt idx="18">
                  <c:v>0.90300000000000002</c:v>
                </c:pt>
                <c:pt idx="19">
                  <c:v>0.89400000000000002</c:v>
                </c:pt>
                <c:pt idx="20">
                  <c:v>0.88300000000000001</c:v>
                </c:pt>
                <c:pt idx="21">
                  <c:v>0.873</c:v>
                </c:pt>
                <c:pt idx="22">
                  <c:v>0.872</c:v>
                </c:pt>
                <c:pt idx="23">
                  <c:v>0.86899999999999999</c:v>
                </c:pt>
                <c:pt idx="24">
                  <c:v>0.872</c:v>
                </c:pt>
                <c:pt idx="25">
                  <c:v>0.872</c:v>
                </c:pt>
                <c:pt idx="26">
                  <c:v>0.872</c:v>
                </c:pt>
                <c:pt idx="27">
                  <c:v>0.87</c:v>
                </c:pt>
                <c:pt idx="28">
                  <c:v>0.871</c:v>
                </c:pt>
                <c:pt idx="29">
                  <c:v>0.874</c:v>
                </c:pt>
                <c:pt idx="30">
                  <c:v>0.875</c:v>
                </c:pt>
                <c:pt idx="31">
                  <c:v>0.877</c:v>
                </c:pt>
                <c:pt idx="32">
                  <c:v>0.88</c:v>
                </c:pt>
                <c:pt idx="33">
                  <c:v>0.879</c:v>
                </c:pt>
                <c:pt idx="34">
                  <c:v>0.879</c:v>
                </c:pt>
                <c:pt idx="35">
                  <c:v>0.88</c:v>
                </c:pt>
                <c:pt idx="36">
                  <c:v>0.88100000000000001</c:v>
                </c:pt>
                <c:pt idx="37">
                  <c:v>0.88</c:v>
                </c:pt>
                <c:pt idx="38">
                  <c:v>0.88200000000000001</c:v>
                </c:pt>
                <c:pt idx="39">
                  <c:v>0.88300000000000001</c:v>
                </c:pt>
                <c:pt idx="40">
                  <c:v>0.88200000000000001</c:v>
                </c:pt>
                <c:pt idx="41">
                  <c:v>0.88300000000000001</c:v>
                </c:pt>
                <c:pt idx="42">
                  <c:v>0.88200000000000001</c:v>
                </c:pt>
                <c:pt idx="43">
                  <c:v>0.88300000000000001</c:v>
                </c:pt>
                <c:pt idx="44">
                  <c:v>0.88200000000000001</c:v>
                </c:pt>
                <c:pt idx="45">
                  <c:v>0.88200000000000001</c:v>
                </c:pt>
                <c:pt idx="46">
                  <c:v>0.88300000000000001</c:v>
                </c:pt>
                <c:pt idx="47">
                  <c:v>0.88200000000000001</c:v>
                </c:pt>
                <c:pt idx="48">
                  <c:v>0.88200000000000001</c:v>
                </c:pt>
                <c:pt idx="49">
                  <c:v>0.88100000000000001</c:v>
                </c:pt>
                <c:pt idx="50">
                  <c:v>0.88100000000000001</c:v>
                </c:pt>
              </c:numCache>
            </c:numRef>
          </c:val>
          <c:smooth val="0"/>
          <c:extLst>
            <c:ext xmlns:c16="http://schemas.microsoft.com/office/drawing/2014/chart" uri="{C3380CC4-5D6E-409C-BE32-E72D297353CC}">
              <c16:uniqueId val="{00000004-C5FD-4078-A0C6-858992BCB26D}"/>
            </c:ext>
          </c:extLst>
        </c:ser>
        <c:dLbls>
          <c:showLegendKey val="0"/>
          <c:showVal val="0"/>
          <c:showCatName val="0"/>
          <c:showSerName val="0"/>
          <c:showPercent val="0"/>
          <c:showBubbleSize val="0"/>
        </c:dLbls>
        <c:marker val="1"/>
        <c:smooth val="0"/>
        <c:axId val="147528704"/>
        <c:axId val="147543552"/>
      </c:lineChart>
      <c:catAx>
        <c:axId val="147528704"/>
        <c:scaling>
          <c:orientation val="minMax"/>
        </c:scaling>
        <c:delete val="0"/>
        <c:axPos val="b"/>
        <c:title>
          <c:tx>
            <c:rich>
              <a:bodyPr/>
              <a:lstStyle/>
              <a:p>
                <a:pPr>
                  <a:defRPr/>
                </a:pPr>
                <a:r>
                  <a:rPr lang="en-US"/>
                  <a:t>génération</a:t>
                </a:r>
              </a:p>
            </c:rich>
          </c:tx>
          <c:layout>
            <c:manualLayout>
              <c:xMode val="edge"/>
              <c:yMode val="edge"/>
              <c:x val="0.22726566951566948"/>
              <c:y val="0.64575879629629629"/>
            </c:manualLayout>
          </c:layout>
          <c:overlay val="0"/>
        </c:title>
        <c:numFmt formatCode="General" sourceLinked="1"/>
        <c:majorTickMark val="out"/>
        <c:minorTickMark val="none"/>
        <c:tickLblPos val="nextTo"/>
        <c:txPr>
          <a:bodyPr rot="-5400000" vert="horz"/>
          <a:lstStyle/>
          <a:p>
            <a:pPr>
              <a:defRPr/>
            </a:pPr>
            <a:endParaRPr lang="fr-FR"/>
          </a:p>
        </c:txPr>
        <c:crossAx val="147543552"/>
        <c:crosses val="autoZero"/>
        <c:auto val="1"/>
        <c:lblAlgn val="ctr"/>
        <c:lblOffset val="100"/>
        <c:tickLblSkip val="10"/>
        <c:noMultiLvlLbl val="0"/>
      </c:catAx>
      <c:valAx>
        <c:axId val="147543552"/>
        <c:scaling>
          <c:orientation val="minMax"/>
          <c:max val="1"/>
          <c:min val="0.75000000000000011"/>
        </c:scaling>
        <c:delete val="0"/>
        <c:axPos val="l"/>
        <c:majorGridlines/>
        <c:title>
          <c:tx>
            <c:rich>
              <a:bodyPr rot="-5400000" vert="horz"/>
              <a:lstStyle/>
              <a:p>
                <a:pPr>
                  <a:defRPr/>
                </a:pPr>
                <a:r>
                  <a:rPr lang="en-US"/>
                  <a:t>en % </a:t>
                </a:r>
              </a:p>
            </c:rich>
          </c:tx>
          <c:layout>
            <c:manualLayout>
              <c:xMode val="edge"/>
              <c:yMode val="edge"/>
              <c:x val="2.1335470085470085E-3"/>
              <c:y val="0.3175587962962963"/>
            </c:manualLayout>
          </c:layout>
          <c:overlay val="0"/>
        </c:title>
        <c:numFmt formatCode="0%" sourceLinked="0"/>
        <c:majorTickMark val="out"/>
        <c:minorTickMark val="none"/>
        <c:tickLblPos val="nextTo"/>
        <c:crossAx val="147528704"/>
        <c:crosses val="autoZero"/>
        <c:crossBetween val="between"/>
        <c:majorUnit val="5.000000000000001E-2"/>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66349715099715"/>
          <c:y val="3.5880555555555554E-2"/>
          <c:w val="0.71633262108262119"/>
          <c:h val="0.71216990740740738"/>
        </c:manualLayout>
      </c:layout>
      <c:lineChart>
        <c:grouping val="standard"/>
        <c:varyColors val="0"/>
        <c:ser>
          <c:idx val="0"/>
          <c:order val="0"/>
          <c:tx>
            <c:strRef>
              <c:f>'Fig 2.17'!$B$11</c:f>
              <c:strCache>
                <c:ptCount val="1"/>
                <c:pt idx="0">
                  <c:v>A'</c:v>
                </c:pt>
              </c:strCache>
            </c:strRef>
          </c:tx>
          <c:spPr>
            <a:ln w="22225">
              <a:solidFill>
                <a:schemeClr val="tx1"/>
              </a:solidFill>
            </a:ln>
          </c:spPr>
          <c:marker>
            <c:symbol val="x"/>
            <c:size val="4"/>
            <c:spPr>
              <a:noFill/>
              <a:ln>
                <a:solidFill>
                  <a:schemeClr val="tx1"/>
                </a:solidFill>
              </a:ln>
            </c:spPr>
          </c:marker>
          <c:cat>
            <c:numRef>
              <c:f>'Fig 2.17'!$C$4:$BA$4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2.17'!$C$11:$BA$11</c:f>
              <c:numCache>
                <c:formatCode>0.0%</c:formatCode>
                <c:ptCount val="51"/>
                <c:pt idx="0">
                  <c:v>0.76100000000000001</c:v>
                </c:pt>
                <c:pt idx="1">
                  <c:v>0.76400000000000001</c:v>
                </c:pt>
                <c:pt idx="2">
                  <c:v>0.76200000000000001</c:v>
                </c:pt>
                <c:pt idx="3">
                  <c:v>0.76100000000000001</c:v>
                </c:pt>
                <c:pt idx="4">
                  <c:v>0.76100000000000001</c:v>
                </c:pt>
                <c:pt idx="5">
                  <c:v>0.76</c:v>
                </c:pt>
                <c:pt idx="6">
                  <c:v>0.76</c:v>
                </c:pt>
                <c:pt idx="7">
                  <c:v>0.75700000000000001</c:v>
                </c:pt>
                <c:pt idx="8">
                  <c:v>0.755</c:v>
                </c:pt>
                <c:pt idx="9">
                  <c:v>0.754</c:v>
                </c:pt>
                <c:pt idx="10">
                  <c:v>0.751</c:v>
                </c:pt>
                <c:pt idx="11">
                  <c:v>0.749</c:v>
                </c:pt>
                <c:pt idx="12">
                  <c:v>0.746</c:v>
                </c:pt>
                <c:pt idx="13">
                  <c:v>0.74199999999999999</c:v>
                </c:pt>
                <c:pt idx="14">
                  <c:v>0.73699999999999999</c:v>
                </c:pt>
                <c:pt idx="15">
                  <c:v>0.73099999999999998</c:v>
                </c:pt>
                <c:pt idx="16">
                  <c:v>0.72499999999999998</c:v>
                </c:pt>
                <c:pt idx="17">
                  <c:v>0.72199999999999998</c:v>
                </c:pt>
                <c:pt idx="18">
                  <c:v>0.71899999999999997</c:v>
                </c:pt>
                <c:pt idx="19">
                  <c:v>0.71399999999999997</c:v>
                </c:pt>
                <c:pt idx="20">
                  <c:v>0.71</c:v>
                </c:pt>
                <c:pt idx="21">
                  <c:v>0.70299999999999996</c:v>
                </c:pt>
                <c:pt idx="22">
                  <c:v>0.69599999999999995</c:v>
                </c:pt>
                <c:pt idx="23">
                  <c:v>0.68899999999999995</c:v>
                </c:pt>
                <c:pt idx="24">
                  <c:v>0.68200000000000005</c:v>
                </c:pt>
                <c:pt idx="25">
                  <c:v>0.67500000000000004</c:v>
                </c:pt>
                <c:pt idx="26">
                  <c:v>0.66800000000000004</c:v>
                </c:pt>
                <c:pt idx="27">
                  <c:v>0.66</c:v>
                </c:pt>
                <c:pt idx="28">
                  <c:v>0.65300000000000002</c:v>
                </c:pt>
                <c:pt idx="29">
                  <c:v>0.64400000000000002</c:v>
                </c:pt>
                <c:pt idx="30">
                  <c:v>0.63600000000000001</c:v>
                </c:pt>
                <c:pt idx="31">
                  <c:v>0.626</c:v>
                </c:pt>
                <c:pt idx="32">
                  <c:v>0.622</c:v>
                </c:pt>
                <c:pt idx="33">
                  <c:v>0.61499999999999999</c:v>
                </c:pt>
                <c:pt idx="34">
                  <c:v>0.60699999999999998</c:v>
                </c:pt>
                <c:pt idx="35">
                  <c:v>0.59899999999999998</c:v>
                </c:pt>
                <c:pt idx="36">
                  <c:v>0.59799999999999998</c:v>
                </c:pt>
                <c:pt idx="37">
                  <c:v>0.59099999999999997</c:v>
                </c:pt>
                <c:pt idx="38">
                  <c:v>0.58399999999999996</c:v>
                </c:pt>
                <c:pt idx="39">
                  <c:v>0.57799999999999996</c:v>
                </c:pt>
                <c:pt idx="40">
                  <c:v>0.57099999999999995</c:v>
                </c:pt>
                <c:pt idx="41">
                  <c:v>0.57099999999999995</c:v>
                </c:pt>
                <c:pt idx="42">
                  <c:v>0.56599999999999995</c:v>
                </c:pt>
                <c:pt idx="43">
                  <c:v>0.56200000000000006</c:v>
                </c:pt>
                <c:pt idx="44">
                  <c:v>0.55900000000000005</c:v>
                </c:pt>
                <c:pt idx="45">
                  <c:v>0.55600000000000005</c:v>
                </c:pt>
                <c:pt idx="46">
                  <c:v>0.55300000000000005</c:v>
                </c:pt>
                <c:pt idx="47">
                  <c:v>0.55000000000000004</c:v>
                </c:pt>
                <c:pt idx="48">
                  <c:v>0.54900000000000004</c:v>
                </c:pt>
                <c:pt idx="49">
                  <c:v>0.54700000000000004</c:v>
                </c:pt>
                <c:pt idx="50">
                  <c:v>0.54600000000000004</c:v>
                </c:pt>
              </c:numCache>
            </c:numRef>
          </c:val>
          <c:smooth val="0"/>
          <c:extLst>
            <c:ext xmlns:c16="http://schemas.microsoft.com/office/drawing/2014/chart" uri="{C3380CC4-5D6E-409C-BE32-E72D297353CC}">
              <c16:uniqueId val="{00000000-4855-4F13-BC2E-578BAF2A3C09}"/>
            </c:ext>
          </c:extLst>
        </c:ser>
        <c:ser>
          <c:idx val="1"/>
          <c:order val="1"/>
          <c:tx>
            <c:strRef>
              <c:f>'Fig 2.17'!$B$12</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2.17'!$C$4:$BA$4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2.17'!$C$12:$BA$12</c:f>
              <c:numCache>
                <c:formatCode>0.0%</c:formatCode>
                <c:ptCount val="51"/>
                <c:pt idx="0">
                  <c:v>0.76100000000000001</c:v>
                </c:pt>
                <c:pt idx="1">
                  <c:v>0.76400000000000001</c:v>
                </c:pt>
                <c:pt idx="2">
                  <c:v>0.76200000000000001</c:v>
                </c:pt>
                <c:pt idx="3">
                  <c:v>0.76100000000000001</c:v>
                </c:pt>
                <c:pt idx="4">
                  <c:v>0.76100000000000001</c:v>
                </c:pt>
                <c:pt idx="5">
                  <c:v>0.76</c:v>
                </c:pt>
                <c:pt idx="6">
                  <c:v>0.76</c:v>
                </c:pt>
                <c:pt idx="7">
                  <c:v>0.75700000000000001</c:v>
                </c:pt>
                <c:pt idx="8">
                  <c:v>0.755</c:v>
                </c:pt>
                <c:pt idx="9">
                  <c:v>0.754</c:v>
                </c:pt>
                <c:pt idx="10">
                  <c:v>0.751</c:v>
                </c:pt>
                <c:pt idx="11">
                  <c:v>0.75</c:v>
                </c:pt>
                <c:pt idx="12">
                  <c:v>0.747</c:v>
                </c:pt>
                <c:pt idx="13">
                  <c:v>0.74299999999999999</c:v>
                </c:pt>
                <c:pt idx="14">
                  <c:v>0.73799999999999999</c:v>
                </c:pt>
                <c:pt idx="15">
                  <c:v>0.73299999999999998</c:v>
                </c:pt>
                <c:pt idx="16">
                  <c:v>0.72699999999999998</c:v>
                </c:pt>
                <c:pt idx="17">
                  <c:v>0.72499999999999998</c:v>
                </c:pt>
                <c:pt idx="18">
                  <c:v>0.72199999999999998</c:v>
                </c:pt>
                <c:pt idx="19">
                  <c:v>0.71799999999999997</c:v>
                </c:pt>
                <c:pt idx="20">
                  <c:v>0.71399999999999997</c:v>
                </c:pt>
                <c:pt idx="21">
                  <c:v>0.70799999999999996</c:v>
                </c:pt>
                <c:pt idx="22">
                  <c:v>0.70199999999999996</c:v>
                </c:pt>
                <c:pt idx="23">
                  <c:v>0.69599999999999995</c:v>
                </c:pt>
                <c:pt idx="24">
                  <c:v>0.69</c:v>
                </c:pt>
                <c:pt idx="25">
                  <c:v>0.68400000000000005</c:v>
                </c:pt>
                <c:pt idx="26">
                  <c:v>0.67700000000000005</c:v>
                </c:pt>
                <c:pt idx="27">
                  <c:v>0.67</c:v>
                </c:pt>
                <c:pt idx="28">
                  <c:v>0.66400000000000003</c:v>
                </c:pt>
                <c:pt idx="29">
                  <c:v>0.65600000000000003</c:v>
                </c:pt>
                <c:pt idx="30">
                  <c:v>0.64900000000000002</c:v>
                </c:pt>
                <c:pt idx="31">
                  <c:v>0.64100000000000001</c:v>
                </c:pt>
                <c:pt idx="32">
                  <c:v>0.63800000000000001</c:v>
                </c:pt>
                <c:pt idx="33">
                  <c:v>0.63200000000000001</c:v>
                </c:pt>
                <c:pt idx="34">
                  <c:v>0.624</c:v>
                </c:pt>
                <c:pt idx="35">
                  <c:v>0.61799999999999999</c:v>
                </c:pt>
                <c:pt idx="36">
                  <c:v>0.61799999999999999</c:v>
                </c:pt>
                <c:pt idx="37">
                  <c:v>0.61199999999999999</c:v>
                </c:pt>
                <c:pt idx="38">
                  <c:v>0.60599999999999998</c:v>
                </c:pt>
                <c:pt idx="39">
                  <c:v>0.6</c:v>
                </c:pt>
                <c:pt idx="40">
                  <c:v>0.59399999999999997</c:v>
                </c:pt>
                <c:pt idx="41">
                  <c:v>0.59499999999999997</c:v>
                </c:pt>
                <c:pt idx="42">
                  <c:v>0.59</c:v>
                </c:pt>
                <c:pt idx="43">
                  <c:v>0.58699999999999997</c:v>
                </c:pt>
                <c:pt idx="44">
                  <c:v>0.58399999999999996</c:v>
                </c:pt>
                <c:pt idx="45">
                  <c:v>0.58099999999999996</c:v>
                </c:pt>
                <c:pt idx="46">
                  <c:v>0.57899999999999996</c:v>
                </c:pt>
                <c:pt idx="47">
                  <c:v>0.57699999999999996</c:v>
                </c:pt>
                <c:pt idx="48">
                  <c:v>0.57499999999999996</c:v>
                </c:pt>
                <c:pt idx="49">
                  <c:v>0.57399999999999995</c:v>
                </c:pt>
                <c:pt idx="50">
                  <c:v>0.57299999999999995</c:v>
                </c:pt>
              </c:numCache>
            </c:numRef>
          </c:val>
          <c:smooth val="0"/>
          <c:extLst>
            <c:ext xmlns:c16="http://schemas.microsoft.com/office/drawing/2014/chart" uri="{C3380CC4-5D6E-409C-BE32-E72D297353CC}">
              <c16:uniqueId val="{00000001-4855-4F13-BC2E-578BAF2A3C09}"/>
            </c:ext>
          </c:extLst>
        </c:ser>
        <c:ser>
          <c:idx val="2"/>
          <c:order val="2"/>
          <c:tx>
            <c:strRef>
              <c:f>'Fig 2.17'!$B$13</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2.17'!$C$4:$BA$4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2.17'!$C$13:$BA$13</c:f>
              <c:numCache>
                <c:formatCode>0.0%</c:formatCode>
                <c:ptCount val="51"/>
                <c:pt idx="0">
                  <c:v>0.76100000000000001</c:v>
                </c:pt>
                <c:pt idx="1">
                  <c:v>0.76400000000000001</c:v>
                </c:pt>
                <c:pt idx="2">
                  <c:v>0.76200000000000001</c:v>
                </c:pt>
                <c:pt idx="3">
                  <c:v>0.76100000000000001</c:v>
                </c:pt>
                <c:pt idx="4">
                  <c:v>0.76100000000000001</c:v>
                </c:pt>
                <c:pt idx="5">
                  <c:v>0.76</c:v>
                </c:pt>
                <c:pt idx="6">
                  <c:v>0.76</c:v>
                </c:pt>
                <c:pt idx="7">
                  <c:v>0.75700000000000001</c:v>
                </c:pt>
                <c:pt idx="8">
                  <c:v>0.755</c:v>
                </c:pt>
                <c:pt idx="9">
                  <c:v>0.754</c:v>
                </c:pt>
                <c:pt idx="10">
                  <c:v>0.751</c:v>
                </c:pt>
                <c:pt idx="11">
                  <c:v>0.75</c:v>
                </c:pt>
                <c:pt idx="12">
                  <c:v>0.748</c:v>
                </c:pt>
                <c:pt idx="13">
                  <c:v>0.74399999999999999</c:v>
                </c:pt>
                <c:pt idx="14">
                  <c:v>0.74</c:v>
                </c:pt>
                <c:pt idx="15">
                  <c:v>0.73499999999999999</c:v>
                </c:pt>
                <c:pt idx="16">
                  <c:v>0.73</c:v>
                </c:pt>
                <c:pt idx="17">
                  <c:v>0.72899999999999998</c:v>
                </c:pt>
                <c:pt idx="18">
                  <c:v>0.72699999999999998</c:v>
                </c:pt>
                <c:pt idx="19">
                  <c:v>0.72399999999999998</c:v>
                </c:pt>
                <c:pt idx="20">
                  <c:v>0.72099999999999997</c:v>
                </c:pt>
                <c:pt idx="21">
                  <c:v>0.71599999999999997</c:v>
                </c:pt>
                <c:pt idx="22">
                  <c:v>0.71</c:v>
                </c:pt>
                <c:pt idx="23">
                  <c:v>0.70599999999999996</c:v>
                </c:pt>
                <c:pt idx="24">
                  <c:v>0.70099999999999996</c:v>
                </c:pt>
                <c:pt idx="25">
                  <c:v>0.69599999999999995</c:v>
                </c:pt>
                <c:pt idx="26">
                  <c:v>0.69099999999999995</c:v>
                </c:pt>
                <c:pt idx="27">
                  <c:v>0.68500000000000005</c:v>
                </c:pt>
                <c:pt idx="28">
                  <c:v>0.68</c:v>
                </c:pt>
                <c:pt idx="29">
                  <c:v>0.67500000000000004</c:v>
                </c:pt>
                <c:pt idx="30">
                  <c:v>0.66900000000000004</c:v>
                </c:pt>
                <c:pt idx="31">
                  <c:v>0.66300000000000003</c:v>
                </c:pt>
                <c:pt idx="32">
                  <c:v>0.66300000000000003</c:v>
                </c:pt>
                <c:pt idx="33">
                  <c:v>0.65800000000000003</c:v>
                </c:pt>
                <c:pt idx="34">
                  <c:v>0.65200000000000002</c:v>
                </c:pt>
                <c:pt idx="35">
                  <c:v>0.64800000000000002</c:v>
                </c:pt>
                <c:pt idx="36">
                  <c:v>0.64900000000000002</c:v>
                </c:pt>
                <c:pt idx="37">
                  <c:v>0.64500000000000002</c:v>
                </c:pt>
                <c:pt idx="38">
                  <c:v>0.64100000000000001</c:v>
                </c:pt>
                <c:pt idx="39">
                  <c:v>0.63600000000000001</c:v>
                </c:pt>
                <c:pt idx="40">
                  <c:v>0.63100000000000001</c:v>
                </c:pt>
                <c:pt idx="41">
                  <c:v>0.63300000000000001</c:v>
                </c:pt>
                <c:pt idx="42">
                  <c:v>0.629</c:v>
                </c:pt>
                <c:pt idx="43">
                  <c:v>0.626</c:v>
                </c:pt>
                <c:pt idx="44">
                  <c:v>0.624</c:v>
                </c:pt>
                <c:pt idx="45">
                  <c:v>0.622</c:v>
                </c:pt>
                <c:pt idx="46">
                  <c:v>0.62</c:v>
                </c:pt>
                <c:pt idx="47">
                  <c:v>0.61899999999999999</c:v>
                </c:pt>
                <c:pt idx="48">
                  <c:v>0.61799999999999999</c:v>
                </c:pt>
                <c:pt idx="49">
                  <c:v>0.61699999999999999</c:v>
                </c:pt>
                <c:pt idx="50">
                  <c:v>0.61699999999999999</c:v>
                </c:pt>
              </c:numCache>
            </c:numRef>
          </c:val>
          <c:smooth val="0"/>
          <c:extLst>
            <c:ext xmlns:c16="http://schemas.microsoft.com/office/drawing/2014/chart" uri="{C3380CC4-5D6E-409C-BE32-E72D297353CC}">
              <c16:uniqueId val="{00000002-4855-4F13-BC2E-578BAF2A3C09}"/>
            </c:ext>
          </c:extLst>
        </c:ser>
        <c:ser>
          <c:idx val="3"/>
          <c:order val="3"/>
          <c:tx>
            <c:strRef>
              <c:f>'Fig 2.17'!$B$14</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2.17'!$C$4:$BA$4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2.17'!$C$14:$BA$14</c:f>
              <c:numCache>
                <c:formatCode>0.0%</c:formatCode>
                <c:ptCount val="51"/>
                <c:pt idx="0">
                  <c:v>0.76100000000000001</c:v>
                </c:pt>
                <c:pt idx="1">
                  <c:v>0.76400000000000001</c:v>
                </c:pt>
                <c:pt idx="2">
                  <c:v>0.76200000000000001</c:v>
                </c:pt>
                <c:pt idx="3">
                  <c:v>0.76100000000000001</c:v>
                </c:pt>
                <c:pt idx="4">
                  <c:v>0.76100000000000001</c:v>
                </c:pt>
                <c:pt idx="5">
                  <c:v>0.76</c:v>
                </c:pt>
                <c:pt idx="6">
                  <c:v>0.76</c:v>
                </c:pt>
                <c:pt idx="7">
                  <c:v>0.75700000000000001</c:v>
                </c:pt>
                <c:pt idx="8">
                  <c:v>0.755</c:v>
                </c:pt>
                <c:pt idx="9">
                  <c:v>0.754</c:v>
                </c:pt>
                <c:pt idx="10">
                  <c:v>0.752</c:v>
                </c:pt>
                <c:pt idx="11">
                  <c:v>0.751</c:v>
                </c:pt>
                <c:pt idx="12">
                  <c:v>0.749</c:v>
                </c:pt>
                <c:pt idx="13">
                  <c:v>0.746</c:v>
                </c:pt>
                <c:pt idx="14">
                  <c:v>0.74199999999999999</c:v>
                </c:pt>
                <c:pt idx="15">
                  <c:v>0.73799999999999999</c:v>
                </c:pt>
                <c:pt idx="16">
                  <c:v>0.73399999999999999</c:v>
                </c:pt>
                <c:pt idx="17">
                  <c:v>0.73299999999999998</c:v>
                </c:pt>
                <c:pt idx="18">
                  <c:v>0.73099999999999998</c:v>
                </c:pt>
                <c:pt idx="19">
                  <c:v>0.72899999999999998</c:v>
                </c:pt>
                <c:pt idx="20">
                  <c:v>0.72699999999999998</c:v>
                </c:pt>
                <c:pt idx="21">
                  <c:v>0.72199999999999998</c:v>
                </c:pt>
                <c:pt idx="22">
                  <c:v>0.71799999999999997</c:v>
                </c:pt>
                <c:pt idx="23">
                  <c:v>0.71399999999999997</c:v>
                </c:pt>
                <c:pt idx="24">
                  <c:v>0.71</c:v>
                </c:pt>
                <c:pt idx="25">
                  <c:v>0.70599999999999996</c:v>
                </c:pt>
                <c:pt idx="26">
                  <c:v>0.70199999999999996</c:v>
                </c:pt>
                <c:pt idx="27">
                  <c:v>0.69799999999999995</c:v>
                </c:pt>
                <c:pt idx="28">
                  <c:v>0.69399999999999995</c:v>
                </c:pt>
                <c:pt idx="29">
                  <c:v>0.68899999999999995</c:v>
                </c:pt>
                <c:pt idx="30">
                  <c:v>0.68500000000000005</c:v>
                </c:pt>
                <c:pt idx="31">
                  <c:v>0.68</c:v>
                </c:pt>
                <c:pt idx="32">
                  <c:v>0.68200000000000005</c:v>
                </c:pt>
                <c:pt idx="33">
                  <c:v>0.67800000000000005</c:v>
                </c:pt>
                <c:pt idx="34">
                  <c:v>0.67400000000000004</c:v>
                </c:pt>
                <c:pt idx="35">
                  <c:v>0.67</c:v>
                </c:pt>
                <c:pt idx="36">
                  <c:v>0.67300000000000004</c:v>
                </c:pt>
                <c:pt idx="37">
                  <c:v>0.67</c:v>
                </c:pt>
                <c:pt idx="38">
                  <c:v>0.66700000000000004</c:v>
                </c:pt>
                <c:pt idx="39">
                  <c:v>0.66300000000000003</c:v>
                </c:pt>
                <c:pt idx="40">
                  <c:v>0.65800000000000003</c:v>
                </c:pt>
                <c:pt idx="41">
                  <c:v>0.66100000000000003</c:v>
                </c:pt>
                <c:pt idx="42">
                  <c:v>0.65700000000000003</c:v>
                </c:pt>
                <c:pt idx="43">
                  <c:v>0.65500000000000003</c:v>
                </c:pt>
                <c:pt idx="44">
                  <c:v>0.65400000000000003</c:v>
                </c:pt>
                <c:pt idx="45">
                  <c:v>0.65200000000000002</c:v>
                </c:pt>
                <c:pt idx="46">
                  <c:v>0.65100000000000002</c:v>
                </c:pt>
                <c:pt idx="47">
                  <c:v>0.65</c:v>
                </c:pt>
                <c:pt idx="48">
                  <c:v>0.64900000000000002</c:v>
                </c:pt>
                <c:pt idx="49">
                  <c:v>0.64900000000000002</c:v>
                </c:pt>
                <c:pt idx="50">
                  <c:v>0.64800000000000002</c:v>
                </c:pt>
              </c:numCache>
            </c:numRef>
          </c:val>
          <c:smooth val="0"/>
          <c:extLst>
            <c:ext xmlns:c16="http://schemas.microsoft.com/office/drawing/2014/chart" uri="{C3380CC4-5D6E-409C-BE32-E72D297353CC}">
              <c16:uniqueId val="{00000003-4855-4F13-BC2E-578BAF2A3C09}"/>
            </c:ext>
          </c:extLst>
        </c:ser>
        <c:ser>
          <c:idx val="4"/>
          <c:order val="4"/>
          <c:tx>
            <c:strRef>
              <c:f>'Fig 2.17'!$B$15</c:f>
              <c:strCache>
                <c:ptCount val="1"/>
                <c:pt idx="0">
                  <c:v>C'</c:v>
                </c:pt>
              </c:strCache>
            </c:strRef>
          </c:tx>
          <c:spPr>
            <a:ln w="22225">
              <a:solidFill>
                <a:schemeClr val="tx1"/>
              </a:solidFill>
            </a:ln>
          </c:spPr>
          <c:marker>
            <c:symbol val="star"/>
            <c:size val="4"/>
            <c:spPr>
              <a:noFill/>
              <a:ln>
                <a:solidFill>
                  <a:schemeClr val="tx1"/>
                </a:solidFill>
              </a:ln>
            </c:spPr>
          </c:marker>
          <c:cat>
            <c:numRef>
              <c:f>'Fig 2.17'!$C$4:$BA$4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2.17'!$C$15:$BA$15</c:f>
              <c:numCache>
                <c:formatCode>0.0%</c:formatCode>
                <c:ptCount val="51"/>
                <c:pt idx="0">
                  <c:v>0.76100000000000001</c:v>
                </c:pt>
                <c:pt idx="1">
                  <c:v>0.76400000000000001</c:v>
                </c:pt>
                <c:pt idx="2">
                  <c:v>0.76200000000000001</c:v>
                </c:pt>
                <c:pt idx="3">
                  <c:v>0.76100000000000001</c:v>
                </c:pt>
                <c:pt idx="4">
                  <c:v>0.76100000000000001</c:v>
                </c:pt>
                <c:pt idx="5">
                  <c:v>0.76</c:v>
                </c:pt>
                <c:pt idx="6">
                  <c:v>0.76</c:v>
                </c:pt>
                <c:pt idx="7">
                  <c:v>0.75800000000000001</c:v>
                </c:pt>
                <c:pt idx="8">
                  <c:v>0.75600000000000001</c:v>
                </c:pt>
                <c:pt idx="9">
                  <c:v>0.75600000000000001</c:v>
                </c:pt>
                <c:pt idx="10">
                  <c:v>0.754</c:v>
                </c:pt>
                <c:pt idx="11">
                  <c:v>0.753</c:v>
                </c:pt>
                <c:pt idx="12">
                  <c:v>0.752</c:v>
                </c:pt>
                <c:pt idx="13">
                  <c:v>0.75</c:v>
                </c:pt>
                <c:pt idx="14">
                  <c:v>0.747</c:v>
                </c:pt>
                <c:pt idx="15">
                  <c:v>0.74399999999999999</c:v>
                </c:pt>
                <c:pt idx="16">
                  <c:v>0.74099999999999999</c:v>
                </c:pt>
                <c:pt idx="17">
                  <c:v>0.74099999999999999</c:v>
                </c:pt>
                <c:pt idx="18">
                  <c:v>0.74099999999999999</c:v>
                </c:pt>
                <c:pt idx="19">
                  <c:v>0.74</c:v>
                </c:pt>
                <c:pt idx="20">
                  <c:v>0.73899999999999999</c:v>
                </c:pt>
                <c:pt idx="21">
                  <c:v>0.73599999999999999</c:v>
                </c:pt>
                <c:pt idx="22">
                  <c:v>0.73299999999999998</c:v>
                </c:pt>
                <c:pt idx="23">
                  <c:v>0.73099999999999998</c:v>
                </c:pt>
                <c:pt idx="24">
                  <c:v>0.72899999999999998</c:v>
                </c:pt>
                <c:pt idx="25">
                  <c:v>0.72699999999999998</c:v>
                </c:pt>
                <c:pt idx="26">
                  <c:v>0.72499999999999998</c:v>
                </c:pt>
                <c:pt idx="27">
                  <c:v>0.72199999999999998</c:v>
                </c:pt>
                <c:pt idx="28">
                  <c:v>0.72</c:v>
                </c:pt>
                <c:pt idx="29">
                  <c:v>0.71799999999999997</c:v>
                </c:pt>
                <c:pt idx="30">
                  <c:v>0.71599999999999997</c:v>
                </c:pt>
                <c:pt idx="31">
                  <c:v>0.71399999999999997</c:v>
                </c:pt>
                <c:pt idx="32">
                  <c:v>0.71699999999999997</c:v>
                </c:pt>
                <c:pt idx="33">
                  <c:v>0.71499999999999997</c:v>
                </c:pt>
                <c:pt idx="34">
                  <c:v>0.71199999999999997</c:v>
                </c:pt>
                <c:pt idx="35">
                  <c:v>0.71099999999999997</c:v>
                </c:pt>
                <c:pt idx="36">
                  <c:v>0.71499999999999997</c:v>
                </c:pt>
                <c:pt idx="37">
                  <c:v>0.71299999999999997</c:v>
                </c:pt>
                <c:pt idx="38">
                  <c:v>0.71099999999999997</c:v>
                </c:pt>
                <c:pt idx="39">
                  <c:v>0.70799999999999996</c:v>
                </c:pt>
                <c:pt idx="40">
                  <c:v>0.70499999999999996</c:v>
                </c:pt>
                <c:pt idx="41">
                  <c:v>0.70799999999999996</c:v>
                </c:pt>
                <c:pt idx="42">
                  <c:v>0.70499999999999996</c:v>
                </c:pt>
                <c:pt idx="43">
                  <c:v>0.70399999999999996</c:v>
                </c:pt>
                <c:pt idx="44">
                  <c:v>0.70299999999999996</c:v>
                </c:pt>
                <c:pt idx="45">
                  <c:v>0.70199999999999996</c:v>
                </c:pt>
                <c:pt idx="46">
                  <c:v>0.70199999999999996</c:v>
                </c:pt>
                <c:pt idx="47">
                  <c:v>0.70099999999999996</c:v>
                </c:pt>
                <c:pt idx="48">
                  <c:v>0.70099999999999996</c:v>
                </c:pt>
                <c:pt idx="49">
                  <c:v>0.70099999999999996</c:v>
                </c:pt>
                <c:pt idx="50">
                  <c:v>0.70099999999999996</c:v>
                </c:pt>
              </c:numCache>
            </c:numRef>
          </c:val>
          <c:smooth val="0"/>
          <c:extLst>
            <c:ext xmlns:c16="http://schemas.microsoft.com/office/drawing/2014/chart" uri="{C3380CC4-5D6E-409C-BE32-E72D297353CC}">
              <c16:uniqueId val="{00000004-4855-4F13-BC2E-578BAF2A3C09}"/>
            </c:ext>
          </c:extLst>
        </c:ser>
        <c:dLbls>
          <c:showLegendKey val="0"/>
          <c:showVal val="0"/>
          <c:showCatName val="0"/>
          <c:showSerName val="0"/>
          <c:showPercent val="0"/>
          <c:showBubbleSize val="0"/>
        </c:dLbls>
        <c:marker val="1"/>
        <c:smooth val="0"/>
        <c:axId val="147575168"/>
        <c:axId val="147577472"/>
      </c:lineChart>
      <c:catAx>
        <c:axId val="147575168"/>
        <c:scaling>
          <c:orientation val="minMax"/>
        </c:scaling>
        <c:delete val="0"/>
        <c:axPos val="b"/>
        <c:title>
          <c:tx>
            <c:rich>
              <a:bodyPr/>
              <a:lstStyle/>
              <a:p>
                <a:pPr>
                  <a:defRPr/>
                </a:pPr>
                <a:r>
                  <a:rPr lang="en-US"/>
                  <a:t>génération</a:t>
                </a:r>
              </a:p>
            </c:rich>
          </c:tx>
          <c:layout>
            <c:manualLayout>
              <c:xMode val="edge"/>
              <c:yMode val="edge"/>
              <c:x val="0.26344800569800564"/>
              <c:y val="0.64575879629629629"/>
            </c:manualLayout>
          </c:layout>
          <c:overlay val="0"/>
        </c:title>
        <c:numFmt formatCode="General" sourceLinked="1"/>
        <c:majorTickMark val="out"/>
        <c:minorTickMark val="none"/>
        <c:tickLblPos val="nextTo"/>
        <c:txPr>
          <a:bodyPr rot="-5400000" vert="horz"/>
          <a:lstStyle/>
          <a:p>
            <a:pPr>
              <a:defRPr/>
            </a:pPr>
            <a:endParaRPr lang="fr-FR"/>
          </a:p>
        </c:txPr>
        <c:crossAx val="147577472"/>
        <c:crosses val="autoZero"/>
        <c:auto val="1"/>
        <c:lblAlgn val="ctr"/>
        <c:lblOffset val="100"/>
        <c:tickLblSkip val="10"/>
        <c:noMultiLvlLbl val="0"/>
      </c:catAx>
      <c:valAx>
        <c:axId val="147577472"/>
        <c:scaling>
          <c:orientation val="minMax"/>
          <c:max val="0.8"/>
          <c:min val="0.5"/>
        </c:scaling>
        <c:delete val="0"/>
        <c:axPos val="l"/>
        <c:majorGridlines/>
        <c:title>
          <c:tx>
            <c:rich>
              <a:bodyPr rot="-5400000" vert="horz"/>
              <a:lstStyle/>
              <a:p>
                <a:pPr>
                  <a:defRPr/>
                </a:pPr>
                <a:r>
                  <a:rPr lang="en-US"/>
                  <a:t>en % du </a:t>
                </a:r>
                <a:br>
                  <a:rPr lang="en-US"/>
                </a:br>
                <a:r>
                  <a:rPr lang="en-US"/>
                  <a:t>salaire moyen de carrière </a:t>
                </a:r>
              </a:p>
            </c:rich>
          </c:tx>
          <c:layout>
            <c:manualLayout>
              <c:xMode val="edge"/>
              <c:yMode val="edge"/>
              <c:x val="2.1335470085470085E-3"/>
              <c:y val="2.3577314814814815E-2"/>
            </c:manualLayout>
          </c:layout>
          <c:overlay val="0"/>
        </c:title>
        <c:numFmt formatCode="0%" sourceLinked="0"/>
        <c:majorTickMark val="out"/>
        <c:minorTickMark val="none"/>
        <c:tickLblPos val="nextTo"/>
        <c:crossAx val="147575168"/>
        <c:crosses val="autoZero"/>
        <c:crossBetween val="between"/>
        <c:majorUnit val="5.000000000000001E-2"/>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00868055555554"/>
          <c:y val="3.0754820936639119E-2"/>
          <c:w val="0.73490381944444449"/>
          <c:h val="0.68855934674832309"/>
        </c:manualLayout>
      </c:layout>
      <c:lineChart>
        <c:grouping val="standard"/>
        <c:varyColors val="0"/>
        <c:ser>
          <c:idx val="0"/>
          <c:order val="0"/>
          <c:tx>
            <c:strRef>
              <c:f>'Fig 2.18'!$B$4</c:f>
              <c:strCache>
                <c:ptCount val="1"/>
                <c:pt idx="0">
                  <c:v>ensemble</c:v>
                </c:pt>
              </c:strCache>
            </c:strRef>
          </c:tx>
          <c:spPr>
            <a:ln w="31750">
              <a:solidFill>
                <a:srgbClr val="002060"/>
              </a:solidFill>
            </a:ln>
          </c:spPr>
          <c:marker>
            <c:symbol val="none"/>
          </c:marker>
          <c:cat>
            <c:numRef>
              <c:f>'Fig 2.18'!$C$3:$M$3</c:f>
              <c:numCache>
                <c:formatCode>General</c:formatCode>
                <c:ptCount val="11"/>
                <c:pt idx="0">
                  <c:v>1926</c:v>
                </c:pt>
                <c:pt idx="1">
                  <c:v>1928</c:v>
                </c:pt>
                <c:pt idx="2">
                  <c:v>1930</c:v>
                </c:pt>
                <c:pt idx="3">
                  <c:v>1932</c:v>
                </c:pt>
                <c:pt idx="4">
                  <c:v>1934</c:v>
                </c:pt>
                <c:pt idx="5">
                  <c:v>1936</c:v>
                </c:pt>
                <c:pt idx="6">
                  <c:v>1938</c:v>
                </c:pt>
                <c:pt idx="7">
                  <c:v>1940</c:v>
                </c:pt>
                <c:pt idx="8">
                  <c:v>1942</c:v>
                </c:pt>
                <c:pt idx="9">
                  <c:v>1944</c:v>
                </c:pt>
                <c:pt idx="10">
                  <c:v>1946</c:v>
                </c:pt>
              </c:numCache>
            </c:numRef>
          </c:cat>
          <c:val>
            <c:numRef>
              <c:f>'Fig 2.18'!$C$4:$M$4</c:f>
              <c:numCache>
                <c:formatCode>0.0%</c:formatCode>
                <c:ptCount val="11"/>
                <c:pt idx="0">
                  <c:v>0.43</c:v>
                </c:pt>
                <c:pt idx="1">
                  <c:v>0.46200000000000002</c:v>
                </c:pt>
                <c:pt idx="2">
                  <c:v>0.46500000000000002</c:v>
                </c:pt>
                <c:pt idx="3">
                  <c:v>0.47</c:v>
                </c:pt>
                <c:pt idx="4">
                  <c:v>0.47399999999999998</c:v>
                </c:pt>
                <c:pt idx="5">
                  <c:v>0.47</c:v>
                </c:pt>
                <c:pt idx="6">
                  <c:v>0.46700000000000003</c:v>
                </c:pt>
                <c:pt idx="7">
                  <c:v>0.47499999999999998</c:v>
                </c:pt>
                <c:pt idx="8">
                  <c:v>0.46100000000000002</c:v>
                </c:pt>
                <c:pt idx="9">
                  <c:v>0.47099999999999997</c:v>
                </c:pt>
                <c:pt idx="10">
                  <c:v>0.48699999999999999</c:v>
                </c:pt>
              </c:numCache>
            </c:numRef>
          </c:val>
          <c:smooth val="0"/>
          <c:extLst>
            <c:ext xmlns:c16="http://schemas.microsoft.com/office/drawing/2014/chart" uri="{C3380CC4-5D6E-409C-BE32-E72D297353CC}">
              <c16:uniqueId val="{00000000-AAC6-41D1-808B-B2EDC8B53C12}"/>
            </c:ext>
          </c:extLst>
        </c:ser>
        <c:ser>
          <c:idx val="1"/>
          <c:order val="1"/>
          <c:tx>
            <c:strRef>
              <c:f>'Fig 2.18'!$B$5</c:f>
              <c:strCache>
                <c:ptCount val="1"/>
                <c:pt idx="0">
                  <c:v>femmes</c:v>
                </c:pt>
              </c:strCache>
            </c:strRef>
          </c:tx>
          <c:spPr>
            <a:ln w="12700">
              <a:solidFill>
                <a:srgbClr val="002060"/>
              </a:solidFill>
              <a:prstDash val="solid"/>
            </a:ln>
          </c:spPr>
          <c:marker>
            <c:symbol val="triangle"/>
            <c:size val="4"/>
            <c:spPr>
              <a:solidFill>
                <a:schemeClr val="bg1"/>
              </a:solidFill>
              <a:ln w="9525">
                <a:solidFill>
                  <a:srgbClr val="002060"/>
                </a:solidFill>
              </a:ln>
            </c:spPr>
          </c:marker>
          <c:cat>
            <c:numRef>
              <c:f>'Fig 2.18'!$C$3:$M$3</c:f>
              <c:numCache>
                <c:formatCode>General</c:formatCode>
                <c:ptCount val="11"/>
                <c:pt idx="0">
                  <c:v>1926</c:v>
                </c:pt>
                <c:pt idx="1">
                  <c:v>1928</c:v>
                </c:pt>
                <c:pt idx="2">
                  <c:v>1930</c:v>
                </c:pt>
                <c:pt idx="3">
                  <c:v>1932</c:v>
                </c:pt>
                <c:pt idx="4">
                  <c:v>1934</c:v>
                </c:pt>
                <c:pt idx="5">
                  <c:v>1936</c:v>
                </c:pt>
                <c:pt idx="6">
                  <c:v>1938</c:v>
                </c:pt>
                <c:pt idx="7">
                  <c:v>1940</c:v>
                </c:pt>
                <c:pt idx="8">
                  <c:v>1942</c:v>
                </c:pt>
                <c:pt idx="9">
                  <c:v>1944</c:v>
                </c:pt>
                <c:pt idx="10">
                  <c:v>1946</c:v>
                </c:pt>
              </c:numCache>
            </c:numRef>
          </c:cat>
          <c:val>
            <c:numRef>
              <c:f>'Fig 2.18'!$C$5:$M$5</c:f>
              <c:numCache>
                <c:formatCode>0.0%</c:formatCode>
                <c:ptCount val="11"/>
                <c:pt idx="0">
                  <c:v>0.34599999999999997</c:v>
                </c:pt>
                <c:pt idx="1">
                  <c:v>0.372</c:v>
                </c:pt>
                <c:pt idx="2">
                  <c:v>0.37</c:v>
                </c:pt>
                <c:pt idx="3">
                  <c:v>0.377</c:v>
                </c:pt>
                <c:pt idx="4">
                  <c:v>0.39900000000000002</c:v>
                </c:pt>
                <c:pt idx="5">
                  <c:v>0.39200000000000002</c:v>
                </c:pt>
                <c:pt idx="6">
                  <c:v>0.40600000000000003</c:v>
                </c:pt>
                <c:pt idx="7">
                  <c:v>0.41699999999999998</c:v>
                </c:pt>
                <c:pt idx="8">
                  <c:v>0.41799999999999998</c:v>
                </c:pt>
                <c:pt idx="9">
                  <c:v>0.43</c:v>
                </c:pt>
                <c:pt idx="10">
                  <c:v>0.44400000000000001</c:v>
                </c:pt>
              </c:numCache>
            </c:numRef>
          </c:val>
          <c:smooth val="0"/>
          <c:extLst>
            <c:ext xmlns:c16="http://schemas.microsoft.com/office/drawing/2014/chart" uri="{C3380CC4-5D6E-409C-BE32-E72D297353CC}">
              <c16:uniqueId val="{00000001-AAC6-41D1-808B-B2EDC8B53C12}"/>
            </c:ext>
          </c:extLst>
        </c:ser>
        <c:ser>
          <c:idx val="2"/>
          <c:order val="2"/>
          <c:tx>
            <c:strRef>
              <c:f>'Fig 2.18'!$B$6</c:f>
              <c:strCache>
                <c:ptCount val="1"/>
                <c:pt idx="0">
                  <c:v>hommes</c:v>
                </c:pt>
              </c:strCache>
            </c:strRef>
          </c:tx>
          <c:spPr>
            <a:ln w="15875">
              <a:solidFill>
                <a:srgbClr val="002060"/>
              </a:solidFill>
            </a:ln>
          </c:spPr>
          <c:marker>
            <c:symbol val="plus"/>
            <c:size val="5"/>
            <c:spPr>
              <a:solidFill>
                <a:schemeClr val="bg1"/>
              </a:solidFill>
              <a:ln w="19050">
                <a:solidFill>
                  <a:srgbClr val="002060"/>
                </a:solidFill>
              </a:ln>
            </c:spPr>
          </c:marker>
          <c:cat>
            <c:numRef>
              <c:f>'Fig 2.18'!$C$3:$M$3</c:f>
              <c:numCache>
                <c:formatCode>General</c:formatCode>
                <c:ptCount val="11"/>
                <c:pt idx="0">
                  <c:v>1926</c:v>
                </c:pt>
                <c:pt idx="1">
                  <c:v>1928</c:v>
                </c:pt>
                <c:pt idx="2">
                  <c:v>1930</c:v>
                </c:pt>
                <c:pt idx="3">
                  <c:v>1932</c:v>
                </c:pt>
                <c:pt idx="4">
                  <c:v>1934</c:v>
                </c:pt>
                <c:pt idx="5">
                  <c:v>1936</c:v>
                </c:pt>
                <c:pt idx="6">
                  <c:v>1938</c:v>
                </c:pt>
                <c:pt idx="7">
                  <c:v>1940</c:v>
                </c:pt>
                <c:pt idx="8">
                  <c:v>1942</c:v>
                </c:pt>
                <c:pt idx="9">
                  <c:v>1944</c:v>
                </c:pt>
                <c:pt idx="10">
                  <c:v>1946</c:v>
                </c:pt>
              </c:numCache>
            </c:numRef>
          </c:cat>
          <c:val>
            <c:numRef>
              <c:f>'Fig 2.18'!$C$6:$M$6</c:f>
              <c:numCache>
                <c:formatCode>0.0%</c:formatCode>
                <c:ptCount val="11"/>
                <c:pt idx="0">
                  <c:v>0.53400000000000003</c:v>
                </c:pt>
                <c:pt idx="1">
                  <c:v>0.54800000000000004</c:v>
                </c:pt>
                <c:pt idx="2">
                  <c:v>0.54400000000000004</c:v>
                </c:pt>
                <c:pt idx="3">
                  <c:v>0.54100000000000004</c:v>
                </c:pt>
                <c:pt idx="4">
                  <c:v>0.55300000000000005</c:v>
                </c:pt>
                <c:pt idx="5">
                  <c:v>0.57099999999999995</c:v>
                </c:pt>
                <c:pt idx="6">
                  <c:v>0.57199999999999995</c:v>
                </c:pt>
                <c:pt idx="7">
                  <c:v>0.58699999999999997</c:v>
                </c:pt>
                <c:pt idx="8">
                  <c:v>0.57899999999999996</c:v>
                </c:pt>
                <c:pt idx="9">
                  <c:v>0.59399999999999997</c:v>
                </c:pt>
                <c:pt idx="10">
                  <c:v>0.59899999999999998</c:v>
                </c:pt>
              </c:numCache>
            </c:numRef>
          </c:val>
          <c:smooth val="0"/>
          <c:extLst>
            <c:ext xmlns:c16="http://schemas.microsoft.com/office/drawing/2014/chart" uri="{C3380CC4-5D6E-409C-BE32-E72D297353CC}">
              <c16:uniqueId val="{00000002-AAC6-41D1-808B-B2EDC8B53C12}"/>
            </c:ext>
          </c:extLst>
        </c:ser>
        <c:dLbls>
          <c:showLegendKey val="0"/>
          <c:showVal val="0"/>
          <c:showCatName val="0"/>
          <c:showSerName val="0"/>
          <c:showPercent val="0"/>
          <c:showBubbleSize val="0"/>
        </c:dLbls>
        <c:smooth val="0"/>
        <c:axId val="147612416"/>
        <c:axId val="147614720"/>
      </c:lineChart>
      <c:catAx>
        <c:axId val="147612416"/>
        <c:scaling>
          <c:orientation val="minMax"/>
        </c:scaling>
        <c:delete val="0"/>
        <c:axPos val="b"/>
        <c:title>
          <c:tx>
            <c:rich>
              <a:bodyPr/>
              <a:lstStyle/>
              <a:p>
                <a:pPr>
                  <a:defRPr/>
                </a:pPr>
                <a:r>
                  <a:rPr lang="fr-FR"/>
                  <a:t>génération</a:t>
                </a:r>
              </a:p>
            </c:rich>
          </c:tx>
          <c:layout>
            <c:manualLayout>
              <c:xMode val="edge"/>
              <c:yMode val="edge"/>
              <c:x val="0.7736711805555555"/>
              <c:y val="0.63161465927870131"/>
            </c:manualLayout>
          </c:layout>
          <c:overlay val="0"/>
        </c:title>
        <c:numFmt formatCode="General" sourceLinked="1"/>
        <c:majorTickMark val="out"/>
        <c:minorTickMark val="none"/>
        <c:tickLblPos val="nextTo"/>
        <c:txPr>
          <a:bodyPr rot="-5400000" vert="horz"/>
          <a:lstStyle/>
          <a:p>
            <a:pPr>
              <a:defRPr sz="900"/>
            </a:pPr>
            <a:endParaRPr lang="fr-FR"/>
          </a:p>
        </c:txPr>
        <c:crossAx val="147614720"/>
        <c:crosses val="autoZero"/>
        <c:auto val="1"/>
        <c:lblAlgn val="ctr"/>
        <c:lblOffset val="100"/>
        <c:tickLblSkip val="1"/>
        <c:noMultiLvlLbl val="0"/>
      </c:catAx>
      <c:valAx>
        <c:axId val="147614720"/>
        <c:scaling>
          <c:orientation val="minMax"/>
          <c:max val="0.70000000000000007"/>
          <c:min val="0.30000000000000004"/>
        </c:scaling>
        <c:delete val="0"/>
        <c:axPos val="l"/>
        <c:majorGridlines/>
        <c:title>
          <c:tx>
            <c:rich>
              <a:bodyPr rot="-5400000" vert="horz"/>
              <a:lstStyle/>
              <a:p>
                <a:pPr>
                  <a:defRPr/>
                </a:pPr>
                <a:r>
                  <a:rPr lang="fr-FR"/>
                  <a:t>en % de la pension nette moyenne de droit direct</a:t>
                </a:r>
              </a:p>
            </c:rich>
          </c:tx>
          <c:layout>
            <c:manualLayout>
              <c:xMode val="edge"/>
              <c:yMode val="edge"/>
              <c:x val="9.5753472222222229E-3"/>
              <c:y val="3.0946084218811492E-2"/>
            </c:manualLayout>
          </c:layout>
          <c:overlay val="0"/>
        </c:title>
        <c:numFmt formatCode="0%" sourceLinked="0"/>
        <c:majorTickMark val="out"/>
        <c:minorTickMark val="none"/>
        <c:tickLblPos val="nextTo"/>
        <c:crossAx val="147612416"/>
        <c:crosses val="autoZero"/>
        <c:crossBetween val="between"/>
      </c:valAx>
    </c:plotArea>
    <c:legend>
      <c:legendPos val="b"/>
      <c:layout>
        <c:manualLayout>
          <c:xMode val="edge"/>
          <c:yMode val="edge"/>
          <c:x val="3.1215150689472101E-2"/>
          <c:y val="0.92033412042502949"/>
          <c:w val="0.94905223920426296"/>
          <c:h val="6.9348288075560802E-2"/>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71658134569913"/>
          <c:y val="5.2222962962962964E-2"/>
          <c:w val="0.78975352570724577"/>
          <c:h val="0.67868024937681803"/>
        </c:manualLayout>
      </c:layout>
      <c:lineChart>
        <c:grouping val="standard"/>
        <c:varyColors val="0"/>
        <c:ser>
          <c:idx val="0"/>
          <c:order val="0"/>
          <c:tx>
            <c:strRef>
              <c:f>'Fig 2.19'!$B$5</c:f>
              <c:strCache>
                <c:ptCount val="1"/>
                <c:pt idx="0">
                  <c:v>A'</c:v>
                </c:pt>
              </c:strCache>
            </c:strRef>
          </c:tx>
          <c:spPr>
            <a:ln w="22225">
              <a:solidFill>
                <a:schemeClr val="tx1"/>
              </a:solidFill>
            </a:ln>
          </c:spPr>
          <c:marker>
            <c:symbol val="x"/>
            <c:size val="4"/>
            <c:spPr>
              <a:noFill/>
              <a:ln>
                <a:solidFill>
                  <a:schemeClr val="tx1"/>
                </a:solidFill>
              </a:ln>
            </c:spPr>
          </c:marker>
          <c:cat>
            <c:numRef>
              <c:f>'Fig 2.19'!$C$4:$BA$4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2.19'!$C$5:$BA$5</c:f>
              <c:numCache>
                <c:formatCode>0.0%</c:formatCode>
                <c:ptCount val="51"/>
                <c:pt idx="0">
                  <c:v>0.82799999999999996</c:v>
                </c:pt>
                <c:pt idx="1">
                  <c:v>0.82399999999999995</c:v>
                </c:pt>
                <c:pt idx="2">
                  <c:v>0.82299999999999995</c:v>
                </c:pt>
                <c:pt idx="3">
                  <c:v>0.82199999999999995</c:v>
                </c:pt>
                <c:pt idx="4">
                  <c:v>0.82699999999999996</c:v>
                </c:pt>
                <c:pt idx="5">
                  <c:v>0.81899999999999995</c:v>
                </c:pt>
                <c:pt idx="6">
                  <c:v>0.83</c:v>
                </c:pt>
                <c:pt idx="7">
                  <c:v>0.82599999999999996</c:v>
                </c:pt>
                <c:pt idx="8">
                  <c:v>0.83299999999999996</c:v>
                </c:pt>
                <c:pt idx="9">
                  <c:v>0.83299999999999996</c:v>
                </c:pt>
                <c:pt idx="10">
                  <c:v>0.83399999999999996</c:v>
                </c:pt>
                <c:pt idx="11">
                  <c:v>0.83699999999999997</c:v>
                </c:pt>
                <c:pt idx="12">
                  <c:v>0.83499999999999996</c:v>
                </c:pt>
                <c:pt idx="13">
                  <c:v>0.83499999999999996</c:v>
                </c:pt>
                <c:pt idx="14">
                  <c:v>0.82199999999999995</c:v>
                </c:pt>
                <c:pt idx="15">
                  <c:v>0.83199999999999996</c:v>
                </c:pt>
                <c:pt idx="16">
                  <c:v>0.83</c:v>
                </c:pt>
                <c:pt idx="17">
                  <c:v>0.82699999999999996</c:v>
                </c:pt>
                <c:pt idx="18">
                  <c:v>0.82399999999999995</c:v>
                </c:pt>
                <c:pt idx="19">
                  <c:v>0.81899999999999995</c:v>
                </c:pt>
                <c:pt idx="20">
                  <c:v>0.81599999999999995</c:v>
                </c:pt>
                <c:pt idx="21">
                  <c:v>0.81200000000000006</c:v>
                </c:pt>
                <c:pt idx="22">
                  <c:v>0.80600000000000005</c:v>
                </c:pt>
                <c:pt idx="23">
                  <c:v>0.79900000000000004</c:v>
                </c:pt>
                <c:pt idx="24">
                  <c:v>0.79200000000000004</c:v>
                </c:pt>
                <c:pt idx="25">
                  <c:v>0.78300000000000003</c:v>
                </c:pt>
                <c:pt idx="26">
                  <c:v>0.77300000000000002</c:v>
                </c:pt>
                <c:pt idx="27">
                  <c:v>0.76500000000000001</c:v>
                </c:pt>
                <c:pt idx="28">
                  <c:v>0.75700000000000001</c:v>
                </c:pt>
                <c:pt idx="29">
                  <c:v>0.748</c:v>
                </c:pt>
                <c:pt idx="30">
                  <c:v>0.74199999999999999</c:v>
                </c:pt>
                <c:pt idx="31">
                  <c:v>0.73399999999999999</c:v>
                </c:pt>
                <c:pt idx="32">
                  <c:v>0.72699999999999998</c:v>
                </c:pt>
                <c:pt idx="33">
                  <c:v>0.72099999999999997</c:v>
                </c:pt>
                <c:pt idx="34">
                  <c:v>0.71499999999999997</c:v>
                </c:pt>
                <c:pt idx="35">
                  <c:v>0.71</c:v>
                </c:pt>
                <c:pt idx="36">
                  <c:v>0.70499999999999996</c:v>
                </c:pt>
                <c:pt idx="37">
                  <c:v>0.7</c:v>
                </c:pt>
                <c:pt idx="38">
                  <c:v>0.69499999999999995</c:v>
                </c:pt>
                <c:pt idx="39">
                  <c:v>0.69099999999999995</c:v>
                </c:pt>
                <c:pt idx="40">
                  <c:v>0.68700000000000006</c:v>
                </c:pt>
                <c:pt idx="41">
                  <c:v>0.68400000000000005</c:v>
                </c:pt>
                <c:pt idx="42">
                  <c:v>0.68100000000000005</c:v>
                </c:pt>
                <c:pt idx="43">
                  <c:v>0.67900000000000005</c:v>
                </c:pt>
                <c:pt idx="44">
                  <c:v>0.67700000000000005</c:v>
                </c:pt>
                <c:pt idx="45">
                  <c:v>0.67500000000000004</c:v>
                </c:pt>
                <c:pt idx="46">
                  <c:v>0.67400000000000004</c:v>
                </c:pt>
                <c:pt idx="47">
                  <c:v>0.67200000000000004</c:v>
                </c:pt>
                <c:pt idx="48">
                  <c:v>0.67100000000000004</c:v>
                </c:pt>
                <c:pt idx="49">
                  <c:v>0.67</c:v>
                </c:pt>
                <c:pt idx="50">
                  <c:v>0.66900000000000004</c:v>
                </c:pt>
              </c:numCache>
            </c:numRef>
          </c:val>
          <c:smooth val="0"/>
          <c:extLst>
            <c:ext xmlns:c16="http://schemas.microsoft.com/office/drawing/2014/chart" uri="{C3380CC4-5D6E-409C-BE32-E72D297353CC}">
              <c16:uniqueId val="{00000000-5EAC-4DEB-A11E-25843E44BD03}"/>
            </c:ext>
          </c:extLst>
        </c:ser>
        <c:ser>
          <c:idx val="1"/>
          <c:order val="1"/>
          <c:tx>
            <c:strRef>
              <c:f>'Fig 2.19'!$B$6</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2.19'!$C$4:$BA$4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2.19'!$C$6:$BA$6</c:f>
              <c:numCache>
                <c:formatCode>0.0%</c:formatCode>
                <c:ptCount val="51"/>
                <c:pt idx="0">
                  <c:v>0.82799999999999996</c:v>
                </c:pt>
                <c:pt idx="1">
                  <c:v>0.82399999999999995</c:v>
                </c:pt>
                <c:pt idx="2">
                  <c:v>0.82299999999999995</c:v>
                </c:pt>
                <c:pt idx="3">
                  <c:v>0.82199999999999995</c:v>
                </c:pt>
                <c:pt idx="4">
                  <c:v>0.82699999999999996</c:v>
                </c:pt>
                <c:pt idx="5">
                  <c:v>0.81899999999999995</c:v>
                </c:pt>
                <c:pt idx="6">
                  <c:v>0.83</c:v>
                </c:pt>
                <c:pt idx="7">
                  <c:v>0.82599999999999996</c:v>
                </c:pt>
                <c:pt idx="8">
                  <c:v>0.83299999999999996</c:v>
                </c:pt>
                <c:pt idx="9">
                  <c:v>0.83299999999999996</c:v>
                </c:pt>
                <c:pt idx="10">
                  <c:v>0.83399999999999996</c:v>
                </c:pt>
                <c:pt idx="11">
                  <c:v>0.83699999999999997</c:v>
                </c:pt>
                <c:pt idx="12">
                  <c:v>0.83499999999999996</c:v>
                </c:pt>
                <c:pt idx="13">
                  <c:v>0.83499999999999996</c:v>
                </c:pt>
                <c:pt idx="14">
                  <c:v>0.82199999999999995</c:v>
                </c:pt>
                <c:pt idx="15">
                  <c:v>0.83199999999999996</c:v>
                </c:pt>
                <c:pt idx="16">
                  <c:v>0.83</c:v>
                </c:pt>
                <c:pt idx="17">
                  <c:v>0.82699999999999996</c:v>
                </c:pt>
                <c:pt idx="18">
                  <c:v>0.82399999999999995</c:v>
                </c:pt>
                <c:pt idx="19">
                  <c:v>0.81899999999999995</c:v>
                </c:pt>
                <c:pt idx="20">
                  <c:v>0.81699999999999995</c:v>
                </c:pt>
                <c:pt idx="21">
                  <c:v>0.81399999999999995</c:v>
                </c:pt>
                <c:pt idx="22">
                  <c:v>0.80900000000000005</c:v>
                </c:pt>
                <c:pt idx="23">
                  <c:v>0.80200000000000005</c:v>
                </c:pt>
                <c:pt idx="24">
                  <c:v>0.79700000000000004</c:v>
                </c:pt>
                <c:pt idx="25">
                  <c:v>0.78900000000000003</c:v>
                </c:pt>
                <c:pt idx="26">
                  <c:v>0.78</c:v>
                </c:pt>
                <c:pt idx="27">
                  <c:v>0.77400000000000002</c:v>
                </c:pt>
                <c:pt idx="28">
                  <c:v>0.76600000000000001</c:v>
                </c:pt>
                <c:pt idx="29">
                  <c:v>0.75900000000000001</c:v>
                </c:pt>
                <c:pt idx="30">
                  <c:v>0.752</c:v>
                </c:pt>
                <c:pt idx="31">
                  <c:v>0.746</c:v>
                </c:pt>
                <c:pt idx="32">
                  <c:v>0.74</c:v>
                </c:pt>
                <c:pt idx="33">
                  <c:v>0.73499999999999999</c:v>
                </c:pt>
                <c:pt idx="34">
                  <c:v>0.73</c:v>
                </c:pt>
                <c:pt idx="35">
                  <c:v>0.72399999999999998</c:v>
                </c:pt>
                <c:pt idx="36">
                  <c:v>0.72</c:v>
                </c:pt>
                <c:pt idx="37">
                  <c:v>0.71499999999999997</c:v>
                </c:pt>
                <c:pt idx="38">
                  <c:v>0.71099999999999997</c:v>
                </c:pt>
                <c:pt idx="39">
                  <c:v>0.70699999999999996</c:v>
                </c:pt>
                <c:pt idx="40">
                  <c:v>0.70399999999999996</c:v>
                </c:pt>
                <c:pt idx="41">
                  <c:v>0.70099999999999996</c:v>
                </c:pt>
                <c:pt idx="42">
                  <c:v>0.69799999999999995</c:v>
                </c:pt>
                <c:pt idx="43">
                  <c:v>0.69699999999999995</c:v>
                </c:pt>
                <c:pt idx="44">
                  <c:v>0.69399999999999995</c:v>
                </c:pt>
                <c:pt idx="45">
                  <c:v>0.69299999999999995</c:v>
                </c:pt>
                <c:pt idx="46">
                  <c:v>0.69199999999999995</c:v>
                </c:pt>
                <c:pt idx="47">
                  <c:v>0.69</c:v>
                </c:pt>
                <c:pt idx="48">
                  <c:v>0.68899999999999995</c:v>
                </c:pt>
                <c:pt idx="49">
                  <c:v>0.68799999999999994</c:v>
                </c:pt>
                <c:pt idx="50">
                  <c:v>0.68700000000000006</c:v>
                </c:pt>
              </c:numCache>
            </c:numRef>
          </c:val>
          <c:smooth val="0"/>
          <c:extLst>
            <c:ext xmlns:c16="http://schemas.microsoft.com/office/drawing/2014/chart" uri="{C3380CC4-5D6E-409C-BE32-E72D297353CC}">
              <c16:uniqueId val="{00000001-5EAC-4DEB-A11E-25843E44BD03}"/>
            </c:ext>
          </c:extLst>
        </c:ser>
        <c:ser>
          <c:idx val="2"/>
          <c:order val="2"/>
          <c:tx>
            <c:strRef>
              <c:f>'Fig 2.19'!$B$7</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2.19'!$C$4:$BA$4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2.19'!$C$7:$BA$7</c:f>
              <c:numCache>
                <c:formatCode>0.0%</c:formatCode>
                <c:ptCount val="51"/>
                <c:pt idx="0">
                  <c:v>0.82799999999999996</c:v>
                </c:pt>
                <c:pt idx="1">
                  <c:v>0.82399999999999995</c:v>
                </c:pt>
                <c:pt idx="2">
                  <c:v>0.82299999999999995</c:v>
                </c:pt>
                <c:pt idx="3">
                  <c:v>0.82199999999999995</c:v>
                </c:pt>
                <c:pt idx="4">
                  <c:v>0.82699999999999996</c:v>
                </c:pt>
                <c:pt idx="5">
                  <c:v>0.81899999999999995</c:v>
                </c:pt>
                <c:pt idx="6">
                  <c:v>0.83</c:v>
                </c:pt>
                <c:pt idx="7">
                  <c:v>0.82599999999999996</c:v>
                </c:pt>
                <c:pt idx="8">
                  <c:v>0.83299999999999996</c:v>
                </c:pt>
                <c:pt idx="9">
                  <c:v>0.83299999999999996</c:v>
                </c:pt>
                <c:pt idx="10">
                  <c:v>0.83399999999999996</c:v>
                </c:pt>
                <c:pt idx="11">
                  <c:v>0.83699999999999997</c:v>
                </c:pt>
                <c:pt idx="12">
                  <c:v>0.83499999999999996</c:v>
                </c:pt>
                <c:pt idx="13">
                  <c:v>0.83499999999999996</c:v>
                </c:pt>
                <c:pt idx="14">
                  <c:v>0.82199999999999995</c:v>
                </c:pt>
                <c:pt idx="15">
                  <c:v>0.83199999999999996</c:v>
                </c:pt>
                <c:pt idx="16">
                  <c:v>0.83</c:v>
                </c:pt>
                <c:pt idx="17">
                  <c:v>0.82699999999999996</c:v>
                </c:pt>
                <c:pt idx="18">
                  <c:v>0.82399999999999995</c:v>
                </c:pt>
                <c:pt idx="19">
                  <c:v>0.82</c:v>
                </c:pt>
                <c:pt idx="20">
                  <c:v>0.81799999999999995</c:v>
                </c:pt>
                <c:pt idx="21">
                  <c:v>0.81699999999999995</c:v>
                </c:pt>
                <c:pt idx="22">
                  <c:v>0.81299999999999994</c:v>
                </c:pt>
                <c:pt idx="23">
                  <c:v>0.80700000000000005</c:v>
                </c:pt>
                <c:pt idx="24">
                  <c:v>0.80400000000000005</c:v>
                </c:pt>
                <c:pt idx="25">
                  <c:v>0.79700000000000004</c:v>
                </c:pt>
                <c:pt idx="26">
                  <c:v>0.79100000000000004</c:v>
                </c:pt>
                <c:pt idx="27">
                  <c:v>0.78600000000000003</c:v>
                </c:pt>
                <c:pt idx="28">
                  <c:v>0.78</c:v>
                </c:pt>
                <c:pt idx="29">
                  <c:v>0.77400000000000002</c:v>
                </c:pt>
                <c:pt idx="30">
                  <c:v>0.76900000000000002</c:v>
                </c:pt>
                <c:pt idx="31">
                  <c:v>0.76500000000000001</c:v>
                </c:pt>
                <c:pt idx="32">
                  <c:v>0.75900000000000001</c:v>
                </c:pt>
                <c:pt idx="33">
                  <c:v>0.755</c:v>
                </c:pt>
                <c:pt idx="34">
                  <c:v>0.751</c:v>
                </c:pt>
                <c:pt idx="35">
                  <c:v>0.747</c:v>
                </c:pt>
                <c:pt idx="36">
                  <c:v>0.74299999999999999</c:v>
                </c:pt>
                <c:pt idx="37">
                  <c:v>0.73899999999999999</c:v>
                </c:pt>
                <c:pt idx="38">
                  <c:v>0.73599999999999999</c:v>
                </c:pt>
                <c:pt idx="39">
                  <c:v>0.73299999999999998</c:v>
                </c:pt>
                <c:pt idx="40">
                  <c:v>0.73</c:v>
                </c:pt>
                <c:pt idx="41">
                  <c:v>0.72699999999999998</c:v>
                </c:pt>
                <c:pt idx="42">
                  <c:v>0.72599999999999998</c:v>
                </c:pt>
                <c:pt idx="43">
                  <c:v>0.72399999999999998</c:v>
                </c:pt>
                <c:pt idx="44">
                  <c:v>0.72199999999999998</c:v>
                </c:pt>
                <c:pt idx="45">
                  <c:v>0.72099999999999997</c:v>
                </c:pt>
                <c:pt idx="46">
                  <c:v>0.72</c:v>
                </c:pt>
                <c:pt idx="47">
                  <c:v>0.71799999999999997</c:v>
                </c:pt>
                <c:pt idx="48">
                  <c:v>0.71799999999999997</c:v>
                </c:pt>
                <c:pt idx="49">
                  <c:v>0.71699999999999997</c:v>
                </c:pt>
                <c:pt idx="50">
                  <c:v>0.71599999999999997</c:v>
                </c:pt>
              </c:numCache>
            </c:numRef>
          </c:val>
          <c:smooth val="0"/>
          <c:extLst>
            <c:ext xmlns:c16="http://schemas.microsoft.com/office/drawing/2014/chart" uri="{C3380CC4-5D6E-409C-BE32-E72D297353CC}">
              <c16:uniqueId val="{00000002-5EAC-4DEB-A11E-25843E44BD03}"/>
            </c:ext>
          </c:extLst>
        </c:ser>
        <c:ser>
          <c:idx val="3"/>
          <c:order val="3"/>
          <c:tx>
            <c:strRef>
              <c:f>'Fig 2.19'!$B$8</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2.19'!$C$4:$BA$4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2.19'!$C$8:$BA$8</c:f>
              <c:numCache>
                <c:formatCode>0.0%</c:formatCode>
                <c:ptCount val="51"/>
                <c:pt idx="0">
                  <c:v>0.82799999999999996</c:v>
                </c:pt>
                <c:pt idx="1">
                  <c:v>0.82399999999999995</c:v>
                </c:pt>
                <c:pt idx="2">
                  <c:v>0.82299999999999995</c:v>
                </c:pt>
                <c:pt idx="3">
                  <c:v>0.82199999999999995</c:v>
                </c:pt>
                <c:pt idx="4">
                  <c:v>0.82699999999999996</c:v>
                </c:pt>
                <c:pt idx="5">
                  <c:v>0.81899999999999995</c:v>
                </c:pt>
                <c:pt idx="6">
                  <c:v>0.83</c:v>
                </c:pt>
                <c:pt idx="7">
                  <c:v>0.82599999999999996</c:v>
                </c:pt>
                <c:pt idx="8">
                  <c:v>0.83299999999999996</c:v>
                </c:pt>
                <c:pt idx="9">
                  <c:v>0.83299999999999996</c:v>
                </c:pt>
                <c:pt idx="10">
                  <c:v>0.83399999999999996</c:v>
                </c:pt>
                <c:pt idx="11">
                  <c:v>0.83699999999999997</c:v>
                </c:pt>
                <c:pt idx="12">
                  <c:v>0.83499999999999996</c:v>
                </c:pt>
                <c:pt idx="13">
                  <c:v>0.83499999999999996</c:v>
                </c:pt>
                <c:pt idx="14">
                  <c:v>0.82199999999999995</c:v>
                </c:pt>
                <c:pt idx="15">
                  <c:v>0.83199999999999996</c:v>
                </c:pt>
                <c:pt idx="16">
                  <c:v>0.83</c:v>
                </c:pt>
                <c:pt idx="17">
                  <c:v>0.82699999999999996</c:v>
                </c:pt>
                <c:pt idx="18">
                  <c:v>0.82499999999999996</c:v>
                </c:pt>
                <c:pt idx="19">
                  <c:v>0.82099999999999995</c:v>
                </c:pt>
                <c:pt idx="20">
                  <c:v>0.81899999999999995</c:v>
                </c:pt>
                <c:pt idx="21">
                  <c:v>0.81799999999999995</c:v>
                </c:pt>
                <c:pt idx="22">
                  <c:v>0.81499999999999995</c:v>
                </c:pt>
                <c:pt idx="23">
                  <c:v>0.81100000000000005</c:v>
                </c:pt>
                <c:pt idx="24">
                  <c:v>0.80800000000000005</c:v>
                </c:pt>
                <c:pt idx="25">
                  <c:v>0.80300000000000005</c:v>
                </c:pt>
                <c:pt idx="26">
                  <c:v>0.79800000000000004</c:v>
                </c:pt>
                <c:pt idx="27">
                  <c:v>0.79400000000000004</c:v>
                </c:pt>
                <c:pt idx="28">
                  <c:v>0.78900000000000003</c:v>
                </c:pt>
                <c:pt idx="29">
                  <c:v>0.78400000000000003</c:v>
                </c:pt>
                <c:pt idx="30">
                  <c:v>0.78100000000000003</c:v>
                </c:pt>
                <c:pt idx="31">
                  <c:v>0.77700000000000002</c:v>
                </c:pt>
                <c:pt idx="32">
                  <c:v>0.77200000000000002</c:v>
                </c:pt>
                <c:pt idx="33">
                  <c:v>0.77</c:v>
                </c:pt>
                <c:pt idx="34">
                  <c:v>0.76600000000000001</c:v>
                </c:pt>
                <c:pt idx="35">
                  <c:v>0.76200000000000001</c:v>
                </c:pt>
                <c:pt idx="36">
                  <c:v>0.75900000000000001</c:v>
                </c:pt>
                <c:pt idx="37">
                  <c:v>0.75600000000000001</c:v>
                </c:pt>
                <c:pt idx="38">
                  <c:v>0.753</c:v>
                </c:pt>
                <c:pt idx="39">
                  <c:v>0.75</c:v>
                </c:pt>
                <c:pt idx="40">
                  <c:v>0.748</c:v>
                </c:pt>
                <c:pt idx="41">
                  <c:v>0.746</c:v>
                </c:pt>
                <c:pt idx="42">
                  <c:v>0.74399999999999999</c:v>
                </c:pt>
                <c:pt idx="43">
                  <c:v>0.74299999999999999</c:v>
                </c:pt>
                <c:pt idx="44">
                  <c:v>0.74099999999999999</c:v>
                </c:pt>
                <c:pt idx="45">
                  <c:v>0.74</c:v>
                </c:pt>
                <c:pt idx="46">
                  <c:v>0.73899999999999999</c:v>
                </c:pt>
                <c:pt idx="47">
                  <c:v>0.73799999999999999</c:v>
                </c:pt>
                <c:pt idx="48">
                  <c:v>0.73699999999999999</c:v>
                </c:pt>
                <c:pt idx="49">
                  <c:v>0.73699999999999999</c:v>
                </c:pt>
                <c:pt idx="50">
                  <c:v>0.73599999999999999</c:v>
                </c:pt>
              </c:numCache>
            </c:numRef>
          </c:val>
          <c:smooth val="0"/>
          <c:extLst>
            <c:ext xmlns:c16="http://schemas.microsoft.com/office/drawing/2014/chart" uri="{C3380CC4-5D6E-409C-BE32-E72D297353CC}">
              <c16:uniqueId val="{00000003-5EAC-4DEB-A11E-25843E44BD03}"/>
            </c:ext>
          </c:extLst>
        </c:ser>
        <c:ser>
          <c:idx val="4"/>
          <c:order val="4"/>
          <c:tx>
            <c:strRef>
              <c:f>'Fig 2.19'!$B$9</c:f>
              <c:strCache>
                <c:ptCount val="1"/>
                <c:pt idx="0">
                  <c:v>C'</c:v>
                </c:pt>
              </c:strCache>
            </c:strRef>
          </c:tx>
          <c:spPr>
            <a:ln w="22225">
              <a:solidFill>
                <a:schemeClr val="tx1"/>
              </a:solidFill>
            </a:ln>
          </c:spPr>
          <c:marker>
            <c:symbol val="star"/>
            <c:size val="4"/>
            <c:spPr>
              <a:noFill/>
              <a:ln>
                <a:solidFill>
                  <a:schemeClr val="tx1"/>
                </a:solidFill>
              </a:ln>
            </c:spPr>
          </c:marker>
          <c:cat>
            <c:numRef>
              <c:f>'Fig 2.19'!$C$4:$BA$4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2.19'!$C$9:$BA$9</c:f>
              <c:numCache>
                <c:formatCode>0.0%</c:formatCode>
                <c:ptCount val="51"/>
                <c:pt idx="0">
                  <c:v>0.82799999999999996</c:v>
                </c:pt>
                <c:pt idx="1">
                  <c:v>0.82399999999999995</c:v>
                </c:pt>
                <c:pt idx="2">
                  <c:v>0.82299999999999995</c:v>
                </c:pt>
                <c:pt idx="3">
                  <c:v>0.82199999999999995</c:v>
                </c:pt>
                <c:pt idx="4">
                  <c:v>0.82699999999999996</c:v>
                </c:pt>
                <c:pt idx="5">
                  <c:v>0.81899999999999995</c:v>
                </c:pt>
                <c:pt idx="6">
                  <c:v>0.83</c:v>
                </c:pt>
                <c:pt idx="7">
                  <c:v>0.82599999999999996</c:v>
                </c:pt>
                <c:pt idx="8">
                  <c:v>0.83299999999999996</c:v>
                </c:pt>
                <c:pt idx="9">
                  <c:v>0.83299999999999996</c:v>
                </c:pt>
                <c:pt idx="10">
                  <c:v>0.83399999999999996</c:v>
                </c:pt>
                <c:pt idx="11">
                  <c:v>0.83699999999999997</c:v>
                </c:pt>
                <c:pt idx="12">
                  <c:v>0.83499999999999996</c:v>
                </c:pt>
                <c:pt idx="13">
                  <c:v>0.83499999999999996</c:v>
                </c:pt>
                <c:pt idx="14">
                  <c:v>0.82199999999999995</c:v>
                </c:pt>
                <c:pt idx="15">
                  <c:v>0.83199999999999996</c:v>
                </c:pt>
                <c:pt idx="16">
                  <c:v>0.83</c:v>
                </c:pt>
                <c:pt idx="17">
                  <c:v>0.82699999999999996</c:v>
                </c:pt>
                <c:pt idx="18">
                  <c:v>0.82499999999999996</c:v>
                </c:pt>
                <c:pt idx="19">
                  <c:v>0.82199999999999995</c:v>
                </c:pt>
                <c:pt idx="20">
                  <c:v>0.82099999999999995</c:v>
                </c:pt>
                <c:pt idx="21">
                  <c:v>0.82099999999999995</c:v>
                </c:pt>
                <c:pt idx="22">
                  <c:v>0.81899999999999995</c:v>
                </c:pt>
                <c:pt idx="23">
                  <c:v>0.81599999999999995</c:v>
                </c:pt>
                <c:pt idx="24">
                  <c:v>0.81499999999999995</c:v>
                </c:pt>
                <c:pt idx="25">
                  <c:v>0.81200000000000006</c:v>
                </c:pt>
                <c:pt idx="26">
                  <c:v>0.80900000000000005</c:v>
                </c:pt>
                <c:pt idx="27">
                  <c:v>0.80700000000000005</c:v>
                </c:pt>
                <c:pt idx="28">
                  <c:v>0.80400000000000005</c:v>
                </c:pt>
                <c:pt idx="29">
                  <c:v>0.8</c:v>
                </c:pt>
                <c:pt idx="30">
                  <c:v>0.79800000000000004</c:v>
                </c:pt>
                <c:pt idx="31">
                  <c:v>0.79600000000000004</c:v>
                </c:pt>
                <c:pt idx="32">
                  <c:v>0.79300000000000004</c:v>
                </c:pt>
                <c:pt idx="33">
                  <c:v>0.79100000000000004</c:v>
                </c:pt>
                <c:pt idx="34">
                  <c:v>0.78900000000000003</c:v>
                </c:pt>
                <c:pt idx="35">
                  <c:v>0.78600000000000003</c:v>
                </c:pt>
                <c:pt idx="36">
                  <c:v>0.78400000000000003</c:v>
                </c:pt>
                <c:pt idx="37">
                  <c:v>0.78200000000000003</c:v>
                </c:pt>
                <c:pt idx="38">
                  <c:v>0.78</c:v>
                </c:pt>
                <c:pt idx="39">
                  <c:v>0.77800000000000002</c:v>
                </c:pt>
                <c:pt idx="40">
                  <c:v>0.77600000000000002</c:v>
                </c:pt>
                <c:pt idx="41">
                  <c:v>0.77500000000000002</c:v>
                </c:pt>
                <c:pt idx="42">
                  <c:v>0.77300000000000002</c:v>
                </c:pt>
                <c:pt idx="43">
                  <c:v>0.77300000000000002</c:v>
                </c:pt>
                <c:pt idx="44">
                  <c:v>0.77100000000000002</c:v>
                </c:pt>
                <c:pt idx="45">
                  <c:v>0.77100000000000002</c:v>
                </c:pt>
                <c:pt idx="46">
                  <c:v>0.77</c:v>
                </c:pt>
                <c:pt idx="47">
                  <c:v>0.76900000000000002</c:v>
                </c:pt>
                <c:pt idx="48">
                  <c:v>0.76900000000000002</c:v>
                </c:pt>
                <c:pt idx="49">
                  <c:v>0.76800000000000002</c:v>
                </c:pt>
                <c:pt idx="50">
                  <c:v>0.76800000000000002</c:v>
                </c:pt>
              </c:numCache>
            </c:numRef>
          </c:val>
          <c:smooth val="0"/>
          <c:extLst>
            <c:ext xmlns:c16="http://schemas.microsoft.com/office/drawing/2014/chart" uri="{C3380CC4-5D6E-409C-BE32-E72D297353CC}">
              <c16:uniqueId val="{00000004-5EAC-4DEB-A11E-25843E44BD03}"/>
            </c:ext>
          </c:extLst>
        </c:ser>
        <c:dLbls>
          <c:showLegendKey val="0"/>
          <c:showVal val="0"/>
          <c:showCatName val="0"/>
          <c:showSerName val="0"/>
          <c:showPercent val="0"/>
          <c:showBubbleSize val="0"/>
        </c:dLbls>
        <c:marker val="1"/>
        <c:smooth val="0"/>
        <c:axId val="147692160"/>
        <c:axId val="147719296"/>
      </c:lineChart>
      <c:catAx>
        <c:axId val="147692160"/>
        <c:scaling>
          <c:orientation val="minMax"/>
        </c:scaling>
        <c:delete val="0"/>
        <c:axPos val="b"/>
        <c:title>
          <c:tx>
            <c:rich>
              <a:bodyPr/>
              <a:lstStyle/>
              <a:p>
                <a:pPr>
                  <a:defRPr/>
                </a:pPr>
                <a:r>
                  <a:rPr lang="en-US"/>
                  <a:t>génération</a:t>
                </a:r>
              </a:p>
            </c:rich>
          </c:tx>
          <c:layout>
            <c:manualLayout>
              <c:xMode val="edge"/>
              <c:yMode val="edge"/>
              <c:x val="0.20900316031924582"/>
              <c:y val="0.61022032573345353"/>
            </c:manualLayout>
          </c:layout>
          <c:overlay val="0"/>
        </c:title>
        <c:numFmt formatCode="General" sourceLinked="1"/>
        <c:majorTickMark val="out"/>
        <c:minorTickMark val="none"/>
        <c:tickLblPos val="nextTo"/>
        <c:txPr>
          <a:bodyPr rot="-5400000" vert="horz"/>
          <a:lstStyle/>
          <a:p>
            <a:pPr>
              <a:defRPr/>
            </a:pPr>
            <a:endParaRPr lang="fr-FR"/>
          </a:p>
        </c:txPr>
        <c:crossAx val="147719296"/>
        <c:crosses val="autoZero"/>
        <c:auto val="1"/>
        <c:lblAlgn val="ctr"/>
        <c:lblOffset val="100"/>
        <c:tickLblSkip val="10"/>
        <c:noMultiLvlLbl val="0"/>
      </c:catAx>
      <c:valAx>
        <c:axId val="147719296"/>
        <c:scaling>
          <c:orientation val="minMax"/>
          <c:max val="0.9"/>
          <c:min val="0.65000000000000013"/>
        </c:scaling>
        <c:delete val="0"/>
        <c:axPos val="l"/>
        <c:majorGridlines/>
        <c:title>
          <c:tx>
            <c:rich>
              <a:bodyPr rot="-5400000" vert="horz"/>
              <a:lstStyle/>
              <a:p>
                <a:pPr>
                  <a:defRPr/>
                </a:pPr>
                <a:r>
                  <a:rPr lang="en-US"/>
                  <a:t>en % du dernier salaire net</a:t>
                </a:r>
              </a:p>
            </c:rich>
          </c:tx>
          <c:layout>
            <c:manualLayout>
              <c:xMode val="edge"/>
              <c:yMode val="edge"/>
              <c:x val="1.8882333585852787E-3"/>
              <c:y val="2.7167942508835221E-2"/>
            </c:manualLayout>
          </c:layout>
          <c:overlay val="0"/>
        </c:title>
        <c:numFmt formatCode="0%" sourceLinked="0"/>
        <c:majorTickMark val="out"/>
        <c:minorTickMark val="none"/>
        <c:tickLblPos val="nextTo"/>
        <c:crossAx val="147692160"/>
        <c:crosses val="autoZero"/>
        <c:crossBetween val="between"/>
        <c:majorUnit val="5.000000000000001E-2"/>
      </c:valAx>
    </c:plotArea>
    <c:legend>
      <c:legendPos val="b"/>
      <c:layout>
        <c:manualLayout>
          <c:xMode val="edge"/>
          <c:yMode val="edge"/>
          <c:x val="1.6152222222222221E-2"/>
          <c:y val="0.91275263637528725"/>
          <c:w val="0.97710296296296295"/>
          <c:h val="8.7247363624712762E-2"/>
        </c:manualLayout>
      </c:layout>
      <c:overlay val="0"/>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25210970464136"/>
          <c:y val="5.2222962962962964E-2"/>
          <c:w val="0.78638994374120952"/>
          <c:h val="0.59976255656215005"/>
        </c:manualLayout>
      </c:layout>
      <c:lineChart>
        <c:grouping val="standard"/>
        <c:varyColors val="0"/>
        <c:ser>
          <c:idx val="0"/>
          <c:order val="0"/>
          <c:tx>
            <c:strRef>
              <c:f>'Fig 2.20'!$B$4</c:f>
              <c:strCache>
                <c:ptCount val="1"/>
                <c:pt idx="0">
                  <c:v>Scénario central de mortalité</c:v>
                </c:pt>
              </c:strCache>
            </c:strRef>
          </c:tx>
          <c:spPr>
            <a:ln w="50800">
              <a:solidFill>
                <a:schemeClr val="tx1"/>
              </a:solidFill>
            </a:ln>
          </c:spPr>
          <c:marker>
            <c:symbol val="circle"/>
            <c:size val="3"/>
            <c:spPr>
              <a:solidFill>
                <a:schemeClr val="tx1"/>
              </a:solidFill>
              <a:ln>
                <a:solidFill>
                  <a:schemeClr val="tx1"/>
                </a:solidFill>
              </a:ln>
            </c:spPr>
          </c:marker>
          <c:cat>
            <c:numRef>
              <c:f>'Fig 2.20'!$C$3:$BK$3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2.20'!$C$4:$BK$4</c:f>
              <c:numCache>
                <c:formatCode>0.0</c:formatCode>
                <c:ptCount val="61"/>
                <c:pt idx="2">
                  <c:v>24.6</c:v>
                </c:pt>
                <c:pt idx="3">
                  <c:v>24.7</c:v>
                </c:pt>
                <c:pt idx="4">
                  <c:v>24.9</c:v>
                </c:pt>
                <c:pt idx="5">
                  <c:v>25.1</c:v>
                </c:pt>
                <c:pt idx="6">
                  <c:v>25.2</c:v>
                </c:pt>
                <c:pt idx="7">
                  <c:v>25.4</c:v>
                </c:pt>
                <c:pt idx="8">
                  <c:v>25.5</c:v>
                </c:pt>
                <c:pt idx="9">
                  <c:v>25.6</c:v>
                </c:pt>
                <c:pt idx="10">
                  <c:v>25.8</c:v>
                </c:pt>
                <c:pt idx="11">
                  <c:v>25.9</c:v>
                </c:pt>
                <c:pt idx="12">
                  <c:v>26</c:v>
                </c:pt>
                <c:pt idx="13">
                  <c:v>26.1</c:v>
                </c:pt>
                <c:pt idx="14">
                  <c:v>26.3</c:v>
                </c:pt>
                <c:pt idx="15">
                  <c:v>26.4</c:v>
                </c:pt>
                <c:pt idx="16">
                  <c:v>26.5</c:v>
                </c:pt>
                <c:pt idx="17">
                  <c:v>26.6</c:v>
                </c:pt>
                <c:pt idx="18">
                  <c:v>26.8</c:v>
                </c:pt>
                <c:pt idx="19">
                  <c:v>26.9</c:v>
                </c:pt>
                <c:pt idx="20">
                  <c:v>27</c:v>
                </c:pt>
                <c:pt idx="21">
                  <c:v>27.1</c:v>
                </c:pt>
                <c:pt idx="22">
                  <c:v>27.2</c:v>
                </c:pt>
                <c:pt idx="23">
                  <c:v>27.4</c:v>
                </c:pt>
                <c:pt idx="24">
                  <c:v>27.5</c:v>
                </c:pt>
                <c:pt idx="25">
                  <c:v>27.6</c:v>
                </c:pt>
                <c:pt idx="26">
                  <c:v>27.7</c:v>
                </c:pt>
                <c:pt idx="27">
                  <c:v>27.8</c:v>
                </c:pt>
                <c:pt idx="28">
                  <c:v>28</c:v>
                </c:pt>
                <c:pt idx="29">
                  <c:v>28.1</c:v>
                </c:pt>
                <c:pt idx="30">
                  <c:v>28.2</c:v>
                </c:pt>
                <c:pt idx="31">
                  <c:v>28</c:v>
                </c:pt>
                <c:pt idx="32">
                  <c:v>27.9</c:v>
                </c:pt>
                <c:pt idx="33">
                  <c:v>27.8</c:v>
                </c:pt>
                <c:pt idx="34">
                  <c:v>27.4</c:v>
                </c:pt>
                <c:pt idx="35">
                  <c:v>27.5</c:v>
                </c:pt>
                <c:pt idx="36">
                  <c:v>27.6</c:v>
                </c:pt>
                <c:pt idx="37">
                  <c:v>27.2</c:v>
                </c:pt>
                <c:pt idx="38">
                  <c:v>27.1</c:v>
                </c:pt>
                <c:pt idx="39">
                  <c:v>27.2</c:v>
                </c:pt>
                <c:pt idx="40">
                  <c:v>26.8</c:v>
                </c:pt>
                <c:pt idx="41">
                  <c:v>26.6</c:v>
                </c:pt>
                <c:pt idx="42">
                  <c:v>26.8</c:v>
                </c:pt>
                <c:pt idx="43">
                  <c:v>26.6</c:v>
                </c:pt>
                <c:pt idx="44">
                  <c:v>26.7</c:v>
                </c:pt>
                <c:pt idx="45">
                  <c:v>26.6</c:v>
                </c:pt>
                <c:pt idx="46">
                  <c:v>26.7</c:v>
                </c:pt>
                <c:pt idx="47">
                  <c:v>26.8</c:v>
                </c:pt>
                <c:pt idx="48">
                  <c:v>26.6</c:v>
                </c:pt>
                <c:pt idx="49">
                  <c:v>26.7</c:v>
                </c:pt>
                <c:pt idx="50">
                  <c:v>26.8</c:v>
                </c:pt>
                <c:pt idx="51">
                  <c:v>26.9</c:v>
                </c:pt>
                <c:pt idx="52">
                  <c:v>27</c:v>
                </c:pt>
                <c:pt idx="53">
                  <c:v>27.1</c:v>
                </c:pt>
                <c:pt idx="54">
                  <c:v>27.2</c:v>
                </c:pt>
                <c:pt idx="55">
                  <c:v>27.3</c:v>
                </c:pt>
                <c:pt idx="56">
                  <c:v>27.4</c:v>
                </c:pt>
                <c:pt idx="57">
                  <c:v>27.5</c:v>
                </c:pt>
                <c:pt idx="58">
                  <c:v>27.6</c:v>
                </c:pt>
                <c:pt idx="59">
                  <c:v>27.7</c:v>
                </c:pt>
                <c:pt idx="60">
                  <c:v>27.8</c:v>
                </c:pt>
              </c:numCache>
            </c:numRef>
          </c:val>
          <c:smooth val="0"/>
          <c:extLst>
            <c:ext xmlns:c16="http://schemas.microsoft.com/office/drawing/2014/chart" uri="{C3380CC4-5D6E-409C-BE32-E72D297353CC}">
              <c16:uniqueId val="{00000000-A6AE-484D-ADEA-1F2F2F660761}"/>
            </c:ext>
          </c:extLst>
        </c:ser>
        <c:ser>
          <c:idx val="1"/>
          <c:order val="1"/>
          <c:tx>
            <c:strRef>
              <c:f>'Fig 2.20'!$B$5</c:f>
              <c:strCache>
                <c:ptCount val="1"/>
                <c:pt idx="0">
                  <c:v>Variante de mortalité haute</c:v>
                </c:pt>
              </c:strCache>
            </c:strRef>
          </c:tx>
          <c:spPr>
            <a:ln w="15875" cmpd="dbl">
              <a:solidFill>
                <a:schemeClr val="tx1"/>
              </a:solidFill>
            </a:ln>
          </c:spPr>
          <c:marker>
            <c:symbol val="circle"/>
            <c:size val="2"/>
            <c:spPr>
              <a:solidFill>
                <a:schemeClr val="bg1">
                  <a:lumMod val="65000"/>
                </a:schemeClr>
              </a:solidFill>
              <a:ln>
                <a:solidFill>
                  <a:schemeClr val="tx1"/>
                </a:solidFill>
              </a:ln>
            </c:spPr>
          </c:marker>
          <c:cat>
            <c:numRef>
              <c:f>'Fig 2.20'!$C$3:$BK$3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2.20'!$C$5:$BK$5</c:f>
              <c:numCache>
                <c:formatCode>0.0</c:formatCode>
                <c:ptCount val="61"/>
                <c:pt idx="2">
                  <c:v>24.3</c:v>
                </c:pt>
                <c:pt idx="3">
                  <c:v>24.5</c:v>
                </c:pt>
                <c:pt idx="4">
                  <c:v>24.6</c:v>
                </c:pt>
                <c:pt idx="5">
                  <c:v>24.7</c:v>
                </c:pt>
                <c:pt idx="6">
                  <c:v>24.8</c:v>
                </c:pt>
                <c:pt idx="7">
                  <c:v>24.9</c:v>
                </c:pt>
                <c:pt idx="8">
                  <c:v>25.1</c:v>
                </c:pt>
                <c:pt idx="9">
                  <c:v>25.1</c:v>
                </c:pt>
                <c:pt idx="10">
                  <c:v>25.2</c:v>
                </c:pt>
                <c:pt idx="11">
                  <c:v>25.3</c:v>
                </c:pt>
                <c:pt idx="12">
                  <c:v>25.4</c:v>
                </c:pt>
                <c:pt idx="13">
                  <c:v>25.5</c:v>
                </c:pt>
                <c:pt idx="14">
                  <c:v>25.6</c:v>
                </c:pt>
                <c:pt idx="15">
                  <c:v>25.6</c:v>
                </c:pt>
                <c:pt idx="16">
                  <c:v>25.7</c:v>
                </c:pt>
                <c:pt idx="17">
                  <c:v>25.8</c:v>
                </c:pt>
                <c:pt idx="18">
                  <c:v>25.9</c:v>
                </c:pt>
                <c:pt idx="19">
                  <c:v>26</c:v>
                </c:pt>
                <c:pt idx="20">
                  <c:v>26</c:v>
                </c:pt>
                <c:pt idx="21">
                  <c:v>26.1</c:v>
                </c:pt>
                <c:pt idx="22">
                  <c:v>26.2</c:v>
                </c:pt>
                <c:pt idx="23">
                  <c:v>26.3</c:v>
                </c:pt>
                <c:pt idx="24">
                  <c:v>26.4</c:v>
                </c:pt>
                <c:pt idx="25">
                  <c:v>26.4</c:v>
                </c:pt>
                <c:pt idx="26">
                  <c:v>26.5</c:v>
                </c:pt>
                <c:pt idx="27">
                  <c:v>26.6</c:v>
                </c:pt>
                <c:pt idx="28">
                  <c:v>26.7</c:v>
                </c:pt>
                <c:pt idx="29">
                  <c:v>26.7</c:v>
                </c:pt>
                <c:pt idx="30">
                  <c:v>26.8</c:v>
                </c:pt>
                <c:pt idx="31">
                  <c:v>26.6</c:v>
                </c:pt>
                <c:pt idx="32">
                  <c:v>26.5</c:v>
                </c:pt>
                <c:pt idx="33">
                  <c:v>26.3</c:v>
                </c:pt>
                <c:pt idx="34">
                  <c:v>25.8</c:v>
                </c:pt>
                <c:pt idx="35">
                  <c:v>25.9</c:v>
                </c:pt>
                <c:pt idx="36">
                  <c:v>26</c:v>
                </c:pt>
                <c:pt idx="37">
                  <c:v>25.5</c:v>
                </c:pt>
                <c:pt idx="38">
                  <c:v>25.4</c:v>
                </c:pt>
                <c:pt idx="39">
                  <c:v>25.4</c:v>
                </c:pt>
                <c:pt idx="40">
                  <c:v>25</c:v>
                </c:pt>
                <c:pt idx="41">
                  <c:v>24.8</c:v>
                </c:pt>
                <c:pt idx="42">
                  <c:v>24.9</c:v>
                </c:pt>
                <c:pt idx="43">
                  <c:v>24.7</c:v>
                </c:pt>
                <c:pt idx="44">
                  <c:v>24.7</c:v>
                </c:pt>
                <c:pt idx="45">
                  <c:v>24.5</c:v>
                </c:pt>
                <c:pt idx="46">
                  <c:v>24.6</c:v>
                </c:pt>
                <c:pt idx="47">
                  <c:v>24.6</c:v>
                </c:pt>
                <c:pt idx="48">
                  <c:v>24.4</c:v>
                </c:pt>
                <c:pt idx="49">
                  <c:v>24.4</c:v>
                </c:pt>
                <c:pt idx="50">
                  <c:v>24.5</c:v>
                </c:pt>
                <c:pt idx="51">
                  <c:v>24.5</c:v>
                </c:pt>
                <c:pt idx="52">
                  <c:v>24.5</c:v>
                </c:pt>
                <c:pt idx="53">
                  <c:v>24.5</c:v>
                </c:pt>
                <c:pt idx="54">
                  <c:v>24.6</c:v>
                </c:pt>
                <c:pt idx="55">
                  <c:v>24.6</c:v>
                </c:pt>
                <c:pt idx="56">
                  <c:v>24.6</c:v>
                </c:pt>
                <c:pt idx="57">
                  <c:v>24.6</c:v>
                </c:pt>
                <c:pt idx="58">
                  <c:v>24.6</c:v>
                </c:pt>
                <c:pt idx="59">
                  <c:v>24.7</c:v>
                </c:pt>
                <c:pt idx="60">
                  <c:v>24.7</c:v>
                </c:pt>
              </c:numCache>
            </c:numRef>
          </c:val>
          <c:smooth val="0"/>
          <c:extLst>
            <c:ext xmlns:c16="http://schemas.microsoft.com/office/drawing/2014/chart" uri="{C3380CC4-5D6E-409C-BE32-E72D297353CC}">
              <c16:uniqueId val="{00000001-A6AE-484D-ADEA-1F2F2F660761}"/>
            </c:ext>
          </c:extLst>
        </c:ser>
        <c:ser>
          <c:idx val="2"/>
          <c:order val="2"/>
          <c:tx>
            <c:strRef>
              <c:f>'Fig 2.20'!$B$6</c:f>
              <c:strCache>
                <c:ptCount val="1"/>
                <c:pt idx="0">
                  <c:v>Variante de mortalité basse</c:v>
                </c:pt>
              </c:strCache>
            </c:strRef>
          </c:tx>
          <c:spPr>
            <a:ln w="25400">
              <a:solidFill>
                <a:schemeClr val="bg1">
                  <a:lumMod val="65000"/>
                </a:schemeClr>
              </a:solidFill>
              <a:prstDash val="sysDash"/>
            </a:ln>
          </c:spPr>
          <c:marker>
            <c:symbol val="square"/>
            <c:size val="2"/>
            <c:spPr>
              <a:solidFill>
                <a:schemeClr val="bg1">
                  <a:lumMod val="65000"/>
                </a:schemeClr>
              </a:solidFill>
              <a:ln>
                <a:solidFill>
                  <a:schemeClr val="bg1">
                    <a:lumMod val="65000"/>
                  </a:schemeClr>
                </a:solidFill>
              </a:ln>
            </c:spPr>
          </c:marker>
          <c:cat>
            <c:numRef>
              <c:f>'Fig 2.20'!$C$3:$BK$3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2.20'!$C$6:$BK$6</c:f>
              <c:numCache>
                <c:formatCode>0.0</c:formatCode>
                <c:ptCount val="61"/>
                <c:pt idx="2">
                  <c:v>24.9</c:v>
                </c:pt>
                <c:pt idx="3">
                  <c:v>25.1</c:v>
                </c:pt>
                <c:pt idx="4">
                  <c:v>25.3</c:v>
                </c:pt>
                <c:pt idx="5">
                  <c:v>25.5</c:v>
                </c:pt>
                <c:pt idx="6">
                  <c:v>25.7</c:v>
                </c:pt>
                <c:pt idx="7">
                  <c:v>25.9</c:v>
                </c:pt>
                <c:pt idx="8">
                  <c:v>26.1</c:v>
                </c:pt>
                <c:pt idx="9">
                  <c:v>26.3</c:v>
                </c:pt>
                <c:pt idx="10">
                  <c:v>26.4</c:v>
                </c:pt>
                <c:pt idx="11">
                  <c:v>26.6</c:v>
                </c:pt>
                <c:pt idx="12">
                  <c:v>26.8</c:v>
                </c:pt>
                <c:pt idx="13">
                  <c:v>26.9</c:v>
                </c:pt>
                <c:pt idx="14">
                  <c:v>27.1</c:v>
                </c:pt>
                <c:pt idx="15">
                  <c:v>27.3</c:v>
                </c:pt>
                <c:pt idx="16">
                  <c:v>27.5</c:v>
                </c:pt>
                <c:pt idx="17">
                  <c:v>27.6</c:v>
                </c:pt>
                <c:pt idx="18">
                  <c:v>27.8</c:v>
                </c:pt>
                <c:pt idx="19">
                  <c:v>28</c:v>
                </c:pt>
                <c:pt idx="20">
                  <c:v>28.2</c:v>
                </c:pt>
                <c:pt idx="21">
                  <c:v>28.3</c:v>
                </c:pt>
                <c:pt idx="22">
                  <c:v>28.5</c:v>
                </c:pt>
                <c:pt idx="23">
                  <c:v>28.7</c:v>
                </c:pt>
                <c:pt idx="24">
                  <c:v>28.9</c:v>
                </c:pt>
                <c:pt idx="25">
                  <c:v>29</c:v>
                </c:pt>
                <c:pt idx="26">
                  <c:v>29.2</c:v>
                </c:pt>
                <c:pt idx="27">
                  <c:v>29.4</c:v>
                </c:pt>
                <c:pt idx="28">
                  <c:v>29.5</c:v>
                </c:pt>
                <c:pt idx="29">
                  <c:v>29.7</c:v>
                </c:pt>
                <c:pt idx="30">
                  <c:v>29.8</c:v>
                </c:pt>
                <c:pt idx="31">
                  <c:v>29.7</c:v>
                </c:pt>
                <c:pt idx="32">
                  <c:v>29.7</c:v>
                </c:pt>
                <c:pt idx="33">
                  <c:v>29.6</c:v>
                </c:pt>
                <c:pt idx="34">
                  <c:v>29.2</c:v>
                </c:pt>
                <c:pt idx="35">
                  <c:v>29.4</c:v>
                </c:pt>
                <c:pt idx="36">
                  <c:v>29.5</c:v>
                </c:pt>
                <c:pt idx="37">
                  <c:v>29.2</c:v>
                </c:pt>
                <c:pt idx="38">
                  <c:v>29.1</c:v>
                </c:pt>
                <c:pt idx="39">
                  <c:v>29.2</c:v>
                </c:pt>
                <c:pt idx="40">
                  <c:v>28.9</c:v>
                </c:pt>
                <c:pt idx="41">
                  <c:v>28.8</c:v>
                </c:pt>
                <c:pt idx="42">
                  <c:v>28.9</c:v>
                </c:pt>
                <c:pt idx="43">
                  <c:v>28.8</c:v>
                </c:pt>
                <c:pt idx="44">
                  <c:v>29</c:v>
                </c:pt>
                <c:pt idx="45">
                  <c:v>28.9</c:v>
                </c:pt>
                <c:pt idx="46">
                  <c:v>29</c:v>
                </c:pt>
                <c:pt idx="47">
                  <c:v>29.2</c:v>
                </c:pt>
                <c:pt idx="48">
                  <c:v>29</c:v>
                </c:pt>
                <c:pt idx="49">
                  <c:v>29.2</c:v>
                </c:pt>
                <c:pt idx="50">
                  <c:v>29.3</c:v>
                </c:pt>
                <c:pt idx="51">
                  <c:v>29.5</c:v>
                </c:pt>
                <c:pt idx="52">
                  <c:v>29.6</c:v>
                </c:pt>
                <c:pt idx="53">
                  <c:v>29.7</c:v>
                </c:pt>
                <c:pt idx="54">
                  <c:v>29.9</c:v>
                </c:pt>
                <c:pt idx="55">
                  <c:v>30</c:v>
                </c:pt>
                <c:pt idx="56">
                  <c:v>30.1</c:v>
                </c:pt>
                <c:pt idx="57">
                  <c:v>30.3</c:v>
                </c:pt>
                <c:pt idx="58">
                  <c:v>30.4</c:v>
                </c:pt>
                <c:pt idx="59">
                  <c:v>30.6</c:v>
                </c:pt>
                <c:pt idx="60">
                  <c:v>30.7</c:v>
                </c:pt>
              </c:numCache>
            </c:numRef>
          </c:val>
          <c:smooth val="0"/>
          <c:extLst>
            <c:ext xmlns:c16="http://schemas.microsoft.com/office/drawing/2014/chart" uri="{C3380CC4-5D6E-409C-BE32-E72D297353CC}">
              <c16:uniqueId val="{00000002-A6AE-484D-ADEA-1F2F2F660761}"/>
            </c:ext>
          </c:extLst>
        </c:ser>
        <c:dLbls>
          <c:showLegendKey val="0"/>
          <c:showVal val="0"/>
          <c:showCatName val="0"/>
          <c:showSerName val="0"/>
          <c:showPercent val="0"/>
          <c:showBubbleSize val="0"/>
        </c:dLbls>
        <c:marker val="1"/>
        <c:smooth val="0"/>
        <c:axId val="147729792"/>
        <c:axId val="147752832"/>
      </c:lineChart>
      <c:catAx>
        <c:axId val="147729792"/>
        <c:scaling>
          <c:orientation val="minMax"/>
        </c:scaling>
        <c:delete val="0"/>
        <c:axPos val="b"/>
        <c:title>
          <c:tx>
            <c:rich>
              <a:bodyPr/>
              <a:lstStyle/>
              <a:p>
                <a:pPr>
                  <a:defRPr/>
                </a:pPr>
                <a:r>
                  <a:rPr lang="en-US"/>
                  <a:t>génération</a:t>
                </a:r>
              </a:p>
            </c:rich>
          </c:tx>
          <c:layout>
            <c:manualLayout>
              <c:xMode val="edge"/>
              <c:yMode val="edge"/>
              <c:x val="0.74000562587904362"/>
              <c:y val="0.57134799010338766"/>
            </c:manualLayout>
          </c:layout>
          <c:overlay val="0"/>
        </c:title>
        <c:numFmt formatCode="General" sourceLinked="1"/>
        <c:majorTickMark val="out"/>
        <c:minorTickMark val="none"/>
        <c:tickLblPos val="nextTo"/>
        <c:crossAx val="147752832"/>
        <c:crosses val="autoZero"/>
        <c:auto val="1"/>
        <c:lblAlgn val="ctr"/>
        <c:lblOffset val="100"/>
        <c:noMultiLvlLbl val="0"/>
      </c:catAx>
      <c:valAx>
        <c:axId val="147752832"/>
        <c:scaling>
          <c:orientation val="minMax"/>
          <c:max val="32"/>
          <c:min val="22"/>
        </c:scaling>
        <c:delete val="0"/>
        <c:axPos val="l"/>
        <c:majorGridlines/>
        <c:title>
          <c:tx>
            <c:rich>
              <a:bodyPr rot="-5400000" vert="horz"/>
              <a:lstStyle/>
              <a:p>
                <a:pPr>
                  <a:defRPr/>
                </a:pPr>
                <a:r>
                  <a:rPr lang="en-US"/>
                  <a:t>en années</a:t>
                </a:r>
              </a:p>
            </c:rich>
          </c:tx>
          <c:layout>
            <c:manualLayout>
              <c:xMode val="edge"/>
              <c:yMode val="edge"/>
              <c:x val="1.2584388185654008E-2"/>
              <c:y val="0.22370483259485038"/>
            </c:manualLayout>
          </c:layout>
          <c:overlay val="0"/>
        </c:title>
        <c:numFmt formatCode="0" sourceLinked="0"/>
        <c:majorTickMark val="out"/>
        <c:minorTickMark val="none"/>
        <c:tickLblPos val="nextTo"/>
        <c:crossAx val="147729792"/>
        <c:crosses val="autoZero"/>
        <c:crossBetween val="between"/>
        <c:majorUnit val="1"/>
      </c:valAx>
    </c:plotArea>
    <c:legend>
      <c:legendPos val="b"/>
      <c:layout>
        <c:manualLayout>
          <c:xMode val="edge"/>
          <c:yMode val="edge"/>
          <c:x val="4.4358339214628046E-3"/>
          <c:y val="0.8121359561237641"/>
          <c:w val="0.99556416607853715"/>
          <c:h val="0.187864043876235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25210970464136"/>
          <c:y val="5.2222962962962964E-2"/>
          <c:w val="0.78638994374120952"/>
          <c:h val="0.59976255656215005"/>
        </c:manualLayout>
      </c:layout>
      <c:lineChart>
        <c:grouping val="standard"/>
        <c:varyColors val="0"/>
        <c:ser>
          <c:idx val="0"/>
          <c:order val="0"/>
          <c:tx>
            <c:strRef>
              <c:f>'Fig 2.20'!$B$8</c:f>
              <c:strCache>
                <c:ptCount val="1"/>
                <c:pt idx="0">
                  <c:v>Scénario central de mortalité</c:v>
                </c:pt>
              </c:strCache>
            </c:strRef>
          </c:tx>
          <c:spPr>
            <a:ln w="50800">
              <a:solidFill>
                <a:srgbClr val="002060"/>
              </a:solidFill>
            </a:ln>
          </c:spPr>
          <c:marker>
            <c:symbol val="circle"/>
            <c:size val="3"/>
            <c:spPr>
              <a:solidFill>
                <a:srgbClr val="002060"/>
              </a:solidFill>
              <a:ln>
                <a:solidFill>
                  <a:srgbClr val="002060"/>
                </a:solidFill>
              </a:ln>
            </c:spPr>
          </c:marker>
          <c:cat>
            <c:numRef>
              <c:f>'Fig 2.20'!$C$3:$BK$3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2.20'!$C$8:$BK$8</c:f>
              <c:numCache>
                <c:formatCode>0.0</c:formatCode>
                <c:ptCount val="61"/>
                <c:pt idx="0">
                  <c:v>23.3</c:v>
                </c:pt>
                <c:pt idx="2">
                  <c:v>23.8</c:v>
                </c:pt>
                <c:pt idx="4">
                  <c:v>24.2</c:v>
                </c:pt>
                <c:pt idx="6">
                  <c:v>24.5</c:v>
                </c:pt>
                <c:pt idx="8">
                  <c:v>24.8</c:v>
                </c:pt>
                <c:pt idx="10">
                  <c:v>24.9</c:v>
                </c:pt>
                <c:pt idx="12">
                  <c:v>25.2</c:v>
                </c:pt>
                <c:pt idx="13">
                  <c:v>25.3</c:v>
                </c:pt>
                <c:pt idx="14">
                  <c:v>25.4</c:v>
                </c:pt>
                <c:pt idx="15">
                  <c:v>25.6</c:v>
                </c:pt>
                <c:pt idx="16">
                  <c:v>25.9</c:v>
                </c:pt>
                <c:pt idx="17">
                  <c:v>26.2</c:v>
                </c:pt>
                <c:pt idx="18">
                  <c:v>26.4</c:v>
                </c:pt>
                <c:pt idx="19">
                  <c:v>26.6</c:v>
                </c:pt>
                <c:pt idx="20">
                  <c:v>26.6</c:v>
                </c:pt>
                <c:pt idx="21">
                  <c:v>26.5</c:v>
                </c:pt>
                <c:pt idx="22">
                  <c:v>26.3</c:v>
                </c:pt>
                <c:pt idx="23">
                  <c:v>26</c:v>
                </c:pt>
                <c:pt idx="24">
                  <c:v>25.8</c:v>
                </c:pt>
                <c:pt idx="25">
                  <c:v>25.6</c:v>
                </c:pt>
                <c:pt idx="26">
                  <c:v>25.6</c:v>
                </c:pt>
                <c:pt idx="27">
                  <c:v>25.7</c:v>
                </c:pt>
                <c:pt idx="28">
                  <c:v>25.6</c:v>
                </c:pt>
                <c:pt idx="29">
                  <c:v>25.7</c:v>
                </c:pt>
                <c:pt idx="30">
                  <c:v>25.8</c:v>
                </c:pt>
                <c:pt idx="31">
                  <c:v>25.7</c:v>
                </c:pt>
                <c:pt idx="32">
                  <c:v>25.7</c:v>
                </c:pt>
                <c:pt idx="33">
                  <c:v>25.8</c:v>
                </c:pt>
                <c:pt idx="34">
                  <c:v>25.7</c:v>
                </c:pt>
                <c:pt idx="35">
                  <c:v>25.7</c:v>
                </c:pt>
                <c:pt idx="36">
                  <c:v>25.7</c:v>
                </c:pt>
                <c:pt idx="37">
                  <c:v>25.7</c:v>
                </c:pt>
                <c:pt idx="38">
                  <c:v>25.7</c:v>
                </c:pt>
                <c:pt idx="39">
                  <c:v>25.7</c:v>
                </c:pt>
                <c:pt idx="40">
                  <c:v>25.7</c:v>
                </c:pt>
                <c:pt idx="41">
                  <c:v>25.7</c:v>
                </c:pt>
                <c:pt idx="42">
                  <c:v>25.7</c:v>
                </c:pt>
                <c:pt idx="43">
                  <c:v>25.7</c:v>
                </c:pt>
                <c:pt idx="44">
                  <c:v>25.7</c:v>
                </c:pt>
                <c:pt idx="45">
                  <c:v>25.7</c:v>
                </c:pt>
                <c:pt idx="46">
                  <c:v>25.8</c:v>
                </c:pt>
                <c:pt idx="47">
                  <c:v>25.9</c:v>
                </c:pt>
                <c:pt idx="48">
                  <c:v>26</c:v>
                </c:pt>
                <c:pt idx="49">
                  <c:v>26.1</c:v>
                </c:pt>
                <c:pt idx="50">
                  <c:v>26.3</c:v>
                </c:pt>
                <c:pt idx="51">
                  <c:v>26.4</c:v>
                </c:pt>
                <c:pt idx="52">
                  <c:v>26.5</c:v>
                </c:pt>
                <c:pt idx="53">
                  <c:v>26.6</c:v>
                </c:pt>
                <c:pt idx="54">
                  <c:v>26.7</c:v>
                </c:pt>
                <c:pt idx="55">
                  <c:v>26.8</c:v>
                </c:pt>
                <c:pt idx="56">
                  <c:v>26.9</c:v>
                </c:pt>
                <c:pt idx="57">
                  <c:v>27</c:v>
                </c:pt>
                <c:pt idx="58">
                  <c:v>27.1</c:v>
                </c:pt>
                <c:pt idx="59">
                  <c:v>27.2</c:v>
                </c:pt>
                <c:pt idx="60">
                  <c:v>27.3</c:v>
                </c:pt>
              </c:numCache>
            </c:numRef>
          </c:val>
          <c:smooth val="0"/>
          <c:extLst>
            <c:ext xmlns:c16="http://schemas.microsoft.com/office/drawing/2014/chart" uri="{C3380CC4-5D6E-409C-BE32-E72D297353CC}">
              <c16:uniqueId val="{00000000-DAA0-43F5-9175-6A313931E877}"/>
            </c:ext>
          </c:extLst>
        </c:ser>
        <c:ser>
          <c:idx val="1"/>
          <c:order val="1"/>
          <c:tx>
            <c:strRef>
              <c:f>'Fig 2.20'!$B$9</c:f>
              <c:strCache>
                <c:ptCount val="1"/>
                <c:pt idx="0">
                  <c:v>Variante de mortalité haute</c:v>
                </c:pt>
              </c:strCache>
            </c:strRef>
          </c:tx>
          <c:spPr>
            <a:ln w="15875" cmpd="dbl">
              <a:solidFill>
                <a:srgbClr val="002060"/>
              </a:solidFill>
            </a:ln>
          </c:spPr>
          <c:marker>
            <c:symbol val="circle"/>
            <c:size val="2"/>
            <c:spPr>
              <a:solidFill>
                <a:schemeClr val="bg1">
                  <a:lumMod val="65000"/>
                </a:schemeClr>
              </a:solidFill>
              <a:ln>
                <a:solidFill>
                  <a:srgbClr val="002060"/>
                </a:solidFill>
              </a:ln>
            </c:spPr>
          </c:marker>
          <c:cat>
            <c:numRef>
              <c:f>'Fig 2.20'!$C$3:$BK$3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2.20'!$C$9:$BK$9</c:f>
              <c:numCache>
                <c:formatCode>0.0</c:formatCode>
                <c:ptCount val="61"/>
                <c:pt idx="0">
                  <c:v>23.1</c:v>
                </c:pt>
                <c:pt idx="2">
                  <c:v>23.6</c:v>
                </c:pt>
                <c:pt idx="4">
                  <c:v>23.9</c:v>
                </c:pt>
                <c:pt idx="6">
                  <c:v>24.1</c:v>
                </c:pt>
                <c:pt idx="8">
                  <c:v>24.3</c:v>
                </c:pt>
                <c:pt idx="10">
                  <c:v>24.4</c:v>
                </c:pt>
                <c:pt idx="12">
                  <c:v>24.6</c:v>
                </c:pt>
                <c:pt idx="13">
                  <c:v>24.7</c:v>
                </c:pt>
                <c:pt idx="14">
                  <c:v>24.7</c:v>
                </c:pt>
                <c:pt idx="15">
                  <c:v>24.9</c:v>
                </c:pt>
                <c:pt idx="16">
                  <c:v>25.2</c:v>
                </c:pt>
                <c:pt idx="17">
                  <c:v>25.3</c:v>
                </c:pt>
                <c:pt idx="18">
                  <c:v>25.5</c:v>
                </c:pt>
                <c:pt idx="19">
                  <c:v>25.7</c:v>
                </c:pt>
                <c:pt idx="20">
                  <c:v>25.7</c:v>
                </c:pt>
                <c:pt idx="21">
                  <c:v>25.5</c:v>
                </c:pt>
                <c:pt idx="22">
                  <c:v>25.3</c:v>
                </c:pt>
                <c:pt idx="23">
                  <c:v>24.9</c:v>
                </c:pt>
                <c:pt idx="24">
                  <c:v>24.6</c:v>
                </c:pt>
                <c:pt idx="25">
                  <c:v>24.4</c:v>
                </c:pt>
                <c:pt idx="26">
                  <c:v>24.4</c:v>
                </c:pt>
                <c:pt idx="27">
                  <c:v>24.4</c:v>
                </c:pt>
                <c:pt idx="28">
                  <c:v>24.3</c:v>
                </c:pt>
                <c:pt idx="29">
                  <c:v>24.3</c:v>
                </c:pt>
                <c:pt idx="30">
                  <c:v>24.4</c:v>
                </c:pt>
                <c:pt idx="31">
                  <c:v>24.3</c:v>
                </c:pt>
                <c:pt idx="32">
                  <c:v>24.3</c:v>
                </c:pt>
                <c:pt idx="33">
                  <c:v>24.3</c:v>
                </c:pt>
                <c:pt idx="34">
                  <c:v>24.2</c:v>
                </c:pt>
                <c:pt idx="35">
                  <c:v>24.1</c:v>
                </c:pt>
                <c:pt idx="36">
                  <c:v>24.1</c:v>
                </c:pt>
                <c:pt idx="37">
                  <c:v>24</c:v>
                </c:pt>
                <c:pt idx="38">
                  <c:v>24</c:v>
                </c:pt>
                <c:pt idx="39">
                  <c:v>24</c:v>
                </c:pt>
                <c:pt idx="40">
                  <c:v>23.9</c:v>
                </c:pt>
                <c:pt idx="41">
                  <c:v>23.9</c:v>
                </c:pt>
                <c:pt idx="42">
                  <c:v>23.8</c:v>
                </c:pt>
                <c:pt idx="43">
                  <c:v>23.7</c:v>
                </c:pt>
                <c:pt idx="44">
                  <c:v>23.7</c:v>
                </c:pt>
                <c:pt idx="45">
                  <c:v>23.7</c:v>
                </c:pt>
                <c:pt idx="46">
                  <c:v>23.7</c:v>
                </c:pt>
                <c:pt idx="47">
                  <c:v>23.7</c:v>
                </c:pt>
                <c:pt idx="48">
                  <c:v>23.8</c:v>
                </c:pt>
                <c:pt idx="49">
                  <c:v>23.8</c:v>
                </c:pt>
                <c:pt idx="50">
                  <c:v>23.9</c:v>
                </c:pt>
                <c:pt idx="51">
                  <c:v>23.9</c:v>
                </c:pt>
                <c:pt idx="52">
                  <c:v>24</c:v>
                </c:pt>
                <c:pt idx="53">
                  <c:v>24</c:v>
                </c:pt>
                <c:pt idx="54">
                  <c:v>24</c:v>
                </c:pt>
                <c:pt idx="55">
                  <c:v>24</c:v>
                </c:pt>
                <c:pt idx="56">
                  <c:v>24</c:v>
                </c:pt>
                <c:pt idx="57">
                  <c:v>24.1</c:v>
                </c:pt>
                <c:pt idx="58">
                  <c:v>24.1</c:v>
                </c:pt>
                <c:pt idx="59">
                  <c:v>24.1</c:v>
                </c:pt>
                <c:pt idx="60">
                  <c:v>24.1</c:v>
                </c:pt>
              </c:numCache>
            </c:numRef>
          </c:val>
          <c:smooth val="0"/>
          <c:extLst>
            <c:ext xmlns:c16="http://schemas.microsoft.com/office/drawing/2014/chart" uri="{C3380CC4-5D6E-409C-BE32-E72D297353CC}">
              <c16:uniqueId val="{00000001-DAA0-43F5-9175-6A313931E877}"/>
            </c:ext>
          </c:extLst>
        </c:ser>
        <c:ser>
          <c:idx val="2"/>
          <c:order val="2"/>
          <c:tx>
            <c:strRef>
              <c:f>'Fig 2.20'!$B$10</c:f>
              <c:strCache>
                <c:ptCount val="1"/>
                <c:pt idx="0">
                  <c:v>Variante de mortalité basse</c:v>
                </c:pt>
              </c:strCache>
            </c:strRef>
          </c:tx>
          <c:spPr>
            <a:ln w="25400">
              <a:solidFill>
                <a:srgbClr val="002060">
                  <a:alpha val="50000"/>
                </a:srgbClr>
              </a:solidFill>
              <a:prstDash val="sysDash"/>
            </a:ln>
          </c:spPr>
          <c:marker>
            <c:symbol val="square"/>
            <c:size val="2"/>
            <c:spPr>
              <a:solidFill>
                <a:srgbClr val="002060">
                  <a:alpha val="50000"/>
                </a:srgbClr>
              </a:solidFill>
              <a:ln>
                <a:solidFill>
                  <a:srgbClr val="002060">
                    <a:alpha val="50000"/>
                  </a:srgbClr>
                </a:solidFill>
              </a:ln>
            </c:spPr>
          </c:marker>
          <c:cat>
            <c:numRef>
              <c:f>'Fig 2.20'!$C$3:$BK$3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2.20'!$C$10:$BK$10</c:f>
              <c:numCache>
                <c:formatCode>0.0</c:formatCode>
                <c:ptCount val="61"/>
                <c:pt idx="0">
                  <c:v>23.6</c:v>
                </c:pt>
                <c:pt idx="2">
                  <c:v>24.1</c:v>
                </c:pt>
                <c:pt idx="4">
                  <c:v>24.6</c:v>
                </c:pt>
                <c:pt idx="6">
                  <c:v>25</c:v>
                </c:pt>
                <c:pt idx="8">
                  <c:v>25.4</c:v>
                </c:pt>
                <c:pt idx="10">
                  <c:v>25.6</c:v>
                </c:pt>
                <c:pt idx="12">
                  <c:v>25.9</c:v>
                </c:pt>
                <c:pt idx="13">
                  <c:v>26.1</c:v>
                </c:pt>
                <c:pt idx="14">
                  <c:v>26.3</c:v>
                </c:pt>
                <c:pt idx="15">
                  <c:v>26.5</c:v>
                </c:pt>
                <c:pt idx="16">
                  <c:v>26.9</c:v>
                </c:pt>
                <c:pt idx="17">
                  <c:v>27.2</c:v>
                </c:pt>
                <c:pt idx="18">
                  <c:v>27.4</c:v>
                </c:pt>
                <c:pt idx="19">
                  <c:v>27.7</c:v>
                </c:pt>
                <c:pt idx="20">
                  <c:v>27.8</c:v>
                </c:pt>
                <c:pt idx="21">
                  <c:v>27.8</c:v>
                </c:pt>
                <c:pt idx="22">
                  <c:v>27.6</c:v>
                </c:pt>
                <c:pt idx="23">
                  <c:v>27.3</c:v>
                </c:pt>
                <c:pt idx="24">
                  <c:v>27.1</c:v>
                </c:pt>
                <c:pt idx="25">
                  <c:v>27</c:v>
                </c:pt>
                <c:pt idx="26">
                  <c:v>27.1</c:v>
                </c:pt>
                <c:pt idx="27">
                  <c:v>27.2</c:v>
                </c:pt>
                <c:pt idx="28">
                  <c:v>27.2</c:v>
                </c:pt>
                <c:pt idx="29">
                  <c:v>27.3</c:v>
                </c:pt>
                <c:pt idx="30">
                  <c:v>27.4</c:v>
                </c:pt>
                <c:pt idx="31">
                  <c:v>27.4</c:v>
                </c:pt>
                <c:pt idx="32">
                  <c:v>27.5</c:v>
                </c:pt>
                <c:pt idx="33">
                  <c:v>27.6</c:v>
                </c:pt>
                <c:pt idx="34">
                  <c:v>27.5</c:v>
                </c:pt>
                <c:pt idx="35">
                  <c:v>27.6</c:v>
                </c:pt>
                <c:pt idx="36">
                  <c:v>27.6</c:v>
                </c:pt>
                <c:pt idx="37">
                  <c:v>27.6</c:v>
                </c:pt>
                <c:pt idx="38">
                  <c:v>27.7</c:v>
                </c:pt>
                <c:pt idx="39">
                  <c:v>27.8</c:v>
                </c:pt>
                <c:pt idx="40">
                  <c:v>27.8</c:v>
                </c:pt>
                <c:pt idx="41">
                  <c:v>27.8</c:v>
                </c:pt>
                <c:pt idx="42">
                  <c:v>27.9</c:v>
                </c:pt>
                <c:pt idx="43">
                  <c:v>27.9</c:v>
                </c:pt>
                <c:pt idx="44">
                  <c:v>27.9</c:v>
                </c:pt>
                <c:pt idx="45">
                  <c:v>28</c:v>
                </c:pt>
                <c:pt idx="46">
                  <c:v>28.1</c:v>
                </c:pt>
                <c:pt idx="47">
                  <c:v>28.3</c:v>
                </c:pt>
                <c:pt idx="48">
                  <c:v>28.4</c:v>
                </c:pt>
                <c:pt idx="49">
                  <c:v>28.6</c:v>
                </c:pt>
                <c:pt idx="50">
                  <c:v>28.8</c:v>
                </c:pt>
                <c:pt idx="51">
                  <c:v>28.9</c:v>
                </c:pt>
                <c:pt idx="52">
                  <c:v>29.1</c:v>
                </c:pt>
                <c:pt idx="53">
                  <c:v>29.2</c:v>
                </c:pt>
                <c:pt idx="54">
                  <c:v>29.3</c:v>
                </c:pt>
                <c:pt idx="55">
                  <c:v>29.5</c:v>
                </c:pt>
                <c:pt idx="56">
                  <c:v>29.6</c:v>
                </c:pt>
                <c:pt idx="57">
                  <c:v>29.7</c:v>
                </c:pt>
                <c:pt idx="58">
                  <c:v>29.8</c:v>
                </c:pt>
                <c:pt idx="59">
                  <c:v>30</c:v>
                </c:pt>
                <c:pt idx="60">
                  <c:v>30.1</c:v>
                </c:pt>
              </c:numCache>
            </c:numRef>
          </c:val>
          <c:smooth val="0"/>
          <c:extLst>
            <c:ext xmlns:c16="http://schemas.microsoft.com/office/drawing/2014/chart" uri="{C3380CC4-5D6E-409C-BE32-E72D297353CC}">
              <c16:uniqueId val="{00000002-DAA0-43F5-9175-6A313931E877}"/>
            </c:ext>
          </c:extLst>
        </c:ser>
        <c:dLbls>
          <c:showLegendKey val="0"/>
          <c:showVal val="0"/>
          <c:showCatName val="0"/>
          <c:showSerName val="0"/>
          <c:showPercent val="0"/>
          <c:showBubbleSize val="0"/>
        </c:dLbls>
        <c:marker val="1"/>
        <c:smooth val="0"/>
        <c:axId val="147766272"/>
        <c:axId val="147850752"/>
      </c:lineChart>
      <c:catAx>
        <c:axId val="147766272"/>
        <c:scaling>
          <c:orientation val="minMax"/>
        </c:scaling>
        <c:delete val="0"/>
        <c:axPos val="b"/>
        <c:title>
          <c:tx>
            <c:rich>
              <a:bodyPr/>
              <a:lstStyle/>
              <a:p>
                <a:pPr>
                  <a:defRPr/>
                </a:pPr>
                <a:r>
                  <a:rPr lang="en-US"/>
                  <a:t>génération</a:t>
                </a:r>
              </a:p>
            </c:rich>
          </c:tx>
          <c:layout>
            <c:manualLayout>
              <c:xMode val="edge"/>
              <c:yMode val="edge"/>
              <c:x val="0.74000562587904362"/>
              <c:y val="0.57134799010338766"/>
            </c:manualLayout>
          </c:layout>
          <c:overlay val="0"/>
        </c:title>
        <c:numFmt formatCode="General" sourceLinked="1"/>
        <c:majorTickMark val="out"/>
        <c:minorTickMark val="none"/>
        <c:tickLblPos val="nextTo"/>
        <c:crossAx val="147850752"/>
        <c:crosses val="autoZero"/>
        <c:auto val="1"/>
        <c:lblAlgn val="ctr"/>
        <c:lblOffset val="100"/>
        <c:noMultiLvlLbl val="0"/>
      </c:catAx>
      <c:valAx>
        <c:axId val="147850752"/>
        <c:scaling>
          <c:orientation val="minMax"/>
          <c:max val="32"/>
          <c:min val="22"/>
        </c:scaling>
        <c:delete val="0"/>
        <c:axPos val="l"/>
        <c:majorGridlines/>
        <c:title>
          <c:tx>
            <c:rich>
              <a:bodyPr rot="-5400000" vert="horz"/>
              <a:lstStyle/>
              <a:p>
                <a:pPr>
                  <a:defRPr/>
                </a:pPr>
                <a:r>
                  <a:rPr lang="en-US"/>
                  <a:t>en années</a:t>
                </a:r>
              </a:p>
            </c:rich>
          </c:tx>
          <c:layout>
            <c:manualLayout>
              <c:xMode val="edge"/>
              <c:yMode val="edge"/>
              <c:x val="1.2584388185654008E-2"/>
              <c:y val="0.22370483259485038"/>
            </c:manualLayout>
          </c:layout>
          <c:overlay val="0"/>
        </c:title>
        <c:numFmt formatCode="0" sourceLinked="0"/>
        <c:majorTickMark val="out"/>
        <c:minorTickMark val="none"/>
        <c:tickLblPos val="nextTo"/>
        <c:crossAx val="147766272"/>
        <c:crosses val="autoZero"/>
        <c:crossBetween val="between"/>
        <c:majorUnit val="1"/>
      </c:valAx>
    </c:plotArea>
    <c:legend>
      <c:legendPos val="b"/>
      <c:layout>
        <c:manualLayout>
          <c:xMode val="edge"/>
          <c:yMode val="edge"/>
          <c:x val="4.4358339214628046E-3"/>
          <c:y val="0.8121359561237641"/>
          <c:w val="0.99556416607853715"/>
          <c:h val="0.187864043876235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51090014064696"/>
          <c:y val="5.2222962962962964E-2"/>
          <c:w val="0.75513115330520397"/>
          <c:h val="0.59976255656215005"/>
        </c:manualLayout>
      </c:layout>
      <c:lineChart>
        <c:grouping val="standard"/>
        <c:varyColors val="0"/>
        <c:ser>
          <c:idx val="0"/>
          <c:order val="0"/>
          <c:tx>
            <c:strRef>
              <c:f>'Fig 2.21'!$B$4</c:f>
              <c:strCache>
                <c:ptCount val="1"/>
                <c:pt idx="0">
                  <c:v>Scénario central de mortalité</c:v>
                </c:pt>
              </c:strCache>
            </c:strRef>
          </c:tx>
          <c:spPr>
            <a:ln w="50800">
              <a:solidFill>
                <a:schemeClr val="tx1"/>
              </a:solidFill>
            </a:ln>
          </c:spPr>
          <c:marker>
            <c:symbol val="circle"/>
            <c:size val="3"/>
            <c:spPr>
              <a:solidFill>
                <a:schemeClr val="tx1"/>
              </a:solidFill>
              <a:ln>
                <a:solidFill>
                  <a:schemeClr val="tx1"/>
                </a:solidFill>
              </a:ln>
            </c:spPr>
          </c:marker>
          <c:cat>
            <c:numRef>
              <c:f>'Fig 2.21'!$C$3:$BK$3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2.21'!$C$4:$BK$4</c:f>
              <c:numCache>
                <c:formatCode>0.0%</c:formatCode>
                <c:ptCount val="61"/>
                <c:pt idx="2">
                  <c:v>0.28999999999999998</c:v>
                </c:pt>
                <c:pt idx="3">
                  <c:v>0.29199999999999998</c:v>
                </c:pt>
                <c:pt idx="4">
                  <c:v>0.29299999999999998</c:v>
                </c:pt>
                <c:pt idx="5">
                  <c:v>0.29499999999999998</c:v>
                </c:pt>
                <c:pt idx="6">
                  <c:v>0.29599999999999999</c:v>
                </c:pt>
                <c:pt idx="7">
                  <c:v>0.29699999999999999</c:v>
                </c:pt>
                <c:pt idx="8">
                  <c:v>0.29799999999999999</c:v>
                </c:pt>
                <c:pt idx="9">
                  <c:v>0.29899999999999999</c:v>
                </c:pt>
                <c:pt idx="10">
                  <c:v>0.3</c:v>
                </c:pt>
                <c:pt idx="11">
                  <c:v>0.30099999999999999</c:v>
                </c:pt>
                <c:pt idx="12">
                  <c:v>0.30199999999999999</c:v>
                </c:pt>
                <c:pt idx="13">
                  <c:v>0.30299999999999999</c:v>
                </c:pt>
                <c:pt idx="14">
                  <c:v>0.30399999999999999</c:v>
                </c:pt>
                <c:pt idx="15">
                  <c:v>0.30499999999999999</c:v>
                </c:pt>
                <c:pt idx="16">
                  <c:v>0.30599999999999999</c:v>
                </c:pt>
                <c:pt idx="17">
                  <c:v>0.307</c:v>
                </c:pt>
                <c:pt idx="18">
                  <c:v>0.308</c:v>
                </c:pt>
                <c:pt idx="19">
                  <c:v>0.309</c:v>
                </c:pt>
                <c:pt idx="20">
                  <c:v>0.31</c:v>
                </c:pt>
                <c:pt idx="21">
                  <c:v>0.311</c:v>
                </c:pt>
                <c:pt idx="22">
                  <c:v>0.312</c:v>
                </c:pt>
                <c:pt idx="23">
                  <c:v>0.313</c:v>
                </c:pt>
                <c:pt idx="24">
                  <c:v>0.314</c:v>
                </c:pt>
                <c:pt idx="25">
                  <c:v>0.315</c:v>
                </c:pt>
                <c:pt idx="26">
                  <c:v>0.316</c:v>
                </c:pt>
                <c:pt idx="27">
                  <c:v>0.317</c:v>
                </c:pt>
                <c:pt idx="28">
                  <c:v>0.318</c:v>
                </c:pt>
                <c:pt idx="29">
                  <c:v>0.31900000000000001</c:v>
                </c:pt>
                <c:pt idx="30">
                  <c:v>0.32</c:v>
                </c:pt>
                <c:pt idx="31">
                  <c:v>0.318</c:v>
                </c:pt>
                <c:pt idx="32">
                  <c:v>0.316</c:v>
                </c:pt>
                <c:pt idx="33">
                  <c:v>0.314</c:v>
                </c:pt>
                <c:pt idx="34">
                  <c:v>0.309</c:v>
                </c:pt>
                <c:pt idx="35">
                  <c:v>0.31</c:v>
                </c:pt>
                <c:pt idx="36">
                  <c:v>0.311</c:v>
                </c:pt>
                <c:pt idx="37">
                  <c:v>0.30599999999999999</c:v>
                </c:pt>
                <c:pt idx="38">
                  <c:v>0.30399999999999999</c:v>
                </c:pt>
                <c:pt idx="39">
                  <c:v>0.30499999999999999</c:v>
                </c:pt>
                <c:pt idx="40">
                  <c:v>0.3</c:v>
                </c:pt>
                <c:pt idx="41">
                  <c:v>0.29799999999999999</c:v>
                </c:pt>
                <c:pt idx="42">
                  <c:v>0.29899999999999999</c:v>
                </c:pt>
                <c:pt idx="43">
                  <c:v>0.29699999999999999</c:v>
                </c:pt>
                <c:pt idx="44">
                  <c:v>0.29799999999999999</c:v>
                </c:pt>
                <c:pt idx="45">
                  <c:v>0.29599999999999999</c:v>
                </c:pt>
                <c:pt idx="46">
                  <c:v>0.29699999999999999</c:v>
                </c:pt>
                <c:pt idx="47">
                  <c:v>0.29699999999999999</c:v>
                </c:pt>
                <c:pt idx="48">
                  <c:v>0.29599999999999999</c:v>
                </c:pt>
                <c:pt idx="49">
                  <c:v>0.29599999999999999</c:v>
                </c:pt>
                <c:pt idx="50">
                  <c:v>0.29699999999999999</c:v>
                </c:pt>
                <c:pt idx="51">
                  <c:v>0.29799999999999999</c:v>
                </c:pt>
                <c:pt idx="52">
                  <c:v>0.29899999999999999</c:v>
                </c:pt>
                <c:pt idx="53">
                  <c:v>0.29899999999999999</c:v>
                </c:pt>
                <c:pt idx="54">
                  <c:v>0.3</c:v>
                </c:pt>
                <c:pt idx="55">
                  <c:v>0.30099999999999999</c:v>
                </c:pt>
                <c:pt idx="56">
                  <c:v>0.30199999999999999</c:v>
                </c:pt>
                <c:pt idx="57">
                  <c:v>0.30299999999999999</c:v>
                </c:pt>
                <c:pt idx="58">
                  <c:v>0.30299999999999999</c:v>
                </c:pt>
                <c:pt idx="59">
                  <c:v>0.30399999999999999</c:v>
                </c:pt>
                <c:pt idx="60">
                  <c:v>0.30499999999999999</c:v>
                </c:pt>
              </c:numCache>
            </c:numRef>
          </c:val>
          <c:smooth val="0"/>
          <c:extLst>
            <c:ext xmlns:c16="http://schemas.microsoft.com/office/drawing/2014/chart" uri="{C3380CC4-5D6E-409C-BE32-E72D297353CC}">
              <c16:uniqueId val="{00000000-DA5C-408A-A091-9887E688C8F6}"/>
            </c:ext>
          </c:extLst>
        </c:ser>
        <c:ser>
          <c:idx val="1"/>
          <c:order val="1"/>
          <c:tx>
            <c:strRef>
              <c:f>'Fig 2.21'!$B$5</c:f>
              <c:strCache>
                <c:ptCount val="1"/>
                <c:pt idx="0">
                  <c:v>Variante de mortalité haute</c:v>
                </c:pt>
              </c:strCache>
            </c:strRef>
          </c:tx>
          <c:spPr>
            <a:ln w="15875" cmpd="dbl">
              <a:solidFill>
                <a:schemeClr val="tx1"/>
              </a:solidFill>
            </a:ln>
          </c:spPr>
          <c:marker>
            <c:symbol val="circle"/>
            <c:size val="2"/>
            <c:spPr>
              <a:solidFill>
                <a:schemeClr val="bg1">
                  <a:lumMod val="65000"/>
                </a:schemeClr>
              </a:solidFill>
              <a:ln>
                <a:solidFill>
                  <a:schemeClr val="tx1"/>
                </a:solidFill>
              </a:ln>
            </c:spPr>
          </c:marker>
          <c:cat>
            <c:numRef>
              <c:f>'Fig 2.21'!$C$3:$BK$3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2.21'!$C$5:$BK$5</c:f>
              <c:numCache>
                <c:formatCode>0.0%</c:formatCode>
                <c:ptCount val="61"/>
                <c:pt idx="2">
                  <c:v>0.28799999999999998</c:v>
                </c:pt>
                <c:pt idx="3">
                  <c:v>0.28999999999999998</c:v>
                </c:pt>
                <c:pt idx="4">
                  <c:v>0.29099999999999998</c:v>
                </c:pt>
                <c:pt idx="5">
                  <c:v>0.29199999999999998</c:v>
                </c:pt>
                <c:pt idx="6">
                  <c:v>0.29299999999999998</c:v>
                </c:pt>
                <c:pt idx="7">
                  <c:v>0.29399999999999998</c:v>
                </c:pt>
                <c:pt idx="8">
                  <c:v>0.29499999999999998</c:v>
                </c:pt>
                <c:pt idx="9">
                  <c:v>0.29499999999999998</c:v>
                </c:pt>
                <c:pt idx="10">
                  <c:v>0.29599999999999999</c:v>
                </c:pt>
                <c:pt idx="11">
                  <c:v>0.29699999999999999</c:v>
                </c:pt>
                <c:pt idx="12">
                  <c:v>0.29699999999999999</c:v>
                </c:pt>
                <c:pt idx="13">
                  <c:v>0.29799999999999999</c:v>
                </c:pt>
                <c:pt idx="14">
                  <c:v>0.29899999999999999</c:v>
                </c:pt>
                <c:pt idx="15">
                  <c:v>0.29899999999999999</c:v>
                </c:pt>
                <c:pt idx="16">
                  <c:v>0.3</c:v>
                </c:pt>
                <c:pt idx="17">
                  <c:v>0.30099999999999999</c:v>
                </c:pt>
                <c:pt idx="18">
                  <c:v>0.30099999999999999</c:v>
                </c:pt>
                <c:pt idx="19">
                  <c:v>0.30199999999999999</c:v>
                </c:pt>
                <c:pt idx="20">
                  <c:v>0.30299999999999999</c:v>
                </c:pt>
                <c:pt idx="21">
                  <c:v>0.30299999999999999</c:v>
                </c:pt>
                <c:pt idx="22">
                  <c:v>0.30399999999999999</c:v>
                </c:pt>
                <c:pt idx="23">
                  <c:v>0.30499999999999999</c:v>
                </c:pt>
                <c:pt idx="24">
                  <c:v>0.30499999999999999</c:v>
                </c:pt>
                <c:pt idx="25">
                  <c:v>0.30599999999999999</c:v>
                </c:pt>
                <c:pt idx="26">
                  <c:v>0.30599999999999999</c:v>
                </c:pt>
                <c:pt idx="27">
                  <c:v>0.307</c:v>
                </c:pt>
                <c:pt idx="28">
                  <c:v>0.308</c:v>
                </c:pt>
                <c:pt idx="29">
                  <c:v>0.308</c:v>
                </c:pt>
                <c:pt idx="30">
                  <c:v>0.309</c:v>
                </c:pt>
                <c:pt idx="31">
                  <c:v>0.307</c:v>
                </c:pt>
                <c:pt idx="32">
                  <c:v>0.30399999999999999</c:v>
                </c:pt>
                <c:pt idx="33">
                  <c:v>0.30199999999999999</c:v>
                </c:pt>
                <c:pt idx="34">
                  <c:v>0.29699999999999999</c:v>
                </c:pt>
                <c:pt idx="35">
                  <c:v>0.29699999999999999</c:v>
                </c:pt>
                <c:pt idx="36">
                  <c:v>0.29799999999999999</c:v>
                </c:pt>
                <c:pt idx="37">
                  <c:v>0.29299999999999998</c:v>
                </c:pt>
                <c:pt idx="38">
                  <c:v>0.28999999999999998</c:v>
                </c:pt>
                <c:pt idx="39">
                  <c:v>0.29099999999999998</c:v>
                </c:pt>
                <c:pt idx="40">
                  <c:v>0.28599999999999998</c:v>
                </c:pt>
                <c:pt idx="41">
                  <c:v>0.28299999999999997</c:v>
                </c:pt>
                <c:pt idx="42">
                  <c:v>0.28399999999999997</c:v>
                </c:pt>
                <c:pt idx="43">
                  <c:v>0.28100000000000003</c:v>
                </c:pt>
                <c:pt idx="44">
                  <c:v>0.28199999999999997</c:v>
                </c:pt>
                <c:pt idx="45">
                  <c:v>0.27900000000000003</c:v>
                </c:pt>
                <c:pt idx="46">
                  <c:v>0.28000000000000003</c:v>
                </c:pt>
                <c:pt idx="47">
                  <c:v>0.28000000000000003</c:v>
                </c:pt>
                <c:pt idx="48">
                  <c:v>0.27700000000000002</c:v>
                </c:pt>
                <c:pt idx="49">
                  <c:v>0.27800000000000002</c:v>
                </c:pt>
                <c:pt idx="50">
                  <c:v>0.27800000000000002</c:v>
                </c:pt>
                <c:pt idx="51">
                  <c:v>0.27800000000000002</c:v>
                </c:pt>
                <c:pt idx="52">
                  <c:v>0.27900000000000003</c:v>
                </c:pt>
                <c:pt idx="53">
                  <c:v>0.27900000000000003</c:v>
                </c:pt>
                <c:pt idx="54">
                  <c:v>0.27900000000000003</c:v>
                </c:pt>
                <c:pt idx="55">
                  <c:v>0.27900000000000003</c:v>
                </c:pt>
                <c:pt idx="56">
                  <c:v>0.27900000000000003</c:v>
                </c:pt>
                <c:pt idx="57">
                  <c:v>0.27900000000000003</c:v>
                </c:pt>
                <c:pt idx="58">
                  <c:v>0.28000000000000003</c:v>
                </c:pt>
                <c:pt idx="59">
                  <c:v>0.28000000000000003</c:v>
                </c:pt>
                <c:pt idx="60">
                  <c:v>0.28000000000000003</c:v>
                </c:pt>
              </c:numCache>
            </c:numRef>
          </c:val>
          <c:smooth val="0"/>
          <c:extLst>
            <c:ext xmlns:c16="http://schemas.microsoft.com/office/drawing/2014/chart" uri="{C3380CC4-5D6E-409C-BE32-E72D297353CC}">
              <c16:uniqueId val="{00000001-DA5C-408A-A091-9887E688C8F6}"/>
            </c:ext>
          </c:extLst>
        </c:ser>
        <c:ser>
          <c:idx val="2"/>
          <c:order val="2"/>
          <c:tx>
            <c:strRef>
              <c:f>'Fig 2.21'!$B$6</c:f>
              <c:strCache>
                <c:ptCount val="1"/>
                <c:pt idx="0">
                  <c:v>Variante de mortalité basse</c:v>
                </c:pt>
              </c:strCache>
            </c:strRef>
          </c:tx>
          <c:spPr>
            <a:ln w="25400">
              <a:solidFill>
                <a:schemeClr val="bg1">
                  <a:lumMod val="65000"/>
                </a:schemeClr>
              </a:solidFill>
              <a:prstDash val="sysDash"/>
            </a:ln>
          </c:spPr>
          <c:marker>
            <c:symbol val="square"/>
            <c:size val="2"/>
            <c:spPr>
              <a:solidFill>
                <a:schemeClr val="bg1">
                  <a:lumMod val="65000"/>
                </a:schemeClr>
              </a:solidFill>
              <a:ln>
                <a:solidFill>
                  <a:schemeClr val="bg1">
                    <a:lumMod val="65000"/>
                  </a:schemeClr>
                </a:solidFill>
              </a:ln>
            </c:spPr>
          </c:marker>
          <c:cat>
            <c:numRef>
              <c:f>'Fig 2.21'!$C$3:$BK$3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2.21'!$C$6:$BK$6</c:f>
              <c:numCache>
                <c:formatCode>0.0%</c:formatCode>
                <c:ptCount val="61"/>
                <c:pt idx="2">
                  <c:v>0.29299999999999998</c:v>
                </c:pt>
                <c:pt idx="3">
                  <c:v>0.29499999999999998</c:v>
                </c:pt>
                <c:pt idx="4">
                  <c:v>0.29699999999999999</c:v>
                </c:pt>
                <c:pt idx="5">
                  <c:v>0.29799999999999999</c:v>
                </c:pt>
                <c:pt idx="6">
                  <c:v>0.3</c:v>
                </c:pt>
                <c:pt idx="7">
                  <c:v>0.30099999999999999</c:v>
                </c:pt>
                <c:pt idx="8">
                  <c:v>0.30299999999999999</c:v>
                </c:pt>
                <c:pt idx="9">
                  <c:v>0.30399999999999999</c:v>
                </c:pt>
                <c:pt idx="10">
                  <c:v>0.30599999999999999</c:v>
                </c:pt>
                <c:pt idx="11">
                  <c:v>0.307</c:v>
                </c:pt>
                <c:pt idx="12">
                  <c:v>0.309</c:v>
                </c:pt>
                <c:pt idx="13">
                  <c:v>0.31</c:v>
                </c:pt>
                <c:pt idx="14">
                  <c:v>0.311</c:v>
                </c:pt>
                <c:pt idx="15">
                  <c:v>0.313</c:v>
                </c:pt>
                <c:pt idx="16">
                  <c:v>0.314</c:v>
                </c:pt>
                <c:pt idx="17">
                  <c:v>0.315</c:v>
                </c:pt>
                <c:pt idx="18">
                  <c:v>0.317</c:v>
                </c:pt>
                <c:pt idx="19">
                  <c:v>0.318</c:v>
                </c:pt>
                <c:pt idx="20">
                  <c:v>0.32</c:v>
                </c:pt>
                <c:pt idx="21">
                  <c:v>0.32100000000000001</c:v>
                </c:pt>
                <c:pt idx="22">
                  <c:v>0.32200000000000001</c:v>
                </c:pt>
                <c:pt idx="23">
                  <c:v>0.32300000000000001</c:v>
                </c:pt>
                <c:pt idx="24">
                  <c:v>0.32500000000000001</c:v>
                </c:pt>
                <c:pt idx="25">
                  <c:v>0.32600000000000001</c:v>
                </c:pt>
                <c:pt idx="26">
                  <c:v>0.32700000000000001</c:v>
                </c:pt>
                <c:pt idx="27">
                  <c:v>0.32800000000000001</c:v>
                </c:pt>
                <c:pt idx="28">
                  <c:v>0.33</c:v>
                </c:pt>
                <c:pt idx="29">
                  <c:v>0.33100000000000002</c:v>
                </c:pt>
                <c:pt idx="30">
                  <c:v>0.33200000000000002</c:v>
                </c:pt>
                <c:pt idx="31">
                  <c:v>0.33100000000000002</c:v>
                </c:pt>
                <c:pt idx="32">
                  <c:v>0.32900000000000001</c:v>
                </c:pt>
                <c:pt idx="33">
                  <c:v>0.32700000000000001</c:v>
                </c:pt>
                <c:pt idx="34">
                  <c:v>0.32300000000000001</c:v>
                </c:pt>
                <c:pt idx="35">
                  <c:v>0.32400000000000001</c:v>
                </c:pt>
                <c:pt idx="36">
                  <c:v>0.32500000000000001</c:v>
                </c:pt>
                <c:pt idx="37">
                  <c:v>0.32100000000000001</c:v>
                </c:pt>
                <c:pt idx="38">
                  <c:v>0.31900000000000001</c:v>
                </c:pt>
                <c:pt idx="39">
                  <c:v>0.32</c:v>
                </c:pt>
                <c:pt idx="40">
                  <c:v>0.316</c:v>
                </c:pt>
                <c:pt idx="41">
                  <c:v>0.314</c:v>
                </c:pt>
                <c:pt idx="42">
                  <c:v>0.316</c:v>
                </c:pt>
                <c:pt idx="43">
                  <c:v>0.314</c:v>
                </c:pt>
                <c:pt idx="44">
                  <c:v>0.315</c:v>
                </c:pt>
                <c:pt idx="45">
                  <c:v>0.313</c:v>
                </c:pt>
                <c:pt idx="46">
                  <c:v>0.314</c:v>
                </c:pt>
                <c:pt idx="47">
                  <c:v>0.315</c:v>
                </c:pt>
                <c:pt idx="48">
                  <c:v>0.314</c:v>
                </c:pt>
                <c:pt idx="49">
                  <c:v>0.315</c:v>
                </c:pt>
                <c:pt idx="50">
                  <c:v>0.316</c:v>
                </c:pt>
                <c:pt idx="51">
                  <c:v>0.317</c:v>
                </c:pt>
                <c:pt idx="52">
                  <c:v>0.318</c:v>
                </c:pt>
                <c:pt idx="53">
                  <c:v>0.31900000000000001</c:v>
                </c:pt>
                <c:pt idx="54">
                  <c:v>0.32</c:v>
                </c:pt>
                <c:pt idx="55">
                  <c:v>0.32100000000000001</c:v>
                </c:pt>
                <c:pt idx="56">
                  <c:v>0.32200000000000001</c:v>
                </c:pt>
                <c:pt idx="57">
                  <c:v>0.32300000000000001</c:v>
                </c:pt>
                <c:pt idx="58">
                  <c:v>0.32400000000000001</c:v>
                </c:pt>
                <c:pt idx="59">
                  <c:v>0.32500000000000001</c:v>
                </c:pt>
                <c:pt idx="60">
                  <c:v>0.32600000000000001</c:v>
                </c:pt>
              </c:numCache>
            </c:numRef>
          </c:val>
          <c:smooth val="0"/>
          <c:extLst>
            <c:ext xmlns:c16="http://schemas.microsoft.com/office/drawing/2014/chart" uri="{C3380CC4-5D6E-409C-BE32-E72D297353CC}">
              <c16:uniqueId val="{00000002-DA5C-408A-A091-9887E688C8F6}"/>
            </c:ext>
          </c:extLst>
        </c:ser>
        <c:dLbls>
          <c:showLegendKey val="0"/>
          <c:showVal val="0"/>
          <c:showCatName val="0"/>
          <c:showSerName val="0"/>
          <c:showPercent val="0"/>
          <c:showBubbleSize val="0"/>
        </c:dLbls>
        <c:marker val="1"/>
        <c:smooth val="0"/>
        <c:axId val="147935232"/>
        <c:axId val="147937536"/>
      </c:lineChart>
      <c:catAx>
        <c:axId val="147935232"/>
        <c:scaling>
          <c:orientation val="minMax"/>
        </c:scaling>
        <c:delete val="0"/>
        <c:axPos val="b"/>
        <c:title>
          <c:tx>
            <c:rich>
              <a:bodyPr/>
              <a:lstStyle/>
              <a:p>
                <a:pPr>
                  <a:defRPr/>
                </a:pPr>
                <a:r>
                  <a:rPr lang="en-US"/>
                  <a:t>génération</a:t>
                </a:r>
              </a:p>
            </c:rich>
          </c:tx>
          <c:layout>
            <c:manualLayout>
              <c:xMode val="edge"/>
              <c:yMode val="edge"/>
              <c:x val="0.74000562587904362"/>
              <c:y val="0.54782962962962967"/>
            </c:manualLayout>
          </c:layout>
          <c:overlay val="0"/>
        </c:title>
        <c:numFmt formatCode="General" sourceLinked="1"/>
        <c:majorTickMark val="out"/>
        <c:minorTickMark val="none"/>
        <c:tickLblPos val="nextTo"/>
        <c:crossAx val="147937536"/>
        <c:crosses val="autoZero"/>
        <c:auto val="1"/>
        <c:lblAlgn val="ctr"/>
        <c:lblOffset val="100"/>
        <c:noMultiLvlLbl val="0"/>
      </c:catAx>
      <c:valAx>
        <c:axId val="147937536"/>
        <c:scaling>
          <c:orientation val="minMax"/>
          <c:max val="0.35000000000000003"/>
          <c:min val="0.25"/>
        </c:scaling>
        <c:delete val="0"/>
        <c:axPos val="l"/>
        <c:majorGridlines/>
        <c:title>
          <c:tx>
            <c:rich>
              <a:bodyPr rot="-5400000" vert="horz"/>
              <a:lstStyle/>
              <a:p>
                <a:pPr>
                  <a:defRPr/>
                </a:pPr>
                <a:r>
                  <a:rPr lang="en-US"/>
                  <a:t>en % de la durée de vie totale</a:t>
                </a:r>
              </a:p>
            </c:rich>
          </c:tx>
          <c:layout>
            <c:manualLayout>
              <c:xMode val="edge"/>
              <c:yMode val="edge"/>
              <c:x val="3.6533052039381154E-3"/>
              <c:y val="4.2486111111111127E-3"/>
            </c:manualLayout>
          </c:layout>
          <c:overlay val="0"/>
        </c:title>
        <c:numFmt formatCode="0%" sourceLinked="0"/>
        <c:majorTickMark val="out"/>
        <c:minorTickMark val="none"/>
        <c:tickLblPos val="nextTo"/>
        <c:crossAx val="147935232"/>
        <c:crosses val="autoZero"/>
        <c:crossBetween val="between"/>
        <c:majorUnit val="2.0000000000000004E-2"/>
      </c:valAx>
    </c:plotArea>
    <c:legend>
      <c:legendPos val="b"/>
      <c:layout>
        <c:manualLayout>
          <c:xMode val="edge"/>
          <c:yMode val="edge"/>
          <c:x val="4.4358339214628046E-3"/>
          <c:y val="0.8121359561237641"/>
          <c:w val="0.99556416607853715"/>
          <c:h val="0.187864043876235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51090014064696"/>
          <c:y val="5.2222962962962964E-2"/>
          <c:w val="0.75513115330520397"/>
          <c:h val="0.59976255656215005"/>
        </c:manualLayout>
      </c:layout>
      <c:lineChart>
        <c:grouping val="standard"/>
        <c:varyColors val="0"/>
        <c:ser>
          <c:idx val="0"/>
          <c:order val="0"/>
          <c:tx>
            <c:strRef>
              <c:f>'Fig 2.21'!$B$8</c:f>
              <c:strCache>
                <c:ptCount val="1"/>
                <c:pt idx="0">
                  <c:v>Scénario central de mortalité</c:v>
                </c:pt>
              </c:strCache>
            </c:strRef>
          </c:tx>
          <c:spPr>
            <a:ln w="50800">
              <a:solidFill>
                <a:schemeClr val="tx1"/>
              </a:solidFill>
            </a:ln>
          </c:spPr>
          <c:marker>
            <c:symbol val="circle"/>
            <c:size val="3"/>
            <c:spPr>
              <a:solidFill>
                <a:schemeClr val="tx1"/>
              </a:solidFill>
              <a:ln>
                <a:solidFill>
                  <a:schemeClr val="tx1"/>
                </a:solidFill>
              </a:ln>
            </c:spPr>
          </c:marker>
          <c:cat>
            <c:numRef>
              <c:f>'Fig 2.21'!$C$3:$BK$3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2.21'!$C$8:$BK$8</c:f>
              <c:numCache>
                <c:formatCode>0.0%</c:formatCode>
                <c:ptCount val="61"/>
                <c:pt idx="0">
                  <c:v>0.27700000000000002</c:v>
                </c:pt>
                <c:pt idx="2">
                  <c:v>0.28199999999999997</c:v>
                </c:pt>
                <c:pt idx="4">
                  <c:v>0.28499999999999998</c:v>
                </c:pt>
                <c:pt idx="6">
                  <c:v>0.28699999999999998</c:v>
                </c:pt>
                <c:pt idx="8">
                  <c:v>0.28999999999999998</c:v>
                </c:pt>
                <c:pt idx="10">
                  <c:v>0.29099999999999998</c:v>
                </c:pt>
                <c:pt idx="12">
                  <c:v>0.29299999999999998</c:v>
                </c:pt>
                <c:pt idx="13">
                  <c:v>0.29399999999999998</c:v>
                </c:pt>
                <c:pt idx="14">
                  <c:v>0.29499999999999998</c:v>
                </c:pt>
                <c:pt idx="15">
                  <c:v>0.29599999999999999</c:v>
                </c:pt>
                <c:pt idx="16">
                  <c:v>0.3</c:v>
                </c:pt>
                <c:pt idx="17">
                  <c:v>0.30199999999999999</c:v>
                </c:pt>
                <c:pt idx="18">
                  <c:v>0.30399999999999999</c:v>
                </c:pt>
                <c:pt idx="19">
                  <c:v>0.30599999999999999</c:v>
                </c:pt>
                <c:pt idx="20">
                  <c:v>0.30599999999999999</c:v>
                </c:pt>
                <c:pt idx="21">
                  <c:v>0.30499999999999999</c:v>
                </c:pt>
                <c:pt idx="22">
                  <c:v>0.30199999999999999</c:v>
                </c:pt>
                <c:pt idx="23">
                  <c:v>0.29699999999999999</c:v>
                </c:pt>
                <c:pt idx="24">
                  <c:v>0.29499999999999998</c:v>
                </c:pt>
                <c:pt idx="25">
                  <c:v>0.29199999999999998</c:v>
                </c:pt>
                <c:pt idx="26">
                  <c:v>0.29199999999999998</c:v>
                </c:pt>
                <c:pt idx="27">
                  <c:v>0.29199999999999998</c:v>
                </c:pt>
                <c:pt idx="28">
                  <c:v>0.29199999999999998</c:v>
                </c:pt>
                <c:pt idx="29">
                  <c:v>0.29199999999999998</c:v>
                </c:pt>
                <c:pt idx="30">
                  <c:v>0.29199999999999998</c:v>
                </c:pt>
                <c:pt idx="31">
                  <c:v>0.29099999999999998</c:v>
                </c:pt>
                <c:pt idx="32">
                  <c:v>0.29099999999999998</c:v>
                </c:pt>
                <c:pt idx="33">
                  <c:v>0.29099999999999998</c:v>
                </c:pt>
                <c:pt idx="34">
                  <c:v>0.28999999999999998</c:v>
                </c:pt>
                <c:pt idx="35">
                  <c:v>0.28899999999999998</c:v>
                </c:pt>
                <c:pt idx="36">
                  <c:v>0.28999999999999998</c:v>
                </c:pt>
                <c:pt idx="37">
                  <c:v>0.28899999999999998</c:v>
                </c:pt>
                <c:pt idx="38">
                  <c:v>0.28899999999999998</c:v>
                </c:pt>
                <c:pt idx="39">
                  <c:v>0.28899999999999998</c:v>
                </c:pt>
                <c:pt idx="40">
                  <c:v>0.28799999999999998</c:v>
                </c:pt>
                <c:pt idx="41">
                  <c:v>0.28799999999999998</c:v>
                </c:pt>
                <c:pt idx="42">
                  <c:v>0.28699999999999998</c:v>
                </c:pt>
                <c:pt idx="43">
                  <c:v>0.28699999999999998</c:v>
                </c:pt>
                <c:pt idx="44">
                  <c:v>0.28599999999999998</c:v>
                </c:pt>
                <c:pt idx="45">
                  <c:v>0.28699999999999998</c:v>
                </c:pt>
                <c:pt idx="46">
                  <c:v>0.28699999999999998</c:v>
                </c:pt>
                <c:pt idx="47">
                  <c:v>0.28799999999999998</c:v>
                </c:pt>
                <c:pt idx="48">
                  <c:v>0.28899999999999998</c:v>
                </c:pt>
                <c:pt idx="49">
                  <c:v>0.28999999999999998</c:v>
                </c:pt>
                <c:pt idx="50">
                  <c:v>0.29099999999999998</c:v>
                </c:pt>
                <c:pt idx="51">
                  <c:v>0.29199999999999998</c:v>
                </c:pt>
                <c:pt idx="52">
                  <c:v>0.29299999999999998</c:v>
                </c:pt>
                <c:pt idx="53">
                  <c:v>0.29299999999999998</c:v>
                </c:pt>
                <c:pt idx="54">
                  <c:v>0.29399999999999998</c:v>
                </c:pt>
                <c:pt idx="55">
                  <c:v>0.29499999999999998</c:v>
                </c:pt>
                <c:pt idx="56">
                  <c:v>0.29499999999999998</c:v>
                </c:pt>
                <c:pt idx="57">
                  <c:v>0.29599999999999999</c:v>
                </c:pt>
                <c:pt idx="58">
                  <c:v>0.29699999999999999</c:v>
                </c:pt>
                <c:pt idx="59">
                  <c:v>0.29799999999999999</c:v>
                </c:pt>
                <c:pt idx="60">
                  <c:v>0.29899999999999999</c:v>
                </c:pt>
              </c:numCache>
            </c:numRef>
          </c:val>
          <c:smooth val="0"/>
          <c:extLst>
            <c:ext xmlns:c16="http://schemas.microsoft.com/office/drawing/2014/chart" uri="{C3380CC4-5D6E-409C-BE32-E72D297353CC}">
              <c16:uniqueId val="{00000000-6284-4C2C-B811-14314C4E7A74}"/>
            </c:ext>
          </c:extLst>
        </c:ser>
        <c:ser>
          <c:idx val="1"/>
          <c:order val="1"/>
          <c:tx>
            <c:strRef>
              <c:f>'Fig 2.21'!$B$9</c:f>
              <c:strCache>
                <c:ptCount val="1"/>
                <c:pt idx="0">
                  <c:v>Variante de mortalité haute</c:v>
                </c:pt>
              </c:strCache>
            </c:strRef>
          </c:tx>
          <c:spPr>
            <a:ln w="15875" cmpd="dbl">
              <a:solidFill>
                <a:schemeClr val="tx1"/>
              </a:solidFill>
            </a:ln>
          </c:spPr>
          <c:marker>
            <c:symbol val="circle"/>
            <c:size val="2"/>
            <c:spPr>
              <a:solidFill>
                <a:schemeClr val="bg1">
                  <a:lumMod val="65000"/>
                </a:schemeClr>
              </a:solidFill>
              <a:ln>
                <a:solidFill>
                  <a:schemeClr val="tx1"/>
                </a:solidFill>
              </a:ln>
            </c:spPr>
          </c:marker>
          <c:cat>
            <c:numRef>
              <c:f>'Fig 2.21'!$C$3:$BK$3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2.21'!$C$9:$BK$9</c:f>
              <c:numCache>
                <c:formatCode>0.0%</c:formatCode>
                <c:ptCount val="61"/>
                <c:pt idx="0">
                  <c:v>0.27500000000000002</c:v>
                </c:pt>
                <c:pt idx="2">
                  <c:v>0.27900000000000003</c:v>
                </c:pt>
                <c:pt idx="4">
                  <c:v>0.28199999999999997</c:v>
                </c:pt>
                <c:pt idx="6">
                  <c:v>0.28399999999999997</c:v>
                </c:pt>
                <c:pt idx="8">
                  <c:v>0.28599999999999998</c:v>
                </c:pt>
                <c:pt idx="10">
                  <c:v>0.28599999999999998</c:v>
                </c:pt>
                <c:pt idx="12">
                  <c:v>0.28799999999999998</c:v>
                </c:pt>
                <c:pt idx="13">
                  <c:v>0.28899999999999998</c:v>
                </c:pt>
                <c:pt idx="14">
                  <c:v>0.28899999999999998</c:v>
                </c:pt>
                <c:pt idx="15">
                  <c:v>0.28999999999999998</c:v>
                </c:pt>
                <c:pt idx="16">
                  <c:v>0.29299999999999998</c:v>
                </c:pt>
                <c:pt idx="17">
                  <c:v>0.29499999999999998</c:v>
                </c:pt>
                <c:pt idx="18">
                  <c:v>0.29699999999999999</c:v>
                </c:pt>
                <c:pt idx="19">
                  <c:v>0.29899999999999999</c:v>
                </c:pt>
                <c:pt idx="20">
                  <c:v>0.29799999999999999</c:v>
                </c:pt>
                <c:pt idx="21">
                  <c:v>0.29599999999999999</c:v>
                </c:pt>
                <c:pt idx="22">
                  <c:v>0.29299999999999998</c:v>
                </c:pt>
                <c:pt idx="23">
                  <c:v>0.28799999999999998</c:v>
                </c:pt>
                <c:pt idx="24">
                  <c:v>0.28499999999999998</c:v>
                </c:pt>
                <c:pt idx="25">
                  <c:v>0.28199999999999997</c:v>
                </c:pt>
                <c:pt idx="26">
                  <c:v>0.28199999999999997</c:v>
                </c:pt>
                <c:pt idx="27">
                  <c:v>0.28199999999999997</c:v>
                </c:pt>
                <c:pt idx="28">
                  <c:v>0.28100000000000003</c:v>
                </c:pt>
                <c:pt idx="29">
                  <c:v>0.28100000000000003</c:v>
                </c:pt>
                <c:pt idx="30">
                  <c:v>0.28100000000000003</c:v>
                </c:pt>
                <c:pt idx="31">
                  <c:v>0.28000000000000003</c:v>
                </c:pt>
                <c:pt idx="32">
                  <c:v>0.27900000000000003</c:v>
                </c:pt>
                <c:pt idx="33">
                  <c:v>0.27900000000000003</c:v>
                </c:pt>
                <c:pt idx="34">
                  <c:v>0.27800000000000002</c:v>
                </c:pt>
                <c:pt idx="35">
                  <c:v>0.27700000000000002</c:v>
                </c:pt>
                <c:pt idx="36">
                  <c:v>0.27600000000000002</c:v>
                </c:pt>
                <c:pt idx="37">
                  <c:v>0.27500000000000002</c:v>
                </c:pt>
                <c:pt idx="38">
                  <c:v>0.27500000000000002</c:v>
                </c:pt>
                <c:pt idx="39">
                  <c:v>0.27400000000000002</c:v>
                </c:pt>
                <c:pt idx="40">
                  <c:v>0.27300000000000002</c:v>
                </c:pt>
                <c:pt idx="41">
                  <c:v>0.27300000000000002</c:v>
                </c:pt>
                <c:pt idx="42">
                  <c:v>0.27200000000000002</c:v>
                </c:pt>
                <c:pt idx="43">
                  <c:v>0.27100000000000002</c:v>
                </c:pt>
                <c:pt idx="44">
                  <c:v>0.27</c:v>
                </c:pt>
                <c:pt idx="45">
                  <c:v>0.27</c:v>
                </c:pt>
                <c:pt idx="46">
                  <c:v>0.27</c:v>
                </c:pt>
                <c:pt idx="47">
                  <c:v>0.27</c:v>
                </c:pt>
                <c:pt idx="48">
                  <c:v>0.27100000000000002</c:v>
                </c:pt>
                <c:pt idx="49">
                  <c:v>0.27100000000000002</c:v>
                </c:pt>
                <c:pt idx="50">
                  <c:v>0.27200000000000002</c:v>
                </c:pt>
                <c:pt idx="51">
                  <c:v>0.27200000000000002</c:v>
                </c:pt>
                <c:pt idx="52">
                  <c:v>0.27200000000000002</c:v>
                </c:pt>
                <c:pt idx="53">
                  <c:v>0.27200000000000002</c:v>
                </c:pt>
                <c:pt idx="54">
                  <c:v>0.27300000000000002</c:v>
                </c:pt>
                <c:pt idx="55">
                  <c:v>0.27300000000000002</c:v>
                </c:pt>
                <c:pt idx="56">
                  <c:v>0.27300000000000002</c:v>
                </c:pt>
                <c:pt idx="57">
                  <c:v>0.27300000000000002</c:v>
                </c:pt>
                <c:pt idx="58">
                  <c:v>0.27300000000000002</c:v>
                </c:pt>
                <c:pt idx="59">
                  <c:v>0.27300000000000002</c:v>
                </c:pt>
                <c:pt idx="60">
                  <c:v>0.27400000000000002</c:v>
                </c:pt>
              </c:numCache>
            </c:numRef>
          </c:val>
          <c:smooth val="0"/>
          <c:extLst>
            <c:ext xmlns:c16="http://schemas.microsoft.com/office/drawing/2014/chart" uri="{C3380CC4-5D6E-409C-BE32-E72D297353CC}">
              <c16:uniqueId val="{00000001-6284-4C2C-B811-14314C4E7A74}"/>
            </c:ext>
          </c:extLst>
        </c:ser>
        <c:ser>
          <c:idx val="2"/>
          <c:order val="2"/>
          <c:tx>
            <c:strRef>
              <c:f>'Fig 2.21'!$B$10</c:f>
              <c:strCache>
                <c:ptCount val="1"/>
                <c:pt idx="0">
                  <c:v>Variante de mortalité basse</c:v>
                </c:pt>
              </c:strCache>
            </c:strRef>
          </c:tx>
          <c:spPr>
            <a:ln w="25400">
              <a:solidFill>
                <a:schemeClr val="bg1">
                  <a:lumMod val="65000"/>
                </a:schemeClr>
              </a:solidFill>
              <a:prstDash val="sysDash"/>
            </a:ln>
          </c:spPr>
          <c:marker>
            <c:symbol val="square"/>
            <c:size val="2"/>
            <c:spPr>
              <a:solidFill>
                <a:schemeClr val="bg1">
                  <a:lumMod val="65000"/>
                </a:schemeClr>
              </a:solidFill>
              <a:ln>
                <a:solidFill>
                  <a:schemeClr val="bg1">
                    <a:lumMod val="65000"/>
                  </a:schemeClr>
                </a:solidFill>
              </a:ln>
            </c:spPr>
          </c:marker>
          <c:cat>
            <c:numRef>
              <c:f>'Fig 2.21'!$C$3:$BK$3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2.21'!$C$10:$BK$10</c:f>
              <c:numCache>
                <c:formatCode>0.0%</c:formatCode>
                <c:ptCount val="61"/>
                <c:pt idx="0">
                  <c:v>0.27900000000000003</c:v>
                </c:pt>
                <c:pt idx="2">
                  <c:v>0.28399999999999997</c:v>
                </c:pt>
                <c:pt idx="4">
                  <c:v>0.28799999999999998</c:v>
                </c:pt>
                <c:pt idx="6">
                  <c:v>0.29099999999999998</c:v>
                </c:pt>
                <c:pt idx="8">
                  <c:v>0.29499999999999998</c:v>
                </c:pt>
                <c:pt idx="10">
                  <c:v>0.29599999999999999</c:v>
                </c:pt>
                <c:pt idx="12">
                  <c:v>0.29899999999999999</c:v>
                </c:pt>
                <c:pt idx="13">
                  <c:v>0.30099999999999999</c:v>
                </c:pt>
                <c:pt idx="14">
                  <c:v>0.30199999999999999</c:v>
                </c:pt>
                <c:pt idx="15">
                  <c:v>0.30399999999999999</c:v>
                </c:pt>
                <c:pt idx="16">
                  <c:v>0.307</c:v>
                </c:pt>
                <c:pt idx="17">
                  <c:v>0.31</c:v>
                </c:pt>
                <c:pt idx="18">
                  <c:v>0.312</c:v>
                </c:pt>
                <c:pt idx="19">
                  <c:v>0.315</c:v>
                </c:pt>
                <c:pt idx="20">
                  <c:v>0.315</c:v>
                </c:pt>
                <c:pt idx="21">
                  <c:v>0.314</c:v>
                </c:pt>
                <c:pt idx="22">
                  <c:v>0.312</c:v>
                </c:pt>
                <c:pt idx="23">
                  <c:v>0.308</c:v>
                </c:pt>
                <c:pt idx="24">
                  <c:v>0.30599999999999999</c:v>
                </c:pt>
                <c:pt idx="25">
                  <c:v>0.30299999999999999</c:v>
                </c:pt>
                <c:pt idx="26">
                  <c:v>0.30299999999999999</c:v>
                </c:pt>
                <c:pt idx="27">
                  <c:v>0.30399999999999999</c:v>
                </c:pt>
                <c:pt idx="28">
                  <c:v>0.30399999999999999</c:v>
                </c:pt>
                <c:pt idx="29">
                  <c:v>0.30399999999999999</c:v>
                </c:pt>
                <c:pt idx="30">
                  <c:v>0.30499999999999999</c:v>
                </c:pt>
                <c:pt idx="31">
                  <c:v>0.30399999999999999</c:v>
                </c:pt>
                <c:pt idx="32">
                  <c:v>0.30499999999999999</c:v>
                </c:pt>
                <c:pt idx="33">
                  <c:v>0.30499999999999999</c:v>
                </c:pt>
                <c:pt idx="34">
                  <c:v>0.30399999999999999</c:v>
                </c:pt>
                <c:pt idx="35">
                  <c:v>0.30399999999999999</c:v>
                </c:pt>
                <c:pt idx="36">
                  <c:v>0.30499999999999999</c:v>
                </c:pt>
                <c:pt idx="37">
                  <c:v>0.30399999999999999</c:v>
                </c:pt>
                <c:pt idx="38">
                  <c:v>0.30399999999999999</c:v>
                </c:pt>
                <c:pt idx="39">
                  <c:v>0.30399999999999999</c:v>
                </c:pt>
                <c:pt idx="40">
                  <c:v>0.30399999999999999</c:v>
                </c:pt>
                <c:pt idx="41">
                  <c:v>0.30399999999999999</c:v>
                </c:pt>
                <c:pt idx="42">
                  <c:v>0.30399999999999999</c:v>
                </c:pt>
                <c:pt idx="43">
                  <c:v>0.30399999999999999</c:v>
                </c:pt>
                <c:pt idx="44">
                  <c:v>0.30399999999999999</c:v>
                </c:pt>
                <c:pt idx="45">
                  <c:v>0.30399999999999999</c:v>
                </c:pt>
                <c:pt idx="46">
                  <c:v>0.30499999999999999</c:v>
                </c:pt>
                <c:pt idx="47">
                  <c:v>0.30599999999999999</c:v>
                </c:pt>
                <c:pt idx="48">
                  <c:v>0.307</c:v>
                </c:pt>
                <c:pt idx="49">
                  <c:v>0.309</c:v>
                </c:pt>
                <c:pt idx="50">
                  <c:v>0.31</c:v>
                </c:pt>
                <c:pt idx="51">
                  <c:v>0.311</c:v>
                </c:pt>
                <c:pt idx="52">
                  <c:v>0.312</c:v>
                </c:pt>
                <c:pt idx="53">
                  <c:v>0.313</c:v>
                </c:pt>
                <c:pt idx="54">
                  <c:v>0.314</c:v>
                </c:pt>
                <c:pt idx="55">
                  <c:v>0.315</c:v>
                </c:pt>
                <c:pt idx="56">
                  <c:v>0.316</c:v>
                </c:pt>
                <c:pt idx="57">
                  <c:v>0.317</c:v>
                </c:pt>
                <c:pt idx="58">
                  <c:v>0.318</c:v>
                </c:pt>
                <c:pt idx="59">
                  <c:v>0.31900000000000001</c:v>
                </c:pt>
                <c:pt idx="60">
                  <c:v>0.32</c:v>
                </c:pt>
              </c:numCache>
            </c:numRef>
          </c:val>
          <c:smooth val="0"/>
          <c:extLst>
            <c:ext xmlns:c16="http://schemas.microsoft.com/office/drawing/2014/chart" uri="{C3380CC4-5D6E-409C-BE32-E72D297353CC}">
              <c16:uniqueId val="{00000002-6284-4C2C-B811-14314C4E7A74}"/>
            </c:ext>
          </c:extLst>
        </c:ser>
        <c:dLbls>
          <c:showLegendKey val="0"/>
          <c:showVal val="0"/>
          <c:showCatName val="0"/>
          <c:showSerName val="0"/>
          <c:showPercent val="0"/>
          <c:showBubbleSize val="0"/>
        </c:dLbls>
        <c:marker val="1"/>
        <c:smooth val="0"/>
        <c:axId val="147950976"/>
        <c:axId val="147965824"/>
      </c:lineChart>
      <c:catAx>
        <c:axId val="147950976"/>
        <c:scaling>
          <c:orientation val="minMax"/>
        </c:scaling>
        <c:delete val="0"/>
        <c:axPos val="b"/>
        <c:title>
          <c:tx>
            <c:rich>
              <a:bodyPr/>
              <a:lstStyle/>
              <a:p>
                <a:pPr>
                  <a:defRPr/>
                </a:pPr>
                <a:r>
                  <a:rPr lang="en-US"/>
                  <a:t>génération</a:t>
                </a:r>
              </a:p>
            </c:rich>
          </c:tx>
          <c:layout>
            <c:manualLayout>
              <c:xMode val="edge"/>
              <c:yMode val="edge"/>
              <c:x val="0.74000562587904362"/>
              <c:y val="0.55370925925925929"/>
            </c:manualLayout>
          </c:layout>
          <c:overlay val="0"/>
        </c:title>
        <c:numFmt formatCode="General" sourceLinked="1"/>
        <c:majorTickMark val="out"/>
        <c:minorTickMark val="none"/>
        <c:tickLblPos val="nextTo"/>
        <c:crossAx val="147965824"/>
        <c:crosses val="autoZero"/>
        <c:auto val="1"/>
        <c:lblAlgn val="ctr"/>
        <c:lblOffset val="100"/>
        <c:noMultiLvlLbl val="0"/>
      </c:catAx>
      <c:valAx>
        <c:axId val="147965824"/>
        <c:scaling>
          <c:orientation val="minMax"/>
          <c:max val="0.35000000000000003"/>
          <c:min val="0.25"/>
        </c:scaling>
        <c:delete val="0"/>
        <c:axPos val="l"/>
        <c:majorGridlines/>
        <c:title>
          <c:tx>
            <c:rich>
              <a:bodyPr rot="-5400000" vert="horz"/>
              <a:lstStyle/>
              <a:p>
                <a:pPr>
                  <a:defRPr/>
                </a:pPr>
                <a:r>
                  <a:rPr lang="en-US"/>
                  <a:t>en % de la durée de vie totale</a:t>
                </a:r>
              </a:p>
            </c:rich>
          </c:tx>
          <c:layout>
            <c:manualLayout>
              <c:xMode val="edge"/>
              <c:yMode val="edge"/>
              <c:x val="3.6533052039381154E-3"/>
              <c:y val="4.2486111111111127E-3"/>
            </c:manualLayout>
          </c:layout>
          <c:overlay val="0"/>
        </c:title>
        <c:numFmt formatCode="0%" sourceLinked="0"/>
        <c:majorTickMark val="out"/>
        <c:minorTickMark val="none"/>
        <c:tickLblPos val="nextTo"/>
        <c:crossAx val="147950976"/>
        <c:crosses val="autoZero"/>
        <c:crossBetween val="between"/>
        <c:majorUnit val="2.0000000000000004E-2"/>
      </c:valAx>
    </c:plotArea>
    <c:legend>
      <c:legendPos val="b"/>
      <c:layout>
        <c:manualLayout>
          <c:xMode val="edge"/>
          <c:yMode val="edge"/>
          <c:x val="4.4358339214628046E-3"/>
          <c:y val="0.8121359561237641"/>
          <c:w val="0.99556416607853715"/>
          <c:h val="0.187864043876235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0.19302813390313389"/>
          <c:y val="3.5932870370370372E-2"/>
          <c:w val="0.77983511396011396"/>
          <c:h val="0.70436759259259263"/>
        </c:manualLayout>
      </c:layout>
      <c:areaChart>
        <c:grouping val="stacked"/>
        <c:varyColors val="0"/>
        <c:ser>
          <c:idx val="0"/>
          <c:order val="0"/>
          <c:tx>
            <c:strRef>
              <c:f>'Fig 2.22'!$B$5</c:f>
              <c:strCache>
                <c:ptCount val="1"/>
                <c:pt idx="0">
                  <c:v>CNAV</c:v>
                </c:pt>
              </c:strCache>
            </c:strRef>
          </c:tx>
          <c:cat>
            <c:numRef>
              <c:f>'Fig 2.22'!$C$4:$BA$4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2.22'!$C$5:$BA$5</c:f>
              <c:numCache>
                <c:formatCode>0.0%</c:formatCode>
                <c:ptCount val="51"/>
                <c:pt idx="0">
                  <c:v>0.126</c:v>
                </c:pt>
                <c:pt idx="1">
                  <c:v>0.128</c:v>
                </c:pt>
                <c:pt idx="2">
                  <c:v>0.13</c:v>
                </c:pt>
                <c:pt idx="3">
                  <c:v>0.13200000000000001</c:v>
                </c:pt>
                <c:pt idx="4">
                  <c:v>0.13500000000000001</c:v>
                </c:pt>
                <c:pt idx="5">
                  <c:v>0.13700000000000001</c:v>
                </c:pt>
                <c:pt idx="6">
                  <c:v>0.13900000000000001</c:v>
                </c:pt>
                <c:pt idx="7">
                  <c:v>0.14099999999999999</c:v>
                </c:pt>
                <c:pt idx="8">
                  <c:v>0.14299999999999999</c:v>
                </c:pt>
                <c:pt idx="9">
                  <c:v>0.14499999999999999</c:v>
                </c:pt>
                <c:pt idx="10">
                  <c:v>0.14599999999999999</c:v>
                </c:pt>
                <c:pt idx="11">
                  <c:v>0.14799999999999999</c:v>
                </c:pt>
                <c:pt idx="12">
                  <c:v>0.15</c:v>
                </c:pt>
                <c:pt idx="13">
                  <c:v>0.152</c:v>
                </c:pt>
                <c:pt idx="14">
                  <c:v>0.153</c:v>
                </c:pt>
                <c:pt idx="15">
                  <c:v>0.155</c:v>
                </c:pt>
                <c:pt idx="16">
                  <c:v>0.157</c:v>
                </c:pt>
                <c:pt idx="17">
                  <c:v>0.158</c:v>
                </c:pt>
                <c:pt idx="18">
                  <c:v>0.16</c:v>
                </c:pt>
                <c:pt idx="19">
                  <c:v>0.161</c:v>
                </c:pt>
                <c:pt idx="20">
                  <c:v>0.16200000000000001</c:v>
                </c:pt>
                <c:pt idx="21">
                  <c:v>0.16400000000000001</c:v>
                </c:pt>
                <c:pt idx="22">
                  <c:v>0.16500000000000001</c:v>
                </c:pt>
                <c:pt idx="23">
                  <c:v>0.16600000000000001</c:v>
                </c:pt>
                <c:pt idx="24">
                  <c:v>0.16700000000000001</c:v>
                </c:pt>
                <c:pt idx="25">
                  <c:v>0.16800000000000001</c:v>
                </c:pt>
                <c:pt idx="26">
                  <c:v>0.16900000000000001</c:v>
                </c:pt>
                <c:pt idx="27">
                  <c:v>0.16900000000000001</c:v>
                </c:pt>
                <c:pt idx="28">
                  <c:v>0.17</c:v>
                </c:pt>
                <c:pt idx="29">
                  <c:v>0.17</c:v>
                </c:pt>
                <c:pt idx="30">
                  <c:v>0.17100000000000001</c:v>
                </c:pt>
                <c:pt idx="31">
                  <c:v>0.17100000000000001</c:v>
                </c:pt>
                <c:pt idx="32">
                  <c:v>0.17199999999999999</c:v>
                </c:pt>
                <c:pt idx="33">
                  <c:v>0.17199999999999999</c:v>
                </c:pt>
                <c:pt idx="34">
                  <c:v>0.17299999999999999</c:v>
                </c:pt>
                <c:pt idx="35">
                  <c:v>0.17299999999999999</c:v>
                </c:pt>
                <c:pt idx="36">
                  <c:v>0.17299999999999999</c:v>
                </c:pt>
                <c:pt idx="37">
                  <c:v>0.17399999999999999</c:v>
                </c:pt>
                <c:pt idx="38">
                  <c:v>0.17399999999999999</c:v>
                </c:pt>
                <c:pt idx="39">
                  <c:v>0.17399999999999999</c:v>
                </c:pt>
                <c:pt idx="40">
                  <c:v>0.17499999999999999</c:v>
                </c:pt>
                <c:pt idx="41">
                  <c:v>0.17499999999999999</c:v>
                </c:pt>
                <c:pt idx="42">
                  <c:v>0.17499999999999999</c:v>
                </c:pt>
                <c:pt idx="43">
                  <c:v>0.17499999999999999</c:v>
                </c:pt>
                <c:pt idx="44">
                  <c:v>0.17599999999999999</c:v>
                </c:pt>
                <c:pt idx="45">
                  <c:v>0.17599999999999999</c:v>
                </c:pt>
                <c:pt idx="46">
                  <c:v>0.17599999999999999</c:v>
                </c:pt>
                <c:pt idx="47">
                  <c:v>0.17599999999999999</c:v>
                </c:pt>
                <c:pt idx="48">
                  <c:v>0.17699999999999999</c:v>
                </c:pt>
                <c:pt idx="49">
                  <c:v>0.17699999999999999</c:v>
                </c:pt>
                <c:pt idx="50">
                  <c:v>0.17699999999999999</c:v>
                </c:pt>
              </c:numCache>
            </c:numRef>
          </c:val>
          <c:extLst>
            <c:ext xmlns:c16="http://schemas.microsoft.com/office/drawing/2014/chart" uri="{C3380CC4-5D6E-409C-BE32-E72D297353CC}">
              <c16:uniqueId val="{00000000-8A93-4F9E-8B70-B624B6F8034A}"/>
            </c:ext>
          </c:extLst>
        </c:ser>
        <c:ser>
          <c:idx val="1"/>
          <c:order val="1"/>
          <c:tx>
            <c:strRef>
              <c:f>'Fig 2.22'!$B$6</c:f>
              <c:strCache>
                <c:ptCount val="1"/>
                <c:pt idx="0">
                  <c:v>ARRCO</c:v>
                </c:pt>
              </c:strCache>
            </c:strRef>
          </c:tx>
          <c:cat>
            <c:numRef>
              <c:f>'Fig 2.22'!$C$4:$BA$4</c:f>
              <c:numCache>
                <c:formatCode>General</c:formatCode>
                <c:ptCount val="5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numCache>
            </c:numRef>
          </c:cat>
          <c:val>
            <c:numRef>
              <c:f>'Fig 2.22'!$C$6:$BA$6</c:f>
              <c:numCache>
                <c:formatCode>0.0%</c:formatCode>
                <c:ptCount val="51"/>
                <c:pt idx="0">
                  <c:v>7.0999999999999994E-2</c:v>
                </c:pt>
                <c:pt idx="1">
                  <c:v>7.1999999999999995E-2</c:v>
                </c:pt>
                <c:pt idx="2">
                  <c:v>7.2999999999999995E-2</c:v>
                </c:pt>
                <c:pt idx="3">
                  <c:v>7.4999999999999997E-2</c:v>
                </c:pt>
                <c:pt idx="4">
                  <c:v>7.5999999999999998E-2</c:v>
                </c:pt>
                <c:pt idx="5">
                  <c:v>7.6999999999999999E-2</c:v>
                </c:pt>
                <c:pt idx="6">
                  <c:v>7.8E-2</c:v>
                </c:pt>
                <c:pt idx="7">
                  <c:v>0.08</c:v>
                </c:pt>
                <c:pt idx="8">
                  <c:v>8.1000000000000003E-2</c:v>
                </c:pt>
                <c:pt idx="9">
                  <c:v>8.2000000000000003E-2</c:v>
                </c:pt>
                <c:pt idx="10">
                  <c:v>8.3000000000000004E-2</c:v>
                </c:pt>
                <c:pt idx="11">
                  <c:v>8.4000000000000005E-2</c:v>
                </c:pt>
                <c:pt idx="12">
                  <c:v>8.5000000000000006E-2</c:v>
                </c:pt>
                <c:pt idx="13">
                  <c:v>8.5999999999999993E-2</c:v>
                </c:pt>
                <c:pt idx="14">
                  <c:v>8.7999999999999995E-2</c:v>
                </c:pt>
                <c:pt idx="15">
                  <c:v>8.8999999999999996E-2</c:v>
                </c:pt>
                <c:pt idx="16">
                  <c:v>0.09</c:v>
                </c:pt>
                <c:pt idx="17">
                  <c:v>9.0999999999999998E-2</c:v>
                </c:pt>
                <c:pt idx="18">
                  <c:v>9.1999999999999998E-2</c:v>
                </c:pt>
                <c:pt idx="19">
                  <c:v>9.2999999999999999E-2</c:v>
                </c:pt>
                <c:pt idx="20">
                  <c:v>9.4E-2</c:v>
                </c:pt>
                <c:pt idx="21">
                  <c:v>9.5000000000000001E-2</c:v>
                </c:pt>
                <c:pt idx="22">
                  <c:v>9.5000000000000001E-2</c:v>
                </c:pt>
                <c:pt idx="23">
                  <c:v>9.6000000000000002E-2</c:v>
                </c:pt>
                <c:pt idx="24">
                  <c:v>9.7000000000000003E-2</c:v>
                </c:pt>
                <c:pt idx="25">
                  <c:v>9.8000000000000004E-2</c:v>
                </c:pt>
                <c:pt idx="26">
                  <c:v>9.8000000000000004E-2</c:v>
                </c:pt>
                <c:pt idx="27">
                  <c:v>9.9000000000000005E-2</c:v>
                </c:pt>
                <c:pt idx="28">
                  <c:v>9.9000000000000005E-2</c:v>
                </c:pt>
                <c:pt idx="29">
                  <c:v>0.1</c:v>
                </c:pt>
                <c:pt idx="30">
                  <c:v>0.1</c:v>
                </c:pt>
                <c:pt idx="31">
                  <c:v>0.1</c:v>
                </c:pt>
                <c:pt idx="32">
                  <c:v>0.10100000000000001</c:v>
                </c:pt>
                <c:pt idx="33">
                  <c:v>0.10100000000000001</c:v>
                </c:pt>
                <c:pt idx="34">
                  <c:v>0.10100000000000001</c:v>
                </c:pt>
                <c:pt idx="35">
                  <c:v>0.10199999999999999</c:v>
                </c:pt>
                <c:pt idx="36">
                  <c:v>0.10199999999999999</c:v>
                </c:pt>
                <c:pt idx="37">
                  <c:v>0.10199999999999999</c:v>
                </c:pt>
                <c:pt idx="38">
                  <c:v>0.10199999999999999</c:v>
                </c:pt>
                <c:pt idx="39">
                  <c:v>0.10199999999999999</c:v>
                </c:pt>
                <c:pt idx="40">
                  <c:v>0.10199999999999999</c:v>
                </c:pt>
                <c:pt idx="41">
                  <c:v>0.10199999999999999</c:v>
                </c:pt>
                <c:pt idx="42">
                  <c:v>0.10199999999999999</c:v>
                </c:pt>
                <c:pt idx="43">
                  <c:v>0.10199999999999999</c:v>
                </c:pt>
                <c:pt idx="44">
                  <c:v>0.10199999999999999</c:v>
                </c:pt>
                <c:pt idx="45">
                  <c:v>0.10199999999999999</c:v>
                </c:pt>
                <c:pt idx="46">
                  <c:v>0.10199999999999999</c:v>
                </c:pt>
                <c:pt idx="47">
                  <c:v>0.10199999999999999</c:v>
                </c:pt>
                <c:pt idx="48">
                  <c:v>0.10199999999999999</c:v>
                </c:pt>
                <c:pt idx="49">
                  <c:v>0.10199999999999999</c:v>
                </c:pt>
                <c:pt idx="50">
                  <c:v>0.10299999999999999</c:v>
                </c:pt>
              </c:numCache>
            </c:numRef>
          </c:val>
          <c:extLst>
            <c:ext xmlns:c16="http://schemas.microsoft.com/office/drawing/2014/chart" uri="{C3380CC4-5D6E-409C-BE32-E72D297353CC}">
              <c16:uniqueId val="{00000001-8A93-4F9E-8B70-B624B6F8034A}"/>
            </c:ext>
          </c:extLst>
        </c:ser>
        <c:dLbls>
          <c:showLegendKey val="0"/>
          <c:showVal val="0"/>
          <c:showCatName val="0"/>
          <c:showSerName val="0"/>
          <c:showPercent val="0"/>
          <c:showBubbleSize val="0"/>
        </c:dLbls>
        <c:axId val="148066304"/>
        <c:axId val="148067840"/>
      </c:areaChart>
      <c:catAx>
        <c:axId val="148066304"/>
        <c:scaling>
          <c:orientation val="minMax"/>
        </c:scaling>
        <c:delete val="0"/>
        <c:axPos val="b"/>
        <c:numFmt formatCode="General" sourceLinked="1"/>
        <c:majorTickMark val="out"/>
        <c:minorTickMark val="none"/>
        <c:tickLblPos val="nextTo"/>
        <c:txPr>
          <a:bodyPr rot="-5400000" vert="horz"/>
          <a:lstStyle/>
          <a:p>
            <a:pPr>
              <a:defRPr/>
            </a:pPr>
            <a:endParaRPr lang="fr-FR"/>
          </a:p>
        </c:txPr>
        <c:crossAx val="148067840"/>
        <c:crosses val="autoZero"/>
        <c:auto val="1"/>
        <c:lblAlgn val="ctr"/>
        <c:lblOffset val="100"/>
        <c:tickLblSkip val="10"/>
        <c:noMultiLvlLbl val="0"/>
      </c:catAx>
      <c:valAx>
        <c:axId val="148067840"/>
        <c:scaling>
          <c:orientation val="minMax"/>
          <c:min val="0"/>
        </c:scaling>
        <c:delete val="0"/>
        <c:axPos val="l"/>
        <c:majorGridlines/>
        <c:title>
          <c:tx>
            <c:rich>
              <a:bodyPr rot="-5400000" vert="horz"/>
              <a:lstStyle/>
              <a:p>
                <a:pPr>
                  <a:defRPr sz="900"/>
                </a:pPr>
                <a:r>
                  <a:rPr lang="en-US" sz="900"/>
                  <a:t>en % du salaire moyen de carrière</a:t>
                </a:r>
              </a:p>
            </c:rich>
          </c:tx>
          <c:layout>
            <c:manualLayout>
              <c:xMode val="edge"/>
              <c:yMode val="edge"/>
              <c:x val="5.5555555555555558E-3"/>
              <c:y val="1.5038425925925922E-2"/>
            </c:manualLayout>
          </c:layout>
          <c:overlay val="0"/>
        </c:title>
        <c:numFmt formatCode="0%" sourceLinked="0"/>
        <c:majorTickMark val="out"/>
        <c:minorTickMark val="none"/>
        <c:tickLblPos val="nextTo"/>
        <c:crossAx val="148066304"/>
        <c:crosses val="autoZero"/>
        <c:crossBetween val="midCat"/>
      </c:valAx>
    </c:plotArea>
    <c:legend>
      <c:legendPos val="b"/>
      <c:layout>
        <c:manualLayout>
          <c:xMode val="edge"/>
          <c:yMode val="edge"/>
          <c:x val="0.28135641025641028"/>
          <c:y val="0.91131805555555567"/>
          <c:w val="0.61638931623931625"/>
          <c:h val="7.1043055555555554E-2"/>
        </c:manualLayout>
      </c:layout>
      <c:overlay val="0"/>
    </c:legend>
    <c:plotVisOnly val="1"/>
    <c:dispBlanksAs val="zero"/>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51090014064696"/>
          <c:y val="5.2222962962962964E-2"/>
          <c:w val="0.75513115330520397"/>
          <c:h val="0.56448472222222223"/>
        </c:manualLayout>
      </c:layout>
      <c:lineChart>
        <c:grouping val="standard"/>
        <c:varyColors val="0"/>
        <c:ser>
          <c:idx val="0"/>
          <c:order val="0"/>
          <c:tx>
            <c:strRef>
              <c:f>'Fig 2.23'!$B$4</c:f>
              <c:strCache>
                <c:ptCount val="1"/>
                <c:pt idx="0">
                  <c:v>Scénario central de mortalité</c:v>
                </c:pt>
              </c:strCache>
            </c:strRef>
          </c:tx>
          <c:spPr>
            <a:ln w="50800">
              <a:solidFill>
                <a:schemeClr val="tx1"/>
              </a:solidFill>
            </a:ln>
          </c:spPr>
          <c:marker>
            <c:symbol val="circle"/>
            <c:size val="3"/>
            <c:spPr>
              <a:solidFill>
                <a:schemeClr val="tx1"/>
              </a:solidFill>
              <a:ln>
                <a:solidFill>
                  <a:schemeClr val="tx1"/>
                </a:solidFill>
              </a:ln>
            </c:spPr>
          </c:marker>
          <c:cat>
            <c:numRef>
              <c:f>'Fig 2.23'!$C$3:$BK$3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2.23'!$C$4:$BK$4</c:f>
              <c:numCache>
                <c:formatCode>0.0%</c:formatCode>
                <c:ptCount val="61"/>
                <c:pt idx="2">
                  <c:v>0.50700000000000001</c:v>
                </c:pt>
                <c:pt idx="3">
                  <c:v>0.50600000000000001</c:v>
                </c:pt>
                <c:pt idx="4">
                  <c:v>0.505</c:v>
                </c:pt>
                <c:pt idx="5">
                  <c:v>0.504</c:v>
                </c:pt>
                <c:pt idx="6">
                  <c:v>0.503</c:v>
                </c:pt>
                <c:pt idx="7">
                  <c:v>0.502</c:v>
                </c:pt>
                <c:pt idx="8">
                  <c:v>0.501</c:v>
                </c:pt>
                <c:pt idx="9">
                  <c:v>0.501</c:v>
                </c:pt>
                <c:pt idx="10">
                  <c:v>0.5</c:v>
                </c:pt>
                <c:pt idx="11">
                  <c:v>0.499</c:v>
                </c:pt>
                <c:pt idx="12">
                  <c:v>0.498</c:v>
                </c:pt>
                <c:pt idx="13">
                  <c:v>0.498</c:v>
                </c:pt>
                <c:pt idx="14">
                  <c:v>0.497</c:v>
                </c:pt>
                <c:pt idx="15">
                  <c:v>0.496</c:v>
                </c:pt>
                <c:pt idx="16">
                  <c:v>0.496</c:v>
                </c:pt>
                <c:pt idx="17">
                  <c:v>0.49399999999999999</c:v>
                </c:pt>
                <c:pt idx="18">
                  <c:v>0.49299999999999999</c:v>
                </c:pt>
                <c:pt idx="19">
                  <c:v>0.49199999999999999</c:v>
                </c:pt>
                <c:pt idx="20">
                  <c:v>0.49</c:v>
                </c:pt>
                <c:pt idx="21">
                  <c:v>0.48799999999999999</c:v>
                </c:pt>
                <c:pt idx="22">
                  <c:v>0.48599999999999999</c:v>
                </c:pt>
                <c:pt idx="23">
                  <c:v>0.48399999999999999</c:v>
                </c:pt>
                <c:pt idx="24">
                  <c:v>0.48299999999999998</c:v>
                </c:pt>
                <c:pt idx="25">
                  <c:v>0.48099999999999998</c:v>
                </c:pt>
                <c:pt idx="26">
                  <c:v>0.47899999999999998</c:v>
                </c:pt>
                <c:pt idx="27">
                  <c:v>0.47699999999999998</c:v>
                </c:pt>
                <c:pt idx="28">
                  <c:v>0.47499999999999998</c:v>
                </c:pt>
                <c:pt idx="29">
                  <c:v>0.47299999999999998</c:v>
                </c:pt>
                <c:pt idx="30">
                  <c:v>0.47099999999999997</c:v>
                </c:pt>
                <c:pt idx="31">
                  <c:v>0.47299999999999998</c:v>
                </c:pt>
                <c:pt idx="32">
                  <c:v>0.47399999999999998</c:v>
                </c:pt>
                <c:pt idx="33">
                  <c:v>0.47399999999999998</c:v>
                </c:pt>
                <c:pt idx="34">
                  <c:v>0.47599999999999998</c:v>
                </c:pt>
                <c:pt idx="35">
                  <c:v>0.47299999999999998</c:v>
                </c:pt>
                <c:pt idx="36">
                  <c:v>0.47099999999999997</c:v>
                </c:pt>
                <c:pt idx="37">
                  <c:v>0.47499999999999998</c:v>
                </c:pt>
                <c:pt idx="38">
                  <c:v>0.47599999999999998</c:v>
                </c:pt>
                <c:pt idx="39">
                  <c:v>0.47399999999999998</c:v>
                </c:pt>
                <c:pt idx="40">
                  <c:v>0.47799999999999998</c:v>
                </c:pt>
                <c:pt idx="41">
                  <c:v>0.47799999999999998</c:v>
                </c:pt>
                <c:pt idx="42">
                  <c:v>0.47599999999999998</c:v>
                </c:pt>
                <c:pt idx="43">
                  <c:v>0.47599999999999998</c:v>
                </c:pt>
                <c:pt idx="44">
                  <c:v>0.47399999999999998</c:v>
                </c:pt>
                <c:pt idx="45">
                  <c:v>0.47599999999999998</c:v>
                </c:pt>
                <c:pt idx="46">
                  <c:v>0.47499999999999998</c:v>
                </c:pt>
                <c:pt idx="47">
                  <c:v>0.47399999999999998</c:v>
                </c:pt>
                <c:pt idx="48">
                  <c:v>0.47499999999999998</c:v>
                </c:pt>
                <c:pt idx="49">
                  <c:v>0.47499999999999998</c:v>
                </c:pt>
                <c:pt idx="50">
                  <c:v>0.47399999999999998</c:v>
                </c:pt>
                <c:pt idx="51">
                  <c:v>0.47399999999999998</c:v>
                </c:pt>
                <c:pt idx="52">
                  <c:v>0.47299999999999998</c:v>
                </c:pt>
                <c:pt idx="53">
                  <c:v>0.47299999999999998</c:v>
                </c:pt>
                <c:pt idx="54">
                  <c:v>0.47199999999999998</c:v>
                </c:pt>
                <c:pt idx="55">
                  <c:v>0.47199999999999998</c:v>
                </c:pt>
                <c:pt idx="56">
                  <c:v>0.47099999999999997</c:v>
                </c:pt>
                <c:pt idx="57">
                  <c:v>0.47099999999999997</c:v>
                </c:pt>
                <c:pt idx="58">
                  <c:v>0.47</c:v>
                </c:pt>
                <c:pt idx="59">
                  <c:v>0.47</c:v>
                </c:pt>
                <c:pt idx="60">
                  <c:v>0.46899999999999997</c:v>
                </c:pt>
              </c:numCache>
            </c:numRef>
          </c:val>
          <c:smooth val="0"/>
          <c:extLst>
            <c:ext xmlns:c16="http://schemas.microsoft.com/office/drawing/2014/chart" uri="{C3380CC4-5D6E-409C-BE32-E72D297353CC}">
              <c16:uniqueId val="{00000000-F4AE-45F4-859C-F8BC50802F72}"/>
            </c:ext>
          </c:extLst>
        </c:ser>
        <c:ser>
          <c:idx val="1"/>
          <c:order val="1"/>
          <c:tx>
            <c:strRef>
              <c:f>'Fig 2.23'!$B$5</c:f>
              <c:strCache>
                <c:ptCount val="1"/>
                <c:pt idx="0">
                  <c:v>Variante de mortalité haute</c:v>
                </c:pt>
              </c:strCache>
            </c:strRef>
          </c:tx>
          <c:spPr>
            <a:ln w="15875" cmpd="dbl">
              <a:solidFill>
                <a:schemeClr val="tx1"/>
              </a:solidFill>
            </a:ln>
          </c:spPr>
          <c:marker>
            <c:symbol val="circle"/>
            <c:size val="2"/>
            <c:spPr>
              <a:solidFill>
                <a:schemeClr val="bg1">
                  <a:lumMod val="65000"/>
                </a:schemeClr>
              </a:solidFill>
              <a:ln>
                <a:solidFill>
                  <a:schemeClr val="tx1"/>
                </a:solidFill>
              </a:ln>
            </c:spPr>
          </c:marker>
          <c:cat>
            <c:numRef>
              <c:f>'Fig 2.23'!$C$3:$BK$3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2.23'!$C$5:$BK$5</c:f>
              <c:numCache>
                <c:formatCode>0.0%</c:formatCode>
                <c:ptCount val="61"/>
                <c:pt idx="2">
                  <c:v>0.50800000000000001</c:v>
                </c:pt>
                <c:pt idx="3">
                  <c:v>0.50800000000000001</c:v>
                </c:pt>
                <c:pt idx="4">
                  <c:v>0.50700000000000001</c:v>
                </c:pt>
                <c:pt idx="5">
                  <c:v>0.50600000000000001</c:v>
                </c:pt>
                <c:pt idx="6">
                  <c:v>0.505</c:v>
                </c:pt>
                <c:pt idx="7">
                  <c:v>0.505</c:v>
                </c:pt>
                <c:pt idx="8">
                  <c:v>0.504</c:v>
                </c:pt>
                <c:pt idx="9">
                  <c:v>0.503</c:v>
                </c:pt>
                <c:pt idx="10">
                  <c:v>0.503</c:v>
                </c:pt>
                <c:pt idx="11">
                  <c:v>0.502</c:v>
                </c:pt>
                <c:pt idx="12">
                  <c:v>0.502</c:v>
                </c:pt>
                <c:pt idx="13">
                  <c:v>0.501</c:v>
                </c:pt>
                <c:pt idx="14">
                  <c:v>0.501</c:v>
                </c:pt>
                <c:pt idx="15">
                  <c:v>0.501</c:v>
                </c:pt>
                <c:pt idx="16">
                  <c:v>0.5</c:v>
                </c:pt>
                <c:pt idx="17">
                  <c:v>0.499</c:v>
                </c:pt>
                <c:pt idx="18">
                  <c:v>0.498</c:v>
                </c:pt>
                <c:pt idx="19">
                  <c:v>0.497</c:v>
                </c:pt>
                <c:pt idx="20">
                  <c:v>0.496</c:v>
                </c:pt>
                <c:pt idx="21">
                  <c:v>0.49399999999999999</c:v>
                </c:pt>
                <c:pt idx="22">
                  <c:v>0.49199999999999999</c:v>
                </c:pt>
                <c:pt idx="23">
                  <c:v>0.49099999999999999</c:v>
                </c:pt>
                <c:pt idx="24">
                  <c:v>0.48899999999999999</c:v>
                </c:pt>
                <c:pt idx="25">
                  <c:v>0.48699999999999999</c:v>
                </c:pt>
                <c:pt idx="26">
                  <c:v>0.48499999999999999</c:v>
                </c:pt>
                <c:pt idx="27">
                  <c:v>0.48399999999999999</c:v>
                </c:pt>
                <c:pt idx="28">
                  <c:v>0.48199999999999998</c:v>
                </c:pt>
                <c:pt idx="29">
                  <c:v>0.48</c:v>
                </c:pt>
                <c:pt idx="30">
                  <c:v>0.47899999999999998</c:v>
                </c:pt>
                <c:pt idx="31">
                  <c:v>0.48</c:v>
                </c:pt>
                <c:pt idx="32">
                  <c:v>0.48199999999999998</c:v>
                </c:pt>
                <c:pt idx="33">
                  <c:v>0.48199999999999998</c:v>
                </c:pt>
                <c:pt idx="34">
                  <c:v>0.48499999999999999</c:v>
                </c:pt>
                <c:pt idx="35">
                  <c:v>0.48199999999999998</c:v>
                </c:pt>
                <c:pt idx="36">
                  <c:v>0.47899999999999998</c:v>
                </c:pt>
                <c:pt idx="37">
                  <c:v>0.48299999999999998</c:v>
                </c:pt>
                <c:pt idx="38">
                  <c:v>0.48499999999999999</c:v>
                </c:pt>
                <c:pt idx="39">
                  <c:v>0.48299999999999998</c:v>
                </c:pt>
                <c:pt idx="40">
                  <c:v>0.48799999999999999</c:v>
                </c:pt>
                <c:pt idx="41">
                  <c:v>0.48799999999999999</c:v>
                </c:pt>
                <c:pt idx="42">
                  <c:v>0.48599999999999999</c:v>
                </c:pt>
                <c:pt idx="43">
                  <c:v>0.48599999999999999</c:v>
                </c:pt>
                <c:pt idx="44">
                  <c:v>0.48399999999999999</c:v>
                </c:pt>
                <c:pt idx="45">
                  <c:v>0.48599999999999999</c:v>
                </c:pt>
                <c:pt idx="46">
                  <c:v>0.48499999999999999</c:v>
                </c:pt>
                <c:pt idx="47">
                  <c:v>0.48399999999999999</c:v>
                </c:pt>
                <c:pt idx="48">
                  <c:v>0.48599999999999999</c:v>
                </c:pt>
                <c:pt idx="49">
                  <c:v>0.48599999999999999</c:v>
                </c:pt>
                <c:pt idx="50">
                  <c:v>0.48499999999999999</c:v>
                </c:pt>
                <c:pt idx="51">
                  <c:v>0.48499999999999999</c:v>
                </c:pt>
                <c:pt idx="52">
                  <c:v>0.48499999999999999</c:v>
                </c:pt>
                <c:pt idx="53">
                  <c:v>0.48399999999999999</c:v>
                </c:pt>
                <c:pt idx="54">
                  <c:v>0.48399999999999999</c:v>
                </c:pt>
                <c:pt idx="55">
                  <c:v>0.48399999999999999</c:v>
                </c:pt>
                <c:pt idx="56">
                  <c:v>0.48299999999999998</c:v>
                </c:pt>
                <c:pt idx="57">
                  <c:v>0.48299999999999998</c:v>
                </c:pt>
                <c:pt idx="58">
                  <c:v>0.48199999999999998</c:v>
                </c:pt>
                <c:pt idx="59">
                  <c:v>0.48199999999999998</c:v>
                </c:pt>
                <c:pt idx="60">
                  <c:v>0.48199999999999998</c:v>
                </c:pt>
              </c:numCache>
            </c:numRef>
          </c:val>
          <c:smooth val="0"/>
          <c:extLst>
            <c:ext xmlns:c16="http://schemas.microsoft.com/office/drawing/2014/chart" uri="{C3380CC4-5D6E-409C-BE32-E72D297353CC}">
              <c16:uniqueId val="{00000001-F4AE-45F4-859C-F8BC50802F72}"/>
            </c:ext>
          </c:extLst>
        </c:ser>
        <c:ser>
          <c:idx val="2"/>
          <c:order val="2"/>
          <c:tx>
            <c:strRef>
              <c:f>'Fig 2.23'!$B$6</c:f>
              <c:strCache>
                <c:ptCount val="1"/>
                <c:pt idx="0">
                  <c:v>Variante de mortalité basse</c:v>
                </c:pt>
              </c:strCache>
            </c:strRef>
          </c:tx>
          <c:spPr>
            <a:ln w="25400">
              <a:solidFill>
                <a:schemeClr val="bg1">
                  <a:lumMod val="65000"/>
                </a:schemeClr>
              </a:solidFill>
              <a:prstDash val="sysDash"/>
            </a:ln>
          </c:spPr>
          <c:marker>
            <c:symbol val="square"/>
            <c:size val="2"/>
            <c:spPr>
              <a:solidFill>
                <a:schemeClr val="bg1">
                  <a:lumMod val="65000"/>
                </a:schemeClr>
              </a:solidFill>
              <a:ln>
                <a:solidFill>
                  <a:schemeClr val="bg1">
                    <a:lumMod val="65000"/>
                  </a:schemeClr>
                </a:solidFill>
              </a:ln>
            </c:spPr>
          </c:marker>
          <c:cat>
            <c:numRef>
              <c:f>'Fig 2.23'!$C$3:$BK$3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2.23'!$C$6:$BK$6</c:f>
              <c:numCache>
                <c:formatCode>0.0%</c:formatCode>
                <c:ptCount val="61"/>
                <c:pt idx="2">
                  <c:v>0.505</c:v>
                </c:pt>
                <c:pt idx="3">
                  <c:v>0.504</c:v>
                </c:pt>
                <c:pt idx="4">
                  <c:v>0.503</c:v>
                </c:pt>
                <c:pt idx="5">
                  <c:v>0.501</c:v>
                </c:pt>
                <c:pt idx="6">
                  <c:v>0.5</c:v>
                </c:pt>
                <c:pt idx="7">
                  <c:v>0.499</c:v>
                </c:pt>
                <c:pt idx="8">
                  <c:v>0.498</c:v>
                </c:pt>
                <c:pt idx="9">
                  <c:v>0.497</c:v>
                </c:pt>
                <c:pt idx="10">
                  <c:v>0.496</c:v>
                </c:pt>
                <c:pt idx="11">
                  <c:v>0.495</c:v>
                </c:pt>
                <c:pt idx="12">
                  <c:v>0.49399999999999999</c:v>
                </c:pt>
                <c:pt idx="13">
                  <c:v>0.49299999999999999</c:v>
                </c:pt>
                <c:pt idx="14">
                  <c:v>0.49199999999999999</c:v>
                </c:pt>
                <c:pt idx="15">
                  <c:v>0.49099999999999999</c:v>
                </c:pt>
                <c:pt idx="16">
                  <c:v>0.49</c:v>
                </c:pt>
                <c:pt idx="17">
                  <c:v>0.48899999999999999</c:v>
                </c:pt>
                <c:pt idx="18">
                  <c:v>0.48699999999999999</c:v>
                </c:pt>
                <c:pt idx="19">
                  <c:v>0.48499999999999999</c:v>
                </c:pt>
                <c:pt idx="20">
                  <c:v>0.48399999999999999</c:v>
                </c:pt>
                <c:pt idx="21">
                  <c:v>0.48199999999999998</c:v>
                </c:pt>
                <c:pt idx="22">
                  <c:v>0.48</c:v>
                </c:pt>
                <c:pt idx="23">
                  <c:v>0.47699999999999998</c:v>
                </c:pt>
                <c:pt idx="24">
                  <c:v>0.47499999999999998</c:v>
                </c:pt>
                <c:pt idx="25">
                  <c:v>0.47299999999999998</c:v>
                </c:pt>
                <c:pt idx="26">
                  <c:v>0.47099999999999997</c:v>
                </c:pt>
                <c:pt idx="27">
                  <c:v>0.46899999999999997</c:v>
                </c:pt>
                <c:pt idx="28">
                  <c:v>0.46700000000000003</c:v>
                </c:pt>
                <c:pt idx="29">
                  <c:v>0.46500000000000002</c:v>
                </c:pt>
                <c:pt idx="30">
                  <c:v>0.46300000000000002</c:v>
                </c:pt>
                <c:pt idx="31">
                  <c:v>0.46400000000000002</c:v>
                </c:pt>
                <c:pt idx="32">
                  <c:v>0.46500000000000002</c:v>
                </c:pt>
                <c:pt idx="33">
                  <c:v>0.46400000000000002</c:v>
                </c:pt>
                <c:pt idx="34">
                  <c:v>0.46700000000000003</c:v>
                </c:pt>
                <c:pt idx="35">
                  <c:v>0.46400000000000002</c:v>
                </c:pt>
                <c:pt idx="36">
                  <c:v>0.46100000000000002</c:v>
                </c:pt>
                <c:pt idx="37">
                  <c:v>0.46400000000000002</c:v>
                </c:pt>
                <c:pt idx="38">
                  <c:v>0.46500000000000002</c:v>
                </c:pt>
                <c:pt idx="39">
                  <c:v>0.46300000000000002</c:v>
                </c:pt>
                <c:pt idx="40">
                  <c:v>0.46700000000000003</c:v>
                </c:pt>
                <c:pt idx="41">
                  <c:v>0.46700000000000003</c:v>
                </c:pt>
                <c:pt idx="42">
                  <c:v>0.46500000000000002</c:v>
                </c:pt>
                <c:pt idx="43">
                  <c:v>0.46500000000000002</c:v>
                </c:pt>
                <c:pt idx="44">
                  <c:v>0.46200000000000002</c:v>
                </c:pt>
                <c:pt idx="45">
                  <c:v>0.46400000000000002</c:v>
                </c:pt>
                <c:pt idx="46">
                  <c:v>0.46300000000000002</c:v>
                </c:pt>
                <c:pt idx="47">
                  <c:v>0.46100000000000002</c:v>
                </c:pt>
                <c:pt idx="48">
                  <c:v>0.46300000000000002</c:v>
                </c:pt>
                <c:pt idx="49">
                  <c:v>0.46200000000000002</c:v>
                </c:pt>
                <c:pt idx="50">
                  <c:v>0.46200000000000002</c:v>
                </c:pt>
                <c:pt idx="51">
                  <c:v>0.46100000000000002</c:v>
                </c:pt>
                <c:pt idx="52">
                  <c:v>0.46</c:v>
                </c:pt>
                <c:pt idx="53">
                  <c:v>0.46</c:v>
                </c:pt>
                <c:pt idx="54">
                  <c:v>0.45900000000000002</c:v>
                </c:pt>
                <c:pt idx="55">
                  <c:v>0.45800000000000002</c:v>
                </c:pt>
                <c:pt idx="56">
                  <c:v>0.45800000000000002</c:v>
                </c:pt>
                <c:pt idx="57">
                  <c:v>0.45700000000000002</c:v>
                </c:pt>
                <c:pt idx="58">
                  <c:v>0.45600000000000002</c:v>
                </c:pt>
                <c:pt idx="59">
                  <c:v>0.45600000000000002</c:v>
                </c:pt>
                <c:pt idx="60">
                  <c:v>0.45500000000000002</c:v>
                </c:pt>
              </c:numCache>
            </c:numRef>
          </c:val>
          <c:smooth val="0"/>
          <c:extLst>
            <c:ext xmlns:c16="http://schemas.microsoft.com/office/drawing/2014/chart" uri="{C3380CC4-5D6E-409C-BE32-E72D297353CC}">
              <c16:uniqueId val="{00000002-F4AE-45F4-859C-F8BC50802F72}"/>
            </c:ext>
          </c:extLst>
        </c:ser>
        <c:dLbls>
          <c:showLegendKey val="0"/>
          <c:showVal val="0"/>
          <c:showCatName val="0"/>
          <c:showSerName val="0"/>
          <c:showPercent val="0"/>
          <c:showBubbleSize val="0"/>
        </c:dLbls>
        <c:marker val="1"/>
        <c:smooth val="0"/>
        <c:axId val="148204928"/>
        <c:axId val="148236160"/>
      </c:lineChart>
      <c:catAx>
        <c:axId val="148204928"/>
        <c:scaling>
          <c:orientation val="minMax"/>
        </c:scaling>
        <c:delete val="0"/>
        <c:axPos val="b"/>
        <c:title>
          <c:tx>
            <c:rich>
              <a:bodyPr/>
              <a:lstStyle/>
              <a:p>
                <a:pPr>
                  <a:defRPr/>
                </a:pPr>
                <a:r>
                  <a:rPr lang="en-US"/>
                  <a:t>génération</a:t>
                </a:r>
              </a:p>
            </c:rich>
          </c:tx>
          <c:layout>
            <c:manualLayout>
              <c:xMode val="edge"/>
              <c:yMode val="edge"/>
              <c:x val="0.75340225035161745"/>
              <c:y val="0.52431111111111106"/>
            </c:manualLayout>
          </c:layout>
          <c:overlay val="0"/>
        </c:title>
        <c:numFmt formatCode="General" sourceLinked="1"/>
        <c:majorTickMark val="out"/>
        <c:minorTickMark val="none"/>
        <c:tickLblPos val="nextTo"/>
        <c:crossAx val="148236160"/>
        <c:crosses val="autoZero"/>
        <c:auto val="1"/>
        <c:lblAlgn val="ctr"/>
        <c:lblOffset val="100"/>
        <c:noMultiLvlLbl val="0"/>
      </c:catAx>
      <c:valAx>
        <c:axId val="148236160"/>
        <c:scaling>
          <c:orientation val="minMax"/>
          <c:max val="0.52"/>
          <c:min val="0.38000000000000006"/>
        </c:scaling>
        <c:delete val="0"/>
        <c:axPos val="l"/>
        <c:majorGridlines/>
        <c:title>
          <c:tx>
            <c:rich>
              <a:bodyPr rot="-5400000" vert="horz"/>
              <a:lstStyle/>
              <a:p>
                <a:pPr>
                  <a:defRPr/>
                </a:pPr>
                <a:r>
                  <a:rPr lang="en-US"/>
                  <a:t>en % de la durée de vie totale</a:t>
                </a:r>
              </a:p>
            </c:rich>
          </c:tx>
          <c:layout>
            <c:manualLayout>
              <c:xMode val="edge"/>
              <c:yMode val="edge"/>
              <c:x val="8.1188466947960617E-3"/>
              <c:y val="4.2486111111111127E-3"/>
            </c:manualLayout>
          </c:layout>
          <c:overlay val="0"/>
        </c:title>
        <c:numFmt formatCode="0%" sourceLinked="0"/>
        <c:majorTickMark val="out"/>
        <c:minorTickMark val="none"/>
        <c:tickLblPos val="nextTo"/>
        <c:crossAx val="148204928"/>
        <c:crosses val="autoZero"/>
        <c:crossBetween val="between"/>
        <c:majorUnit val="2.0000000000000004E-2"/>
      </c:valAx>
    </c:plotArea>
    <c:legend>
      <c:legendPos val="b"/>
      <c:layout>
        <c:manualLayout>
          <c:xMode val="edge"/>
          <c:yMode val="edge"/>
          <c:x val="4.4358339214628046E-3"/>
          <c:y val="0.77685833333333332"/>
          <c:w val="0.99556416607853715"/>
          <c:h val="0.22314166666666665"/>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51090014064696"/>
          <c:y val="5.2222962962962964E-2"/>
          <c:w val="0.75513115330520397"/>
          <c:h val="0.57036435185185186"/>
        </c:manualLayout>
      </c:layout>
      <c:lineChart>
        <c:grouping val="standard"/>
        <c:varyColors val="0"/>
        <c:ser>
          <c:idx val="0"/>
          <c:order val="0"/>
          <c:tx>
            <c:strRef>
              <c:f>'Fig 2.23'!$B$8</c:f>
              <c:strCache>
                <c:ptCount val="1"/>
                <c:pt idx="0">
                  <c:v>Scénario central de mortalité</c:v>
                </c:pt>
              </c:strCache>
            </c:strRef>
          </c:tx>
          <c:spPr>
            <a:ln w="50800">
              <a:solidFill>
                <a:schemeClr val="tx1"/>
              </a:solidFill>
            </a:ln>
          </c:spPr>
          <c:marker>
            <c:symbol val="circle"/>
            <c:size val="3"/>
            <c:spPr>
              <a:solidFill>
                <a:schemeClr val="tx1"/>
              </a:solidFill>
              <a:ln>
                <a:solidFill>
                  <a:schemeClr val="tx1"/>
                </a:solidFill>
              </a:ln>
            </c:spPr>
          </c:marker>
          <c:cat>
            <c:numRef>
              <c:f>'Fig 2.23'!$C$3:$BK$3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2.23'!$C$8:$BK$8</c:f>
              <c:numCache>
                <c:formatCode>0.0%</c:formatCode>
                <c:ptCount val="61"/>
                <c:pt idx="0">
                  <c:v>0.40600000000000003</c:v>
                </c:pt>
                <c:pt idx="2">
                  <c:v>0.40600000000000003</c:v>
                </c:pt>
                <c:pt idx="4">
                  <c:v>0.40400000000000003</c:v>
                </c:pt>
                <c:pt idx="6">
                  <c:v>0.40400000000000003</c:v>
                </c:pt>
                <c:pt idx="8">
                  <c:v>0.41</c:v>
                </c:pt>
                <c:pt idx="10">
                  <c:v>0.41299999999999998</c:v>
                </c:pt>
                <c:pt idx="12">
                  <c:v>0.41899999999999998</c:v>
                </c:pt>
                <c:pt idx="14">
                  <c:v>0.42299999999999999</c:v>
                </c:pt>
                <c:pt idx="15">
                  <c:v>0.42799999999999999</c:v>
                </c:pt>
                <c:pt idx="16">
                  <c:v>0.434</c:v>
                </c:pt>
                <c:pt idx="17">
                  <c:v>0.438</c:v>
                </c:pt>
                <c:pt idx="18">
                  <c:v>0.44</c:v>
                </c:pt>
                <c:pt idx="19">
                  <c:v>0.44400000000000001</c:v>
                </c:pt>
                <c:pt idx="20">
                  <c:v>0.443</c:v>
                </c:pt>
                <c:pt idx="21">
                  <c:v>0.44400000000000001</c:v>
                </c:pt>
                <c:pt idx="22">
                  <c:v>0.44700000000000001</c:v>
                </c:pt>
                <c:pt idx="23">
                  <c:v>0.44600000000000001</c:v>
                </c:pt>
                <c:pt idx="24">
                  <c:v>0.44600000000000001</c:v>
                </c:pt>
                <c:pt idx="25">
                  <c:v>0.44400000000000001</c:v>
                </c:pt>
                <c:pt idx="26">
                  <c:v>0.44700000000000001</c:v>
                </c:pt>
                <c:pt idx="27">
                  <c:v>0.44800000000000001</c:v>
                </c:pt>
                <c:pt idx="28">
                  <c:v>0.44700000000000001</c:v>
                </c:pt>
                <c:pt idx="29">
                  <c:v>0.44700000000000001</c:v>
                </c:pt>
                <c:pt idx="30">
                  <c:v>0.44600000000000001</c:v>
                </c:pt>
                <c:pt idx="31">
                  <c:v>0.44400000000000001</c:v>
                </c:pt>
                <c:pt idx="32">
                  <c:v>0.443</c:v>
                </c:pt>
                <c:pt idx="33">
                  <c:v>0.441</c:v>
                </c:pt>
                <c:pt idx="34">
                  <c:v>0.44</c:v>
                </c:pt>
                <c:pt idx="35">
                  <c:v>0.436</c:v>
                </c:pt>
                <c:pt idx="36">
                  <c:v>0.434</c:v>
                </c:pt>
                <c:pt idx="37">
                  <c:v>0.43099999999999999</c:v>
                </c:pt>
                <c:pt idx="38">
                  <c:v>0.42699999999999999</c:v>
                </c:pt>
                <c:pt idx="39">
                  <c:v>0.42299999999999999</c:v>
                </c:pt>
                <c:pt idx="40">
                  <c:v>0.41899999999999998</c:v>
                </c:pt>
                <c:pt idx="41">
                  <c:v>0.42</c:v>
                </c:pt>
                <c:pt idx="42">
                  <c:v>0.41799999999999998</c:v>
                </c:pt>
                <c:pt idx="43">
                  <c:v>0.41699999999999998</c:v>
                </c:pt>
                <c:pt idx="44">
                  <c:v>0.41499999999999998</c:v>
                </c:pt>
                <c:pt idx="45">
                  <c:v>0.41</c:v>
                </c:pt>
                <c:pt idx="46">
                  <c:v>0.41</c:v>
                </c:pt>
                <c:pt idx="47">
                  <c:v>0.41099999999999998</c:v>
                </c:pt>
                <c:pt idx="48">
                  <c:v>0.41199999999999998</c:v>
                </c:pt>
                <c:pt idx="49">
                  <c:v>0.41499999999999998</c:v>
                </c:pt>
                <c:pt idx="50">
                  <c:v>0.41799999999999998</c:v>
                </c:pt>
                <c:pt idx="51">
                  <c:v>0.42</c:v>
                </c:pt>
                <c:pt idx="52">
                  <c:v>0.42</c:v>
                </c:pt>
                <c:pt idx="53">
                  <c:v>0.41899999999999998</c:v>
                </c:pt>
                <c:pt idx="54">
                  <c:v>0.41899999999999998</c:v>
                </c:pt>
                <c:pt idx="55">
                  <c:v>0.42099999999999999</c:v>
                </c:pt>
                <c:pt idx="56">
                  <c:v>0.42299999999999999</c:v>
                </c:pt>
                <c:pt idx="57">
                  <c:v>0.42199999999999999</c:v>
                </c:pt>
                <c:pt idx="58">
                  <c:v>0.42</c:v>
                </c:pt>
                <c:pt idx="59">
                  <c:v>0.42</c:v>
                </c:pt>
                <c:pt idx="60">
                  <c:v>0.42</c:v>
                </c:pt>
              </c:numCache>
            </c:numRef>
          </c:val>
          <c:smooth val="0"/>
          <c:extLst>
            <c:ext xmlns:c16="http://schemas.microsoft.com/office/drawing/2014/chart" uri="{C3380CC4-5D6E-409C-BE32-E72D297353CC}">
              <c16:uniqueId val="{00000000-DF6B-48C9-A365-A33C296F31BA}"/>
            </c:ext>
          </c:extLst>
        </c:ser>
        <c:ser>
          <c:idx val="1"/>
          <c:order val="1"/>
          <c:tx>
            <c:strRef>
              <c:f>'Fig 2.23'!$B$9</c:f>
              <c:strCache>
                <c:ptCount val="1"/>
                <c:pt idx="0">
                  <c:v>Variante de mortalité haute</c:v>
                </c:pt>
              </c:strCache>
            </c:strRef>
          </c:tx>
          <c:spPr>
            <a:ln w="15875" cmpd="dbl">
              <a:solidFill>
                <a:schemeClr val="tx1"/>
              </a:solidFill>
            </a:ln>
          </c:spPr>
          <c:marker>
            <c:symbol val="circle"/>
            <c:size val="2"/>
            <c:spPr>
              <a:solidFill>
                <a:schemeClr val="bg1">
                  <a:lumMod val="65000"/>
                </a:schemeClr>
              </a:solidFill>
              <a:ln>
                <a:solidFill>
                  <a:schemeClr val="tx1"/>
                </a:solidFill>
              </a:ln>
            </c:spPr>
          </c:marker>
          <c:cat>
            <c:numRef>
              <c:f>'Fig 2.23'!$C$3:$BK$3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2.23'!$C$9:$BK$9</c:f>
              <c:numCache>
                <c:formatCode>0.0%</c:formatCode>
                <c:ptCount val="61"/>
                <c:pt idx="0">
                  <c:v>0.40699999999999997</c:v>
                </c:pt>
                <c:pt idx="2">
                  <c:v>0.40699999999999997</c:v>
                </c:pt>
                <c:pt idx="4">
                  <c:v>0.40500000000000003</c:v>
                </c:pt>
                <c:pt idx="6">
                  <c:v>0.40600000000000003</c:v>
                </c:pt>
                <c:pt idx="8">
                  <c:v>0.41199999999999998</c:v>
                </c:pt>
                <c:pt idx="10">
                  <c:v>0.41599999999999998</c:v>
                </c:pt>
                <c:pt idx="12">
                  <c:v>0.42199999999999999</c:v>
                </c:pt>
                <c:pt idx="14">
                  <c:v>0.42599999999999999</c:v>
                </c:pt>
                <c:pt idx="15">
                  <c:v>0.432</c:v>
                </c:pt>
                <c:pt idx="16">
                  <c:v>0.438</c:v>
                </c:pt>
                <c:pt idx="17">
                  <c:v>0.442</c:v>
                </c:pt>
                <c:pt idx="18">
                  <c:v>0.44400000000000001</c:v>
                </c:pt>
                <c:pt idx="19">
                  <c:v>0.44900000000000001</c:v>
                </c:pt>
                <c:pt idx="20">
                  <c:v>0.44800000000000001</c:v>
                </c:pt>
                <c:pt idx="21">
                  <c:v>0.44900000000000001</c:v>
                </c:pt>
                <c:pt idx="22">
                  <c:v>0.45200000000000001</c:v>
                </c:pt>
                <c:pt idx="23">
                  <c:v>0.45100000000000001</c:v>
                </c:pt>
                <c:pt idx="24">
                  <c:v>0.45200000000000001</c:v>
                </c:pt>
                <c:pt idx="25">
                  <c:v>0.45</c:v>
                </c:pt>
                <c:pt idx="26">
                  <c:v>0.45300000000000001</c:v>
                </c:pt>
                <c:pt idx="27">
                  <c:v>0.45500000000000002</c:v>
                </c:pt>
                <c:pt idx="28">
                  <c:v>0.45400000000000001</c:v>
                </c:pt>
                <c:pt idx="29">
                  <c:v>0.45400000000000001</c:v>
                </c:pt>
                <c:pt idx="30">
                  <c:v>0.45300000000000001</c:v>
                </c:pt>
                <c:pt idx="31">
                  <c:v>0.45100000000000001</c:v>
                </c:pt>
                <c:pt idx="32">
                  <c:v>0.45</c:v>
                </c:pt>
                <c:pt idx="33">
                  <c:v>0.44800000000000001</c:v>
                </c:pt>
                <c:pt idx="34">
                  <c:v>0.44800000000000001</c:v>
                </c:pt>
                <c:pt idx="35">
                  <c:v>0.44400000000000001</c:v>
                </c:pt>
                <c:pt idx="36">
                  <c:v>0.442</c:v>
                </c:pt>
                <c:pt idx="37">
                  <c:v>0.439</c:v>
                </c:pt>
                <c:pt idx="38">
                  <c:v>0.435</c:v>
                </c:pt>
                <c:pt idx="39">
                  <c:v>0.43099999999999999</c:v>
                </c:pt>
                <c:pt idx="40">
                  <c:v>0.42799999999999999</c:v>
                </c:pt>
                <c:pt idx="41">
                  <c:v>0.42799999999999999</c:v>
                </c:pt>
                <c:pt idx="42">
                  <c:v>0.42699999999999999</c:v>
                </c:pt>
                <c:pt idx="43">
                  <c:v>0.42599999999999999</c:v>
                </c:pt>
                <c:pt idx="44">
                  <c:v>0.42299999999999999</c:v>
                </c:pt>
                <c:pt idx="45">
                  <c:v>0.41899999999999998</c:v>
                </c:pt>
                <c:pt idx="46">
                  <c:v>0.42</c:v>
                </c:pt>
                <c:pt idx="47">
                  <c:v>0.42</c:v>
                </c:pt>
                <c:pt idx="48">
                  <c:v>0.42099999999999999</c:v>
                </c:pt>
                <c:pt idx="49">
                  <c:v>0.42399999999999999</c:v>
                </c:pt>
                <c:pt idx="50">
                  <c:v>0.42799999999999999</c:v>
                </c:pt>
                <c:pt idx="51">
                  <c:v>0.43</c:v>
                </c:pt>
                <c:pt idx="52">
                  <c:v>0.43</c:v>
                </c:pt>
                <c:pt idx="53">
                  <c:v>0.42899999999999999</c:v>
                </c:pt>
                <c:pt idx="54">
                  <c:v>0.43</c:v>
                </c:pt>
                <c:pt idx="55">
                  <c:v>0.432</c:v>
                </c:pt>
                <c:pt idx="56">
                  <c:v>0.434</c:v>
                </c:pt>
                <c:pt idx="57">
                  <c:v>0.433</c:v>
                </c:pt>
                <c:pt idx="58">
                  <c:v>0.43099999999999999</c:v>
                </c:pt>
                <c:pt idx="59">
                  <c:v>0.43099999999999999</c:v>
                </c:pt>
                <c:pt idx="60">
                  <c:v>0.43099999999999999</c:v>
                </c:pt>
              </c:numCache>
            </c:numRef>
          </c:val>
          <c:smooth val="0"/>
          <c:extLst>
            <c:ext xmlns:c16="http://schemas.microsoft.com/office/drawing/2014/chart" uri="{C3380CC4-5D6E-409C-BE32-E72D297353CC}">
              <c16:uniqueId val="{00000001-DF6B-48C9-A365-A33C296F31BA}"/>
            </c:ext>
          </c:extLst>
        </c:ser>
        <c:ser>
          <c:idx val="2"/>
          <c:order val="2"/>
          <c:tx>
            <c:strRef>
              <c:f>'Fig 2.23'!$B$10</c:f>
              <c:strCache>
                <c:ptCount val="1"/>
                <c:pt idx="0">
                  <c:v>Variante de mortalité basse</c:v>
                </c:pt>
              </c:strCache>
            </c:strRef>
          </c:tx>
          <c:spPr>
            <a:ln w="25400">
              <a:solidFill>
                <a:schemeClr val="bg1">
                  <a:lumMod val="65000"/>
                </a:schemeClr>
              </a:solidFill>
              <a:prstDash val="sysDash"/>
            </a:ln>
          </c:spPr>
          <c:marker>
            <c:symbol val="square"/>
            <c:size val="2"/>
            <c:spPr>
              <a:solidFill>
                <a:schemeClr val="bg1">
                  <a:lumMod val="65000"/>
                </a:schemeClr>
              </a:solidFill>
              <a:ln>
                <a:solidFill>
                  <a:schemeClr val="bg1">
                    <a:lumMod val="65000"/>
                  </a:schemeClr>
                </a:solidFill>
              </a:ln>
            </c:spPr>
          </c:marker>
          <c:cat>
            <c:numRef>
              <c:f>'Fig 2.23'!$C$3:$BK$3</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2.23'!$C$10:$BK$10</c:f>
              <c:numCache>
                <c:formatCode>0.0%</c:formatCode>
                <c:ptCount val="61"/>
                <c:pt idx="0">
                  <c:v>0.40500000000000003</c:v>
                </c:pt>
                <c:pt idx="2">
                  <c:v>0.40400000000000003</c:v>
                </c:pt>
                <c:pt idx="4">
                  <c:v>0.40200000000000002</c:v>
                </c:pt>
                <c:pt idx="6">
                  <c:v>0.40200000000000002</c:v>
                </c:pt>
                <c:pt idx="8">
                  <c:v>0.40699999999999997</c:v>
                </c:pt>
                <c:pt idx="10">
                  <c:v>0.41</c:v>
                </c:pt>
                <c:pt idx="12">
                  <c:v>0.41499999999999998</c:v>
                </c:pt>
                <c:pt idx="14">
                  <c:v>0.41899999999999998</c:v>
                </c:pt>
                <c:pt idx="15">
                  <c:v>0.42299999999999999</c:v>
                </c:pt>
                <c:pt idx="16">
                  <c:v>0.42899999999999999</c:v>
                </c:pt>
                <c:pt idx="17">
                  <c:v>0.433</c:v>
                </c:pt>
                <c:pt idx="18">
                  <c:v>0.434</c:v>
                </c:pt>
                <c:pt idx="19">
                  <c:v>0.438</c:v>
                </c:pt>
                <c:pt idx="20">
                  <c:v>0.437</c:v>
                </c:pt>
                <c:pt idx="21">
                  <c:v>0.438</c:v>
                </c:pt>
                <c:pt idx="22">
                  <c:v>0.44</c:v>
                </c:pt>
                <c:pt idx="23">
                  <c:v>0.439</c:v>
                </c:pt>
                <c:pt idx="24">
                  <c:v>0.439</c:v>
                </c:pt>
                <c:pt idx="25">
                  <c:v>0.437</c:v>
                </c:pt>
                <c:pt idx="26">
                  <c:v>0.439</c:v>
                </c:pt>
                <c:pt idx="27">
                  <c:v>0.441</c:v>
                </c:pt>
                <c:pt idx="28">
                  <c:v>0.439</c:v>
                </c:pt>
                <c:pt idx="29">
                  <c:v>0.439</c:v>
                </c:pt>
                <c:pt idx="30">
                  <c:v>0.438</c:v>
                </c:pt>
                <c:pt idx="31">
                  <c:v>0.436</c:v>
                </c:pt>
                <c:pt idx="32">
                  <c:v>0.434</c:v>
                </c:pt>
                <c:pt idx="33">
                  <c:v>0.432</c:v>
                </c:pt>
                <c:pt idx="34">
                  <c:v>0.43099999999999999</c:v>
                </c:pt>
                <c:pt idx="35">
                  <c:v>0.42699999999999999</c:v>
                </c:pt>
                <c:pt idx="36">
                  <c:v>0.42399999999999999</c:v>
                </c:pt>
                <c:pt idx="37">
                  <c:v>0.42099999999999999</c:v>
                </c:pt>
                <c:pt idx="38">
                  <c:v>0.41799999999999998</c:v>
                </c:pt>
                <c:pt idx="39">
                  <c:v>0.41299999999999998</c:v>
                </c:pt>
                <c:pt idx="40">
                  <c:v>0.41</c:v>
                </c:pt>
                <c:pt idx="41">
                  <c:v>0.41</c:v>
                </c:pt>
                <c:pt idx="42">
                  <c:v>0.40799999999999997</c:v>
                </c:pt>
                <c:pt idx="43">
                  <c:v>0.40699999999999997</c:v>
                </c:pt>
                <c:pt idx="44">
                  <c:v>0.40400000000000003</c:v>
                </c:pt>
                <c:pt idx="45">
                  <c:v>0.4</c:v>
                </c:pt>
                <c:pt idx="46">
                  <c:v>0.4</c:v>
                </c:pt>
                <c:pt idx="47">
                  <c:v>0.4</c:v>
                </c:pt>
                <c:pt idx="48">
                  <c:v>0.40100000000000002</c:v>
                </c:pt>
                <c:pt idx="49">
                  <c:v>0.40400000000000003</c:v>
                </c:pt>
                <c:pt idx="50">
                  <c:v>0.40699999999999997</c:v>
                </c:pt>
                <c:pt idx="51">
                  <c:v>0.40799999999999997</c:v>
                </c:pt>
                <c:pt idx="52">
                  <c:v>0.40899999999999997</c:v>
                </c:pt>
                <c:pt idx="53">
                  <c:v>0.40699999999999997</c:v>
                </c:pt>
                <c:pt idx="54">
                  <c:v>0.40799999999999997</c:v>
                </c:pt>
                <c:pt idx="55">
                  <c:v>0.40899999999999997</c:v>
                </c:pt>
                <c:pt idx="56">
                  <c:v>0.41099999999999998</c:v>
                </c:pt>
                <c:pt idx="57">
                  <c:v>0.41</c:v>
                </c:pt>
                <c:pt idx="58">
                  <c:v>0.40799999999999997</c:v>
                </c:pt>
                <c:pt idx="59">
                  <c:v>0.40799999999999997</c:v>
                </c:pt>
                <c:pt idx="60">
                  <c:v>0.40699999999999997</c:v>
                </c:pt>
              </c:numCache>
            </c:numRef>
          </c:val>
          <c:smooth val="0"/>
          <c:extLst>
            <c:ext xmlns:c16="http://schemas.microsoft.com/office/drawing/2014/chart" uri="{C3380CC4-5D6E-409C-BE32-E72D297353CC}">
              <c16:uniqueId val="{00000002-DF6B-48C9-A365-A33C296F31BA}"/>
            </c:ext>
          </c:extLst>
        </c:ser>
        <c:dLbls>
          <c:showLegendKey val="0"/>
          <c:showVal val="0"/>
          <c:showCatName val="0"/>
          <c:showSerName val="0"/>
          <c:showPercent val="0"/>
          <c:showBubbleSize val="0"/>
        </c:dLbls>
        <c:marker val="1"/>
        <c:smooth val="0"/>
        <c:axId val="148257792"/>
        <c:axId val="148268544"/>
      </c:lineChart>
      <c:catAx>
        <c:axId val="148257792"/>
        <c:scaling>
          <c:orientation val="minMax"/>
        </c:scaling>
        <c:delete val="0"/>
        <c:axPos val="b"/>
        <c:title>
          <c:tx>
            <c:rich>
              <a:bodyPr/>
              <a:lstStyle/>
              <a:p>
                <a:pPr>
                  <a:defRPr/>
                </a:pPr>
                <a:r>
                  <a:rPr lang="en-US"/>
                  <a:t>génération</a:t>
                </a:r>
              </a:p>
            </c:rich>
          </c:tx>
          <c:layout>
            <c:manualLayout>
              <c:xMode val="edge"/>
              <c:yMode val="edge"/>
              <c:x val="0.76233333333333331"/>
              <c:y val="0.53607037037037042"/>
            </c:manualLayout>
          </c:layout>
          <c:overlay val="0"/>
        </c:title>
        <c:numFmt formatCode="General" sourceLinked="1"/>
        <c:majorTickMark val="out"/>
        <c:minorTickMark val="none"/>
        <c:tickLblPos val="nextTo"/>
        <c:crossAx val="148268544"/>
        <c:crosses val="autoZero"/>
        <c:auto val="1"/>
        <c:lblAlgn val="ctr"/>
        <c:lblOffset val="100"/>
        <c:noMultiLvlLbl val="0"/>
      </c:catAx>
      <c:valAx>
        <c:axId val="148268544"/>
        <c:scaling>
          <c:orientation val="minMax"/>
          <c:max val="0.52"/>
          <c:min val="0.38000000000000006"/>
        </c:scaling>
        <c:delete val="0"/>
        <c:axPos val="l"/>
        <c:majorGridlines/>
        <c:title>
          <c:tx>
            <c:rich>
              <a:bodyPr rot="-5400000" vert="horz"/>
              <a:lstStyle/>
              <a:p>
                <a:pPr>
                  <a:defRPr/>
                </a:pPr>
                <a:r>
                  <a:rPr lang="en-US"/>
                  <a:t>en % de la durée de vie totale</a:t>
                </a:r>
              </a:p>
            </c:rich>
          </c:tx>
          <c:layout>
            <c:manualLayout>
              <c:xMode val="edge"/>
              <c:yMode val="edge"/>
              <c:x val="1.2584388185654008E-2"/>
              <c:y val="4.2486111111111127E-3"/>
            </c:manualLayout>
          </c:layout>
          <c:overlay val="0"/>
        </c:title>
        <c:numFmt formatCode="0%" sourceLinked="0"/>
        <c:majorTickMark val="out"/>
        <c:minorTickMark val="none"/>
        <c:tickLblPos val="nextTo"/>
        <c:crossAx val="148257792"/>
        <c:crosses val="autoZero"/>
        <c:crossBetween val="between"/>
        <c:majorUnit val="2.0000000000000004E-2"/>
      </c:valAx>
    </c:plotArea>
    <c:legend>
      <c:legendPos val="b"/>
      <c:layout>
        <c:manualLayout>
          <c:xMode val="edge"/>
          <c:yMode val="edge"/>
          <c:x val="4.4358339214628046E-3"/>
          <c:y val="0.8121359561237641"/>
          <c:w val="0.99556416607853715"/>
          <c:h val="0.1878640438762359"/>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21944444444447"/>
          <c:y val="6.2674824882558489E-2"/>
          <c:w val="0.84971423611111152"/>
          <c:h val="0.51668187973318636"/>
        </c:manualLayout>
      </c:layout>
      <c:lineChart>
        <c:grouping val="standard"/>
        <c:varyColors val="0"/>
        <c:ser>
          <c:idx val="0"/>
          <c:order val="0"/>
          <c:tx>
            <c:strRef>
              <c:f>'Fig 2.24'!$D$4</c:f>
              <c:strCache>
                <c:ptCount val="1"/>
                <c:pt idx="0">
                  <c:v>Génération ayant 65 ans (hors majorations et réversions)</c:v>
                </c:pt>
              </c:strCache>
            </c:strRef>
          </c:tx>
          <c:spPr>
            <a:ln w="38100">
              <a:solidFill>
                <a:srgbClr val="FF0000"/>
              </a:solidFill>
            </a:ln>
          </c:spPr>
          <c:marker>
            <c:symbol val="circle"/>
            <c:size val="7"/>
            <c:spPr>
              <a:solidFill>
                <a:srgbClr val="FF0000"/>
              </a:solidFill>
              <a:ln>
                <a:solidFill>
                  <a:srgbClr val="FF0000"/>
                </a:solidFill>
              </a:ln>
            </c:spPr>
          </c:marker>
          <c:cat>
            <c:multiLvlStrRef>
              <c:f>'Fig 2.24'!$B$6:$C$30</c:f>
              <c:multiLvlStrCache>
                <c:ptCount val="25"/>
                <c:lvl>
                  <c:pt idx="0">
                    <c:v>1924</c:v>
                  </c:pt>
                  <c:pt idx="1">
                    <c:v>1925</c:v>
                  </c:pt>
                  <c:pt idx="2">
                    <c:v>1926</c:v>
                  </c:pt>
                  <c:pt idx="3">
                    <c:v>1927</c:v>
                  </c:pt>
                  <c:pt idx="4">
                    <c:v>1928</c:v>
                  </c:pt>
                  <c:pt idx="5">
                    <c:v>1929</c:v>
                  </c:pt>
                  <c:pt idx="6">
                    <c:v>1930</c:v>
                  </c:pt>
                  <c:pt idx="7">
                    <c:v>1931</c:v>
                  </c:pt>
                  <c:pt idx="8">
                    <c:v>1932</c:v>
                  </c:pt>
                  <c:pt idx="9">
                    <c:v>1933</c:v>
                  </c:pt>
                  <c:pt idx="10">
                    <c:v>1934</c:v>
                  </c:pt>
                  <c:pt idx="11">
                    <c:v>1935</c:v>
                  </c:pt>
                  <c:pt idx="12">
                    <c:v>1936</c:v>
                  </c:pt>
                  <c:pt idx="13">
                    <c:v>1937</c:v>
                  </c:pt>
                  <c:pt idx="14">
                    <c:v>1938</c:v>
                  </c:pt>
                  <c:pt idx="15">
                    <c:v>1939</c:v>
                  </c:pt>
                  <c:pt idx="16">
                    <c:v>1940</c:v>
                  </c:pt>
                  <c:pt idx="17">
                    <c:v>1941</c:v>
                  </c:pt>
                  <c:pt idx="18">
                    <c:v>1942</c:v>
                  </c:pt>
                  <c:pt idx="19">
                    <c:v>1943</c:v>
                  </c:pt>
                  <c:pt idx="20">
                    <c:v>1944</c:v>
                  </c:pt>
                  <c:pt idx="21">
                    <c:v>1945</c:v>
                  </c:pt>
                  <c:pt idx="22">
                    <c:v>1946</c:v>
                  </c:pt>
                  <c:pt idx="23">
                    <c:v>1947</c:v>
                  </c:pt>
                  <c:pt idx="24">
                    <c:v>1948</c:v>
                  </c:pt>
                </c:lvl>
                <c:lvl>
                  <c:pt idx="15">
                    <c:v>2004</c:v>
                  </c:pt>
                  <c:pt idx="16">
                    <c:v>2005</c:v>
                  </c:pt>
                  <c:pt idx="17">
                    <c:v>2006</c:v>
                  </c:pt>
                  <c:pt idx="18">
                    <c:v>2007</c:v>
                  </c:pt>
                  <c:pt idx="19">
                    <c:v>2008</c:v>
                  </c:pt>
                  <c:pt idx="20">
                    <c:v>2009</c:v>
                  </c:pt>
                  <c:pt idx="21">
                    <c:v>2010</c:v>
                  </c:pt>
                  <c:pt idx="22">
                    <c:v>2011</c:v>
                  </c:pt>
                  <c:pt idx="23">
                    <c:v>2012</c:v>
                  </c:pt>
                  <c:pt idx="24">
                    <c:v>2013</c:v>
                  </c:pt>
                </c:lvl>
              </c:multiLvlStrCache>
            </c:multiLvlStrRef>
          </c:cat>
          <c:val>
            <c:numRef>
              <c:f>'Fig 2.24'!$D$6:$D$30</c:f>
              <c:numCache>
                <c:formatCode>0.0%</c:formatCode>
                <c:ptCount val="25"/>
                <c:pt idx="0">
                  <c:v>0.48399999999999999</c:v>
                </c:pt>
                <c:pt idx="2">
                  <c:v>0.48799999999999999</c:v>
                </c:pt>
                <c:pt idx="4">
                  <c:v>0.50700000000000001</c:v>
                </c:pt>
                <c:pt idx="6">
                  <c:v>0.52</c:v>
                </c:pt>
                <c:pt idx="8">
                  <c:v>0.52200000000000002</c:v>
                </c:pt>
                <c:pt idx="10">
                  <c:v>0.53400000000000003</c:v>
                </c:pt>
                <c:pt idx="12">
                  <c:v>0.56100000000000005</c:v>
                </c:pt>
                <c:pt idx="14">
                  <c:v>0.57699999999999996</c:v>
                </c:pt>
                <c:pt idx="15">
                  <c:v>0.58799999999999997</c:v>
                </c:pt>
                <c:pt idx="16">
                  <c:v>0.60099999999999998</c:v>
                </c:pt>
                <c:pt idx="17">
                  <c:v>0.61299999999999999</c:v>
                </c:pt>
                <c:pt idx="18">
                  <c:v>0.61799999999999999</c:v>
                </c:pt>
                <c:pt idx="19">
                  <c:v>0.626</c:v>
                </c:pt>
                <c:pt idx="20">
                  <c:v>0.63</c:v>
                </c:pt>
                <c:pt idx="21">
                  <c:v>0.63700000000000001</c:v>
                </c:pt>
                <c:pt idx="22">
                  <c:v>0.63700000000000001</c:v>
                </c:pt>
                <c:pt idx="23">
                  <c:v>0.66</c:v>
                </c:pt>
                <c:pt idx="24">
                  <c:v>0.67900000000000005</c:v>
                </c:pt>
              </c:numCache>
            </c:numRef>
          </c:val>
          <c:smooth val="0"/>
          <c:extLst>
            <c:ext xmlns:c16="http://schemas.microsoft.com/office/drawing/2014/chart" uri="{C3380CC4-5D6E-409C-BE32-E72D297353CC}">
              <c16:uniqueId val="{00000000-3A9B-4A06-9EC5-E31C0C011198}"/>
            </c:ext>
          </c:extLst>
        </c:ser>
        <c:ser>
          <c:idx val="1"/>
          <c:order val="1"/>
          <c:tx>
            <c:strRef>
              <c:f>'Fig 2.24'!$E$4</c:f>
              <c:strCache>
                <c:ptCount val="1"/>
                <c:pt idx="0">
                  <c:v>Génération ayant 65 ans (y compris majorations et réversions)</c:v>
                </c:pt>
              </c:strCache>
            </c:strRef>
          </c:tx>
          <c:spPr>
            <a:ln w="12700">
              <a:solidFill>
                <a:srgbClr val="FF0000"/>
              </a:solidFill>
              <a:prstDash val="dash"/>
            </a:ln>
          </c:spPr>
          <c:marker>
            <c:symbol val="circle"/>
            <c:size val="7"/>
            <c:spPr>
              <a:solidFill>
                <a:schemeClr val="bg1"/>
              </a:solidFill>
              <a:ln>
                <a:solidFill>
                  <a:srgbClr val="FF0000"/>
                </a:solidFill>
              </a:ln>
            </c:spPr>
          </c:marker>
          <c:cat>
            <c:multiLvlStrRef>
              <c:f>'Fig 2.24'!$B$6:$C$30</c:f>
              <c:multiLvlStrCache>
                <c:ptCount val="25"/>
                <c:lvl>
                  <c:pt idx="0">
                    <c:v>1924</c:v>
                  </c:pt>
                  <c:pt idx="1">
                    <c:v>1925</c:v>
                  </c:pt>
                  <c:pt idx="2">
                    <c:v>1926</c:v>
                  </c:pt>
                  <c:pt idx="3">
                    <c:v>1927</c:v>
                  </c:pt>
                  <c:pt idx="4">
                    <c:v>1928</c:v>
                  </c:pt>
                  <c:pt idx="5">
                    <c:v>1929</c:v>
                  </c:pt>
                  <c:pt idx="6">
                    <c:v>1930</c:v>
                  </c:pt>
                  <c:pt idx="7">
                    <c:v>1931</c:v>
                  </c:pt>
                  <c:pt idx="8">
                    <c:v>1932</c:v>
                  </c:pt>
                  <c:pt idx="9">
                    <c:v>1933</c:v>
                  </c:pt>
                  <c:pt idx="10">
                    <c:v>1934</c:v>
                  </c:pt>
                  <c:pt idx="11">
                    <c:v>1935</c:v>
                  </c:pt>
                  <c:pt idx="12">
                    <c:v>1936</c:v>
                  </c:pt>
                  <c:pt idx="13">
                    <c:v>1937</c:v>
                  </c:pt>
                  <c:pt idx="14">
                    <c:v>1938</c:v>
                  </c:pt>
                  <c:pt idx="15">
                    <c:v>1939</c:v>
                  </c:pt>
                  <c:pt idx="16">
                    <c:v>1940</c:v>
                  </c:pt>
                  <c:pt idx="17">
                    <c:v>1941</c:v>
                  </c:pt>
                  <c:pt idx="18">
                    <c:v>1942</c:v>
                  </c:pt>
                  <c:pt idx="19">
                    <c:v>1943</c:v>
                  </c:pt>
                  <c:pt idx="20">
                    <c:v>1944</c:v>
                  </c:pt>
                  <c:pt idx="21">
                    <c:v>1945</c:v>
                  </c:pt>
                  <c:pt idx="22">
                    <c:v>1946</c:v>
                  </c:pt>
                  <c:pt idx="23">
                    <c:v>1947</c:v>
                  </c:pt>
                  <c:pt idx="24">
                    <c:v>1948</c:v>
                  </c:pt>
                </c:lvl>
                <c:lvl>
                  <c:pt idx="15">
                    <c:v>2004</c:v>
                  </c:pt>
                  <c:pt idx="16">
                    <c:v>2005</c:v>
                  </c:pt>
                  <c:pt idx="17">
                    <c:v>2006</c:v>
                  </c:pt>
                  <c:pt idx="18">
                    <c:v>2007</c:v>
                  </c:pt>
                  <c:pt idx="19">
                    <c:v>2008</c:v>
                  </c:pt>
                  <c:pt idx="20">
                    <c:v>2009</c:v>
                  </c:pt>
                  <c:pt idx="21">
                    <c:v>2010</c:v>
                  </c:pt>
                  <c:pt idx="22">
                    <c:v>2011</c:v>
                  </c:pt>
                  <c:pt idx="23">
                    <c:v>2012</c:v>
                  </c:pt>
                  <c:pt idx="24">
                    <c:v>2013</c:v>
                  </c:pt>
                </c:lvl>
              </c:multiLvlStrCache>
            </c:multiLvlStrRef>
          </c:cat>
          <c:val>
            <c:numRef>
              <c:f>'Fig 2.24'!$E$6:$E$30</c:f>
              <c:numCache>
                <c:formatCode>General</c:formatCode>
                <c:ptCount val="25"/>
                <c:pt idx="15" formatCode="0.0%">
                  <c:v>0.66300000000000003</c:v>
                </c:pt>
                <c:pt idx="16" formatCode="0.0%">
                  <c:v>0.67500000000000004</c:v>
                </c:pt>
                <c:pt idx="17" formatCode="0.0%">
                  <c:v>0.68300000000000005</c:v>
                </c:pt>
                <c:pt idx="18" formatCode="0.0%">
                  <c:v>0.68500000000000005</c:v>
                </c:pt>
                <c:pt idx="19" formatCode="0.0%">
                  <c:v>0.68799999999999994</c:v>
                </c:pt>
                <c:pt idx="20" formatCode="0.0%">
                  <c:v>0.68799999999999994</c:v>
                </c:pt>
                <c:pt idx="21" formatCode="0.0%">
                  <c:v>0.69599999999999995</c:v>
                </c:pt>
                <c:pt idx="22" formatCode="0.0%">
                  <c:v>0.69199999999999995</c:v>
                </c:pt>
                <c:pt idx="23" formatCode="0.0%">
                  <c:v>0.70899999999999996</c:v>
                </c:pt>
                <c:pt idx="24" formatCode="0.0%">
                  <c:v>0.72499999999999998</c:v>
                </c:pt>
              </c:numCache>
            </c:numRef>
          </c:val>
          <c:smooth val="0"/>
          <c:extLst>
            <c:ext xmlns:c16="http://schemas.microsoft.com/office/drawing/2014/chart" uri="{C3380CC4-5D6E-409C-BE32-E72D297353CC}">
              <c16:uniqueId val="{00000001-3A9B-4A06-9EC5-E31C0C011198}"/>
            </c:ext>
          </c:extLst>
        </c:ser>
        <c:ser>
          <c:idx val="2"/>
          <c:order val="2"/>
          <c:tx>
            <c:strRef>
              <c:f>'Fig 2.24'!$F$4</c:f>
              <c:strCache>
                <c:ptCount val="1"/>
                <c:pt idx="0">
                  <c:v>Ensemble des retraités de droit direct (hors majorations et réversions)</c:v>
                </c:pt>
              </c:strCache>
            </c:strRef>
          </c:tx>
          <c:spPr>
            <a:ln w="12700">
              <a:solidFill>
                <a:schemeClr val="tx1"/>
              </a:solidFill>
            </a:ln>
          </c:spPr>
          <c:marker>
            <c:symbol val="triangle"/>
            <c:size val="7"/>
            <c:spPr>
              <a:solidFill>
                <a:schemeClr val="tx1"/>
              </a:solidFill>
              <a:ln>
                <a:solidFill>
                  <a:schemeClr val="tx1"/>
                </a:solidFill>
              </a:ln>
            </c:spPr>
          </c:marker>
          <c:cat>
            <c:multiLvlStrRef>
              <c:f>'Fig 2.24'!$B$6:$C$30</c:f>
              <c:multiLvlStrCache>
                <c:ptCount val="25"/>
                <c:lvl>
                  <c:pt idx="0">
                    <c:v>1924</c:v>
                  </c:pt>
                  <c:pt idx="1">
                    <c:v>1925</c:v>
                  </c:pt>
                  <c:pt idx="2">
                    <c:v>1926</c:v>
                  </c:pt>
                  <c:pt idx="3">
                    <c:v>1927</c:v>
                  </c:pt>
                  <c:pt idx="4">
                    <c:v>1928</c:v>
                  </c:pt>
                  <c:pt idx="5">
                    <c:v>1929</c:v>
                  </c:pt>
                  <c:pt idx="6">
                    <c:v>1930</c:v>
                  </c:pt>
                  <c:pt idx="7">
                    <c:v>1931</c:v>
                  </c:pt>
                  <c:pt idx="8">
                    <c:v>1932</c:v>
                  </c:pt>
                  <c:pt idx="9">
                    <c:v>1933</c:v>
                  </c:pt>
                  <c:pt idx="10">
                    <c:v>1934</c:v>
                  </c:pt>
                  <c:pt idx="11">
                    <c:v>1935</c:v>
                  </c:pt>
                  <c:pt idx="12">
                    <c:v>1936</c:v>
                  </c:pt>
                  <c:pt idx="13">
                    <c:v>1937</c:v>
                  </c:pt>
                  <c:pt idx="14">
                    <c:v>1938</c:v>
                  </c:pt>
                  <c:pt idx="15">
                    <c:v>1939</c:v>
                  </c:pt>
                  <c:pt idx="16">
                    <c:v>1940</c:v>
                  </c:pt>
                  <c:pt idx="17">
                    <c:v>1941</c:v>
                  </c:pt>
                  <c:pt idx="18">
                    <c:v>1942</c:v>
                  </c:pt>
                  <c:pt idx="19">
                    <c:v>1943</c:v>
                  </c:pt>
                  <c:pt idx="20">
                    <c:v>1944</c:v>
                  </c:pt>
                  <c:pt idx="21">
                    <c:v>1945</c:v>
                  </c:pt>
                  <c:pt idx="22">
                    <c:v>1946</c:v>
                  </c:pt>
                  <c:pt idx="23">
                    <c:v>1947</c:v>
                  </c:pt>
                  <c:pt idx="24">
                    <c:v>1948</c:v>
                  </c:pt>
                </c:lvl>
                <c:lvl>
                  <c:pt idx="15">
                    <c:v>2004</c:v>
                  </c:pt>
                  <c:pt idx="16">
                    <c:v>2005</c:v>
                  </c:pt>
                  <c:pt idx="17">
                    <c:v>2006</c:v>
                  </c:pt>
                  <c:pt idx="18">
                    <c:v>2007</c:v>
                  </c:pt>
                  <c:pt idx="19">
                    <c:v>2008</c:v>
                  </c:pt>
                  <c:pt idx="20">
                    <c:v>2009</c:v>
                  </c:pt>
                  <c:pt idx="21">
                    <c:v>2010</c:v>
                  </c:pt>
                  <c:pt idx="22">
                    <c:v>2011</c:v>
                  </c:pt>
                  <c:pt idx="23">
                    <c:v>2012</c:v>
                  </c:pt>
                  <c:pt idx="24">
                    <c:v>2013</c:v>
                  </c:pt>
                </c:lvl>
              </c:multiLvlStrCache>
            </c:multiLvlStrRef>
          </c:cat>
          <c:val>
            <c:numRef>
              <c:f>'Fig 2.24'!$F$6:$F$30</c:f>
              <c:numCache>
                <c:formatCode>General</c:formatCode>
                <c:ptCount val="25"/>
                <c:pt idx="15" formatCode="0.0%">
                  <c:v>0.54600000000000004</c:v>
                </c:pt>
                <c:pt idx="16" formatCode="0.0%">
                  <c:v>0.54900000000000004</c:v>
                </c:pt>
                <c:pt idx="17" formatCode="0.0%">
                  <c:v>0.55500000000000005</c:v>
                </c:pt>
                <c:pt idx="18" formatCode="0.0%">
                  <c:v>0.56200000000000006</c:v>
                </c:pt>
                <c:pt idx="19" formatCode="0.0%">
                  <c:v>0.57099999999999995</c:v>
                </c:pt>
                <c:pt idx="20" formatCode="0.0%">
                  <c:v>0.57499999999999996</c:v>
                </c:pt>
                <c:pt idx="21" formatCode="0.0%">
                  <c:v>0.57899999999999996</c:v>
                </c:pt>
                <c:pt idx="22" formatCode="0.0%">
                  <c:v>0.58099999999999996</c:v>
                </c:pt>
                <c:pt idx="23" formatCode="0.0%">
                  <c:v>0.59799999999999998</c:v>
                </c:pt>
                <c:pt idx="24" formatCode="0.0%">
                  <c:v>0.60499999999999998</c:v>
                </c:pt>
              </c:numCache>
            </c:numRef>
          </c:val>
          <c:smooth val="0"/>
          <c:extLst>
            <c:ext xmlns:c16="http://schemas.microsoft.com/office/drawing/2014/chart" uri="{C3380CC4-5D6E-409C-BE32-E72D297353CC}">
              <c16:uniqueId val="{00000002-3A9B-4A06-9EC5-E31C0C011198}"/>
            </c:ext>
          </c:extLst>
        </c:ser>
        <c:ser>
          <c:idx val="3"/>
          <c:order val="3"/>
          <c:tx>
            <c:strRef>
              <c:f>'Fig 2.24'!$G$4</c:f>
              <c:strCache>
                <c:ptCount val="1"/>
                <c:pt idx="0">
                  <c:v>Ensemble des retraités de droit direct (y compris majorations et réversions)</c:v>
                </c:pt>
              </c:strCache>
            </c:strRef>
          </c:tx>
          <c:spPr>
            <a:ln w="12700">
              <a:solidFill>
                <a:schemeClr val="tx1"/>
              </a:solidFill>
              <a:prstDash val="sysDash"/>
            </a:ln>
          </c:spPr>
          <c:marker>
            <c:symbol val="triangle"/>
            <c:size val="7"/>
            <c:spPr>
              <a:solidFill>
                <a:schemeClr val="bg1">
                  <a:lumMod val="75000"/>
                </a:schemeClr>
              </a:solidFill>
              <a:ln>
                <a:solidFill>
                  <a:schemeClr val="tx1"/>
                </a:solidFill>
              </a:ln>
            </c:spPr>
          </c:marker>
          <c:cat>
            <c:multiLvlStrRef>
              <c:f>'Fig 2.24'!$B$6:$C$30</c:f>
              <c:multiLvlStrCache>
                <c:ptCount val="25"/>
                <c:lvl>
                  <c:pt idx="0">
                    <c:v>1924</c:v>
                  </c:pt>
                  <c:pt idx="1">
                    <c:v>1925</c:v>
                  </c:pt>
                  <c:pt idx="2">
                    <c:v>1926</c:v>
                  </c:pt>
                  <c:pt idx="3">
                    <c:v>1927</c:v>
                  </c:pt>
                  <c:pt idx="4">
                    <c:v>1928</c:v>
                  </c:pt>
                  <c:pt idx="5">
                    <c:v>1929</c:v>
                  </c:pt>
                  <c:pt idx="6">
                    <c:v>1930</c:v>
                  </c:pt>
                  <c:pt idx="7">
                    <c:v>1931</c:v>
                  </c:pt>
                  <c:pt idx="8">
                    <c:v>1932</c:v>
                  </c:pt>
                  <c:pt idx="9">
                    <c:v>1933</c:v>
                  </c:pt>
                  <c:pt idx="10">
                    <c:v>1934</c:v>
                  </c:pt>
                  <c:pt idx="11">
                    <c:v>1935</c:v>
                  </c:pt>
                  <c:pt idx="12">
                    <c:v>1936</c:v>
                  </c:pt>
                  <c:pt idx="13">
                    <c:v>1937</c:v>
                  </c:pt>
                  <c:pt idx="14">
                    <c:v>1938</c:v>
                  </c:pt>
                  <c:pt idx="15">
                    <c:v>1939</c:v>
                  </c:pt>
                  <c:pt idx="16">
                    <c:v>1940</c:v>
                  </c:pt>
                  <c:pt idx="17">
                    <c:v>1941</c:v>
                  </c:pt>
                  <c:pt idx="18">
                    <c:v>1942</c:v>
                  </c:pt>
                  <c:pt idx="19">
                    <c:v>1943</c:v>
                  </c:pt>
                  <c:pt idx="20">
                    <c:v>1944</c:v>
                  </c:pt>
                  <c:pt idx="21">
                    <c:v>1945</c:v>
                  </c:pt>
                  <c:pt idx="22">
                    <c:v>1946</c:v>
                  </c:pt>
                  <c:pt idx="23">
                    <c:v>1947</c:v>
                  </c:pt>
                  <c:pt idx="24">
                    <c:v>1948</c:v>
                  </c:pt>
                </c:lvl>
                <c:lvl>
                  <c:pt idx="15">
                    <c:v>2004</c:v>
                  </c:pt>
                  <c:pt idx="16">
                    <c:v>2005</c:v>
                  </c:pt>
                  <c:pt idx="17">
                    <c:v>2006</c:v>
                  </c:pt>
                  <c:pt idx="18">
                    <c:v>2007</c:v>
                  </c:pt>
                  <c:pt idx="19">
                    <c:v>2008</c:v>
                  </c:pt>
                  <c:pt idx="20">
                    <c:v>2009</c:v>
                  </c:pt>
                  <c:pt idx="21">
                    <c:v>2010</c:v>
                  </c:pt>
                  <c:pt idx="22">
                    <c:v>2011</c:v>
                  </c:pt>
                  <c:pt idx="23">
                    <c:v>2012</c:v>
                  </c:pt>
                  <c:pt idx="24">
                    <c:v>2013</c:v>
                  </c:pt>
                </c:lvl>
              </c:multiLvlStrCache>
            </c:multiLvlStrRef>
          </c:cat>
          <c:val>
            <c:numRef>
              <c:f>'Fig 2.24'!$G$6:$G$30</c:f>
              <c:numCache>
                <c:formatCode>General</c:formatCode>
                <c:ptCount val="25"/>
                <c:pt idx="15" formatCode="0.0%">
                  <c:v>0.70199999999999996</c:v>
                </c:pt>
                <c:pt idx="16" formatCode="0.0%">
                  <c:v>0.70199999999999996</c:v>
                </c:pt>
                <c:pt idx="17" formatCode="0.0%">
                  <c:v>0.70299999999999996</c:v>
                </c:pt>
                <c:pt idx="18" formatCode="0.0%">
                  <c:v>0.70699999999999996</c:v>
                </c:pt>
                <c:pt idx="19" formatCode="0.0%">
                  <c:v>0.71799999999999997</c:v>
                </c:pt>
                <c:pt idx="20" formatCode="0.0%">
                  <c:v>0.72</c:v>
                </c:pt>
                <c:pt idx="21" formatCode="0.0%">
                  <c:v>0.72399999999999998</c:v>
                </c:pt>
                <c:pt idx="22" formatCode="0.0%">
                  <c:v>0.71799999999999997</c:v>
                </c:pt>
                <c:pt idx="23" formatCode="0.0%">
                  <c:v>0.74</c:v>
                </c:pt>
                <c:pt idx="24" formatCode="0.0%">
                  <c:v>0.748</c:v>
                </c:pt>
              </c:numCache>
            </c:numRef>
          </c:val>
          <c:smooth val="0"/>
          <c:extLst>
            <c:ext xmlns:c16="http://schemas.microsoft.com/office/drawing/2014/chart" uri="{C3380CC4-5D6E-409C-BE32-E72D297353CC}">
              <c16:uniqueId val="{00000003-3A9B-4A06-9EC5-E31C0C011198}"/>
            </c:ext>
          </c:extLst>
        </c:ser>
        <c:dLbls>
          <c:showLegendKey val="0"/>
          <c:showVal val="0"/>
          <c:showCatName val="0"/>
          <c:showSerName val="0"/>
          <c:showPercent val="0"/>
          <c:showBubbleSize val="0"/>
        </c:dLbls>
        <c:marker val="1"/>
        <c:smooth val="0"/>
        <c:axId val="148427136"/>
        <c:axId val="148429056"/>
      </c:lineChart>
      <c:catAx>
        <c:axId val="148427136"/>
        <c:scaling>
          <c:orientation val="minMax"/>
        </c:scaling>
        <c:delete val="0"/>
        <c:axPos val="b"/>
        <c:numFmt formatCode="General" sourceLinked="0"/>
        <c:majorTickMark val="out"/>
        <c:minorTickMark val="none"/>
        <c:tickLblPos val="nextTo"/>
        <c:txPr>
          <a:bodyPr rot="-5400000" vert="horz"/>
          <a:lstStyle/>
          <a:p>
            <a:pPr>
              <a:defRPr sz="800"/>
            </a:pPr>
            <a:endParaRPr lang="fr-FR"/>
          </a:p>
        </c:txPr>
        <c:crossAx val="148429056"/>
        <c:crosses val="autoZero"/>
        <c:auto val="1"/>
        <c:lblAlgn val="ctr"/>
        <c:lblOffset val="100"/>
        <c:noMultiLvlLbl val="0"/>
      </c:catAx>
      <c:valAx>
        <c:axId val="148429056"/>
        <c:scaling>
          <c:orientation val="minMax"/>
          <c:max val="0.75000000000000022"/>
          <c:min val="0.48000000000000015"/>
        </c:scaling>
        <c:delete val="0"/>
        <c:axPos val="l"/>
        <c:majorGridlines/>
        <c:title>
          <c:tx>
            <c:rich>
              <a:bodyPr rot="-5400000" vert="horz"/>
              <a:lstStyle/>
              <a:p>
                <a:pPr>
                  <a:defRPr/>
                </a:pPr>
                <a:r>
                  <a:rPr lang="fr-FR" sz="900"/>
                  <a:t>Rapport de montant moyen </a:t>
                </a:r>
                <a:br>
                  <a:rPr lang="fr-FR" sz="900"/>
                </a:br>
                <a:r>
                  <a:rPr lang="fr-FR" sz="900" b="0"/>
                  <a:t>pension</a:t>
                </a:r>
                <a:r>
                  <a:rPr lang="fr-FR" sz="900" b="0" baseline="0"/>
                  <a:t> des femmes / pension des hommes</a:t>
                </a:r>
                <a:endParaRPr lang="fr-FR" sz="900" b="0"/>
              </a:p>
            </c:rich>
          </c:tx>
          <c:layout>
            <c:manualLayout>
              <c:xMode val="edge"/>
              <c:yMode val="edge"/>
              <c:x val="2.7136752136752147E-3"/>
              <c:y val="4.9848148148148169E-3"/>
            </c:manualLayout>
          </c:layout>
          <c:overlay val="0"/>
        </c:title>
        <c:numFmt formatCode="0%" sourceLinked="0"/>
        <c:majorTickMark val="out"/>
        <c:minorTickMark val="none"/>
        <c:tickLblPos val="nextTo"/>
        <c:crossAx val="148427136"/>
        <c:crosses val="autoZero"/>
        <c:crossBetween val="between"/>
        <c:majorUnit val="2.0000000000000011E-2"/>
      </c:valAx>
    </c:plotArea>
    <c:legend>
      <c:legendPos val="b"/>
      <c:layout>
        <c:manualLayout>
          <c:xMode val="edge"/>
          <c:yMode val="edge"/>
          <c:x val="5.6888888888888892E-2"/>
          <c:y val="0.79006481481481483"/>
          <c:w val="0.80275831692183919"/>
          <c:h val="0.20452851851851847"/>
        </c:manualLayout>
      </c:layout>
      <c:overlay val="0"/>
      <c:txPr>
        <a:bodyPr/>
        <a:lstStyle/>
        <a:p>
          <a:pPr>
            <a:defRPr sz="900"/>
          </a:pPr>
          <a:endParaRPr lang="fr-FR"/>
        </a:p>
      </c:txPr>
    </c:legend>
    <c:plotVisOnly val="1"/>
    <c:dispBlanksAs val="gap"/>
    <c:showDLblsOverMax val="0"/>
  </c:chart>
  <c:printSettings>
    <c:headerFooter/>
    <c:pageMargins b="0.75000000000000022" l="0.70000000000000018" r="0.70000000000000018" t="0.75000000000000022" header="0.3000000000000001" footer="0.3000000000000001"/>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fr-FR" sz="1000"/>
              <a:t>Ensemble</a:t>
            </a:r>
            <a:r>
              <a:rPr lang="fr-FR" sz="1000" baseline="0"/>
              <a:t> des retraités de droit direct (y compris majorations et réversions)</a:t>
            </a:r>
            <a:endParaRPr lang="fr-FR" sz="1000"/>
          </a:p>
        </c:rich>
      </c:tx>
      <c:layout>
        <c:manualLayout>
          <c:xMode val="edge"/>
          <c:yMode val="edge"/>
          <c:x val="0.18440937499999999"/>
          <c:y val="0.79296342592592595"/>
        </c:manualLayout>
      </c:layout>
      <c:overlay val="0"/>
    </c:title>
    <c:autoTitleDeleted val="0"/>
    <c:plotArea>
      <c:layout>
        <c:manualLayout>
          <c:layoutTarget val="inner"/>
          <c:xMode val="edge"/>
          <c:yMode val="edge"/>
          <c:x val="0.12476875"/>
          <c:y val="0.10773240740740742"/>
          <c:w val="0.84397569444444442"/>
          <c:h val="0.55655185185185185"/>
        </c:manualLayout>
      </c:layout>
      <c:lineChart>
        <c:grouping val="standard"/>
        <c:varyColors val="0"/>
        <c:ser>
          <c:idx val="5"/>
          <c:order val="0"/>
          <c:tx>
            <c:strRef>
              <c:f>'Fig 2.24'!$G$5</c:f>
              <c:strCache>
                <c:ptCount val="1"/>
                <c:pt idx="0">
                  <c:v>observé</c:v>
                </c:pt>
              </c:strCache>
            </c:strRef>
          </c:tx>
          <c:spPr>
            <a:ln w="12700">
              <a:solidFill>
                <a:schemeClr val="tx1"/>
              </a:solidFill>
              <a:prstDash val="sysDash"/>
            </a:ln>
          </c:spPr>
          <c:marker>
            <c:symbol val="triangle"/>
            <c:size val="7"/>
            <c:spPr>
              <a:solidFill>
                <a:schemeClr val="bg1">
                  <a:lumMod val="85000"/>
                </a:schemeClr>
              </a:solidFill>
              <a:ln>
                <a:solidFill>
                  <a:schemeClr val="tx1"/>
                </a:solidFill>
              </a:ln>
            </c:spPr>
          </c:marker>
          <c:cat>
            <c:numRef>
              <c:f>'Fig 2.24'!$B$22:$B$77</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2.24'!$G$22:$G$30</c:f>
              <c:numCache>
                <c:formatCode>0.0%</c:formatCode>
                <c:ptCount val="9"/>
                <c:pt idx="0">
                  <c:v>0.70199999999999996</c:v>
                </c:pt>
                <c:pt idx="1">
                  <c:v>0.70299999999999996</c:v>
                </c:pt>
                <c:pt idx="2">
                  <c:v>0.70699999999999996</c:v>
                </c:pt>
                <c:pt idx="3">
                  <c:v>0.71799999999999997</c:v>
                </c:pt>
                <c:pt idx="4">
                  <c:v>0.72</c:v>
                </c:pt>
                <c:pt idx="5">
                  <c:v>0.72399999999999998</c:v>
                </c:pt>
                <c:pt idx="6">
                  <c:v>0.71799999999999997</c:v>
                </c:pt>
                <c:pt idx="7">
                  <c:v>0.74</c:v>
                </c:pt>
                <c:pt idx="8">
                  <c:v>0.748</c:v>
                </c:pt>
              </c:numCache>
            </c:numRef>
          </c:val>
          <c:smooth val="0"/>
          <c:extLst>
            <c:ext xmlns:c16="http://schemas.microsoft.com/office/drawing/2014/chart" uri="{C3380CC4-5D6E-409C-BE32-E72D297353CC}">
              <c16:uniqueId val="{00000000-5961-4B30-A578-424AC2BD9284}"/>
            </c:ext>
          </c:extLst>
        </c:ser>
        <c:ser>
          <c:idx val="0"/>
          <c:order val="1"/>
          <c:tx>
            <c:strRef>
              <c:f>'Fig 2.24'!$H$5</c:f>
              <c:strCache>
                <c:ptCount val="1"/>
                <c:pt idx="0">
                  <c:v>A'</c:v>
                </c:pt>
              </c:strCache>
            </c:strRef>
          </c:tx>
          <c:spPr>
            <a:ln w="22225">
              <a:solidFill>
                <a:schemeClr val="tx1"/>
              </a:solidFill>
            </a:ln>
          </c:spPr>
          <c:marker>
            <c:symbol val="x"/>
            <c:size val="4"/>
            <c:spPr>
              <a:noFill/>
              <a:ln>
                <a:solidFill>
                  <a:schemeClr val="tx1"/>
                </a:solidFill>
              </a:ln>
            </c:spPr>
          </c:marker>
          <c:cat>
            <c:numRef>
              <c:f>'Fig 2.24'!$B$22:$B$77</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2.24'!$H$22:$H$77</c:f>
              <c:numCache>
                <c:formatCode>0.0%</c:formatCode>
                <c:ptCount val="56"/>
                <c:pt idx="9">
                  <c:v>0.751</c:v>
                </c:pt>
                <c:pt idx="10">
                  <c:v>0.75700000000000001</c:v>
                </c:pt>
                <c:pt idx="11">
                  <c:v>0.75900000000000001</c:v>
                </c:pt>
                <c:pt idx="12">
                  <c:v>0.76300000000000001</c:v>
                </c:pt>
                <c:pt idx="13">
                  <c:v>0.76700000000000002</c:v>
                </c:pt>
                <c:pt idx="14">
                  <c:v>0.76900000000000002</c:v>
                </c:pt>
                <c:pt idx="15">
                  <c:v>0.77200000000000002</c:v>
                </c:pt>
                <c:pt idx="16">
                  <c:v>0.77300000000000002</c:v>
                </c:pt>
                <c:pt idx="17">
                  <c:v>0.77600000000000002</c:v>
                </c:pt>
                <c:pt idx="18">
                  <c:v>0.78100000000000003</c:v>
                </c:pt>
                <c:pt idx="19">
                  <c:v>0.78600000000000003</c:v>
                </c:pt>
                <c:pt idx="20">
                  <c:v>0.79</c:v>
                </c:pt>
                <c:pt idx="21">
                  <c:v>0.79200000000000004</c:v>
                </c:pt>
                <c:pt idx="22">
                  <c:v>0.79400000000000004</c:v>
                </c:pt>
                <c:pt idx="23">
                  <c:v>0.79600000000000004</c:v>
                </c:pt>
                <c:pt idx="24">
                  <c:v>0.79900000000000004</c:v>
                </c:pt>
                <c:pt idx="25">
                  <c:v>0.80200000000000005</c:v>
                </c:pt>
                <c:pt idx="26">
                  <c:v>0.80600000000000005</c:v>
                </c:pt>
                <c:pt idx="27">
                  <c:v>0.80800000000000005</c:v>
                </c:pt>
                <c:pt idx="28">
                  <c:v>0.81</c:v>
                </c:pt>
                <c:pt idx="29">
                  <c:v>0.81399999999999995</c:v>
                </c:pt>
                <c:pt idx="30">
                  <c:v>0.81599999999999995</c:v>
                </c:pt>
                <c:pt idx="31">
                  <c:v>0.81899999999999995</c:v>
                </c:pt>
                <c:pt idx="32">
                  <c:v>0.82099999999999995</c:v>
                </c:pt>
                <c:pt idx="33">
                  <c:v>0.82399999999999995</c:v>
                </c:pt>
                <c:pt idx="34">
                  <c:v>0.82699999999999996</c:v>
                </c:pt>
                <c:pt idx="35">
                  <c:v>0.83</c:v>
                </c:pt>
                <c:pt idx="36">
                  <c:v>0.83199999999999996</c:v>
                </c:pt>
                <c:pt idx="37">
                  <c:v>0.83499999999999996</c:v>
                </c:pt>
                <c:pt idx="38">
                  <c:v>0.83699999999999997</c:v>
                </c:pt>
                <c:pt idx="39">
                  <c:v>0.83899999999999997</c:v>
                </c:pt>
                <c:pt idx="40">
                  <c:v>0.84199999999999997</c:v>
                </c:pt>
                <c:pt idx="41">
                  <c:v>0.84499999999999997</c:v>
                </c:pt>
                <c:pt idx="42">
                  <c:v>0.84699999999999998</c:v>
                </c:pt>
                <c:pt idx="43">
                  <c:v>0.84799999999999998</c:v>
                </c:pt>
                <c:pt idx="44">
                  <c:v>0.84899999999999998</c:v>
                </c:pt>
                <c:pt idx="45">
                  <c:v>0.85099999999999998</c:v>
                </c:pt>
                <c:pt idx="46">
                  <c:v>0.85099999999999998</c:v>
                </c:pt>
                <c:pt idx="47">
                  <c:v>0.85199999999999998</c:v>
                </c:pt>
                <c:pt idx="48">
                  <c:v>0.85099999999999998</c:v>
                </c:pt>
                <c:pt idx="49">
                  <c:v>0.85</c:v>
                </c:pt>
                <c:pt idx="50">
                  <c:v>0.85</c:v>
                </c:pt>
                <c:pt idx="51">
                  <c:v>0.84899999999999998</c:v>
                </c:pt>
                <c:pt idx="52">
                  <c:v>0.84799999999999998</c:v>
                </c:pt>
                <c:pt idx="53">
                  <c:v>0.84699999999999998</c:v>
                </c:pt>
                <c:pt idx="54">
                  <c:v>0.84599999999999997</c:v>
                </c:pt>
                <c:pt idx="55">
                  <c:v>0.84499999999999997</c:v>
                </c:pt>
              </c:numCache>
            </c:numRef>
          </c:val>
          <c:smooth val="0"/>
          <c:extLst>
            <c:ext xmlns:c16="http://schemas.microsoft.com/office/drawing/2014/chart" uri="{C3380CC4-5D6E-409C-BE32-E72D297353CC}">
              <c16:uniqueId val="{00000001-5961-4B30-A578-424AC2BD9284}"/>
            </c:ext>
          </c:extLst>
        </c:ser>
        <c:ser>
          <c:idx val="1"/>
          <c:order val="2"/>
          <c:tx>
            <c:strRef>
              <c:f>'Fig 2.24'!$I$5</c:f>
              <c:strCache>
                <c:ptCount val="1"/>
                <c:pt idx="0">
                  <c:v>A</c:v>
                </c:pt>
              </c:strCache>
            </c:strRef>
          </c:tx>
          <c:spPr>
            <a:ln w="22225">
              <a:solidFill>
                <a:schemeClr val="tx1"/>
              </a:solidFill>
            </a:ln>
          </c:spPr>
          <c:marker>
            <c:symbol val="circle"/>
            <c:size val="4"/>
            <c:spPr>
              <a:solidFill>
                <a:schemeClr val="bg1">
                  <a:lumMod val="65000"/>
                </a:schemeClr>
              </a:solidFill>
              <a:ln>
                <a:solidFill>
                  <a:schemeClr val="tx1"/>
                </a:solidFill>
              </a:ln>
            </c:spPr>
          </c:marker>
          <c:cat>
            <c:numRef>
              <c:f>'Fig 2.24'!$B$22:$B$77</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2.24'!$I$22:$I$77</c:f>
              <c:numCache>
                <c:formatCode>0.0%</c:formatCode>
                <c:ptCount val="56"/>
                <c:pt idx="9">
                  <c:v>0.751</c:v>
                </c:pt>
                <c:pt idx="10">
                  <c:v>0.75700000000000001</c:v>
                </c:pt>
                <c:pt idx="11">
                  <c:v>0.75900000000000001</c:v>
                </c:pt>
                <c:pt idx="12">
                  <c:v>0.76300000000000001</c:v>
                </c:pt>
                <c:pt idx="13">
                  <c:v>0.76700000000000002</c:v>
                </c:pt>
                <c:pt idx="14">
                  <c:v>0.76900000000000002</c:v>
                </c:pt>
                <c:pt idx="15">
                  <c:v>0.77200000000000002</c:v>
                </c:pt>
                <c:pt idx="16">
                  <c:v>0.77300000000000002</c:v>
                </c:pt>
                <c:pt idx="17">
                  <c:v>0.77600000000000002</c:v>
                </c:pt>
                <c:pt idx="18">
                  <c:v>0.78100000000000003</c:v>
                </c:pt>
                <c:pt idx="19">
                  <c:v>0.78600000000000003</c:v>
                </c:pt>
                <c:pt idx="20">
                  <c:v>0.79</c:v>
                </c:pt>
                <c:pt idx="21">
                  <c:v>0.79200000000000004</c:v>
                </c:pt>
                <c:pt idx="22">
                  <c:v>0.79400000000000004</c:v>
                </c:pt>
                <c:pt idx="23">
                  <c:v>0.79600000000000004</c:v>
                </c:pt>
                <c:pt idx="24">
                  <c:v>0.79900000000000004</c:v>
                </c:pt>
                <c:pt idx="25">
                  <c:v>0.80200000000000005</c:v>
                </c:pt>
                <c:pt idx="26">
                  <c:v>0.80500000000000005</c:v>
                </c:pt>
                <c:pt idx="27">
                  <c:v>0.80800000000000005</c:v>
                </c:pt>
                <c:pt idx="28">
                  <c:v>0.81</c:v>
                </c:pt>
                <c:pt idx="29">
                  <c:v>0.81399999999999995</c:v>
                </c:pt>
                <c:pt idx="30">
                  <c:v>0.81599999999999995</c:v>
                </c:pt>
                <c:pt idx="31">
                  <c:v>0.81899999999999995</c:v>
                </c:pt>
                <c:pt idx="32">
                  <c:v>0.82099999999999995</c:v>
                </c:pt>
                <c:pt idx="33">
                  <c:v>0.82399999999999995</c:v>
                </c:pt>
                <c:pt idx="34">
                  <c:v>0.82699999999999996</c:v>
                </c:pt>
                <c:pt idx="35">
                  <c:v>0.83</c:v>
                </c:pt>
                <c:pt idx="36">
                  <c:v>0.83199999999999996</c:v>
                </c:pt>
                <c:pt idx="37">
                  <c:v>0.83499999999999996</c:v>
                </c:pt>
                <c:pt idx="38">
                  <c:v>0.83699999999999997</c:v>
                </c:pt>
                <c:pt idx="39">
                  <c:v>0.83899999999999997</c:v>
                </c:pt>
                <c:pt idx="40">
                  <c:v>0.84199999999999997</c:v>
                </c:pt>
                <c:pt idx="41">
                  <c:v>0.84499999999999997</c:v>
                </c:pt>
                <c:pt idx="42">
                  <c:v>0.84699999999999998</c:v>
                </c:pt>
                <c:pt idx="43">
                  <c:v>0.84899999999999998</c:v>
                </c:pt>
                <c:pt idx="44">
                  <c:v>0.85</c:v>
                </c:pt>
                <c:pt idx="45">
                  <c:v>0.85099999999999998</c:v>
                </c:pt>
                <c:pt idx="46">
                  <c:v>0.85199999999999998</c:v>
                </c:pt>
                <c:pt idx="47">
                  <c:v>0.85299999999999998</c:v>
                </c:pt>
                <c:pt idx="48">
                  <c:v>0.85299999999999998</c:v>
                </c:pt>
                <c:pt idx="49">
                  <c:v>0.85199999999999998</c:v>
                </c:pt>
                <c:pt idx="50">
                  <c:v>0.85099999999999998</c:v>
                </c:pt>
                <c:pt idx="51">
                  <c:v>0.85</c:v>
                </c:pt>
                <c:pt idx="52">
                  <c:v>0.84899999999999998</c:v>
                </c:pt>
                <c:pt idx="53">
                  <c:v>0.84899999999999998</c:v>
                </c:pt>
                <c:pt idx="54">
                  <c:v>0.84699999999999998</c:v>
                </c:pt>
                <c:pt idx="55">
                  <c:v>0.84599999999999997</c:v>
                </c:pt>
              </c:numCache>
            </c:numRef>
          </c:val>
          <c:smooth val="0"/>
          <c:extLst>
            <c:ext xmlns:c16="http://schemas.microsoft.com/office/drawing/2014/chart" uri="{C3380CC4-5D6E-409C-BE32-E72D297353CC}">
              <c16:uniqueId val="{00000002-5961-4B30-A578-424AC2BD9284}"/>
            </c:ext>
          </c:extLst>
        </c:ser>
        <c:ser>
          <c:idx val="2"/>
          <c:order val="3"/>
          <c:tx>
            <c:strRef>
              <c:f>'Fig 2.24'!$J$5</c:f>
              <c:strCache>
                <c:ptCount val="1"/>
                <c:pt idx="0">
                  <c:v>B</c:v>
                </c:pt>
              </c:strCache>
            </c:strRef>
          </c:tx>
          <c:spPr>
            <a:ln w="22225">
              <a:solidFill>
                <a:schemeClr val="tx1"/>
              </a:solidFill>
            </a:ln>
          </c:spPr>
          <c:marker>
            <c:symbol val="triangle"/>
            <c:size val="4"/>
            <c:spPr>
              <a:solidFill>
                <a:schemeClr val="bg1"/>
              </a:solidFill>
              <a:ln>
                <a:solidFill>
                  <a:schemeClr val="tx1"/>
                </a:solidFill>
              </a:ln>
            </c:spPr>
          </c:marker>
          <c:cat>
            <c:numRef>
              <c:f>'Fig 2.24'!$B$22:$B$77</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2.24'!$J$22:$J$77</c:f>
              <c:numCache>
                <c:formatCode>0.0%</c:formatCode>
                <c:ptCount val="56"/>
                <c:pt idx="9">
                  <c:v>0.751</c:v>
                </c:pt>
                <c:pt idx="10">
                  <c:v>0.75700000000000001</c:v>
                </c:pt>
                <c:pt idx="11">
                  <c:v>0.75900000000000001</c:v>
                </c:pt>
                <c:pt idx="12">
                  <c:v>0.76300000000000001</c:v>
                </c:pt>
                <c:pt idx="13">
                  <c:v>0.76700000000000002</c:v>
                </c:pt>
                <c:pt idx="14">
                  <c:v>0.76900000000000002</c:v>
                </c:pt>
                <c:pt idx="15">
                  <c:v>0.77100000000000002</c:v>
                </c:pt>
                <c:pt idx="16">
                  <c:v>0.77300000000000002</c:v>
                </c:pt>
                <c:pt idx="17">
                  <c:v>0.77600000000000002</c:v>
                </c:pt>
                <c:pt idx="18">
                  <c:v>0.78100000000000003</c:v>
                </c:pt>
                <c:pt idx="19">
                  <c:v>0.78500000000000003</c:v>
                </c:pt>
                <c:pt idx="20">
                  <c:v>0.79</c:v>
                </c:pt>
                <c:pt idx="21">
                  <c:v>0.79200000000000004</c:v>
                </c:pt>
                <c:pt idx="22">
                  <c:v>0.79400000000000004</c:v>
                </c:pt>
                <c:pt idx="23">
                  <c:v>0.79600000000000004</c:v>
                </c:pt>
                <c:pt idx="24">
                  <c:v>0.79900000000000004</c:v>
                </c:pt>
                <c:pt idx="25">
                  <c:v>0.80200000000000005</c:v>
                </c:pt>
                <c:pt idx="26">
                  <c:v>0.80500000000000005</c:v>
                </c:pt>
                <c:pt idx="27">
                  <c:v>0.80800000000000005</c:v>
                </c:pt>
                <c:pt idx="28">
                  <c:v>0.81</c:v>
                </c:pt>
                <c:pt idx="29">
                  <c:v>0.81399999999999995</c:v>
                </c:pt>
                <c:pt idx="30">
                  <c:v>0.81599999999999995</c:v>
                </c:pt>
                <c:pt idx="31">
                  <c:v>0.81899999999999995</c:v>
                </c:pt>
                <c:pt idx="32">
                  <c:v>0.82199999999999995</c:v>
                </c:pt>
                <c:pt idx="33">
                  <c:v>0.82399999999999995</c:v>
                </c:pt>
                <c:pt idx="34">
                  <c:v>0.82699999999999996</c:v>
                </c:pt>
                <c:pt idx="35">
                  <c:v>0.83</c:v>
                </c:pt>
                <c:pt idx="36">
                  <c:v>0.83299999999999996</c:v>
                </c:pt>
                <c:pt idx="37">
                  <c:v>0.83599999999999997</c:v>
                </c:pt>
                <c:pt idx="38">
                  <c:v>0.83899999999999997</c:v>
                </c:pt>
                <c:pt idx="39">
                  <c:v>0.84099999999999997</c:v>
                </c:pt>
                <c:pt idx="40">
                  <c:v>0.84399999999999997</c:v>
                </c:pt>
                <c:pt idx="41">
                  <c:v>0.84699999999999998</c:v>
                </c:pt>
                <c:pt idx="42">
                  <c:v>0.84899999999999998</c:v>
                </c:pt>
                <c:pt idx="43">
                  <c:v>0.85099999999999998</c:v>
                </c:pt>
                <c:pt idx="44">
                  <c:v>0.85199999999999998</c:v>
                </c:pt>
                <c:pt idx="45">
                  <c:v>0.85399999999999998</c:v>
                </c:pt>
                <c:pt idx="46">
                  <c:v>0.85399999999999998</c:v>
                </c:pt>
                <c:pt idx="47">
                  <c:v>0.85499999999999998</c:v>
                </c:pt>
                <c:pt idx="48">
                  <c:v>0.85499999999999998</c:v>
                </c:pt>
                <c:pt idx="49">
                  <c:v>0.85499999999999998</c:v>
                </c:pt>
                <c:pt idx="50">
                  <c:v>0.85399999999999998</c:v>
                </c:pt>
                <c:pt idx="51">
                  <c:v>0.85399999999999998</c:v>
                </c:pt>
                <c:pt idx="52">
                  <c:v>0.85299999999999998</c:v>
                </c:pt>
                <c:pt idx="53">
                  <c:v>0.85299999999999998</c:v>
                </c:pt>
                <c:pt idx="54">
                  <c:v>0.85199999999999998</c:v>
                </c:pt>
                <c:pt idx="55">
                  <c:v>0.85099999999999998</c:v>
                </c:pt>
              </c:numCache>
            </c:numRef>
          </c:val>
          <c:smooth val="0"/>
          <c:extLst>
            <c:ext xmlns:c16="http://schemas.microsoft.com/office/drawing/2014/chart" uri="{C3380CC4-5D6E-409C-BE32-E72D297353CC}">
              <c16:uniqueId val="{00000003-5961-4B30-A578-424AC2BD9284}"/>
            </c:ext>
          </c:extLst>
        </c:ser>
        <c:ser>
          <c:idx val="3"/>
          <c:order val="4"/>
          <c:tx>
            <c:strRef>
              <c:f>'Fig 2.24'!$K$5</c:f>
              <c:strCache>
                <c:ptCount val="1"/>
                <c:pt idx="0">
                  <c:v>C</c:v>
                </c:pt>
              </c:strCache>
            </c:strRef>
          </c:tx>
          <c:spPr>
            <a:ln w="22225">
              <a:solidFill>
                <a:schemeClr val="tx1"/>
              </a:solidFill>
            </a:ln>
          </c:spPr>
          <c:marker>
            <c:symbol val="diamond"/>
            <c:size val="4"/>
            <c:spPr>
              <a:solidFill>
                <a:schemeClr val="tx1"/>
              </a:solidFill>
              <a:ln>
                <a:solidFill>
                  <a:schemeClr val="tx1"/>
                </a:solidFill>
              </a:ln>
            </c:spPr>
          </c:marker>
          <c:cat>
            <c:numRef>
              <c:f>'Fig 2.24'!$B$22:$B$77</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2.24'!$K$22:$K$77</c:f>
              <c:numCache>
                <c:formatCode>0.0%</c:formatCode>
                <c:ptCount val="56"/>
                <c:pt idx="9">
                  <c:v>0.751</c:v>
                </c:pt>
                <c:pt idx="10">
                  <c:v>0.75700000000000001</c:v>
                </c:pt>
                <c:pt idx="11">
                  <c:v>0.75900000000000001</c:v>
                </c:pt>
                <c:pt idx="12">
                  <c:v>0.76300000000000001</c:v>
                </c:pt>
                <c:pt idx="13">
                  <c:v>0.76700000000000002</c:v>
                </c:pt>
                <c:pt idx="14">
                  <c:v>0.76900000000000002</c:v>
                </c:pt>
                <c:pt idx="15">
                  <c:v>0.77200000000000002</c:v>
                </c:pt>
                <c:pt idx="16">
                  <c:v>0.77300000000000002</c:v>
                </c:pt>
                <c:pt idx="17">
                  <c:v>0.77600000000000002</c:v>
                </c:pt>
                <c:pt idx="18">
                  <c:v>0.78100000000000003</c:v>
                </c:pt>
                <c:pt idx="19">
                  <c:v>0.78500000000000003</c:v>
                </c:pt>
                <c:pt idx="20">
                  <c:v>0.79</c:v>
                </c:pt>
                <c:pt idx="21">
                  <c:v>0.79200000000000004</c:v>
                </c:pt>
                <c:pt idx="22">
                  <c:v>0.79400000000000004</c:v>
                </c:pt>
                <c:pt idx="23">
                  <c:v>0.79600000000000004</c:v>
                </c:pt>
                <c:pt idx="24">
                  <c:v>0.79900000000000004</c:v>
                </c:pt>
                <c:pt idx="25">
                  <c:v>0.80200000000000005</c:v>
                </c:pt>
                <c:pt idx="26">
                  <c:v>0.80600000000000005</c:v>
                </c:pt>
                <c:pt idx="27">
                  <c:v>0.80800000000000005</c:v>
                </c:pt>
                <c:pt idx="28">
                  <c:v>0.81</c:v>
                </c:pt>
                <c:pt idx="29">
                  <c:v>0.81399999999999995</c:v>
                </c:pt>
                <c:pt idx="30">
                  <c:v>0.81699999999999995</c:v>
                </c:pt>
                <c:pt idx="31">
                  <c:v>0.82</c:v>
                </c:pt>
                <c:pt idx="32">
                  <c:v>0.82199999999999995</c:v>
                </c:pt>
                <c:pt idx="33">
                  <c:v>0.82499999999999996</c:v>
                </c:pt>
                <c:pt idx="34">
                  <c:v>0.82799999999999996</c:v>
                </c:pt>
                <c:pt idx="35">
                  <c:v>0.83099999999999996</c:v>
                </c:pt>
                <c:pt idx="36">
                  <c:v>0.83399999999999996</c:v>
                </c:pt>
                <c:pt idx="37">
                  <c:v>0.83699999999999997</c:v>
                </c:pt>
                <c:pt idx="38">
                  <c:v>0.84</c:v>
                </c:pt>
                <c:pt idx="39">
                  <c:v>0.84199999999999997</c:v>
                </c:pt>
                <c:pt idx="40">
                  <c:v>0.84599999999999997</c:v>
                </c:pt>
                <c:pt idx="41">
                  <c:v>0.84899999999999998</c:v>
                </c:pt>
                <c:pt idx="42">
                  <c:v>0.85099999999999998</c:v>
                </c:pt>
                <c:pt idx="43">
                  <c:v>0.85299999999999998</c:v>
                </c:pt>
                <c:pt idx="44">
                  <c:v>0.85499999999999998</c:v>
                </c:pt>
                <c:pt idx="45">
                  <c:v>0.85699999999999998</c:v>
                </c:pt>
                <c:pt idx="46">
                  <c:v>0.85799999999999998</c:v>
                </c:pt>
                <c:pt idx="47">
                  <c:v>0.85899999999999999</c:v>
                </c:pt>
                <c:pt idx="48">
                  <c:v>0.86</c:v>
                </c:pt>
                <c:pt idx="49">
                  <c:v>0.85899999999999999</c:v>
                </c:pt>
                <c:pt idx="50">
                  <c:v>0.85899999999999999</c:v>
                </c:pt>
                <c:pt idx="51">
                  <c:v>0.85799999999999998</c:v>
                </c:pt>
                <c:pt idx="52">
                  <c:v>0.85799999999999998</c:v>
                </c:pt>
                <c:pt idx="53">
                  <c:v>0.85799999999999998</c:v>
                </c:pt>
                <c:pt idx="54">
                  <c:v>0.85799999999999998</c:v>
                </c:pt>
                <c:pt idx="55">
                  <c:v>0.85699999999999998</c:v>
                </c:pt>
              </c:numCache>
            </c:numRef>
          </c:val>
          <c:smooth val="0"/>
          <c:extLst>
            <c:ext xmlns:c16="http://schemas.microsoft.com/office/drawing/2014/chart" uri="{C3380CC4-5D6E-409C-BE32-E72D297353CC}">
              <c16:uniqueId val="{00000004-5961-4B30-A578-424AC2BD9284}"/>
            </c:ext>
          </c:extLst>
        </c:ser>
        <c:ser>
          <c:idx val="4"/>
          <c:order val="5"/>
          <c:tx>
            <c:strRef>
              <c:f>'Fig 2.24'!$L$5</c:f>
              <c:strCache>
                <c:ptCount val="1"/>
                <c:pt idx="0">
                  <c:v>C'</c:v>
                </c:pt>
              </c:strCache>
            </c:strRef>
          </c:tx>
          <c:spPr>
            <a:ln w="22225">
              <a:solidFill>
                <a:schemeClr val="tx1"/>
              </a:solidFill>
            </a:ln>
          </c:spPr>
          <c:marker>
            <c:symbol val="star"/>
            <c:size val="4"/>
            <c:spPr>
              <a:noFill/>
              <a:ln>
                <a:solidFill>
                  <a:schemeClr val="tx1"/>
                </a:solidFill>
              </a:ln>
            </c:spPr>
          </c:marker>
          <c:cat>
            <c:numRef>
              <c:f>'Fig 2.24'!$B$22:$B$77</c:f>
              <c:numCache>
                <c:formatCode>General</c:formatCode>
                <c:ptCount val="5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numCache>
            </c:numRef>
          </c:cat>
          <c:val>
            <c:numRef>
              <c:f>'Fig 2.24'!$L$22:$L$77</c:f>
              <c:numCache>
                <c:formatCode>0.0%</c:formatCode>
                <c:ptCount val="56"/>
                <c:pt idx="9">
                  <c:v>0.751</c:v>
                </c:pt>
                <c:pt idx="10">
                  <c:v>0.75700000000000001</c:v>
                </c:pt>
                <c:pt idx="11">
                  <c:v>0.75900000000000001</c:v>
                </c:pt>
                <c:pt idx="12">
                  <c:v>0.76300000000000001</c:v>
                </c:pt>
                <c:pt idx="13">
                  <c:v>0.76700000000000002</c:v>
                </c:pt>
                <c:pt idx="14">
                  <c:v>0.76900000000000002</c:v>
                </c:pt>
                <c:pt idx="15">
                  <c:v>0.77200000000000002</c:v>
                </c:pt>
                <c:pt idx="16">
                  <c:v>0.77300000000000002</c:v>
                </c:pt>
                <c:pt idx="17">
                  <c:v>0.77600000000000002</c:v>
                </c:pt>
                <c:pt idx="18">
                  <c:v>0.78100000000000003</c:v>
                </c:pt>
                <c:pt idx="19">
                  <c:v>0.78500000000000003</c:v>
                </c:pt>
                <c:pt idx="20">
                  <c:v>0.79</c:v>
                </c:pt>
                <c:pt idx="21">
                  <c:v>0.79200000000000004</c:v>
                </c:pt>
                <c:pt idx="22">
                  <c:v>0.79400000000000004</c:v>
                </c:pt>
                <c:pt idx="23">
                  <c:v>0.79600000000000004</c:v>
                </c:pt>
                <c:pt idx="24">
                  <c:v>0.79900000000000004</c:v>
                </c:pt>
                <c:pt idx="25">
                  <c:v>0.80200000000000005</c:v>
                </c:pt>
                <c:pt idx="26">
                  <c:v>0.80600000000000005</c:v>
                </c:pt>
                <c:pt idx="27">
                  <c:v>0.80900000000000005</c:v>
                </c:pt>
                <c:pt idx="28">
                  <c:v>0.81100000000000005</c:v>
                </c:pt>
                <c:pt idx="29">
                  <c:v>0.81499999999999995</c:v>
                </c:pt>
                <c:pt idx="30">
                  <c:v>0.81699999999999995</c:v>
                </c:pt>
                <c:pt idx="31">
                  <c:v>0.82</c:v>
                </c:pt>
                <c:pt idx="32">
                  <c:v>0.82299999999999995</c:v>
                </c:pt>
                <c:pt idx="33">
                  <c:v>0.82599999999999996</c:v>
                </c:pt>
                <c:pt idx="34">
                  <c:v>0.82899999999999996</c:v>
                </c:pt>
                <c:pt idx="35">
                  <c:v>0.83199999999999996</c:v>
                </c:pt>
                <c:pt idx="36">
                  <c:v>0.83599999999999997</c:v>
                </c:pt>
                <c:pt idx="37">
                  <c:v>0.83899999999999997</c:v>
                </c:pt>
                <c:pt idx="38">
                  <c:v>0.84199999999999997</c:v>
                </c:pt>
                <c:pt idx="39">
                  <c:v>0.84399999999999997</c:v>
                </c:pt>
                <c:pt idx="40">
                  <c:v>0.84799999999999998</c:v>
                </c:pt>
                <c:pt idx="41">
                  <c:v>0.85099999999999998</c:v>
                </c:pt>
                <c:pt idx="42">
                  <c:v>0.85399999999999998</c:v>
                </c:pt>
                <c:pt idx="43">
                  <c:v>0.85599999999999998</c:v>
                </c:pt>
                <c:pt idx="44">
                  <c:v>0.85799999999999998</c:v>
                </c:pt>
                <c:pt idx="45">
                  <c:v>0.86</c:v>
                </c:pt>
                <c:pt idx="46">
                  <c:v>0.86099999999999999</c:v>
                </c:pt>
                <c:pt idx="47">
                  <c:v>0.86299999999999999</c:v>
                </c:pt>
                <c:pt idx="48">
                  <c:v>0.86299999999999999</c:v>
                </c:pt>
                <c:pt idx="49">
                  <c:v>0.86299999999999999</c:v>
                </c:pt>
                <c:pt idx="50">
                  <c:v>0.86299999999999999</c:v>
                </c:pt>
                <c:pt idx="51">
                  <c:v>0.86299999999999999</c:v>
                </c:pt>
                <c:pt idx="52">
                  <c:v>0.86299999999999999</c:v>
                </c:pt>
                <c:pt idx="53">
                  <c:v>0.86399999999999999</c:v>
                </c:pt>
                <c:pt idx="54">
                  <c:v>0.86299999999999999</c:v>
                </c:pt>
                <c:pt idx="55">
                  <c:v>0.86299999999999999</c:v>
                </c:pt>
              </c:numCache>
            </c:numRef>
          </c:val>
          <c:smooth val="0"/>
          <c:extLst>
            <c:ext xmlns:c16="http://schemas.microsoft.com/office/drawing/2014/chart" uri="{C3380CC4-5D6E-409C-BE32-E72D297353CC}">
              <c16:uniqueId val="{00000005-5961-4B30-A578-424AC2BD9284}"/>
            </c:ext>
          </c:extLst>
        </c:ser>
        <c:dLbls>
          <c:showLegendKey val="0"/>
          <c:showVal val="0"/>
          <c:showCatName val="0"/>
          <c:showSerName val="0"/>
          <c:showPercent val="0"/>
          <c:showBubbleSize val="0"/>
        </c:dLbls>
        <c:marker val="1"/>
        <c:smooth val="0"/>
        <c:axId val="148476288"/>
        <c:axId val="148478208"/>
      </c:lineChart>
      <c:catAx>
        <c:axId val="148476288"/>
        <c:scaling>
          <c:orientation val="minMax"/>
        </c:scaling>
        <c:delete val="0"/>
        <c:axPos val="b"/>
        <c:numFmt formatCode="General" sourceLinked="1"/>
        <c:majorTickMark val="out"/>
        <c:minorTickMark val="none"/>
        <c:tickLblPos val="nextTo"/>
        <c:txPr>
          <a:bodyPr rot="0" vert="horz"/>
          <a:lstStyle/>
          <a:p>
            <a:pPr>
              <a:defRPr/>
            </a:pPr>
            <a:endParaRPr lang="fr-FR"/>
          </a:p>
        </c:txPr>
        <c:crossAx val="148478208"/>
        <c:crosses val="autoZero"/>
        <c:auto val="1"/>
        <c:lblAlgn val="ctr"/>
        <c:lblOffset val="100"/>
        <c:tickLblSkip val="5"/>
        <c:tickMarkSkip val="5"/>
        <c:noMultiLvlLbl val="0"/>
      </c:catAx>
      <c:valAx>
        <c:axId val="148478208"/>
        <c:scaling>
          <c:orientation val="minMax"/>
          <c:max val="0.88"/>
          <c:min val="0.66000000000000014"/>
        </c:scaling>
        <c:delete val="0"/>
        <c:axPos val="l"/>
        <c:majorGridlines/>
        <c:title>
          <c:tx>
            <c:rich>
              <a:bodyPr rot="-5400000" vert="horz"/>
              <a:lstStyle/>
              <a:p>
                <a:pPr>
                  <a:defRPr/>
                </a:pPr>
                <a:r>
                  <a:rPr lang="fr-FR"/>
                  <a:t>Rapport</a:t>
                </a:r>
                <a:r>
                  <a:rPr lang="fr-FR" baseline="0"/>
                  <a:t> de montant moyen</a:t>
                </a:r>
              </a:p>
              <a:p>
                <a:pPr>
                  <a:defRPr/>
                </a:pPr>
                <a:r>
                  <a:rPr lang="fr-FR" sz="800" b="0" baseline="0"/>
                  <a:t>pension femmes / pension  hommes</a:t>
                </a:r>
                <a:endParaRPr lang="fr-FR" sz="800" b="0"/>
              </a:p>
            </c:rich>
          </c:tx>
          <c:layout>
            <c:manualLayout>
              <c:xMode val="edge"/>
              <c:yMode val="edge"/>
              <c:x val="0"/>
              <c:y val="3.7176851851851857E-2"/>
            </c:manualLayout>
          </c:layout>
          <c:overlay val="0"/>
        </c:title>
        <c:numFmt formatCode="0%" sourceLinked="0"/>
        <c:majorTickMark val="out"/>
        <c:minorTickMark val="none"/>
        <c:tickLblPos val="nextTo"/>
        <c:crossAx val="148476288"/>
        <c:crosses val="autoZero"/>
        <c:crossBetween val="between"/>
        <c:majorUnit val="2.0000000000000004E-2"/>
      </c:valAx>
    </c:plotArea>
    <c:legend>
      <c:legendPos val="b"/>
      <c:layout>
        <c:manualLayout>
          <c:xMode val="edge"/>
          <c:yMode val="edge"/>
          <c:x val="0.1365376736111111"/>
          <c:y val="0.88251468253968268"/>
          <c:w val="0.77425572916666663"/>
          <c:h val="0.11748531746031746"/>
        </c:manualLayout>
      </c:layout>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911733589047529"/>
          <c:y val="3.5880555555555575E-2"/>
          <c:w val="0.84663596295746069"/>
          <c:h val="0.72835777951524616"/>
        </c:manualLayout>
      </c:layout>
      <c:lineChart>
        <c:grouping val="standard"/>
        <c:varyColors val="0"/>
        <c:ser>
          <c:idx val="0"/>
          <c:order val="0"/>
          <c:tx>
            <c:strRef>
              <c:f>'Fig 2.25'!$C$4</c:f>
              <c:strCache>
                <c:ptCount val="1"/>
                <c:pt idx="0">
                  <c:v>Pension effective</c:v>
                </c:pt>
              </c:strCache>
            </c:strRef>
          </c:tx>
          <c:spPr>
            <a:ln w="38100">
              <a:solidFill>
                <a:schemeClr val="bg1">
                  <a:lumMod val="50000"/>
                </a:schemeClr>
              </a:solidFill>
            </a:ln>
          </c:spPr>
          <c:marker>
            <c:symbol val="none"/>
          </c:marker>
          <c:cat>
            <c:numRef>
              <c:f>'Fig 2.25'!$B$5:$B$14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2.25'!$C$5:$C$14</c:f>
              <c:numCache>
                <c:formatCode>0.0%</c:formatCode>
                <c:ptCount val="10"/>
                <c:pt idx="0">
                  <c:v>0.49399999999999999</c:v>
                </c:pt>
                <c:pt idx="1">
                  <c:v>0.498</c:v>
                </c:pt>
                <c:pt idx="2">
                  <c:v>0.51800000000000002</c:v>
                </c:pt>
                <c:pt idx="3">
                  <c:v>0.53100000000000003</c:v>
                </c:pt>
                <c:pt idx="4">
                  <c:v>0.53400000000000003</c:v>
                </c:pt>
                <c:pt idx="5">
                  <c:v>0.54600000000000004</c:v>
                </c:pt>
                <c:pt idx="6">
                  <c:v>0.57399999999999995</c:v>
                </c:pt>
                <c:pt idx="7">
                  <c:v>0.59</c:v>
                </c:pt>
                <c:pt idx="8">
                  <c:v>0.61399999999999999</c:v>
                </c:pt>
                <c:pt idx="9">
                  <c:v>0.624</c:v>
                </c:pt>
              </c:numCache>
            </c:numRef>
          </c:val>
          <c:smooth val="0"/>
          <c:extLst>
            <c:ext xmlns:c16="http://schemas.microsoft.com/office/drawing/2014/chart" uri="{C3380CC4-5D6E-409C-BE32-E72D297353CC}">
              <c16:uniqueId val="{00000000-5DD7-4FDB-B693-3BCBDB8DA730}"/>
            </c:ext>
          </c:extLst>
        </c:ser>
        <c:ser>
          <c:idx val="1"/>
          <c:order val="1"/>
          <c:tx>
            <c:strRef>
              <c:f>'Fig 2.25'!$D$4</c:f>
              <c:strCache>
                <c:ptCount val="1"/>
                <c:pt idx="0">
                  <c:v>Pension hors décote/surcote</c:v>
                </c:pt>
              </c:strCache>
            </c:strRef>
          </c:tx>
          <c:spPr>
            <a:ln w="12700">
              <a:solidFill>
                <a:schemeClr val="bg1">
                  <a:lumMod val="50000"/>
                </a:schemeClr>
              </a:solidFill>
              <a:prstDash val="dash"/>
            </a:ln>
          </c:spPr>
          <c:marker>
            <c:symbol val="triangle"/>
            <c:size val="5"/>
            <c:spPr>
              <a:solidFill>
                <a:schemeClr val="bg1">
                  <a:lumMod val="75000"/>
                </a:schemeClr>
              </a:solidFill>
              <a:ln>
                <a:solidFill>
                  <a:schemeClr val="tx1"/>
                </a:solidFill>
              </a:ln>
            </c:spPr>
          </c:marker>
          <c:cat>
            <c:numRef>
              <c:f>'Fig 2.25'!$B$5:$B$14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2.25'!$D$5:$D$14</c:f>
              <c:numCache>
                <c:formatCode>0.0%</c:formatCode>
                <c:ptCount val="10"/>
                <c:pt idx="0">
                  <c:v>0.495</c:v>
                </c:pt>
                <c:pt idx="1">
                  <c:v>0.503</c:v>
                </c:pt>
                <c:pt idx="2">
                  <c:v>0.52500000000000002</c:v>
                </c:pt>
                <c:pt idx="3">
                  <c:v>0.53600000000000003</c:v>
                </c:pt>
                <c:pt idx="4">
                  <c:v>0.53800000000000003</c:v>
                </c:pt>
                <c:pt idx="5">
                  <c:v>0.55100000000000005</c:v>
                </c:pt>
                <c:pt idx="6">
                  <c:v>0.57699999999999996</c:v>
                </c:pt>
                <c:pt idx="7">
                  <c:v>0.59399999999999997</c:v>
                </c:pt>
                <c:pt idx="8">
                  <c:v>0.61499999999999999</c:v>
                </c:pt>
                <c:pt idx="9">
                  <c:v>0.624</c:v>
                </c:pt>
              </c:numCache>
            </c:numRef>
          </c:val>
          <c:smooth val="0"/>
          <c:extLst>
            <c:ext xmlns:c16="http://schemas.microsoft.com/office/drawing/2014/chart" uri="{C3380CC4-5D6E-409C-BE32-E72D297353CC}">
              <c16:uniqueId val="{00000001-5DD7-4FDB-B693-3BCBDB8DA730}"/>
            </c:ext>
          </c:extLst>
        </c:ser>
        <c:ser>
          <c:idx val="3"/>
          <c:order val="2"/>
          <c:tx>
            <c:strRef>
              <c:f>'Fig 2.25'!$E$4</c:f>
              <c:strCache>
                <c:ptCount val="1"/>
                <c:pt idx="0">
                  <c:v>Pension "pleine"</c:v>
                </c:pt>
              </c:strCache>
            </c:strRef>
          </c:tx>
          <c:spPr>
            <a:ln w="19050">
              <a:solidFill>
                <a:schemeClr val="tx1"/>
              </a:solidFill>
            </a:ln>
          </c:spPr>
          <c:marker>
            <c:symbol val="circle"/>
            <c:size val="4"/>
            <c:spPr>
              <a:solidFill>
                <a:schemeClr val="tx1"/>
              </a:solidFill>
            </c:spPr>
          </c:marker>
          <c:cat>
            <c:numRef>
              <c:f>'Fig 2.25'!$B$5:$B$14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2.25'!$E$5:$E$14</c:f>
              <c:numCache>
                <c:formatCode>0.0%</c:formatCode>
                <c:ptCount val="10"/>
                <c:pt idx="0">
                  <c:v>0.63300000000000001</c:v>
                </c:pt>
                <c:pt idx="1">
                  <c:v>0.65200000000000002</c:v>
                </c:pt>
                <c:pt idx="2">
                  <c:v>0.67200000000000004</c:v>
                </c:pt>
                <c:pt idx="3">
                  <c:v>0.67600000000000005</c:v>
                </c:pt>
                <c:pt idx="4">
                  <c:v>0.66</c:v>
                </c:pt>
                <c:pt idx="5">
                  <c:v>0.66300000000000003</c:v>
                </c:pt>
                <c:pt idx="6">
                  <c:v>0.67500000000000004</c:v>
                </c:pt>
                <c:pt idx="7">
                  <c:v>0.68200000000000005</c:v>
                </c:pt>
                <c:pt idx="8">
                  <c:v>0.69199999999999995</c:v>
                </c:pt>
                <c:pt idx="9">
                  <c:v>0.69299999999999995</c:v>
                </c:pt>
              </c:numCache>
            </c:numRef>
          </c:val>
          <c:smooth val="0"/>
          <c:extLst>
            <c:ext xmlns:c16="http://schemas.microsoft.com/office/drawing/2014/chart" uri="{C3380CC4-5D6E-409C-BE32-E72D297353CC}">
              <c16:uniqueId val="{00000002-5DD7-4FDB-B693-3BCBDB8DA730}"/>
            </c:ext>
          </c:extLst>
        </c:ser>
        <c:ser>
          <c:idx val="2"/>
          <c:order val="3"/>
          <c:tx>
            <c:strRef>
              <c:f>'Fig 2.25'!$F$4</c:f>
              <c:strCache>
                <c:ptCount val="1"/>
                <c:pt idx="0">
                  <c:v>Pension "pleine" (hors minima de pension)</c:v>
                </c:pt>
              </c:strCache>
            </c:strRef>
          </c:tx>
          <c:spPr>
            <a:ln w="19050">
              <a:solidFill>
                <a:schemeClr val="tx1"/>
              </a:solidFill>
              <a:prstDash val="dash"/>
            </a:ln>
          </c:spPr>
          <c:marker>
            <c:symbol val="circle"/>
            <c:size val="4"/>
            <c:spPr>
              <a:solidFill>
                <a:schemeClr val="bg1">
                  <a:lumMod val="95000"/>
                </a:schemeClr>
              </a:solidFill>
              <a:ln>
                <a:solidFill>
                  <a:schemeClr val="tx1"/>
                </a:solidFill>
              </a:ln>
            </c:spPr>
          </c:marker>
          <c:cat>
            <c:numRef>
              <c:f>'Fig 2.25'!$B$5:$B$14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2.25'!$F$5:$F$14</c:f>
              <c:numCache>
                <c:formatCode>0.0%</c:formatCode>
                <c:ptCount val="10"/>
                <c:pt idx="0">
                  <c:v>0.56799999999999995</c:v>
                </c:pt>
                <c:pt idx="1">
                  <c:v>0.59599999999999997</c:v>
                </c:pt>
                <c:pt idx="2">
                  <c:v>0.622</c:v>
                </c:pt>
                <c:pt idx="3">
                  <c:v>0.61499999999999999</c:v>
                </c:pt>
                <c:pt idx="4">
                  <c:v>0.60399999999999998</c:v>
                </c:pt>
                <c:pt idx="5">
                  <c:v>0.60599999999999998</c:v>
                </c:pt>
                <c:pt idx="6">
                  <c:v>0.61899999999999999</c:v>
                </c:pt>
                <c:pt idx="7">
                  <c:v>0.626</c:v>
                </c:pt>
                <c:pt idx="8">
                  <c:v>0.63900000000000001</c:v>
                </c:pt>
                <c:pt idx="9">
                  <c:v>0.64100000000000001</c:v>
                </c:pt>
              </c:numCache>
            </c:numRef>
          </c:val>
          <c:smooth val="0"/>
          <c:extLst>
            <c:ext xmlns:c16="http://schemas.microsoft.com/office/drawing/2014/chart" uri="{C3380CC4-5D6E-409C-BE32-E72D297353CC}">
              <c16:uniqueId val="{00000003-5DD7-4FDB-B693-3BCBDB8DA730}"/>
            </c:ext>
          </c:extLst>
        </c:ser>
        <c:dLbls>
          <c:showLegendKey val="0"/>
          <c:showVal val="0"/>
          <c:showCatName val="0"/>
          <c:showSerName val="0"/>
          <c:showPercent val="0"/>
          <c:showBubbleSize val="0"/>
        </c:dLbls>
        <c:smooth val="0"/>
        <c:axId val="148910080"/>
        <c:axId val="148912384"/>
      </c:lineChart>
      <c:catAx>
        <c:axId val="148910080"/>
        <c:scaling>
          <c:orientation val="minMax"/>
        </c:scaling>
        <c:delete val="0"/>
        <c:axPos val="b"/>
        <c:title>
          <c:tx>
            <c:rich>
              <a:bodyPr/>
              <a:lstStyle/>
              <a:p>
                <a:pPr>
                  <a:defRPr/>
                </a:pPr>
                <a:r>
                  <a:rPr lang="en-US"/>
                  <a:t>génération</a:t>
                </a:r>
              </a:p>
            </c:rich>
          </c:tx>
          <c:layout>
            <c:manualLayout>
              <c:xMode val="edge"/>
              <c:yMode val="edge"/>
              <c:x val="0.88518080360541451"/>
              <c:y val="0.66855105551211913"/>
            </c:manualLayout>
          </c:layout>
          <c:overlay val="0"/>
        </c:title>
        <c:numFmt formatCode="General" sourceLinked="1"/>
        <c:majorTickMark val="out"/>
        <c:minorTickMark val="none"/>
        <c:tickLblPos val="nextTo"/>
        <c:txPr>
          <a:bodyPr/>
          <a:lstStyle/>
          <a:p>
            <a:pPr>
              <a:defRPr sz="900"/>
            </a:pPr>
            <a:endParaRPr lang="fr-FR"/>
          </a:p>
        </c:txPr>
        <c:crossAx val="148912384"/>
        <c:crosses val="autoZero"/>
        <c:auto val="1"/>
        <c:lblAlgn val="ctr"/>
        <c:lblOffset val="100"/>
        <c:noMultiLvlLbl val="0"/>
      </c:catAx>
      <c:valAx>
        <c:axId val="148912384"/>
        <c:scaling>
          <c:orientation val="minMax"/>
          <c:max val="0.7000000000000004"/>
          <c:min val="0.45"/>
        </c:scaling>
        <c:delete val="0"/>
        <c:axPos val="l"/>
        <c:majorGridlines/>
        <c:title>
          <c:tx>
            <c:rich>
              <a:bodyPr rot="-5400000" vert="horz"/>
              <a:lstStyle/>
              <a:p>
                <a:pPr>
                  <a:defRPr/>
                </a:pPr>
                <a:r>
                  <a:rPr lang="fr-FR" sz="900"/>
                  <a:t>Rapport de montant moyen </a:t>
                </a:r>
                <a:br>
                  <a:rPr lang="fr-FR" sz="900"/>
                </a:br>
                <a:r>
                  <a:rPr lang="fr-FR" sz="900" baseline="0"/>
                  <a:t>femmes / hommes</a:t>
                </a:r>
                <a:endParaRPr lang="fr-FR" sz="900"/>
              </a:p>
            </c:rich>
          </c:tx>
          <c:layout>
            <c:manualLayout>
              <c:xMode val="edge"/>
              <c:yMode val="edge"/>
              <c:x val="8.1410256410256402E-3"/>
              <c:y val="3.3207037037037035E-2"/>
            </c:manualLayout>
          </c:layout>
          <c:overlay val="0"/>
        </c:title>
        <c:numFmt formatCode="0%" sourceLinked="0"/>
        <c:majorTickMark val="out"/>
        <c:minorTickMark val="none"/>
        <c:tickLblPos val="nextTo"/>
        <c:txPr>
          <a:bodyPr/>
          <a:lstStyle/>
          <a:p>
            <a:pPr>
              <a:defRPr sz="900"/>
            </a:pPr>
            <a:endParaRPr lang="fr-FR"/>
          </a:p>
        </c:txPr>
        <c:crossAx val="148910080"/>
        <c:crosses val="autoZero"/>
        <c:crossBetween val="between"/>
        <c:majorUnit val="5.0000000000000024E-2"/>
      </c:valAx>
    </c:plotArea>
    <c:legend>
      <c:legendPos val="b"/>
      <c:layout>
        <c:manualLayout>
          <c:xMode val="edge"/>
          <c:yMode val="edge"/>
          <c:x val="2.6650639510541477E-2"/>
          <c:y val="0.87575940840094646"/>
          <c:w val="0.94417867577873515"/>
          <c:h val="0.10116653635652859"/>
        </c:manualLayout>
      </c:layout>
      <c:overlay val="0"/>
      <c:txPr>
        <a:bodyPr/>
        <a:lstStyle/>
        <a:p>
          <a:pPr>
            <a:defRPr sz="900"/>
          </a:pPr>
          <a:endParaRPr lang="fr-FR"/>
        </a:p>
      </c:txPr>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599557580386062"/>
          <c:y val="3.0754761904761903E-2"/>
          <c:w val="0.72568754992582452"/>
          <c:h val="0.75028768201495488"/>
        </c:manualLayout>
      </c:layout>
      <c:lineChart>
        <c:grouping val="standard"/>
        <c:varyColors val="0"/>
        <c:ser>
          <c:idx val="0"/>
          <c:order val="0"/>
          <c:tx>
            <c:strRef>
              <c:f>'Fig 2.26'!$B$5</c:f>
              <c:strCache>
                <c:ptCount val="1"/>
                <c:pt idx="0">
                  <c:v>ensemble</c:v>
                </c:pt>
              </c:strCache>
            </c:strRef>
          </c:tx>
          <c:spPr>
            <a:ln w="31750">
              <a:solidFill>
                <a:schemeClr val="tx1"/>
              </a:solidFill>
            </a:ln>
          </c:spPr>
          <c:marker>
            <c:symbol val="none"/>
          </c:marker>
          <c:cat>
            <c:numRef>
              <c:f>'Fig 2.26'!$C$4:$M$4</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2.26'!$C$5:$M$5</c:f>
              <c:numCache>
                <c:formatCode>0.0%</c:formatCode>
                <c:ptCount val="11"/>
                <c:pt idx="0">
                  <c:v>0.94399999999999995</c:v>
                </c:pt>
                <c:pt idx="1">
                  <c:v>0.93500000000000005</c:v>
                </c:pt>
                <c:pt idx="2">
                  <c:v>0.93899999999999995</c:v>
                </c:pt>
                <c:pt idx="3">
                  <c:v>0.93899999999999995</c:v>
                </c:pt>
                <c:pt idx="4">
                  <c:v>0.94299999999999995</c:v>
                </c:pt>
                <c:pt idx="5">
                  <c:v>0.94099999999999995</c:v>
                </c:pt>
                <c:pt idx="6">
                  <c:v>0.94099999999999995</c:v>
                </c:pt>
                <c:pt idx="7">
                  <c:v>0.94599999999999995</c:v>
                </c:pt>
                <c:pt idx="8">
                  <c:v>0.95099999999999996</c:v>
                </c:pt>
                <c:pt idx="9">
                  <c:v>0.95499999999999996</c:v>
                </c:pt>
                <c:pt idx="10">
                  <c:v>0.95399999999999996</c:v>
                </c:pt>
              </c:numCache>
            </c:numRef>
          </c:val>
          <c:smooth val="0"/>
          <c:extLst>
            <c:ext xmlns:c16="http://schemas.microsoft.com/office/drawing/2014/chart" uri="{C3380CC4-5D6E-409C-BE32-E72D297353CC}">
              <c16:uniqueId val="{00000000-FAED-4EF4-8CF3-BF8576C291D0}"/>
            </c:ext>
          </c:extLst>
        </c:ser>
        <c:dLbls>
          <c:showLegendKey val="0"/>
          <c:showVal val="0"/>
          <c:showCatName val="0"/>
          <c:showSerName val="0"/>
          <c:showPercent val="0"/>
          <c:showBubbleSize val="0"/>
        </c:dLbls>
        <c:smooth val="0"/>
        <c:axId val="150105472"/>
        <c:axId val="150115840"/>
      </c:lineChart>
      <c:catAx>
        <c:axId val="150105472"/>
        <c:scaling>
          <c:orientation val="minMax"/>
        </c:scaling>
        <c:delete val="0"/>
        <c:axPos val="b"/>
        <c:title>
          <c:tx>
            <c:rich>
              <a:bodyPr/>
              <a:lstStyle/>
              <a:p>
                <a:pPr>
                  <a:defRPr/>
                </a:pPr>
                <a:r>
                  <a:rPr lang="fr-FR"/>
                  <a:t>année</a:t>
                </a:r>
              </a:p>
            </c:rich>
          </c:tx>
          <c:layout>
            <c:manualLayout>
              <c:xMode val="edge"/>
              <c:yMode val="edge"/>
              <c:x val="0.83347676858118491"/>
              <c:y val="0.69334320052098763"/>
            </c:manualLayout>
          </c:layout>
          <c:overlay val="0"/>
        </c:title>
        <c:numFmt formatCode="General" sourceLinked="1"/>
        <c:majorTickMark val="out"/>
        <c:minorTickMark val="none"/>
        <c:tickLblPos val="nextTo"/>
        <c:txPr>
          <a:bodyPr rot="-5400000" vert="horz"/>
          <a:lstStyle/>
          <a:p>
            <a:pPr>
              <a:defRPr sz="900"/>
            </a:pPr>
            <a:endParaRPr lang="fr-FR"/>
          </a:p>
        </c:txPr>
        <c:crossAx val="150115840"/>
        <c:crosses val="autoZero"/>
        <c:auto val="1"/>
        <c:lblAlgn val="ctr"/>
        <c:lblOffset val="100"/>
        <c:tickLblSkip val="1"/>
        <c:noMultiLvlLbl val="0"/>
      </c:catAx>
      <c:valAx>
        <c:axId val="150115840"/>
        <c:scaling>
          <c:orientation val="minMax"/>
          <c:max val="1.1000000000000001"/>
          <c:min val="0.9"/>
        </c:scaling>
        <c:delete val="0"/>
        <c:axPos val="l"/>
        <c:majorGridlines/>
        <c:title>
          <c:tx>
            <c:rich>
              <a:bodyPr rot="-5400000" vert="horz"/>
              <a:lstStyle/>
              <a:p>
                <a:pPr>
                  <a:defRPr/>
                </a:pPr>
                <a:r>
                  <a:rPr lang="en-US"/>
                  <a:t>Rapport de niveau de vie moyen des femmes</a:t>
                </a:r>
                <a:r>
                  <a:rPr lang="en-US" baseline="0"/>
                  <a:t> et des hommes retraités</a:t>
                </a:r>
                <a:endParaRPr lang="en-US"/>
              </a:p>
            </c:rich>
          </c:tx>
          <c:layout>
            <c:manualLayout>
              <c:xMode val="edge"/>
              <c:yMode val="edge"/>
              <c:x val="0"/>
              <c:y val="0.10566123054842867"/>
            </c:manualLayout>
          </c:layout>
          <c:overlay val="0"/>
        </c:title>
        <c:numFmt formatCode="0%" sourceLinked="0"/>
        <c:majorTickMark val="out"/>
        <c:minorTickMark val="none"/>
        <c:tickLblPos val="nextTo"/>
        <c:crossAx val="150105472"/>
        <c:crosses val="autoZero"/>
        <c:crossBetween val="between"/>
        <c:majorUnit val="5.0000000000000024E-2"/>
      </c:valAx>
    </c:plotArea>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599557580386084"/>
          <c:y val="3.0754761904761903E-2"/>
          <c:w val="0.72568754992582452"/>
          <c:h val="0.75028768201495488"/>
        </c:manualLayout>
      </c:layout>
      <c:lineChart>
        <c:grouping val="standard"/>
        <c:varyColors val="0"/>
        <c:ser>
          <c:idx val="0"/>
          <c:order val="0"/>
          <c:tx>
            <c:strRef>
              <c:f>'Fig 2.26'!$B$8</c:f>
              <c:strCache>
                <c:ptCount val="1"/>
                <c:pt idx="0">
                  <c:v>ensemble</c:v>
                </c:pt>
              </c:strCache>
            </c:strRef>
          </c:tx>
          <c:spPr>
            <a:ln w="31750">
              <a:solidFill>
                <a:schemeClr val="tx1"/>
              </a:solidFill>
            </a:ln>
          </c:spPr>
          <c:marker>
            <c:symbol val="none"/>
          </c:marker>
          <c:cat>
            <c:numRef>
              <c:f>'Fig 2.26'!$C$7:$M$7</c:f>
              <c:numCache>
                <c:formatCode>General</c:formatCode>
                <c:ptCount val="11"/>
                <c:pt idx="0">
                  <c:v>2002</c:v>
                </c:pt>
                <c:pt idx="1">
                  <c:v>2003</c:v>
                </c:pt>
                <c:pt idx="2">
                  <c:v>2004</c:v>
                </c:pt>
                <c:pt idx="3">
                  <c:v>2005</c:v>
                </c:pt>
                <c:pt idx="4">
                  <c:v>2006</c:v>
                </c:pt>
                <c:pt idx="5">
                  <c:v>2007</c:v>
                </c:pt>
                <c:pt idx="6">
                  <c:v>2008</c:v>
                </c:pt>
                <c:pt idx="7">
                  <c:v>2009</c:v>
                </c:pt>
                <c:pt idx="8">
                  <c:v>2010</c:v>
                </c:pt>
                <c:pt idx="9">
                  <c:v>2011</c:v>
                </c:pt>
                <c:pt idx="10">
                  <c:v>2012</c:v>
                </c:pt>
              </c:numCache>
            </c:numRef>
          </c:cat>
          <c:val>
            <c:numRef>
              <c:f>'Fig 2.26'!$C$8:$M$8</c:f>
              <c:numCache>
                <c:formatCode>0.0</c:formatCode>
                <c:ptCount val="11"/>
                <c:pt idx="0">
                  <c:v>2.2999999999999998</c:v>
                </c:pt>
                <c:pt idx="1">
                  <c:v>1.9</c:v>
                </c:pt>
                <c:pt idx="2">
                  <c:v>2.7</c:v>
                </c:pt>
                <c:pt idx="3">
                  <c:v>2.6</c:v>
                </c:pt>
                <c:pt idx="4">
                  <c:v>2.4</c:v>
                </c:pt>
                <c:pt idx="5">
                  <c:v>2.2000000000000002</c:v>
                </c:pt>
                <c:pt idx="6">
                  <c:v>3.3</c:v>
                </c:pt>
                <c:pt idx="7">
                  <c:v>2.4</c:v>
                </c:pt>
                <c:pt idx="8">
                  <c:v>1.8</c:v>
                </c:pt>
                <c:pt idx="9">
                  <c:v>1.8</c:v>
                </c:pt>
                <c:pt idx="10">
                  <c:v>1.5</c:v>
                </c:pt>
              </c:numCache>
            </c:numRef>
          </c:val>
          <c:smooth val="0"/>
          <c:extLst>
            <c:ext xmlns:c16="http://schemas.microsoft.com/office/drawing/2014/chart" uri="{C3380CC4-5D6E-409C-BE32-E72D297353CC}">
              <c16:uniqueId val="{00000000-7014-4608-8720-743BDAD8C9CE}"/>
            </c:ext>
          </c:extLst>
        </c:ser>
        <c:dLbls>
          <c:showLegendKey val="0"/>
          <c:showVal val="0"/>
          <c:showCatName val="0"/>
          <c:showSerName val="0"/>
          <c:showPercent val="0"/>
          <c:showBubbleSize val="0"/>
        </c:dLbls>
        <c:smooth val="0"/>
        <c:axId val="150135936"/>
        <c:axId val="150137856"/>
      </c:lineChart>
      <c:catAx>
        <c:axId val="150135936"/>
        <c:scaling>
          <c:orientation val="minMax"/>
        </c:scaling>
        <c:delete val="0"/>
        <c:axPos val="b"/>
        <c:title>
          <c:tx>
            <c:rich>
              <a:bodyPr/>
              <a:lstStyle/>
              <a:p>
                <a:pPr>
                  <a:defRPr/>
                </a:pPr>
                <a:r>
                  <a:rPr lang="fr-FR"/>
                  <a:t>année</a:t>
                </a:r>
              </a:p>
            </c:rich>
          </c:tx>
          <c:layout>
            <c:manualLayout>
              <c:xMode val="edge"/>
              <c:yMode val="edge"/>
              <c:x val="0.8379360773883201"/>
              <c:y val="0.70833737888027148"/>
            </c:manualLayout>
          </c:layout>
          <c:overlay val="0"/>
        </c:title>
        <c:numFmt formatCode="General" sourceLinked="1"/>
        <c:majorTickMark val="out"/>
        <c:minorTickMark val="none"/>
        <c:tickLblPos val="nextTo"/>
        <c:txPr>
          <a:bodyPr rot="-5400000" vert="horz"/>
          <a:lstStyle/>
          <a:p>
            <a:pPr>
              <a:defRPr sz="900"/>
            </a:pPr>
            <a:endParaRPr lang="fr-FR"/>
          </a:p>
        </c:txPr>
        <c:crossAx val="150137856"/>
        <c:crosses val="autoZero"/>
        <c:auto val="1"/>
        <c:lblAlgn val="ctr"/>
        <c:lblOffset val="100"/>
        <c:tickLblSkip val="1"/>
        <c:noMultiLvlLbl val="0"/>
      </c:catAx>
      <c:valAx>
        <c:axId val="150137856"/>
        <c:scaling>
          <c:orientation val="minMax"/>
          <c:max val="10"/>
          <c:min val="0"/>
        </c:scaling>
        <c:delete val="0"/>
        <c:axPos val="l"/>
        <c:majorGridlines/>
        <c:title>
          <c:tx>
            <c:rich>
              <a:bodyPr rot="-5400000" vert="horz"/>
              <a:lstStyle/>
              <a:p>
                <a:pPr>
                  <a:defRPr/>
                </a:pPr>
                <a:r>
                  <a:rPr lang="en-US"/>
                  <a:t>Ecart entre le taux de pauvreté des femmes et des hommes retraités</a:t>
                </a:r>
              </a:p>
            </c:rich>
          </c:tx>
          <c:layout>
            <c:manualLayout>
              <c:xMode val="edge"/>
              <c:yMode val="edge"/>
              <c:x val="1.3985024447194941E-2"/>
              <c:y val="0.10596793378355802"/>
            </c:manualLayout>
          </c:layout>
          <c:overlay val="0"/>
        </c:title>
        <c:numFmt formatCode="#,##0.0" sourceLinked="0"/>
        <c:majorTickMark val="out"/>
        <c:minorTickMark val="none"/>
        <c:tickLblPos val="nextTo"/>
        <c:crossAx val="150135936"/>
        <c:crosses val="autoZero"/>
        <c:crossBetween val="between"/>
        <c:majorUnit val="1"/>
      </c:valAx>
    </c:plotArea>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011539265556413"/>
          <c:y val="7.6377796059074715E-2"/>
          <c:w val="0.81487840568601488"/>
          <c:h val="0.67923688643397184"/>
        </c:manualLayout>
      </c:layout>
      <c:lineChart>
        <c:grouping val="standard"/>
        <c:varyColors val="0"/>
        <c:ser>
          <c:idx val="0"/>
          <c:order val="0"/>
          <c:tx>
            <c:strRef>
              <c:f>'Fig 2.28'!$C$4</c:f>
              <c:strCache>
                <c:ptCount val="1"/>
                <c:pt idx="0">
                  <c:v>Sans tenir compte des différences d'espérance de vie entre sexes</c:v>
                </c:pt>
              </c:strCache>
            </c:strRef>
          </c:tx>
          <c:spPr>
            <a:ln w="12700">
              <a:noFill/>
              <a:prstDash val="sysDash"/>
            </a:ln>
          </c:spPr>
          <c:marker>
            <c:symbol val="circle"/>
            <c:size val="7"/>
            <c:spPr>
              <a:solidFill>
                <a:schemeClr val="bg1"/>
              </a:solidFill>
              <a:ln w="12700">
                <a:solidFill>
                  <a:schemeClr val="tx1"/>
                </a:solidFill>
              </a:ln>
            </c:spPr>
          </c:marker>
          <c:cat>
            <c:numRef>
              <c:f>'Fig 2.28'!$B$5:$B$65</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2.28'!$C$5:$C$65</c:f>
              <c:numCache>
                <c:formatCode>0.0%</c:formatCode>
                <c:ptCount val="61"/>
                <c:pt idx="0">
                  <c:v>0.93300000000000005</c:v>
                </c:pt>
                <c:pt idx="2">
                  <c:v>0.93300000000000005</c:v>
                </c:pt>
                <c:pt idx="4">
                  <c:v>0.93200000000000005</c:v>
                </c:pt>
                <c:pt idx="6">
                  <c:v>0.93600000000000005</c:v>
                </c:pt>
                <c:pt idx="8">
                  <c:v>0.94499999999999995</c:v>
                </c:pt>
                <c:pt idx="10">
                  <c:v>0.95499999999999996</c:v>
                </c:pt>
                <c:pt idx="12">
                  <c:v>0.96399999999999997</c:v>
                </c:pt>
                <c:pt idx="13">
                  <c:v>0.96799999999999997</c:v>
                </c:pt>
                <c:pt idx="14">
                  <c:v>0.96899999999999997</c:v>
                </c:pt>
                <c:pt idx="15">
                  <c:v>0.96699999999999997</c:v>
                </c:pt>
                <c:pt idx="16">
                  <c:v>0.96799999999999997</c:v>
                </c:pt>
                <c:pt idx="17">
                  <c:v>0.96599999999999997</c:v>
                </c:pt>
                <c:pt idx="18">
                  <c:v>0.96699999999999997</c:v>
                </c:pt>
                <c:pt idx="19">
                  <c:v>0.96799999999999997</c:v>
                </c:pt>
                <c:pt idx="20">
                  <c:v>0.97299999999999998</c:v>
                </c:pt>
                <c:pt idx="21">
                  <c:v>0.97299999999999998</c:v>
                </c:pt>
                <c:pt idx="22">
                  <c:v>0.97199999999999998</c:v>
                </c:pt>
                <c:pt idx="23">
                  <c:v>0.97699999999999998</c:v>
                </c:pt>
                <c:pt idx="24">
                  <c:v>0.97499999999999998</c:v>
                </c:pt>
                <c:pt idx="25">
                  <c:v>0.97799999999999998</c:v>
                </c:pt>
                <c:pt idx="26">
                  <c:v>0.98099999999999998</c:v>
                </c:pt>
                <c:pt idx="27">
                  <c:v>0.98299999999999998</c:v>
                </c:pt>
                <c:pt idx="28">
                  <c:v>0.98699999999999999</c:v>
                </c:pt>
                <c:pt idx="29">
                  <c:v>0.98899999999999999</c:v>
                </c:pt>
                <c:pt idx="30">
                  <c:v>0.99199999999999999</c:v>
                </c:pt>
                <c:pt idx="31">
                  <c:v>0.99299999999999999</c:v>
                </c:pt>
                <c:pt idx="32">
                  <c:v>0.99199999999999999</c:v>
                </c:pt>
                <c:pt idx="33">
                  <c:v>0.99299999999999999</c:v>
                </c:pt>
                <c:pt idx="34">
                  <c:v>0.997</c:v>
                </c:pt>
                <c:pt idx="35">
                  <c:v>0.998</c:v>
                </c:pt>
                <c:pt idx="36">
                  <c:v>0.999</c:v>
                </c:pt>
                <c:pt idx="37">
                  <c:v>1.004</c:v>
                </c:pt>
                <c:pt idx="38">
                  <c:v>1.002</c:v>
                </c:pt>
                <c:pt idx="39">
                  <c:v>1.006</c:v>
                </c:pt>
                <c:pt idx="40">
                  <c:v>1.0049999999999999</c:v>
                </c:pt>
                <c:pt idx="41">
                  <c:v>1.006</c:v>
                </c:pt>
                <c:pt idx="42">
                  <c:v>1.004</c:v>
                </c:pt>
                <c:pt idx="43">
                  <c:v>1.0069999999999999</c:v>
                </c:pt>
                <c:pt idx="44">
                  <c:v>1.012</c:v>
                </c:pt>
                <c:pt idx="45">
                  <c:v>1.012</c:v>
                </c:pt>
                <c:pt idx="46">
                  <c:v>1.012</c:v>
                </c:pt>
                <c:pt idx="47">
                  <c:v>1.016</c:v>
                </c:pt>
                <c:pt idx="48">
                  <c:v>1.014</c:v>
                </c:pt>
                <c:pt idx="49">
                  <c:v>1.0149999999999999</c:v>
                </c:pt>
                <c:pt idx="50">
                  <c:v>1.0189999999999999</c:v>
                </c:pt>
                <c:pt idx="51">
                  <c:v>1.02</c:v>
                </c:pt>
                <c:pt idx="52">
                  <c:v>1.0209999999999999</c:v>
                </c:pt>
                <c:pt idx="53">
                  <c:v>1.0229999999999999</c:v>
                </c:pt>
                <c:pt idx="54">
                  <c:v>1.0229999999999999</c:v>
                </c:pt>
                <c:pt idx="55">
                  <c:v>1.0209999999999999</c:v>
                </c:pt>
                <c:pt idx="56">
                  <c:v>1.022</c:v>
                </c:pt>
                <c:pt idx="57">
                  <c:v>1.02</c:v>
                </c:pt>
                <c:pt idx="58">
                  <c:v>1.016</c:v>
                </c:pt>
                <c:pt idx="59">
                  <c:v>1.016</c:v>
                </c:pt>
                <c:pt idx="60">
                  <c:v>1.016</c:v>
                </c:pt>
              </c:numCache>
            </c:numRef>
          </c:val>
          <c:smooth val="0"/>
          <c:extLst>
            <c:ext xmlns:c16="http://schemas.microsoft.com/office/drawing/2014/chart" uri="{C3380CC4-5D6E-409C-BE32-E72D297353CC}">
              <c16:uniqueId val="{00000000-848F-4EBC-9F8A-CB5079D3CFC2}"/>
            </c:ext>
          </c:extLst>
        </c:ser>
        <c:ser>
          <c:idx val="1"/>
          <c:order val="1"/>
          <c:tx>
            <c:strRef>
              <c:f>'Fig 2.28'!$D$4</c:f>
              <c:strCache>
                <c:ptCount val="1"/>
                <c:pt idx="0">
                  <c:v>Avec espérances de vie distinctes selon le sexe</c:v>
                </c:pt>
              </c:strCache>
            </c:strRef>
          </c:tx>
          <c:spPr>
            <a:ln w="12700">
              <a:noFill/>
              <a:prstDash val="dash"/>
            </a:ln>
          </c:spPr>
          <c:marker>
            <c:symbol val="triangle"/>
            <c:size val="7"/>
            <c:spPr>
              <a:solidFill>
                <a:schemeClr val="tx1"/>
              </a:solidFill>
              <a:ln w="12700">
                <a:solidFill>
                  <a:schemeClr val="tx1"/>
                </a:solidFill>
              </a:ln>
            </c:spPr>
          </c:marker>
          <c:cat>
            <c:numRef>
              <c:f>'Fig 2.28'!$B$5:$B$65</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2.28'!$D$5:$D$65</c:f>
              <c:numCache>
                <c:formatCode>0.0%</c:formatCode>
                <c:ptCount val="61"/>
                <c:pt idx="0">
                  <c:v>1.1200000000000001</c:v>
                </c:pt>
                <c:pt idx="2">
                  <c:v>1.111</c:v>
                </c:pt>
                <c:pt idx="4">
                  <c:v>1.1020000000000001</c:v>
                </c:pt>
                <c:pt idx="6">
                  <c:v>1.1000000000000001</c:v>
                </c:pt>
                <c:pt idx="8">
                  <c:v>1.105</c:v>
                </c:pt>
                <c:pt idx="10">
                  <c:v>1.1140000000000001</c:v>
                </c:pt>
                <c:pt idx="12">
                  <c:v>1.1200000000000001</c:v>
                </c:pt>
                <c:pt idx="13">
                  <c:v>1.123</c:v>
                </c:pt>
                <c:pt idx="14">
                  <c:v>1.1220000000000001</c:v>
                </c:pt>
                <c:pt idx="15">
                  <c:v>1.119</c:v>
                </c:pt>
                <c:pt idx="16">
                  <c:v>1.1160000000000001</c:v>
                </c:pt>
                <c:pt idx="17">
                  <c:v>1.1120000000000001</c:v>
                </c:pt>
                <c:pt idx="18">
                  <c:v>1.111</c:v>
                </c:pt>
                <c:pt idx="19">
                  <c:v>1.1100000000000001</c:v>
                </c:pt>
                <c:pt idx="20">
                  <c:v>1.115</c:v>
                </c:pt>
                <c:pt idx="21">
                  <c:v>1.115</c:v>
                </c:pt>
                <c:pt idx="22">
                  <c:v>1.1160000000000001</c:v>
                </c:pt>
                <c:pt idx="23">
                  <c:v>1.1240000000000001</c:v>
                </c:pt>
                <c:pt idx="24">
                  <c:v>1.123</c:v>
                </c:pt>
                <c:pt idx="25">
                  <c:v>1.127</c:v>
                </c:pt>
                <c:pt idx="26">
                  <c:v>1.131</c:v>
                </c:pt>
                <c:pt idx="27">
                  <c:v>1.131</c:v>
                </c:pt>
                <c:pt idx="28">
                  <c:v>1.1359999999999999</c:v>
                </c:pt>
                <c:pt idx="29">
                  <c:v>1.137</c:v>
                </c:pt>
                <c:pt idx="30">
                  <c:v>1.139</c:v>
                </c:pt>
                <c:pt idx="31">
                  <c:v>1.141</c:v>
                </c:pt>
                <c:pt idx="32">
                  <c:v>1.139</c:v>
                </c:pt>
                <c:pt idx="33">
                  <c:v>1.1399999999999999</c:v>
                </c:pt>
                <c:pt idx="34">
                  <c:v>1.1439999999999999</c:v>
                </c:pt>
                <c:pt idx="35">
                  <c:v>1.145</c:v>
                </c:pt>
                <c:pt idx="36">
                  <c:v>1.1459999999999999</c:v>
                </c:pt>
                <c:pt idx="37">
                  <c:v>1.151</c:v>
                </c:pt>
                <c:pt idx="38">
                  <c:v>1.1479999999999999</c:v>
                </c:pt>
                <c:pt idx="39">
                  <c:v>1.1519999999999999</c:v>
                </c:pt>
                <c:pt idx="40">
                  <c:v>1.151</c:v>
                </c:pt>
                <c:pt idx="41">
                  <c:v>1.1519999999999999</c:v>
                </c:pt>
                <c:pt idx="42">
                  <c:v>1.149</c:v>
                </c:pt>
                <c:pt idx="43">
                  <c:v>1.153</c:v>
                </c:pt>
                <c:pt idx="44">
                  <c:v>1.1579999999999999</c:v>
                </c:pt>
                <c:pt idx="45">
                  <c:v>1.157</c:v>
                </c:pt>
                <c:pt idx="46">
                  <c:v>1.1559999999999999</c:v>
                </c:pt>
                <c:pt idx="47">
                  <c:v>1.159</c:v>
                </c:pt>
                <c:pt idx="48">
                  <c:v>1.155</c:v>
                </c:pt>
                <c:pt idx="49">
                  <c:v>1.1539999999999999</c:v>
                </c:pt>
                <c:pt idx="50">
                  <c:v>1.157</c:v>
                </c:pt>
                <c:pt idx="51">
                  <c:v>1.1579999999999999</c:v>
                </c:pt>
                <c:pt idx="52">
                  <c:v>1.157</c:v>
                </c:pt>
                <c:pt idx="53">
                  <c:v>1.159</c:v>
                </c:pt>
                <c:pt idx="54">
                  <c:v>1.157</c:v>
                </c:pt>
                <c:pt idx="55">
                  <c:v>1.1539999999999999</c:v>
                </c:pt>
                <c:pt idx="56">
                  <c:v>1.1539999999999999</c:v>
                </c:pt>
                <c:pt idx="57">
                  <c:v>1.1499999999999999</c:v>
                </c:pt>
                <c:pt idx="58">
                  <c:v>1.145</c:v>
                </c:pt>
                <c:pt idx="59">
                  <c:v>1.1439999999999999</c:v>
                </c:pt>
                <c:pt idx="60">
                  <c:v>1.143</c:v>
                </c:pt>
              </c:numCache>
            </c:numRef>
          </c:val>
          <c:smooth val="0"/>
          <c:extLst>
            <c:ext xmlns:c16="http://schemas.microsoft.com/office/drawing/2014/chart" uri="{C3380CC4-5D6E-409C-BE32-E72D297353CC}">
              <c16:uniqueId val="{00000001-848F-4EBC-9F8A-CB5079D3CFC2}"/>
            </c:ext>
          </c:extLst>
        </c:ser>
        <c:dLbls>
          <c:showLegendKey val="0"/>
          <c:showVal val="0"/>
          <c:showCatName val="0"/>
          <c:showSerName val="0"/>
          <c:showPercent val="0"/>
          <c:showBubbleSize val="0"/>
        </c:dLbls>
        <c:marker val="1"/>
        <c:smooth val="0"/>
        <c:axId val="150217472"/>
        <c:axId val="150219776"/>
      </c:lineChart>
      <c:catAx>
        <c:axId val="150217472"/>
        <c:scaling>
          <c:orientation val="minMax"/>
        </c:scaling>
        <c:delete val="0"/>
        <c:axPos val="b"/>
        <c:title>
          <c:tx>
            <c:rich>
              <a:bodyPr/>
              <a:lstStyle/>
              <a:p>
                <a:pPr>
                  <a:defRPr/>
                </a:pPr>
                <a:r>
                  <a:rPr lang="en-US"/>
                  <a:t>génération</a:t>
                </a:r>
              </a:p>
            </c:rich>
          </c:tx>
          <c:layout>
            <c:manualLayout>
              <c:xMode val="edge"/>
              <c:yMode val="edge"/>
              <c:x val="0.86597595761707435"/>
              <c:y val="0.65720092451130163"/>
            </c:manualLayout>
          </c:layout>
          <c:overlay val="0"/>
        </c:title>
        <c:numFmt formatCode="General" sourceLinked="1"/>
        <c:majorTickMark val="out"/>
        <c:minorTickMark val="none"/>
        <c:tickLblPos val="nextTo"/>
        <c:crossAx val="150219776"/>
        <c:crosses val="autoZero"/>
        <c:auto val="1"/>
        <c:lblAlgn val="ctr"/>
        <c:lblOffset val="100"/>
        <c:tickLblSkip val="2"/>
        <c:noMultiLvlLbl val="0"/>
      </c:catAx>
      <c:valAx>
        <c:axId val="150219776"/>
        <c:scaling>
          <c:orientation val="minMax"/>
          <c:max val="1.1800000000000002"/>
          <c:min val="0.9"/>
        </c:scaling>
        <c:delete val="0"/>
        <c:axPos val="l"/>
        <c:majorGridlines/>
        <c:title>
          <c:tx>
            <c:rich>
              <a:bodyPr rot="-5400000" vert="horz" anchor="t" anchorCtr="1"/>
              <a:lstStyle/>
              <a:p>
                <a:pPr>
                  <a:defRPr/>
                </a:pPr>
                <a:r>
                  <a:rPr lang="fr-FR" sz="900"/>
                  <a:t>Rapport de durées relatives</a:t>
                </a:r>
                <a:r>
                  <a:rPr lang="fr-FR" sz="900" baseline="0"/>
                  <a:t> à l'espérance de vie</a:t>
                </a:r>
                <a:br>
                  <a:rPr lang="fr-FR" sz="900"/>
                </a:br>
                <a:r>
                  <a:rPr lang="fr-FR" sz="800"/>
                  <a:t>(durée relative </a:t>
                </a:r>
                <a:r>
                  <a:rPr lang="fr-FR" sz="800" baseline="0"/>
                  <a:t>femmes / durée relative hommes)</a:t>
                </a:r>
                <a:endParaRPr lang="fr-FR" sz="800"/>
              </a:p>
            </c:rich>
          </c:tx>
          <c:layout>
            <c:manualLayout>
              <c:xMode val="edge"/>
              <c:yMode val="edge"/>
              <c:x val="2.8672380554200638E-2"/>
              <c:y val="6.0100663447988145E-2"/>
            </c:manualLayout>
          </c:layout>
          <c:overlay val="0"/>
        </c:title>
        <c:numFmt formatCode="0%" sourceLinked="0"/>
        <c:majorTickMark val="out"/>
        <c:minorTickMark val="none"/>
        <c:tickLblPos val="nextTo"/>
        <c:txPr>
          <a:bodyPr/>
          <a:lstStyle/>
          <a:p>
            <a:pPr>
              <a:defRPr sz="900"/>
            </a:pPr>
            <a:endParaRPr lang="fr-FR"/>
          </a:p>
        </c:txPr>
        <c:crossAx val="150217472"/>
        <c:crosses val="autoZero"/>
        <c:crossBetween val="between"/>
        <c:majorUnit val="2.0000000000000007E-2"/>
      </c:valAx>
    </c:plotArea>
    <c:legend>
      <c:legendPos val="b"/>
      <c:layout>
        <c:manualLayout>
          <c:xMode val="edge"/>
          <c:yMode val="edge"/>
          <c:x val="9.5561462460504558E-3"/>
          <c:y val="0.87320687639709949"/>
          <c:w val="0.95361786783021552"/>
          <c:h val="0.11095560054882302"/>
        </c:manualLayout>
      </c:layout>
      <c:overlay val="0"/>
      <c:txPr>
        <a:bodyPr/>
        <a:lstStyle/>
        <a:p>
          <a:pPr>
            <a:defRPr sz="800"/>
          </a:pPr>
          <a:endParaRPr lang="fr-FR"/>
        </a:p>
      </c:txPr>
    </c:legend>
    <c:plotVisOnly val="1"/>
    <c:dispBlanksAs val="gap"/>
    <c:showDLblsOverMax val="0"/>
  </c:chart>
  <c:printSettings>
    <c:headerFooter/>
    <c:pageMargins b="0.75000000000000056" l="0.70000000000000051" r="0.70000000000000051" t="0.75000000000000056" header="0.30000000000000027" footer="0.30000000000000027"/>
    <c:pageSetup/>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342129629629635E-2"/>
          <c:y val="3.5880555555555561E-2"/>
          <c:w val="0.8753199074074075"/>
          <c:h val="0.58316388888888882"/>
        </c:manualLayout>
      </c:layout>
      <c:barChart>
        <c:barDir val="col"/>
        <c:grouping val="stacked"/>
        <c:varyColors val="0"/>
        <c:ser>
          <c:idx val="0"/>
          <c:order val="0"/>
          <c:tx>
            <c:strRef>
              <c:f>'Fig 2.29'!$C$4</c:f>
              <c:strCache>
                <c:ptCount val="1"/>
                <c:pt idx="0">
                  <c:v>Ecarts d'espérance de vie avec limitation sévère d'activité</c:v>
                </c:pt>
              </c:strCache>
            </c:strRef>
          </c:tx>
          <c:spPr>
            <a:solidFill>
              <a:schemeClr val="bg1">
                <a:lumMod val="75000"/>
              </a:schemeClr>
            </a:solidFill>
            <a:ln>
              <a:solidFill>
                <a:schemeClr val="bg1">
                  <a:lumMod val="65000"/>
                </a:schemeClr>
              </a:solidFill>
            </a:ln>
          </c:spPr>
          <c:invertIfNegative val="0"/>
          <c:dLbls>
            <c:spPr>
              <a:noFill/>
              <a:ln>
                <a:noFill/>
              </a:ln>
              <a:effectLst/>
            </c:spPr>
            <c:txPr>
              <a:bodyPr/>
              <a:lstStyle/>
              <a:p>
                <a:pPr>
                  <a:defRPr sz="9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2.29'!$B$5:$B$14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2.29'!$C$5:$C$14</c:f>
              <c:numCache>
                <c:formatCode>0.0</c:formatCode>
                <c:ptCount val="10"/>
                <c:pt idx="0">
                  <c:v>1.4</c:v>
                </c:pt>
                <c:pt idx="1">
                  <c:v>1.4</c:v>
                </c:pt>
                <c:pt idx="2">
                  <c:v>1.3</c:v>
                </c:pt>
                <c:pt idx="3">
                  <c:v>1.5</c:v>
                </c:pt>
                <c:pt idx="4">
                  <c:v>1.7</c:v>
                </c:pt>
                <c:pt idx="5">
                  <c:v>1.7</c:v>
                </c:pt>
                <c:pt idx="6">
                  <c:v>2</c:v>
                </c:pt>
                <c:pt idx="7">
                  <c:v>1.7</c:v>
                </c:pt>
                <c:pt idx="8">
                  <c:v>2.2000000000000002</c:v>
                </c:pt>
                <c:pt idx="9">
                  <c:v>1.8</c:v>
                </c:pt>
              </c:numCache>
            </c:numRef>
          </c:val>
          <c:extLst>
            <c:ext xmlns:c16="http://schemas.microsoft.com/office/drawing/2014/chart" uri="{C3380CC4-5D6E-409C-BE32-E72D297353CC}">
              <c16:uniqueId val="{00000000-E539-41FB-BE80-5E6ECA688F0E}"/>
            </c:ext>
          </c:extLst>
        </c:ser>
        <c:ser>
          <c:idx val="1"/>
          <c:order val="1"/>
          <c:tx>
            <c:strRef>
              <c:f>'Fig 2.29'!$D$4</c:f>
              <c:strCache>
                <c:ptCount val="1"/>
                <c:pt idx="0">
                  <c:v>Ecarts d'espérance de vie avec limitation modérée d'activité</c:v>
                </c:pt>
              </c:strCache>
            </c:strRef>
          </c:tx>
          <c:spPr>
            <a:solidFill>
              <a:schemeClr val="tx1">
                <a:lumMod val="65000"/>
                <a:lumOff val="35000"/>
              </a:schemeClr>
            </a:solidFill>
            <a:ln>
              <a:solidFill>
                <a:schemeClr val="tx1">
                  <a:lumMod val="50000"/>
                  <a:lumOff val="50000"/>
                </a:schemeClr>
              </a:solidFill>
            </a:ln>
          </c:spPr>
          <c:invertIfNegative val="0"/>
          <c:dLbls>
            <c:spPr>
              <a:noFill/>
              <a:ln>
                <a:noFill/>
              </a:ln>
              <a:effectLst/>
            </c:spPr>
            <c:txPr>
              <a:bodyPr/>
              <a:lstStyle/>
              <a:p>
                <a:pPr>
                  <a:defRPr sz="800">
                    <a:solidFill>
                      <a:schemeClr val="bg1"/>
                    </a:solidFil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2.29'!$B$5:$B$14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2.29'!$D$5:$D$14</c:f>
              <c:numCache>
                <c:formatCode>0.0</c:formatCode>
                <c:ptCount val="10"/>
                <c:pt idx="0">
                  <c:v>1.6</c:v>
                </c:pt>
                <c:pt idx="1">
                  <c:v>1.8</c:v>
                </c:pt>
                <c:pt idx="2">
                  <c:v>2.2000000000000002</c:v>
                </c:pt>
                <c:pt idx="3">
                  <c:v>1.9</c:v>
                </c:pt>
                <c:pt idx="4">
                  <c:v>1.2</c:v>
                </c:pt>
                <c:pt idx="5">
                  <c:v>2.1</c:v>
                </c:pt>
                <c:pt idx="6">
                  <c:v>1.4</c:v>
                </c:pt>
                <c:pt idx="7">
                  <c:v>2.2000000000000002</c:v>
                </c:pt>
                <c:pt idx="8">
                  <c:v>1.1000000000000001</c:v>
                </c:pt>
                <c:pt idx="9">
                  <c:v>1.5</c:v>
                </c:pt>
              </c:numCache>
            </c:numRef>
          </c:val>
          <c:extLst>
            <c:ext xmlns:c16="http://schemas.microsoft.com/office/drawing/2014/chart" uri="{C3380CC4-5D6E-409C-BE32-E72D297353CC}">
              <c16:uniqueId val="{00000001-E539-41FB-BE80-5E6ECA688F0E}"/>
            </c:ext>
          </c:extLst>
        </c:ser>
        <c:ser>
          <c:idx val="2"/>
          <c:order val="2"/>
          <c:tx>
            <c:strRef>
              <c:f>'Fig 2.29'!$E$4</c:f>
              <c:strCache>
                <c:ptCount val="1"/>
                <c:pt idx="0">
                  <c:v>Ecarts d'espérance de vie sans limitation d'activité</c:v>
                </c:pt>
              </c:strCache>
            </c:strRef>
          </c:tx>
          <c:spPr>
            <a:solidFill>
              <a:schemeClr val="bg1"/>
            </a:solidFill>
            <a:ln w="15875">
              <a:solidFill>
                <a:schemeClr val="tx1"/>
              </a:solidFill>
              <a:prstDash val="solid"/>
            </a:ln>
          </c:spPr>
          <c:invertIfNegative val="0"/>
          <c:dLbls>
            <c:spPr>
              <a:solidFill>
                <a:schemeClr val="bg1"/>
              </a:solidFill>
              <a:ln>
                <a:solidFill>
                  <a:schemeClr val="tx1"/>
                </a:solidFill>
              </a:ln>
            </c:spPr>
            <c:txPr>
              <a:bodyPr/>
              <a:lstStyle/>
              <a:p>
                <a:pPr>
                  <a:defRPr sz="80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'Fig 2.29'!$B$5:$B$14</c:f>
              <c:numCache>
                <c:formatCode>General</c:formatCode>
                <c:ptCount val="10"/>
                <c:pt idx="0">
                  <c:v>2004</c:v>
                </c:pt>
                <c:pt idx="1">
                  <c:v>2005</c:v>
                </c:pt>
                <c:pt idx="2">
                  <c:v>2006</c:v>
                </c:pt>
                <c:pt idx="3">
                  <c:v>2007</c:v>
                </c:pt>
                <c:pt idx="4">
                  <c:v>2008</c:v>
                </c:pt>
                <c:pt idx="5">
                  <c:v>2009</c:v>
                </c:pt>
                <c:pt idx="6">
                  <c:v>2010</c:v>
                </c:pt>
                <c:pt idx="7">
                  <c:v>2011</c:v>
                </c:pt>
                <c:pt idx="8">
                  <c:v>2012</c:v>
                </c:pt>
                <c:pt idx="9">
                  <c:v>2013</c:v>
                </c:pt>
              </c:numCache>
            </c:numRef>
          </c:cat>
          <c:val>
            <c:numRef>
              <c:f>'Fig 2.29'!$E$5:$E$14</c:f>
              <c:numCache>
                <c:formatCode>0.0</c:formatCode>
                <c:ptCount val="10"/>
                <c:pt idx="0">
                  <c:v>1.5</c:v>
                </c:pt>
                <c:pt idx="1">
                  <c:v>1.2</c:v>
                </c:pt>
                <c:pt idx="2">
                  <c:v>1</c:v>
                </c:pt>
                <c:pt idx="3">
                  <c:v>0.9</c:v>
                </c:pt>
                <c:pt idx="4">
                  <c:v>1.3</c:v>
                </c:pt>
                <c:pt idx="5">
                  <c:v>0.4</c:v>
                </c:pt>
                <c:pt idx="6">
                  <c:v>0.8</c:v>
                </c:pt>
                <c:pt idx="7">
                  <c:v>0.2</c:v>
                </c:pt>
                <c:pt idx="8">
                  <c:v>1</c:v>
                </c:pt>
                <c:pt idx="9">
                  <c:v>1</c:v>
                </c:pt>
              </c:numCache>
            </c:numRef>
          </c:val>
          <c:extLst>
            <c:ext xmlns:c16="http://schemas.microsoft.com/office/drawing/2014/chart" uri="{C3380CC4-5D6E-409C-BE32-E72D297353CC}">
              <c16:uniqueId val="{00000002-E539-41FB-BE80-5E6ECA688F0E}"/>
            </c:ext>
          </c:extLst>
        </c:ser>
        <c:dLbls>
          <c:showLegendKey val="0"/>
          <c:showVal val="0"/>
          <c:showCatName val="0"/>
          <c:showSerName val="0"/>
          <c:showPercent val="0"/>
          <c:showBubbleSize val="0"/>
        </c:dLbls>
        <c:gapWidth val="12"/>
        <c:overlap val="100"/>
        <c:axId val="150278912"/>
        <c:axId val="150280832"/>
      </c:barChart>
      <c:catAx>
        <c:axId val="150278912"/>
        <c:scaling>
          <c:orientation val="minMax"/>
        </c:scaling>
        <c:delete val="0"/>
        <c:axPos val="b"/>
        <c:title>
          <c:tx>
            <c:rich>
              <a:bodyPr/>
              <a:lstStyle/>
              <a:p>
                <a:pPr>
                  <a:defRPr/>
                </a:pPr>
                <a:r>
                  <a:rPr lang="en-US"/>
                  <a:t>année</a:t>
                </a:r>
              </a:p>
            </c:rich>
          </c:tx>
          <c:layout>
            <c:manualLayout>
              <c:xMode val="edge"/>
              <c:yMode val="edge"/>
              <c:x val="0.90288078703703689"/>
              <c:y val="0.70798333333333341"/>
            </c:manualLayout>
          </c:layout>
          <c:overlay val="0"/>
        </c:title>
        <c:numFmt formatCode="General" sourceLinked="1"/>
        <c:majorTickMark val="out"/>
        <c:minorTickMark val="none"/>
        <c:tickLblPos val="nextTo"/>
        <c:crossAx val="150280832"/>
        <c:crosses val="autoZero"/>
        <c:auto val="1"/>
        <c:lblAlgn val="ctr"/>
        <c:lblOffset val="100"/>
        <c:noMultiLvlLbl val="0"/>
      </c:catAx>
      <c:valAx>
        <c:axId val="150280832"/>
        <c:scaling>
          <c:orientation val="minMax"/>
        </c:scaling>
        <c:delete val="0"/>
        <c:axPos val="l"/>
        <c:majorGridlines/>
        <c:title>
          <c:tx>
            <c:rich>
              <a:bodyPr rot="-5400000" vert="horz"/>
              <a:lstStyle/>
              <a:p>
                <a:pPr>
                  <a:defRPr/>
                </a:pPr>
                <a:r>
                  <a:rPr lang="en-US"/>
                  <a:t>en années</a:t>
                </a:r>
              </a:p>
            </c:rich>
          </c:tx>
          <c:overlay val="0"/>
        </c:title>
        <c:numFmt formatCode="0.0" sourceLinked="1"/>
        <c:majorTickMark val="out"/>
        <c:minorTickMark val="none"/>
        <c:tickLblPos val="nextTo"/>
        <c:crossAx val="150278912"/>
        <c:crosses val="autoZero"/>
        <c:crossBetween val="between"/>
      </c:valAx>
    </c:plotArea>
    <c:legend>
      <c:legendPos val="b"/>
      <c:layout>
        <c:manualLayout>
          <c:xMode val="edge"/>
          <c:yMode val="edge"/>
          <c:x val="2.6359143327841845E-2"/>
          <c:y val="0.78570418546512766"/>
          <c:w val="0.85451851851851879"/>
          <c:h val="0.19990740740740745"/>
        </c:manualLayout>
      </c:layout>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522685185185214E-2"/>
          <c:y val="3.5880555555555561E-2"/>
          <c:w val="0.88413935185185177"/>
          <c:h val="0.58316388888888882"/>
        </c:manualLayout>
      </c:layout>
      <c:lineChart>
        <c:grouping val="standard"/>
        <c:varyColors val="0"/>
        <c:ser>
          <c:idx val="4"/>
          <c:order val="0"/>
          <c:tx>
            <c:strRef>
              <c:f>'Fig 2.30'!$B$7</c:f>
              <c:strCache>
                <c:ptCount val="1"/>
                <c:pt idx="0">
                  <c:v>Ecart lié aux départs avant 60 ans (observé)</c:v>
                </c:pt>
              </c:strCache>
            </c:strRef>
          </c:tx>
          <c:spPr>
            <a:ln w="19050" cap="flat">
              <a:solidFill>
                <a:schemeClr val="bg1">
                  <a:lumMod val="50000"/>
                </a:schemeClr>
              </a:solidFill>
              <a:round/>
            </a:ln>
          </c:spPr>
          <c:marker>
            <c:symbol val="circle"/>
            <c:size val="5"/>
            <c:spPr>
              <a:solidFill>
                <a:schemeClr val="bg1"/>
              </a:solidFill>
              <a:ln>
                <a:solidFill>
                  <a:schemeClr val="bg1">
                    <a:lumMod val="50000"/>
                  </a:schemeClr>
                </a:solidFill>
              </a:ln>
            </c:spPr>
          </c:marker>
          <c:val>
            <c:numRef>
              <c:f>'Fig 2.30'!$C$7:$BK$7</c:f>
              <c:numCache>
                <c:formatCode>0.0</c:formatCode>
                <c:ptCount val="61"/>
                <c:pt idx="0">
                  <c:v>0.6</c:v>
                </c:pt>
                <c:pt idx="2">
                  <c:v>0.7</c:v>
                </c:pt>
                <c:pt idx="4">
                  <c:v>0.6</c:v>
                </c:pt>
                <c:pt idx="6">
                  <c:v>0.5</c:v>
                </c:pt>
                <c:pt idx="8">
                  <c:v>0.4</c:v>
                </c:pt>
                <c:pt idx="10">
                  <c:v>0.3</c:v>
                </c:pt>
                <c:pt idx="12">
                  <c:v>0.2</c:v>
                </c:pt>
                <c:pt idx="13">
                  <c:v>0.2</c:v>
                </c:pt>
                <c:pt idx="14">
                  <c:v>0.2</c:v>
                </c:pt>
                <c:pt idx="15">
                  <c:v>0.3</c:v>
                </c:pt>
                <c:pt idx="16">
                  <c:v>0.4</c:v>
                </c:pt>
                <c:pt idx="17">
                  <c:v>0.5</c:v>
                </c:pt>
                <c:pt idx="18">
                  <c:v>0.5</c:v>
                </c:pt>
                <c:pt idx="19">
                  <c:v>0.5</c:v>
                </c:pt>
                <c:pt idx="20">
                  <c:v>0.5</c:v>
                </c:pt>
                <c:pt idx="21">
                  <c:v>0.5</c:v>
                </c:pt>
                <c:pt idx="22">
                  <c:v>0.4</c:v>
                </c:pt>
                <c:pt idx="23">
                  <c:v>0.2</c:v>
                </c:pt>
              </c:numCache>
            </c:numRef>
          </c:val>
          <c:smooth val="0"/>
          <c:extLst>
            <c:ext xmlns:c16="http://schemas.microsoft.com/office/drawing/2014/chart" uri="{C3380CC4-5D6E-409C-BE32-E72D297353CC}">
              <c16:uniqueId val="{00000000-0AD8-4CC1-9169-9C4D0DAE57BF}"/>
            </c:ext>
          </c:extLst>
        </c:ser>
        <c:ser>
          <c:idx val="2"/>
          <c:order val="1"/>
          <c:tx>
            <c:strRef>
              <c:f>'Fig 2.30'!$B$10</c:f>
              <c:strCache>
                <c:ptCount val="1"/>
                <c:pt idx="0">
                  <c:v>Ecart lié aux départs avant 60 ans (projeté)</c:v>
                </c:pt>
              </c:strCache>
            </c:strRef>
          </c:tx>
          <c:spPr>
            <a:ln w="19050">
              <a:solidFill>
                <a:schemeClr val="bg1">
                  <a:lumMod val="50000"/>
                </a:schemeClr>
              </a:solidFill>
              <a:prstDash val="solid"/>
            </a:ln>
          </c:spPr>
          <c:marker>
            <c:symbol val="none"/>
          </c:marker>
          <c:cat>
            <c:numRef>
              <c:f>'Fig 2.30'!$C$4:$BK$4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2.30'!$C$10:$BK$10</c:f>
              <c:numCache>
                <c:formatCode>General</c:formatCode>
                <c:ptCount val="61"/>
                <c:pt idx="24" formatCode="0.0">
                  <c:v>0.2</c:v>
                </c:pt>
                <c:pt idx="25" formatCode="0.0">
                  <c:v>0.2</c:v>
                </c:pt>
                <c:pt idx="26" formatCode="0.0">
                  <c:v>0.1</c:v>
                </c:pt>
                <c:pt idx="27" formatCode="0.0">
                  <c:v>0.1</c:v>
                </c:pt>
                <c:pt idx="28" formatCode="0.0">
                  <c:v>0.1</c:v>
                </c:pt>
                <c:pt idx="29" formatCode="0.0">
                  <c:v>0.1</c:v>
                </c:pt>
                <c:pt idx="30" formatCode="0.0">
                  <c:v>0.1</c:v>
                </c:pt>
                <c:pt idx="31" formatCode="0.0">
                  <c:v>0.1</c:v>
                </c:pt>
                <c:pt idx="32" formatCode="0.0">
                  <c:v>0.1</c:v>
                </c:pt>
                <c:pt idx="33" formatCode="0.0">
                  <c:v>0.1</c:v>
                </c:pt>
                <c:pt idx="34" formatCode="0.0">
                  <c:v>0.2</c:v>
                </c:pt>
                <c:pt idx="35" formatCode="0.0">
                  <c:v>0.2</c:v>
                </c:pt>
                <c:pt idx="36" formatCode="0.0">
                  <c:v>0.2</c:v>
                </c:pt>
                <c:pt idx="37" formatCode="0.0">
                  <c:v>0.2</c:v>
                </c:pt>
                <c:pt idx="38" formatCode="0.0">
                  <c:v>0.2</c:v>
                </c:pt>
                <c:pt idx="39" formatCode="0.0">
                  <c:v>0.2</c:v>
                </c:pt>
                <c:pt idx="40" formatCode="0.0">
                  <c:v>0.2</c:v>
                </c:pt>
                <c:pt idx="41" formatCode="0.0">
                  <c:v>0.2</c:v>
                </c:pt>
                <c:pt idx="42" formatCode="0.0">
                  <c:v>0.2</c:v>
                </c:pt>
                <c:pt idx="43" formatCode="0.0">
                  <c:v>0.2</c:v>
                </c:pt>
                <c:pt idx="44" formatCode="0.0">
                  <c:v>0.2</c:v>
                </c:pt>
                <c:pt idx="45" formatCode="0.0">
                  <c:v>0.2</c:v>
                </c:pt>
                <c:pt idx="46" formatCode="0.0">
                  <c:v>0.2</c:v>
                </c:pt>
                <c:pt idx="47" formatCode="0.0">
                  <c:v>0.2</c:v>
                </c:pt>
                <c:pt idx="48" formatCode="0.0">
                  <c:v>0.2</c:v>
                </c:pt>
                <c:pt idx="49" formatCode="0.0">
                  <c:v>0.2</c:v>
                </c:pt>
                <c:pt idx="50" formatCode="0.0">
                  <c:v>0.1</c:v>
                </c:pt>
                <c:pt idx="51" formatCode="0.0">
                  <c:v>0.1</c:v>
                </c:pt>
                <c:pt idx="52" formatCode="0.0">
                  <c:v>0.1</c:v>
                </c:pt>
                <c:pt idx="53" formatCode="0.0">
                  <c:v>0.1</c:v>
                </c:pt>
                <c:pt idx="54" formatCode="0.0">
                  <c:v>0.1</c:v>
                </c:pt>
                <c:pt idx="55" formatCode="0.0">
                  <c:v>0.1</c:v>
                </c:pt>
                <c:pt idx="56" formatCode="0.0">
                  <c:v>0.1</c:v>
                </c:pt>
                <c:pt idx="57" formatCode="0.0">
                  <c:v>0.1</c:v>
                </c:pt>
                <c:pt idx="58" formatCode="0.0">
                  <c:v>0.1</c:v>
                </c:pt>
                <c:pt idx="59" formatCode="0.0">
                  <c:v>0.1</c:v>
                </c:pt>
                <c:pt idx="60" formatCode="0.0">
                  <c:v>0.1</c:v>
                </c:pt>
              </c:numCache>
            </c:numRef>
          </c:val>
          <c:smooth val="0"/>
          <c:extLst>
            <c:ext xmlns:c16="http://schemas.microsoft.com/office/drawing/2014/chart" uri="{C3380CC4-5D6E-409C-BE32-E72D297353CC}">
              <c16:uniqueId val="{00000001-0AD8-4CC1-9169-9C4D0DAE57BF}"/>
            </c:ext>
          </c:extLst>
        </c:ser>
        <c:ser>
          <c:idx val="3"/>
          <c:order val="2"/>
          <c:tx>
            <c:strRef>
              <c:f>'Fig 2.30'!$B$6</c:f>
              <c:strCache>
                <c:ptCount val="1"/>
                <c:pt idx="0">
                  <c:v>Ecart lié aux départs à 65 ans ou avant (observé)</c:v>
                </c:pt>
              </c:strCache>
            </c:strRef>
          </c:tx>
          <c:spPr>
            <a:ln w="25400">
              <a:solidFill>
                <a:schemeClr val="tx1"/>
              </a:solidFill>
              <a:prstDash val="dash"/>
            </a:ln>
          </c:spPr>
          <c:marker>
            <c:symbol val="square"/>
            <c:size val="7"/>
            <c:spPr>
              <a:solidFill>
                <a:schemeClr val="bg1"/>
              </a:solidFill>
              <a:ln>
                <a:solidFill>
                  <a:schemeClr val="tx1"/>
                </a:solidFill>
              </a:ln>
            </c:spPr>
          </c:marker>
          <c:val>
            <c:numRef>
              <c:f>'Fig 2.30'!$C$6:$BK$6</c:f>
              <c:numCache>
                <c:formatCode>0.0</c:formatCode>
                <c:ptCount val="61"/>
                <c:pt idx="0">
                  <c:v>1.6</c:v>
                </c:pt>
                <c:pt idx="2">
                  <c:v>1.7</c:v>
                </c:pt>
                <c:pt idx="4">
                  <c:v>1.7</c:v>
                </c:pt>
                <c:pt idx="6">
                  <c:v>1.5</c:v>
                </c:pt>
                <c:pt idx="8">
                  <c:v>1.4</c:v>
                </c:pt>
                <c:pt idx="10">
                  <c:v>1.1000000000000001</c:v>
                </c:pt>
                <c:pt idx="12">
                  <c:v>0.9</c:v>
                </c:pt>
                <c:pt idx="13">
                  <c:v>0.9</c:v>
                </c:pt>
                <c:pt idx="14">
                  <c:v>0.8</c:v>
                </c:pt>
                <c:pt idx="15">
                  <c:v>0.9</c:v>
                </c:pt>
                <c:pt idx="16">
                  <c:v>0.9</c:v>
                </c:pt>
                <c:pt idx="17">
                  <c:v>0.9</c:v>
                </c:pt>
                <c:pt idx="18">
                  <c:v>0.9</c:v>
                </c:pt>
              </c:numCache>
            </c:numRef>
          </c:val>
          <c:smooth val="0"/>
          <c:extLst>
            <c:ext xmlns:c16="http://schemas.microsoft.com/office/drawing/2014/chart" uri="{C3380CC4-5D6E-409C-BE32-E72D297353CC}">
              <c16:uniqueId val="{00000002-0AD8-4CC1-9169-9C4D0DAE57BF}"/>
            </c:ext>
          </c:extLst>
        </c:ser>
        <c:ser>
          <c:idx val="1"/>
          <c:order val="3"/>
          <c:tx>
            <c:strRef>
              <c:f>'Fig 2.30'!$B$9</c:f>
              <c:strCache>
                <c:ptCount val="1"/>
                <c:pt idx="0">
                  <c:v>Ecart lié aux départs à 65 ans ou avant (projeté)</c:v>
                </c:pt>
              </c:strCache>
            </c:strRef>
          </c:tx>
          <c:spPr>
            <a:ln w="25400">
              <a:solidFill>
                <a:schemeClr val="tx1"/>
              </a:solidFill>
              <a:prstDash val="dash"/>
            </a:ln>
          </c:spPr>
          <c:marker>
            <c:symbol val="none"/>
          </c:marker>
          <c:cat>
            <c:numRef>
              <c:f>'Fig 2.30'!$C$4:$BK$4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2.30'!$C$9:$BK$9</c:f>
              <c:numCache>
                <c:formatCode>0.0</c:formatCode>
                <c:ptCount val="61"/>
                <c:pt idx="19">
                  <c:v>0.9</c:v>
                </c:pt>
                <c:pt idx="20">
                  <c:v>0.7</c:v>
                </c:pt>
                <c:pt idx="21">
                  <c:v>0.8</c:v>
                </c:pt>
                <c:pt idx="22">
                  <c:v>0.7</c:v>
                </c:pt>
                <c:pt idx="23">
                  <c:v>0.6</c:v>
                </c:pt>
                <c:pt idx="24">
                  <c:v>0.6</c:v>
                </c:pt>
                <c:pt idx="25">
                  <c:v>0.5</c:v>
                </c:pt>
                <c:pt idx="26">
                  <c:v>0.5</c:v>
                </c:pt>
                <c:pt idx="27">
                  <c:v>0.4</c:v>
                </c:pt>
                <c:pt idx="28">
                  <c:v>0.4</c:v>
                </c:pt>
                <c:pt idx="29">
                  <c:v>0.3</c:v>
                </c:pt>
                <c:pt idx="30">
                  <c:v>0.3</c:v>
                </c:pt>
                <c:pt idx="31">
                  <c:v>0.3</c:v>
                </c:pt>
                <c:pt idx="32">
                  <c:v>0.3</c:v>
                </c:pt>
                <c:pt idx="33">
                  <c:v>0.3</c:v>
                </c:pt>
                <c:pt idx="34">
                  <c:v>0.2</c:v>
                </c:pt>
                <c:pt idx="35">
                  <c:v>0.2</c:v>
                </c:pt>
                <c:pt idx="36">
                  <c:v>0.2</c:v>
                </c:pt>
                <c:pt idx="37">
                  <c:v>0.1</c:v>
                </c:pt>
                <c:pt idx="38">
                  <c:v>0.1</c:v>
                </c:pt>
                <c:pt idx="39">
                  <c:v>0.1</c:v>
                </c:pt>
                <c:pt idx="40">
                  <c:v>0.1</c:v>
                </c:pt>
                <c:pt idx="41">
                  <c:v>0.1</c:v>
                </c:pt>
                <c:pt idx="42">
                  <c:v>0.1</c:v>
                </c:pt>
                <c:pt idx="43">
                  <c:v>0.1</c:v>
                </c:pt>
                <c:pt idx="44">
                  <c:v>0</c:v>
                </c:pt>
                <c:pt idx="45">
                  <c:v>0</c:v>
                </c:pt>
                <c:pt idx="46">
                  <c:v>0</c:v>
                </c:pt>
                <c:pt idx="47">
                  <c:v>-0.1</c:v>
                </c:pt>
                <c:pt idx="48">
                  <c:v>-0.1</c:v>
                </c:pt>
                <c:pt idx="49">
                  <c:v>-0.1</c:v>
                </c:pt>
                <c:pt idx="50">
                  <c:v>-0.2</c:v>
                </c:pt>
                <c:pt idx="51">
                  <c:v>-0.3</c:v>
                </c:pt>
                <c:pt idx="52">
                  <c:v>-0.3</c:v>
                </c:pt>
                <c:pt idx="53">
                  <c:v>-0.3</c:v>
                </c:pt>
                <c:pt idx="54">
                  <c:v>-0.3</c:v>
                </c:pt>
                <c:pt idx="55">
                  <c:v>-0.3</c:v>
                </c:pt>
                <c:pt idx="56">
                  <c:v>-0.3</c:v>
                </c:pt>
                <c:pt idx="57">
                  <c:v>-0.3</c:v>
                </c:pt>
                <c:pt idx="58">
                  <c:v>-0.2</c:v>
                </c:pt>
                <c:pt idx="59">
                  <c:v>-0.2</c:v>
                </c:pt>
                <c:pt idx="60">
                  <c:v>-0.2</c:v>
                </c:pt>
              </c:numCache>
            </c:numRef>
          </c:val>
          <c:smooth val="0"/>
          <c:extLst>
            <c:ext xmlns:c16="http://schemas.microsoft.com/office/drawing/2014/chart" uri="{C3380CC4-5D6E-409C-BE32-E72D297353CC}">
              <c16:uniqueId val="{00000003-0AD8-4CC1-9169-9C4D0DAE57BF}"/>
            </c:ext>
          </c:extLst>
        </c:ser>
        <c:ser>
          <c:idx val="0"/>
          <c:order val="4"/>
          <c:tx>
            <c:strRef>
              <c:f>'Fig 2.30'!$B$5</c:f>
              <c:strCache>
                <c:ptCount val="1"/>
                <c:pt idx="0">
                  <c:v>Ecart total d'âge de départ (observé)</c:v>
                </c:pt>
              </c:strCache>
            </c:strRef>
          </c:tx>
          <c:spPr>
            <a:ln w="38100">
              <a:solidFill>
                <a:schemeClr val="tx1"/>
              </a:solidFill>
            </a:ln>
          </c:spPr>
          <c:marker>
            <c:symbol val="square"/>
            <c:size val="5"/>
            <c:spPr>
              <a:solidFill>
                <a:schemeClr val="tx1"/>
              </a:solidFill>
              <a:ln>
                <a:solidFill>
                  <a:schemeClr val="tx1"/>
                </a:solidFill>
              </a:ln>
            </c:spPr>
          </c:marker>
          <c:cat>
            <c:numRef>
              <c:f>'Fig 2.30'!$C$4:$BK$4</c:f>
              <c:numCache>
                <c:formatCode>General</c:formatCode>
                <c:ptCount val="6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numCache>
            </c:numRef>
          </c:cat>
          <c:val>
            <c:numRef>
              <c:f>'Fig 2.30'!$C$5:$BK$5</c:f>
              <c:numCache>
                <c:formatCode>0.0</c:formatCode>
                <c:ptCount val="61"/>
                <c:pt idx="0">
                  <c:v>1.6</c:v>
                </c:pt>
                <c:pt idx="2">
                  <c:v>1.7</c:v>
                </c:pt>
                <c:pt idx="4">
                  <c:v>1.7</c:v>
                </c:pt>
                <c:pt idx="6">
                  <c:v>1.6</c:v>
                </c:pt>
                <c:pt idx="8">
                  <c:v>1.4</c:v>
                </c:pt>
                <c:pt idx="10">
                  <c:v>1.1000000000000001</c:v>
                </c:pt>
                <c:pt idx="12">
                  <c:v>0.9</c:v>
                </c:pt>
                <c:pt idx="13">
                  <c:v>0.8</c:v>
                </c:pt>
              </c:numCache>
            </c:numRef>
          </c:val>
          <c:smooth val="0"/>
          <c:extLst>
            <c:ext xmlns:c16="http://schemas.microsoft.com/office/drawing/2014/chart" uri="{C3380CC4-5D6E-409C-BE32-E72D297353CC}">
              <c16:uniqueId val="{00000004-0AD8-4CC1-9169-9C4D0DAE57BF}"/>
            </c:ext>
          </c:extLst>
        </c:ser>
        <c:ser>
          <c:idx val="5"/>
          <c:order val="5"/>
          <c:tx>
            <c:strRef>
              <c:f>'Fig 2.30'!$B$8</c:f>
              <c:strCache>
                <c:ptCount val="1"/>
                <c:pt idx="0">
                  <c:v>Ecart total d'âge de départ (projeté)</c:v>
                </c:pt>
              </c:strCache>
            </c:strRef>
          </c:tx>
          <c:spPr>
            <a:ln w="38100">
              <a:solidFill>
                <a:schemeClr val="tx1"/>
              </a:solidFill>
              <a:prstDash val="solid"/>
            </a:ln>
          </c:spPr>
          <c:marker>
            <c:symbol val="none"/>
          </c:marker>
          <c:val>
            <c:numRef>
              <c:f>'Fig 2.30'!$C$8:$BK$8</c:f>
              <c:numCache>
                <c:formatCode>0.0</c:formatCode>
                <c:ptCount val="61"/>
                <c:pt idx="14">
                  <c:v>0.8</c:v>
                </c:pt>
                <c:pt idx="15">
                  <c:v>0.9</c:v>
                </c:pt>
                <c:pt idx="16">
                  <c:v>0.9</c:v>
                </c:pt>
                <c:pt idx="17">
                  <c:v>0.9</c:v>
                </c:pt>
                <c:pt idx="18">
                  <c:v>0.9</c:v>
                </c:pt>
                <c:pt idx="19">
                  <c:v>0.9</c:v>
                </c:pt>
                <c:pt idx="20">
                  <c:v>0.7</c:v>
                </c:pt>
                <c:pt idx="21">
                  <c:v>0.7</c:v>
                </c:pt>
                <c:pt idx="22">
                  <c:v>0.7</c:v>
                </c:pt>
                <c:pt idx="23">
                  <c:v>0.6</c:v>
                </c:pt>
                <c:pt idx="24">
                  <c:v>0.7</c:v>
                </c:pt>
                <c:pt idx="25">
                  <c:v>0.6</c:v>
                </c:pt>
                <c:pt idx="26">
                  <c:v>0.5</c:v>
                </c:pt>
                <c:pt idx="27">
                  <c:v>0.4</c:v>
                </c:pt>
                <c:pt idx="28">
                  <c:v>0.3</c:v>
                </c:pt>
                <c:pt idx="29">
                  <c:v>0.3</c:v>
                </c:pt>
                <c:pt idx="30">
                  <c:v>0.2</c:v>
                </c:pt>
                <c:pt idx="31">
                  <c:v>0.2</c:v>
                </c:pt>
                <c:pt idx="32">
                  <c:v>0.2</c:v>
                </c:pt>
                <c:pt idx="33">
                  <c:v>0.2</c:v>
                </c:pt>
                <c:pt idx="34">
                  <c:v>0.1</c:v>
                </c:pt>
                <c:pt idx="35">
                  <c:v>0</c:v>
                </c:pt>
                <c:pt idx="36">
                  <c:v>0</c:v>
                </c:pt>
                <c:pt idx="37">
                  <c:v>-0.1</c:v>
                </c:pt>
                <c:pt idx="38">
                  <c:v>-0.1</c:v>
                </c:pt>
                <c:pt idx="39">
                  <c:v>-0.2</c:v>
                </c:pt>
                <c:pt idx="40">
                  <c:v>-0.1</c:v>
                </c:pt>
                <c:pt idx="41">
                  <c:v>-0.2</c:v>
                </c:pt>
                <c:pt idx="42">
                  <c:v>-0.1</c:v>
                </c:pt>
                <c:pt idx="43">
                  <c:v>-0.2</c:v>
                </c:pt>
                <c:pt idx="44">
                  <c:v>-0.3</c:v>
                </c:pt>
                <c:pt idx="45">
                  <c:v>-0.3</c:v>
                </c:pt>
                <c:pt idx="46">
                  <c:v>-0.3</c:v>
                </c:pt>
                <c:pt idx="47">
                  <c:v>-0.4</c:v>
                </c:pt>
                <c:pt idx="48">
                  <c:v>-0.4</c:v>
                </c:pt>
                <c:pt idx="49">
                  <c:v>-0.4</c:v>
                </c:pt>
                <c:pt idx="50">
                  <c:v>-0.5</c:v>
                </c:pt>
                <c:pt idx="51">
                  <c:v>-0.5</c:v>
                </c:pt>
                <c:pt idx="52">
                  <c:v>-0.6</c:v>
                </c:pt>
                <c:pt idx="53">
                  <c:v>-0.6</c:v>
                </c:pt>
                <c:pt idx="54">
                  <c:v>-0.6</c:v>
                </c:pt>
                <c:pt idx="55">
                  <c:v>-0.6</c:v>
                </c:pt>
                <c:pt idx="56">
                  <c:v>-0.6</c:v>
                </c:pt>
                <c:pt idx="57">
                  <c:v>-0.5</c:v>
                </c:pt>
                <c:pt idx="58">
                  <c:v>-0.4</c:v>
                </c:pt>
                <c:pt idx="59">
                  <c:v>-0.4</c:v>
                </c:pt>
                <c:pt idx="60">
                  <c:v>-0.4</c:v>
                </c:pt>
              </c:numCache>
            </c:numRef>
          </c:val>
          <c:smooth val="0"/>
          <c:extLst>
            <c:ext xmlns:c16="http://schemas.microsoft.com/office/drawing/2014/chart" uri="{C3380CC4-5D6E-409C-BE32-E72D297353CC}">
              <c16:uniqueId val="{00000005-0AD8-4CC1-9169-9C4D0DAE57BF}"/>
            </c:ext>
          </c:extLst>
        </c:ser>
        <c:dLbls>
          <c:showLegendKey val="0"/>
          <c:showVal val="0"/>
          <c:showCatName val="0"/>
          <c:showSerName val="0"/>
          <c:showPercent val="0"/>
          <c:showBubbleSize val="0"/>
        </c:dLbls>
        <c:marker val="1"/>
        <c:smooth val="0"/>
        <c:axId val="150367616"/>
        <c:axId val="150373888"/>
      </c:lineChart>
      <c:catAx>
        <c:axId val="150367616"/>
        <c:scaling>
          <c:orientation val="minMax"/>
        </c:scaling>
        <c:delete val="0"/>
        <c:axPos val="b"/>
        <c:majorGridlines>
          <c:spPr>
            <a:ln>
              <a:solidFill>
                <a:schemeClr val="bg1">
                  <a:lumMod val="85000"/>
                </a:schemeClr>
              </a:solidFill>
            </a:ln>
          </c:spPr>
        </c:majorGridlines>
        <c:title>
          <c:tx>
            <c:rich>
              <a:bodyPr/>
              <a:lstStyle/>
              <a:p>
                <a:pPr>
                  <a:defRPr/>
                </a:pPr>
                <a:r>
                  <a:rPr lang="en-US"/>
                  <a:t>génération</a:t>
                </a:r>
              </a:p>
            </c:rich>
          </c:tx>
          <c:layout>
            <c:manualLayout>
              <c:xMode val="edge"/>
              <c:yMode val="edge"/>
              <c:x val="0.84668439932776174"/>
              <c:y val="0.73350738658764625"/>
            </c:manualLayout>
          </c:layout>
          <c:overlay val="0"/>
        </c:title>
        <c:numFmt formatCode="General" sourceLinked="1"/>
        <c:majorTickMark val="out"/>
        <c:minorTickMark val="none"/>
        <c:tickLblPos val="low"/>
        <c:spPr>
          <a:ln w="12700"/>
        </c:spPr>
        <c:crossAx val="150373888"/>
        <c:crosses val="autoZero"/>
        <c:auto val="1"/>
        <c:lblAlgn val="ctr"/>
        <c:lblOffset val="100"/>
        <c:tickLblSkip val="2"/>
        <c:tickMarkSkip val="2"/>
        <c:noMultiLvlLbl val="0"/>
      </c:catAx>
      <c:valAx>
        <c:axId val="150373888"/>
        <c:scaling>
          <c:orientation val="minMax"/>
          <c:max val="2"/>
          <c:min val="-1"/>
        </c:scaling>
        <c:delete val="0"/>
        <c:axPos val="l"/>
        <c:majorGridlines>
          <c:spPr>
            <a:ln>
              <a:solidFill>
                <a:schemeClr val="bg1">
                  <a:lumMod val="85000"/>
                </a:schemeClr>
              </a:solidFill>
            </a:ln>
          </c:spPr>
        </c:majorGridlines>
        <c:numFmt formatCode="0.0" sourceLinked="1"/>
        <c:majorTickMark val="out"/>
        <c:minorTickMark val="none"/>
        <c:tickLblPos val="nextTo"/>
        <c:crossAx val="150367616"/>
        <c:crosses val="autoZero"/>
        <c:crossBetween val="between"/>
        <c:majorUnit val="0.5"/>
      </c:valAx>
    </c:plotArea>
    <c:legend>
      <c:legendPos val="b"/>
      <c:layout>
        <c:manualLayout>
          <c:xMode val="edge"/>
          <c:yMode val="edge"/>
          <c:x val="0"/>
          <c:y val="0.80793673248697595"/>
          <c:w val="1"/>
          <c:h val="0.19206326751302402"/>
        </c:manualLayout>
      </c:layout>
      <c:overlay val="0"/>
      <c:txPr>
        <a:bodyPr/>
        <a:lstStyle/>
        <a:p>
          <a:pPr>
            <a:defRPr sz="900"/>
          </a:pPr>
          <a:endParaRPr lang="fr-FR"/>
        </a:p>
      </c:txPr>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425648148148154"/>
          <c:y val="3.5880555555555561E-2"/>
          <c:w val="0.81149675925925913"/>
          <c:h val="0.74221605559216997"/>
        </c:manualLayout>
      </c:layout>
      <c:lineChart>
        <c:grouping val="standard"/>
        <c:varyColors val="0"/>
        <c:ser>
          <c:idx val="0"/>
          <c:order val="0"/>
          <c:tx>
            <c:strRef>
              <c:f>'Fig 2.31'!$C$4</c:f>
              <c:strCache>
                <c:ptCount val="1"/>
                <c:pt idx="0">
                  <c:v>Durée validée (tous régimes)</c:v>
                </c:pt>
              </c:strCache>
            </c:strRef>
          </c:tx>
          <c:spPr>
            <a:ln w="31750">
              <a:solidFill>
                <a:schemeClr val="tx1"/>
              </a:solidFill>
              <a:prstDash val="solid"/>
            </a:ln>
          </c:spPr>
          <c:marker>
            <c:symbol val="none"/>
          </c:marker>
          <c:cat>
            <c:numRef>
              <c:f>'Fig 2.31'!$B$5:$B$14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2.31'!$C$5:$C$14</c:f>
              <c:numCache>
                <c:formatCode>0.0%</c:formatCode>
                <c:ptCount val="10"/>
                <c:pt idx="0">
                  <c:v>0.74399999999999999</c:v>
                </c:pt>
                <c:pt idx="1">
                  <c:v>0.752</c:v>
                </c:pt>
                <c:pt idx="2">
                  <c:v>0.74299999999999999</c:v>
                </c:pt>
                <c:pt idx="3">
                  <c:v>0.753</c:v>
                </c:pt>
                <c:pt idx="4">
                  <c:v>0.75900000000000001</c:v>
                </c:pt>
                <c:pt idx="5">
                  <c:v>0.77100000000000002</c:v>
                </c:pt>
                <c:pt idx="6">
                  <c:v>0.79300000000000004</c:v>
                </c:pt>
                <c:pt idx="7">
                  <c:v>0.81299999999999994</c:v>
                </c:pt>
                <c:pt idx="8">
                  <c:v>0.83499999999999996</c:v>
                </c:pt>
                <c:pt idx="9">
                  <c:v>0.85599999999999998</c:v>
                </c:pt>
              </c:numCache>
            </c:numRef>
          </c:val>
          <c:smooth val="0"/>
          <c:extLst>
            <c:ext xmlns:c16="http://schemas.microsoft.com/office/drawing/2014/chart" uri="{C3380CC4-5D6E-409C-BE32-E72D297353CC}">
              <c16:uniqueId val="{00000000-FACB-4A07-BEB3-EDBE49B4562B}"/>
            </c:ext>
          </c:extLst>
        </c:ser>
        <c:ser>
          <c:idx val="1"/>
          <c:order val="1"/>
          <c:tx>
            <c:strRef>
              <c:f>'Fig 2.31'!$D$4</c:f>
              <c:strCache>
                <c:ptCount val="1"/>
                <c:pt idx="0">
                  <c:v>Durée validée hors majorations de durée d'assurance (tous régimes)</c:v>
                </c:pt>
              </c:strCache>
            </c:strRef>
          </c:tx>
          <c:spPr>
            <a:ln w="19050">
              <a:solidFill>
                <a:schemeClr val="tx1"/>
              </a:solidFill>
              <a:prstDash val="dash"/>
            </a:ln>
          </c:spPr>
          <c:marker>
            <c:symbol val="none"/>
          </c:marker>
          <c:cat>
            <c:numRef>
              <c:f>'Fig 2.31'!$B$5:$B$14</c:f>
              <c:numCache>
                <c:formatCode>General</c:formatCode>
                <c:ptCount val="10"/>
                <c:pt idx="0">
                  <c:v>1924</c:v>
                </c:pt>
                <c:pt idx="1">
                  <c:v>1926</c:v>
                </c:pt>
                <c:pt idx="2">
                  <c:v>1928</c:v>
                </c:pt>
                <c:pt idx="3">
                  <c:v>1930</c:v>
                </c:pt>
                <c:pt idx="4">
                  <c:v>1932</c:v>
                </c:pt>
                <c:pt idx="5">
                  <c:v>1934</c:v>
                </c:pt>
                <c:pt idx="6">
                  <c:v>1936</c:v>
                </c:pt>
                <c:pt idx="7">
                  <c:v>1938</c:v>
                </c:pt>
                <c:pt idx="8">
                  <c:v>1940</c:v>
                </c:pt>
                <c:pt idx="9">
                  <c:v>1942</c:v>
                </c:pt>
              </c:numCache>
            </c:numRef>
          </c:cat>
          <c:val>
            <c:numRef>
              <c:f>'Fig 2.31'!$D$5:$D$14</c:f>
              <c:numCache>
                <c:formatCode>0.0%</c:formatCode>
                <c:ptCount val="10"/>
                <c:pt idx="0">
                  <c:v>0.70699999999999996</c:v>
                </c:pt>
                <c:pt idx="1">
                  <c:v>0.68700000000000006</c:v>
                </c:pt>
                <c:pt idx="2">
                  <c:v>0.65500000000000003</c:v>
                </c:pt>
                <c:pt idx="3">
                  <c:v>0.66</c:v>
                </c:pt>
                <c:pt idx="4">
                  <c:v>0.66100000000000003</c:v>
                </c:pt>
                <c:pt idx="5">
                  <c:v>0.67600000000000005</c:v>
                </c:pt>
                <c:pt idx="6">
                  <c:v>0.69699999999999995</c:v>
                </c:pt>
                <c:pt idx="7">
                  <c:v>0.71799999999999997</c:v>
                </c:pt>
                <c:pt idx="8">
                  <c:v>0.73899999999999999</c:v>
                </c:pt>
                <c:pt idx="9">
                  <c:v>0.76500000000000001</c:v>
                </c:pt>
              </c:numCache>
            </c:numRef>
          </c:val>
          <c:smooth val="0"/>
          <c:extLst>
            <c:ext xmlns:c16="http://schemas.microsoft.com/office/drawing/2014/chart" uri="{C3380CC4-5D6E-409C-BE32-E72D297353CC}">
              <c16:uniqueId val="{00000001-FACB-4A07-BEB3-EDBE49B4562B}"/>
            </c:ext>
          </c:extLst>
        </c:ser>
        <c:dLbls>
          <c:showLegendKey val="0"/>
          <c:showVal val="0"/>
          <c:showCatName val="0"/>
          <c:showSerName val="0"/>
          <c:showPercent val="0"/>
          <c:showBubbleSize val="0"/>
        </c:dLbls>
        <c:smooth val="0"/>
        <c:axId val="150407808"/>
        <c:axId val="150414080"/>
      </c:lineChart>
      <c:catAx>
        <c:axId val="1504078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fr-FR"/>
                  <a:t>génération</a:t>
                </a:r>
              </a:p>
            </c:rich>
          </c:tx>
          <c:layout>
            <c:manualLayout>
              <c:xMode val="edge"/>
              <c:yMode val="edge"/>
              <c:x val="0.86115904782735486"/>
              <c:y val="0.67845803415542238"/>
            </c:manualLayout>
          </c:layout>
          <c:overlay val="0"/>
        </c:title>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fr-FR"/>
          </a:p>
        </c:txPr>
        <c:crossAx val="150414080"/>
        <c:crosses val="autoZero"/>
        <c:auto val="1"/>
        <c:lblAlgn val="ctr"/>
        <c:lblOffset val="100"/>
        <c:noMultiLvlLbl val="0"/>
      </c:catAx>
      <c:valAx>
        <c:axId val="150414080"/>
        <c:scaling>
          <c:orientation val="minMax"/>
          <c:max val="0.9"/>
          <c:min val="0.6000000000000002"/>
        </c:scaling>
        <c:delete val="0"/>
        <c:axPos val="l"/>
        <c:majorGridlines/>
        <c:title>
          <c:tx>
            <c:rich>
              <a:bodyPr/>
              <a:lstStyle/>
              <a:p>
                <a:pPr>
                  <a:defRPr sz="900" b="1" i="0" u="none" strike="noStrike" baseline="0">
                    <a:solidFill>
                      <a:srgbClr val="000000"/>
                    </a:solidFill>
                    <a:latin typeface="Calibri"/>
                    <a:ea typeface="Calibri"/>
                    <a:cs typeface="Calibri"/>
                  </a:defRPr>
                </a:pPr>
                <a:r>
                  <a:rPr lang="fr-FR"/>
                  <a:t>Rapport de durées moyennes femmes / hommes</a:t>
                </a:r>
              </a:p>
            </c:rich>
          </c:tx>
          <c:layout>
            <c:manualLayout>
              <c:xMode val="edge"/>
              <c:yMode val="edge"/>
              <c:x val="1.504295569611176E-2"/>
              <c:y val="6.843155618763512E-2"/>
            </c:manualLayout>
          </c:layout>
          <c:overlay val="0"/>
        </c:title>
        <c:numFmt formatCode="0%" sourceLinked="0"/>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fr-FR"/>
          </a:p>
        </c:txPr>
        <c:crossAx val="150407808"/>
        <c:crosses val="autoZero"/>
        <c:crossBetween val="between"/>
        <c:majorUnit val="5.0000000000000017E-2"/>
      </c:valAx>
    </c:plotArea>
    <c:legend>
      <c:legendPos val="b"/>
      <c:layout>
        <c:manualLayout>
          <c:xMode val="edge"/>
          <c:yMode val="edge"/>
          <c:x val="2.4556028857048603E-2"/>
          <c:y val="0.89139269485587425"/>
          <c:w val="0.96314501670897712"/>
          <c:h val="9.3799530565287281E-2"/>
        </c:manualLayout>
      </c:layout>
      <c:overlay val="0"/>
      <c:txPr>
        <a:bodyPr/>
        <a:lstStyle/>
        <a:p>
          <a:pPr>
            <a:defRPr sz="825"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31.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33.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3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9.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40.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4.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0</xdr:col>
      <xdr:colOff>752475</xdr:colOff>
      <xdr:row>23</xdr:row>
      <xdr:rowOff>0</xdr:rowOff>
    </xdr:from>
    <xdr:to>
      <xdr:col>16</xdr:col>
      <xdr:colOff>0</xdr:colOff>
      <xdr:row>28</xdr:row>
      <xdr:rowOff>95250</xdr:rowOff>
    </xdr:to>
    <xdr:sp macro="" textlink="">
      <xdr:nvSpPr>
        <xdr:cNvPr id="2" name="ZoneTexte 1">
          <a:extLst>
            <a:ext uri="{FF2B5EF4-FFF2-40B4-BE49-F238E27FC236}">
              <a16:creationId xmlns:a16="http://schemas.microsoft.com/office/drawing/2014/main" id="{00000000-0008-0000-0000-000002000000}"/>
            </a:ext>
          </a:extLst>
        </xdr:cNvPr>
        <xdr:cNvSpPr txBox="1"/>
      </xdr:nvSpPr>
      <xdr:spPr>
        <a:xfrm>
          <a:off x="752475" y="4438650"/>
          <a:ext cx="8077200" cy="1047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en 2013, on compte 1,76 personne en emploi pour 1 retraité de droit direct (tous régimes confondus); les ressources affectées au système de retraite représentent 30,6 % de la masse des revenus d'activité bruts et le montant brut moyen de pension de l'ensemble des retraités de droit direct vaut 51,3% du revenu d'activité moyen.</a:t>
          </a:r>
        </a:p>
        <a:p>
          <a:r>
            <a:rPr lang="fr-FR" sz="1000" i="1">
              <a:solidFill>
                <a:schemeClr val="dk1"/>
              </a:solidFill>
              <a:latin typeface="Times New Roman" panose="02020603050405020304" pitchFamily="18" charset="0"/>
              <a:ea typeface="+mn-ea"/>
              <a:cs typeface="Times New Roman" panose="02020603050405020304" pitchFamily="18" charset="0"/>
            </a:rPr>
            <a:t>Champ : ensemble des régimes de retraite français légalement obligatoires, y compris FSV et SASPA, hors RAFP et hors compte pénibilité. Retraités ayant au moins un droit direct de retraite.</a:t>
          </a:r>
        </a:p>
        <a:p>
          <a:r>
            <a:rPr lang="fr-FR" sz="1000" i="1">
              <a:solidFill>
                <a:schemeClr val="dk1"/>
              </a:solidFill>
              <a:latin typeface="Times New Roman" panose="02020603050405020304" pitchFamily="18" charset="0"/>
              <a:ea typeface="+mn-ea"/>
              <a:cs typeface="Times New Roman" panose="02020603050405020304" pitchFamily="18" charset="0"/>
            </a:rPr>
            <a:t>Source : projections COR – juin 2015.</a:t>
          </a:r>
        </a:p>
      </xdr:txBody>
    </xdr:sp>
    <xdr:clientData/>
  </xdr:twoCellAnchor>
  <xdr:twoCellAnchor>
    <xdr:from>
      <xdr:col>1</xdr:col>
      <xdr:colOff>2343150</xdr:colOff>
      <xdr:row>29</xdr:row>
      <xdr:rowOff>1</xdr:rowOff>
    </xdr:from>
    <xdr:to>
      <xdr:col>8</xdr:col>
      <xdr:colOff>323850</xdr:colOff>
      <xdr:row>31</xdr:row>
      <xdr:rowOff>171450</xdr:rowOff>
    </xdr:to>
    <xdr:sp macro="" textlink="">
      <xdr:nvSpPr>
        <xdr:cNvPr id="3" name="ZoneTexte 2">
          <a:extLst>
            <a:ext uri="{FF2B5EF4-FFF2-40B4-BE49-F238E27FC236}">
              <a16:creationId xmlns:a16="http://schemas.microsoft.com/office/drawing/2014/main" id="{00000000-0008-0000-0000-000003000000}"/>
            </a:ext>
          </a:extLst>
        </xdr:cNvPr>
        <xdr:cNvSpPr txBox="1"/>
      </xdr:nvSpPr>
      <xdr:spPr>
        <a:xfrm>
          <a:off x="3105150" y="5581651"/>
          <a:ext cx="3000375" cy="552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000" i="0">
              <a:solidFill>
                <a:schemeClr val="dk1"/>
              </a:solidFill>
              <a:latin typeface="Times New Roman" panose="02020603050405020304" pitchFamily="18" charset="0"/>
              <a:ea typeface="+mn-ea"/>
              <a:cs typeface="Times New Roman" panose="02020603050405020304" pitchFamily="18" charset="0"/>
            </a:rPr>
            <a:t>Rapport entre le nombre de cotisants et le nombre de retraités</a:t>
          </a:r>
        </a:p>
        <a:p>
          <a:pPr algn="ctr"/>
          <a:endParaRPr lang="fr-FR" sz="1000" i="0">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8</xdr:col>
      <xdr:colOff>371475</xdr:colOff>
      <xdr:row>29</xdr:row>
      <xdr:rowOff>0</xdr:rowOff>
    </xdr:from>
    <xdr:to>
      <xdr:col>15</xdr:col>
      <xdr:colOff>371475</xdr:colOff>
      <xdr:row>31</xdr:row>
      <xdr:rowOff>180975</xdr:rowOff>
    </xdr:to>
    <xdr:sp macro="" textlink="">
      <xdr:nvSpPr>
        <xdr:cNvPr id="4" name="ZoneTexte 3">
          <a:extLst>
            <a:ext uri="{FF2B5EF4-FFF2-40B4-BE49-F238E27FC236}">
              <a16:creationId xmlns:a16="http://schemas.microsoft.com/office/drawing/2014/main" id="{00000000-0008-0000-0000-000004000000}"/>
            </a:ext>
          </a:extLst>
        </xdr:cNvPr>
        <xdr:cNvSpPr txBox="1"/>
      </xdr:nvSpPr>
      <xdr:spPr>
        <a:xfrm>
          <a:off x="5819775" y="5581650"/>
          <a:ext cx="266700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000" i="0">
              <a:solidFill>
                <a:schemeClr val="dk1"/>
              </a:solidFill>
              <a:latin typeface="Times New Roman" panose="02020603050405020304" pitchFamily="18" charset="0"/>
              <a:ea typeface="+mn-ea"/>
              <a:cs typeface="Times New Roman" panose="02020603050405020304" pitchFamily="18" charset="0"/>
            </a:rPr>
            <a:t>Taux de prélèvement global</a:t>
          </a:r>
        </a:p>
        <a:p>
          <a:pPr algn="ctr"/>
          <a:r>
            <a:rPr lang="fr-FR" sz="1000" i="0">
              <a:solidFill>
                <a:schemeClr val="dk1"/>
              </a:solidFill>
              <a:latin typeface="Times New Roman" panose="02020603050405020304" pitchFamily="18" charset="0"/>
              <a:ea typeface="+mn-ea"/>
              <a:cs typeface="Times New Roman" panose="02020603050405020304" pitchFamily="18" charset="0"/>
            </a:rPr>
            <a:t>(en % de la masse des revenus d’activité bruts)</a:t>
          </a:r>
        </a:p>
      </xdr:txBody>
    </xdr:sp>
    <xdr:clientData/>
  </xdr:twoCellAnchor>
  <xdr:twoCellAnchor>
    <xdr:from>
      <xdr:col>16</xdr:col>
      <xdr:colOff>95250</xdr:colOff>
      <xdr:row>29</xdr:row>
      <xdr:rowOff>0</xdr:rowOff>
    </xdr:from>
    <xdr:to>
      <xdr:col>23</xdr:col>
      <xdr:colOff>95250</xdr:colOff>
      <xdr:row>32</xdr:row>
      <xdr:rowOff>0</xdr:rowOff>
    </xdr:to>
    <xdr:sp macro="" textlink="">
      <xdr:nvSpPr>
        <xdr:cNvPr id="5" name="ZoneTexte 4">
          <a:extLst>
            <a:ext uri="{FF2B5EF4-FFF2-40B4-BE49-F238E27FC236}">
              <a16:creationId xmlns:a16="http://schemas.microsoft.com/office/drawing/2014/main" id="{00000000-0008-0000-0000-000005000000}"/>
            </a:ext>
          </a:extLst>
        </xdr:cNvPr>
        <xdr:cNvSpPr txBox="1"/>
      </xdr:nvSpPr>
      <xdr:spPr>
        <a:xfrm>
          <a:off x="8924925" y="5581650"/>
          <a:ext cx="266700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000" i="0">
              <a:solidFill>
                <a:schemeClr val="dk1"/>
              </a:solidFill>
              <a:latin typeface="Times New Roman" panose="02020603050405020304" pitchFamily="18" charset="0"/>
              <a:ea typeface="+mn-ea"/>
              <a:cs typeface="Times New Roman" panose="02020603050405020304" pitchFamily="18" charset="0"/>
            </a:rPr>
            <a:t>Pension moyenne de l’ensemble des retraités, relative au revenu d’activité moyen </a:t>
          </a:r>
        </a:p>
        <a:p>
          <a:pPr algn="ctr"/>
          <a:r>
            <a:rPr lang="fr-FR" sz="1000" i="0">
              <a:solidFill>
                <a:schemeClr val="dk1"/>
              </a:solidFill>
              <a:latin typeface="Times New Roman" panose="02020603050405020304" pitchFamily="18" charset="0"/>
              <a:ea typeface="+mn-ea"/>
              <a:cs typeface="Times New Roman" panose="02020603050405020304" pitchFamily="18" charset="0"/>
            </a:rPr>
            <a:t>(en % du revenu d’activité moyen brut)</a:t>
          </a:r>
        </a:p>
      </xdr:txBody>
    </xdr:sp>
    <xdr:clientData/>
  </xdr:twoCellAnchor>
  <xdr:twoCellAnchor>
    <xdr:from>
      <xdr:col>2</xdr:col>
      <xdr:colOff>523875</xdr:colOff>
      <xdr:row>32</xdr:row>
      <xdr:rowOff>142875</xdr:rowOff>
    </xdr:from>
    <xdr:to>
      <xdr:col>7</xdr:col>
      <xdr:colOff>109875</xdr:colOff>
      <xdr:row>45</xdr:row>
      <xdr:rowOff>186375</xdr:rowOff>
    </xdr:to>
    <xdr:graphicFrame macro="">
      <xdr:nvGraphicFramePr>
        <xdr:cNvPr id="6" name="Graphique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371475</xdr:colOff>
      <xdr:row>33</xdr:row>
      <xdr:rowOff>0</xdr:rowOff>
    </xdr:from>
    <xdr:to>
      <xdr:col>14</xdr:col>
      <xdr:colOff>338475</xdr:colOff>
      <xdr:row>46</xdr:row>
      <xdr:rowOff>43500</xdr:rowOff>
    </xdr:to>
    <xdr:graphicFrame macro="">
      <xdr:nvGraphicFramePr>
        <xdr:cNvPr id="7" name="Graphique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371475</xdr:colOff>
      <xdr:row>33</xdr:row>
      <xdr:rowOff>0</xdr:rowOff>
    </xdr:from>
    <xdr:to>
      <xdr:col>21</xdr:col>
      <xdr:colOff>338475</xdr:colOff>
      <xdr:row>46</xdr:row>
      <xdr:rowOff>43500</xdr:rowOff>
    </xdr:to>
    <xdr:graphicFrame macro="">
      <xdr:nvGraphicFramePr>
        <xdr:cNvPr id="8" name="Graphique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0.64111</cdr:x>
      <cdr:y>0.41703</cdr:y>
    </cdr:from>
    <cdr:to>
      <cdr:x>1</cdr:x>
      <cdr:y>0.47247</cdr:y>
    </cdr:to>
    <cdr:sp macro="" textlink="">
      <cdr:nvSpPr>
        <cdr:cNvPr id="2" name="ZoneTexte 2"/>
        <cdr:cNvSpPr txBox="1"/>
      </cdr:nvSpPr>
      <cdr:spPr>
        <a:xfrm xmlns:a="http://schemas.openxmlformats.org/drawingml/2006/main">
          <a:off x="1200158" y="1050928"/>
          <a:ext cx="671842" cy="139698"/>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 A et B</a:t>
          </a:r>
        </a:p>
      </cdr:txBody>
    </cdr:sp>
  </cdr:relSizeAnchor>
  <cdr:relSizeAnchor xmlns:cdr="http://schemas.openxmlformats.org/drawingml/2006/chartDrawing">
    <cdr:from>
      <cdr:x>0.6021</cdr:x>
      <cdr:y>0.6476</cdr:y>
    </cdr:from>
    <cdr:to>
      <cdr:x>0.83446</cdr:x>
      <cdr:y>0.72193</cdr:y>
    </cdr:to>
    <cdr:sp macro="" textlink="">
      <cdr:nvSpPr>
        <cdr:cNvPr id="3" name="ZoneTexte 11"/>
        <cdr:cNvSpPr txBox="1"/>
      </cdr:nvSpPr>
      <cdr:spPr>
        <a:xfrm xmlns:a="http://schemas.openxmlformats.org/drawingml/2006/main">
          <a:off x="1127127" y="1631952"/>
          <a:ext cx="434973" cy="18732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 et C'</a:t>
          </a:r>
        </a:p>
      </cdr:txBody>
    </cdr:sp>
  </cdr:relSizeAnchor>
  <cdr:relSizeAnchor xmlns:cdr="http://schemas.openxmlformats.org/drawingml/2006/chartDrawing">
    <cdr:from>
      <cdr:x>0.7734</cdr:x>
      <cdr:y>0.47247</cdr:y>
    </cdr:from>
    <cdr:to>
      <cdr:x>0.82056</cdr:x>
      <cdr:y>0.52917</cdr:y>
    </cdr:to>
    <cdr:cxnSp macro="">
      <cdr:nvCxnSpPr>
        <cdr:cNvPr id="5" name="Connecteur droit avec flèche 4">
          <a:extLst xmlns:a="http://schemas.openxmlformats.org/drawingml/2006/main">
            <a:ext uri="{FF2B5EF4-FFF2-40B4-BE49-F238E27FC236}">
              <a16:creationId xmlns:a16="http://schemas.microsoft.com/office/drawing/2014/main" id="{7FE65014-18A7-5C92-BFE3-3FECABC44C08}"/>
            </a:ext>
          </a:extLst>
        </cdr:cNvPr>
        <cdr:cNvCxnSpPr>
          <a:stCxn xmlns:a="http://schemas.openxmlformats.org/drawingml/2006/main" id="2" idx="2"/>
        </cdr:cNvCxnSpPr>
      </cdr:nvCxnSpPr>
      <cdr:spPr>
        <a:xfrm xmlns:a="http://schemas.openxmlformats.org/drawingml/2006/main" flipH="1">
          <a:off x="1447800" y="1190626"/>
          <a:ext cx="88279" cy="142874"/>
        </a:xfrm>
        <a:prstGeom xmlns:a="http://schemas.openxmlformats.org/drawingml/2006/main" prst="straightConnector1">
          <a:avLst/>
        </a:prstGeom>
        <a:ln xmlns:a="http://schemas.openxmlformats.org/drawingml/2006/main" w="6350">
          <a:solidFill>
            <a:schemeClr val="bg1">
              <a:lumMod val="50000"/>
            </a:schemeClr>
          </a:solidFill>
          <a:tailEnd type="arrow"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0.71828</cdr:x>
      <cdr:y>0.59342</cdr:y>
    </cdr:from>
    <cdr:to>
      <cdr:x>0.74796</cdr:x>
      <cdr:y>0.6476</cdr:y>
    </cdr:to>
    <cdr:cxnSp macro="">
      <cdr:nvCxnSpPr>
        <cdr:cNvPr id="6" name="Connecteur droit avec flèche 5">
          <a:extLst xmlns:a="http://schemas.openxmlformats.org/drawingml/2006/main">
            <a:ext uri="{FF2B5EF4-FFF2-40B4-BE49-F238E27FC236}">
              <a16:creationId xmlns:a16="http://schemas.microsoft.com/office/drawing/2014/main" id="{1FF8BEAF-E8C1-C17E-F53A-53108A802C38}"/>
            </a:ext>
          </a:extLst>
        </cdr:cNvPr>
        <cdr:cNvCxnSpPr>
          <a:stCxn xmlns:a="http://schemas.openxmlformats.org/drawingml/2006/main" id="3" idx="0"/>
        </cdr:cNvCxnSpPr>
      </cdr:nvCxnSpPr>
      <cdr:spPr>
        <a:xfrm xmlns:a="http://schemas.openxmlformats.org/drawingml/2006/main" flipV="1">
          <a:off x="1344614" y="1495425"/>
          <a:ext cx="55561" cy="136527"/>
        </a:xfrm>
        <a:prstGeom xmlns:a="http://schemas.openxmlformats.org/drawingml/2006/main" prst="straightConnector1">
          <a:avLst/>
        </a:prstGeom>
        <a:ln xmlns:a="http://schemas.openxmlformats.org/drawingml/2006/main" w="6350">
          <a:solidFill>
            <a:schemeClr val="bg1">
              <a:lumMod val="50000"/>
            </a:schemeClr>
          </a:solidFill>
          <a:tailEnd type="arrow"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0.82598</cdr:x>
      <cdr:y>0.15623</cdr:y>
    </cdr:from>
    <cdr:to>
      <cdr:x>0.98371</cdr:x>
      <cdr:y>0.23181</cdr:y>
    </cdr:to>
    <cdr:sp macro="" textlink="">
      <cdr:nvSpPr>
        <cdr:cNvPr id="2" name="ZoneTexte 18"/>
        <cdr:cNvSpPr txBox="1"/>
      </cdr:nvSpPr>
      <cdr:spPr>
        <a:xfrm xmlns:a="http://schemas.openxmlformats.org/drawingml/2006/main">
          <a:off x="1546231" y="393712"/>
          <a:ext cx="295271" cy="19046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0.83107</cdr:x>
      <cdr:y>0.3112</cdr:y>
    </cdr:from>
    <cdr:to>
      <cdr:x>0.9888</cdr:x>
      <cdr:y>0.39687</cdr:y>
    </cdr:to>
    <cdr:sp macro="" textlink="">
      <cdr:nvSpPr>
        <cdr:cNvPr id="3" name="ZoneTexte 15"/>
        <cdr:cNvSpPr txBox="1"/>
      </cdr:nvSpPr>
      <cdr:spPr>
        <a:xfrm xmlns:a="http://schemas.openxmlformats.org/drawingml/2006/main">
          <a:off x="1555756" y="784218"/>
          <a:ext cx="295271" cy="21588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userShapes>
</file>

<file path=xl/drawings/drawing4.xml><?xml version="1.0" encoding="utf-8"?>
<c:userShapes xmlns:c="http://schemas.openxmlformats.org/drawingml/2006/chart">
  <cdr:relSizeAnchor xmlns:cdr="http://schemas.openxmlformats.org/drawingml/2006/chartDrawing">
    <cdr:from>
      <cdr:x>0.89043</cdr:x>
      <cdr:y>0.30994</cdr:y>
    </cdr:from>
    <cdr:to>
      <cdr:x>0.9888</cdr:x>
      <cdr:y>0.37042</cdr:y>
    </cdr:to>
    <cdr:sp macro="" textlink="">
      <cdr:nvSpPr>
        <cdr:cNvPr id="2" name="ZoneTexte 20"/>
        <cdr:cNvSpPr txBox="1"/>
      </cdr:nvSpPr>
      <cdr:spPr>
        <a:xfrm xmlns:a="http://schemas.openxmlformats.org/drawingml/2006/main">
          <a:off x="1666881" y="781045"/>
          <a:ext cx="184149" cy="15241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0.87007</cdr:x>
      <cdr:y>0.37798</cdr:y>
    </cdr:from>
    <cdr:to>
      <cdr:x>1</cdr:x>
      <cdr:y>0.44601</cdr:y>
    </cdr:to>
    <cdr:sp macro="" textlink="">
      <cdr:nvSpPr>
        <cdr:cNvPr id="3" name="ZoneTexte 19"/>
        <cdr:cNvSpPr txBox="1"/>
      </cdr:nvSpPr>
      <cdr:spPr>
        <a:xfrm xmlns:a="http://schemas.openxmlformats.org/drawingml/2006/main">
          <a:off x="1628771" y="952500"/>
          <a:ext cx="243229" cy="1714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0.92604</cdr:x>
      <cdr:y>0.6161</cdr:y>
    </cdr:from>
    <cdr:to>
      <cdr:x>0.99219</cdr:x>
      <cdr:y>0.68414</cdr:y>
    </cdr:to>
    <cdr:sp macro="" textlink="">
      <cdr:nvSpPr>
        <cdr:cNvPr id="5" name="ZoneTexte 19"/>
        <cdr:cNvSpPr txBox="1"/>
      </cdr:nvSpPr>
      <cdr:spPr>
        <a:xfrm xmlns:a="http://schemas.openxmlformats.org/drawingml/2006/main">
          <a:off x="1733550" y="1552571"/>
          <a:ext cx="123830" cy="17145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0.90163</cdr:x>
      <cdr:y>0.44349</cdr:y>
    </cdr:from>
    <cdr:to>
      <cdr:x>1</cdr:x>
      <cdr:y>0.50397</cdr:y>
    </cdr:to>
    <cdr:sp macro="" textlink="">
      <cdr:nvSpPr>
        <cdr:cNvPr id="7" name="ZoneTexte 20"/>
        <cdr:cNvSpPr txBox="1"/>
      </cdr:nvSpPr>
      <cdr:spPr>
        <a:xfrm xmlns:a="http://schemas.openxmlformats.org/drawingml/2006/main">
          <a:off x="1687848" y="1117600"/>
          <a:ext cx="184152" cy="1524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B</a:t>
          </a:r>
        </a:p>
      </cdr:txBody>
    </cdr:sp>
  </cdr:relSizeAnchor>
  <cdr:relSizeAnchor xmlns:cdr="http://schemas.openxmlformats.org/drawingml/2006/chartDrawing">
    <cdr:from>
      <cdr:x>0.90163</cdr:x>
      <cdr:y>0.50397</cdr:y>
    </cdr:from>
    <cdr:to>
      <cdr:x>1</cdr:x>
      <cdr:y>0.56444</cdr:y>
    </cdr:to>
    <cdr:sp macro="" textlink="">
      <cdr:nvSpPr>
        <cdr:cNvPr id="8" name="ZoneTexte 20"/>
        <cdr:cNvSpPr txBox="1"/>
      </cdr:nvSpPr>
      <cdr:spPr>
        <a:xfrm xmlns:a="http://schemas.openxmlformats.org/drawingml/2006/main">
          <a:off x="1687851" y="1270004"/>
          <a:ext cx="184149" cy="15238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761999</xdr:colOff>
      <xdr:row>7</xdr:row>
      <xdr:rowOff>0</xdr:rowOff>
    </xdr:from>
    <xdr:to>
      <xdr:col>21</xdr:col>
      <xdr:colOff>95249</xdr:colOff>
      <xdr:row>9</xdr:row>
      <xdr:rowOff>114300</xdr:rowOff>
    </xdr:to>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761999" y="1371600"/>
          <a:ext cx="8391525"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Champ : résidents en France, retraités de droit direct de l’ensemble des régimes de retraite français légalement obligatoires, projection hors compte pénibilité. </a:t>
          </a:r>
        </a:p>
        <a:p>
          <a:r>
            <a:rPr lang="fr-FR" sz="1000" i="1">
              <a:solidFill>
                <a:schemeClr val="dk1"/>
              </a:solidFill>
              <a:latin typeface="Times New Roman" panose="02020603050405020304" pitchFamily="18" charset="0"/>
              <a:ea typeface="+mn-ea"/>
              <a:cs typeface="Times New Roman" panose="02020603050405020304" pitchFamily="18" charset="0"/>
            </a:rPr>
            <a:t>Source : projections COR – juin 2015.</a:t>
          </a:r>
        </a:p>
      </xdr:txBody>
    </xdr:sp>
    <xdr:clientData/>
  </xdr:twoCellAnchor>
  <xdr:twoCellAnchor>
    <xdr:from>
      <xdr:col>2</xdr:col>
      <xdr:colOff>0</xdr:colOff>
      <xdr:row>11</xdr:row>
      <xdr:rowOff>0</xdr:rowOff>
    </xdr:from>
    <xdr:to>
      <xdr:col>13</xdr:col>
      <xdr:colOff>76200</xdr:colOff>
      <xdr:row>20</xdr:row>
      <xdr:rowOff>85500</xdr:rowOff>
    </xdr:to>
    <xdr:graphicFrame macro="">
      <xdr:nvGraphicFramePr>
        <xdr:cNvPr id="3" name="Graphique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6</xdr:row>
      <xdr:rowOff>0</xdr:rowOff>
    </xdr:from>
    <xdr:to>
      <xdr:col>13</xdr:col>
      <xdr:colOff>28575</xdr:colOff>
      <xdr:row>9</xdr:row>
      <xdr:rowOff>66675</xdr:rowOff>
    </xdr:to>
    <xdr:sp macro="" textlink="">
      <xdr:nvSpPr>
        <xdr:cNvPr id="2" name="ZoneTexte 1">
          <a:extLst>
            <a:ext uri="{FF2B5EF4-FFF2-40B4-BE49-F238E27FC236}">
              <a16:creationId xmlns:a16="http://schemas.microsoft.com/office/drawing/2014/main" id="{00000000-0008-0000-0200-000002000000}"/>
            </a:ext>
          </a:extLst>
        </xdr:cNvPr>
        <xdr:cNvSpPr txBox="1"/>
      </xdr:nvSpPr>
      <xdr:spPr>
        <a:xfrm>
          <a:off x="762000" y="1181100"/>
          <a:ext cx="721995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Lecture : en 2015, le taux de cotisation pour la retraite (part salariale + part employeur, CNAV + ARRCO, y compris AGFF) du cas type est de 27,2 % de son salaire brut. </a:t>
          </a:r>
        </a:p>
        <a:p>
          <a:r>
            <a:rPr lang="fr-FR" sz="1000" i="1">
              <a:solidFill>
                <a:schemeClr val="dk1"/>
              </a:solidFill>
              <a:latin typeface="Times New Roman" panose="02020603050405020304" pitchFamily="18" charset="0"/>
              <a:ea typeface="+mn-ea"/>
              <a:cs typeface="Times New Roman" panose="02020603050405020304" pitchFamily="18" charset="0"/>
            </a:rPr>
            <a:t>Source : législation.</a:t>
          </a:r>
        </a:p>
      </xdr:txBody>
    </xdr:sp>
    <xdr:clientData/>
  </xdr:twoCellAnchor>
  <xdr:twoCellAnchor>
    <xdr:from>
      <xdr:col>2</xdr:col>
      <xdr:colOff>28575</xdr:colOff>
      <xdr:row>11</xdr:row>
      <xdr:rowOff>0</xdr:rowOff>
    </xdr:from>
    <xdr:to>
      <xdr:col>11</xdr:col>
      <xdr:colOff>9525</xdr:colOff>
      <xdr:row>20</xdr:row>
      <xdr:rowOff>85500</xdr:rowOff>
    </xdr:to>
    <xdr:graphicFrame macro="">
      <xdr:nvGraphicFramePr>
        <xdr:cNvPr id="3" name="Graphique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20</xdr:row>
      <xdr:rowOff>0</xdr:rowOff>
    </xdr:from>
    <xdr:to>
      <xdr:col>6</xdr:col>
      <xdr:colOff>85725</xdr:colOff>
      <xdr:row>22</xdr:row>
      <xdr:rowOff>104775</xdr:rowOff>
    </xdr:to>
    <xdr:sp macro="" textlink="">
      <xdr:nvSpPr>
        <xdr:cNvPr id="2" name="ZoneTexte 1">
          <a:extLst>
            <a:ext uri="{FF2B5EF4-FFF2-40B4-BE49-F238E27FC236}">
              <a16:creationId xmlns:a16="http://schemas.microsoft.com/office/drawing/2014/main" id="{00000000-0008-0000-0300-000002000000}"/>
            </a:ext>
          </a:extLst>
        </xdr:cNvPr>
        <xdr:cNvSpPr txBox="1"/>
      </xdr:nvSpPr>
      <xdr:spPr>
        <a:xfrm>
          <a:off x="762000" y="4143375"/>
          <a:ext cx="5648325"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FR" sz="1000" i="1" baseline="0">
              <a:solidFill>
                <a:schemeClr val="dk1"/>
              </a:solidFill>
              <a:latin typeface="Times New Roman" panose="02020603050405020304" pitchFamily="18" charset="0"/>
              <a:ea typeface="+mn-ea"/>
              <a:cs typeface="Times New Roman" panose="02020603050405020304" pitchFamily="18" charset="0"/>
            </a:rPr>
            <a:t>Note : dans un souci de lisibilité, seuls les scénarios A’ et C’ sont représentés sur le graphique de droite.</a:t>
          </a:r>
        </a:p>
        <a:p>
          <a:pPr marL="0" marR="0" indent="0" defTabSz="914400" eaLnBrk="1" fontAlgn="auto" latinLnBrk="0" hangingPunct="1">
            <a:lnSpc>
              <a:spcPct val="100000"/>
            </a:lnSpc>
            <a:spcBef>
              <a:spcPts val="0"/>
            </a:spcBef>
            <a:spcAft>
              <a:spcPts val="0"/>
            </a:spcAft>
            <a:buClrTx/>
            <a:buSzTx/>
            <a:buFontTx/>
            <a:buNone/>
            <a:tabLst/>
            <a:defRPr/>
          </a:pPr>
          <a:r>
            <a:rPr lang="fr-FR" sz="1000" i="1" baseline="0">
              <a:solidFill>
                <a:schemeClr val="dk1"/>
              </a:solidFill>
              <a:latin typeface="Times New Roman" panose="02020603050405020304" pitchFamily="18" charset="0"/>
              <a:ea typeface="+mn-ea"/>
              <a:cs typeface="Times New Roman" panose="02020603050405020304" pitchFamily="18" charset="0"/>
            </a:rPr>
            <a:t>Sources : compte d'affection spécial "pensions"; projections COR - juin 2015.</a:t>
          </a:r>
        </a:p>
      </xdr:txBody>
    </xdr:sp>
    <xdr:clientData/>
  </xdr:twoCellAnchor>
  <xdr:twoCellAnchor>
    <xdr:from>
      <xdr:col>2</xdr:col>
      <xdr:colOff>28575</xdr:colOff>
      <xdr:row>26</xdr:row>
      <xdr:rowOff>61912</xdr:rowOff>
    </xdr:from>
    <xdr:to>
      <xdr:col>5</xdr:col>
      <xdr:colOff>464850</xdr:colOff>
      <xdr:row>38</xdr:row>
      <xdr:rowOff>115912</xdr:rowOff>
    </xdr:to>
    <xdr:graphicFrame macro="">
      <xdr:nvGraphicFramePr>
        <xdr:cNvPr id="3" name="Graphique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26</xdr:row>
      <xdr:rowOff>61912</xdr:rowOff>
    </xdr:from>
    <xdr:to>
      <xdr:col>11</xdr:col>
      <xdr:colOff>83850</xdr:colOff>
      <xdr:row>38</xdr:row>
      <xdr:rowOff>115912</xdr:rowOff>
    </xdr:to>
    <xdr:graphicFrame macro="">
      <xdr:nvGraphicFramePr>
        <xdr:cNvPr id="4" name="Graphique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0.7734</cdr:x>
      <cdr:y>0.19674</cdr:y>
    </cdr:from>
    <cdr:to>
      <cdr:x>0.99388</cdr:x>
      <cdr:y>0.27476</cdr:y>
    </cdr:to>
    <cdr:sp macro="" textlink="">
      <cdr:nvSpPr>
        <cdr:cNvPr id="2" name="ZoneTexte 18"/>
        <cdr:cNvSpPr txBox="1"/>
      </cdr:nvSpPr>
      <cdr:spPr>
        <a:xfrm xmlns:a="http://schemas.openxmlformats.org/drawingml/2006/main">
          <a:off x="2171700" y="460375"/>
          <a:ext cx="619125" cy="18256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 (COR)</a:t>
          </a:r>
        </a:p>
      </cdr:txBody>
    </cdr:sp>
  </cdr:relSizeAnchor>
  <cdr:relSizeAnchor xmlns:cdr="http://schemas.openxmlformats.org/drawingml/2006/chartDrawing">
    <cdr:from>
      <cdr:x>0.78697</cdr:x>
      <cdr:y>0.38466</cdr:y>
    </cdr:from>
    <cdr:to>
      <cdr:x>0.97127</cdr:x>
      <cdr:y>0.44165</cdr:y>
    </cdr:to>
    <cdr:sp macro="" textlink="">
      <cdr:nvSpPr>
        <cdr:cNvPr id="3" name="ZoneTexte 18"/>
        <cdr:cNvSpPr txBox="1"/>
      </cdr:nvSpPr>
      <cdr:spPr>
        <a:xfrm xmlns:a="http://schemas.openxmlformats.org/drawingml/2006/main">
          <a:off x="2209800" y="900113"/>
          <a:ext cx="517526" cy="133350"/>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 (COR)</a:t>
          </a:r>
        </a:p>
      </cdr:txBody>
    </cdr:sp>
  </cdr:relSizeAnchor>
  <cdr:relSizeAnchor xmlns:cdr="http://schemas.openxmlformats.org/drawingml/2006/chartDrawing">
    <cdr:from>
      <cdr:x>0.32225</cdr:x>
      <cdr:y>0.40434</cdr:y>
    </cdr:from>
    <cdr:to>
      <cdr:x>0.57779</cdr:x>
      <cdr:y>0.49864</cdr:y>
    </cdr:to>
    <cdr:sp macro="" textlink="">
      <cdr:nvSpPr>
        <cdr:cNvPr id="4" name="ZoneTexte 18"/>
        <cdr:cNvSpPr txBox="1"/>
      </cdr:nvSpPr>
      <cdr:spPr>
        <a:xfrm xmlns:a="http://schemas.openxmlformats.org/drawingml/2006/main">
          <a:off x="904876" y="946150"/>
          <a:ext cx="717550" cy="22066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solidFill>
                <a:schemeClr val="bg1">
                  <a:lumMod val="50000"/>
                </a:schemeClr>
              </a:solidFill>
            </a:rPr>
            <a:t>A' (CCSS)</a:t>
          </a:r>
        </a:p>
      </cdr:txBody>
    </cdr:sp>
  </cdr:relSizeAnchor>
  <cdr:relSizeAnchor xmlns:cdr="http://schemas.openxmlformats.org/drawingml/2006/chartDrawing">
    <cdr:from>
      <cdr:x>0.49638</cdr:x>
      <cdr:y>0.12754</cdr:y>
    </cdr:from>
    <cdr:to>
      <cdr:x>0.75191</cdr:x>
      <cdr:y>0.22184</cdr:y>
    </cdr:to>
    <cdr:sp macro="" textlink="">
      <cdr:nvSpPr>
        <cdr:cNvPr id="5" name="ZoneTexte 18"/>
        <cdr:cNvSpPr txBox="1"/>
      </cdr:nvSpPr>
      <cdr:spPr>
        <a:xfrm xmlns:a="http://schemas.openxmlformats.org/drawingml/2006/main">
          <a:off x="1393825" y="298450"/>
          <a:ext cx="717550" cy="22066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solidFill>
                <a:schemeClr val="bg1">
                  <a:lumMod val="50000"/>
                </a:schemeClr>
              </a:solidFill>
            </a:rPr>
            <a:t>C' (CCSS)</a:t>
          </a:r>
        </a:p>
      </cdr:txBody>
    </cdr:sp>
  </cdr:relSizeAnchor>
  <cdr:relSizeAnchor xmlns:cdr="http://schemas.openxmlformats.org/drawingml/2006/chartDrawing">
    <cdr:from>
      <cdr:x>0.59022</cdr:x>
      <cdr:y>0.22591</cdr:y>
    </cdr:from>
    <cdr:to>
      <cdr:x>0.63093</cdr:x>
      <cdr:y>0.2829</cdr:y>
    </cdr:to>
    <cdr:cxnSp macro="">
      <cdr:nvCxnSpPr>
        <cdr:cNvPr id="7" name="Connecteur droit avec flèche 6">
          <a:extLst xmlns:a="http://schemas.openxmlformats.org/drawingml/2006/main">
            <a:ext uri="{FF2B5EF4-FFF2-40B4-BE49-F238E27FC236}">
              <a16:creationId xmlns:a16="http://schemas.microsoft.com/office/drawing/2014/main" id="{6559DBE0-34F2-2CD1-3B32-A5AE81C1E42D}"/>
            </a:ext>
          </a:extLst>
        </cdr:cNvPr>
        <cdr:cNvCxnSpPr/>
      </cdr:nvCxnSpPr>
      <cdr:spPr>
        <a:xfrm xmlns:a="http://schemas.openxmlformats.org/drawingml/2006/main" flipH="1">
          <a:off x="1657350" y="528638"/>
          <a:ext cx="114301" cy="133350"/>
        </a:xfrm>
        <a:prstGeom xmlns:a="http://schemas.openxmlformats.org/drawingml/2006/main" prst="straightConnector1">
          <a:avLst/>
        </a:prstGeom>
        <a:ln xmlns:a="http://schemas.openxmlformats.org/drawingml/2006/main">
          <a:solidFill>
            <a:schemeClr val="bg1">
              <a:lumMod val="50000"/>
            </a:schemeClr>
          </a:solidFill>
          <a:tailEnd type="arrow"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0.45002</cdr:x>
      <cdr:y>0.36024</cdr:y>
    </cdr:from>
    <cdr:to>
      <cdr:x>0.49525</cdr:x>
      <cdr:y>0.40434</cdr:y>
    </cdr:to>
    <cdr:cxnSp macro="">
      <cdr:nvCxnSpPr>
        <cdr:cNvPr id="8" name="Connecteur droit avec flèche 7">
          <a:extLst xmlns:a="http://schemas.openxmlformats.org/drawingml/2006/main">
            <a:ext uri="{FF2B5EF4-FFF2-40B4-BE49-F238E27FC236}">
              <a16:creationId xmlns:a16="http://schemas.microsoft.com/office/drawing/2014/main" id="{B56141C8-6778-3FF5-836B-838EB1658121}"/>
            </a:ext>
          </a:extLst>
        </cdr:cNvPr>
        <cdr:cNvCxnSpPr>
          <a:stCxn xmlns:a="http://schemas.openxmlformats.org/drawingml/2006/main" id="4" idx="0"/>
        </cdr:cNvCxnSpPr>
      </cdr:nvCxnSpPr>
      <cdr:spPr>
        <a:xfrm xmlns:a="http://schemas.openxmlformats.org/drawingml/2006/main" flipV="1">
          <a:off x="1263651" y="842963"/>
          <a:ext cx="126999" cy="103187"/>
        </a:xfrm>
        <a:prstGeom xmlns:a="http://schemas.openxmlformats.org/drawingml/2006/main" prst="straightConnector1">
          <a:avLst/>
        </a:prstGeom>
        <a:ln xmlns:a="http://schemas.openxmlformats.org/drawingml/2006/main">
          <a:solidFill>
            <a:schemeClr val="bg1">
              <a:lumMod val="50000"/>
            </a:schemeClr>
          </a:solidFill>
          <a:tailEnd type="arrow" w="sm" len="sm"/>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1</xdr:col>
      <xdr:colOff>19050</xdr:colOff>
      <xdr:row>17</xdr:row>
      <xdr:rowOff>9526</xdr:rowOff>
    </xdr:from>
    <xdr:to>
      <xdr:col>8</xdr:col>
      <xdr:colOff>571500</xdr:colOff>
      <xdr:row>21</xdr:row>
      <xdr:rowOff>28576</xdr:rowOff>
    </xdr:to>
    <xdr:sp macro="" textlink="">
      <xdr:nvSpPr>
        <xdr:cNvPr id="4" name="ZoneTexte 3">
          <a:extLst>
            <a:ext uri="{FF2B5EF4-FFF2-40B4-BE49-F238E27FC236}">
              <a16:creationId xmlns:a16="http://schemas.microsoft.com/office/drawing/2014/main" id="{00000000-0008-0000-0400-000004000000}"/>
            </a:ext>
          </a:extLst>
        </xdr:cNvPr>
        <xdr:cNvSpPr txBox="1"/>
      </xdr:nvSpPr>
      <xdr:spPr>
        <a:xfrm>
          <a:off x="781050" y="3305176"/>
          <a:ext cx="7372350"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données hors produits et charges financières, hors dotations et reprises sur provisions, et hors transferts internes au système de retraite (transferts au sein des régimes de retraite et transferts avec le FSV). </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y compris FSV et SASPA, hors RAFP et hors compte pénibilité.</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rapports à la CCSS 2002-2013 ; projections COR – juin 2015.</a:t>
          </a:r>
        </a:p>
      </xdr:txBody>
    </xdr:sp>
    <xdr:clientData/>
  </xdr:twoCellAnchor>
  <xdr:twoCellAnchor>
    <xdr:from>
      <xdr:col>3</xdr:col>
      <xdr:colOff>0</xdr:colOff>
      <xdr:row>25</xdr:row>
      <xdr:rowOff>0</xdr:rowOff>
    </xdr:from>
    <xdr:to>
      <xdr:col>6</xdr:col>
      <xdr:colOff>522000</xdr:colOff>
      <xdr:row>38</xdr:row>
      <xdr:rowOff>5400</xdr:rowOff>
    </xdr:to>
    <xdr:graphicFrame macro="">
      <xdr:nvGraphicFramePr>
        <xdr:cNvPr id="6" name="Graphique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276225</xdr:colOff>
      <xdr:row>25</xdr:row>
      <xdr:rowOff>0</xdr:rowOff>
    </xdr:from>
    <xdr:to>
      <xdr:col>11</xdr:col>
      <xdr:colOff>36225</xdr:colOff>
      <xdr:row>38</xdr:row>
      <xdr:rowOff>5400</xdr:rowOff>
    </xdr:to>
    <xdr:graphicFrame macro="">
      <xdr:nvGraphicFramePr>
        <xdr:cNvPr id="7" name="Graphique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0.82089</cdr:x>
      <cdr:y>0.23183</cdr:y>
    </cdr:from>
    <cdr:to>
      <cdr:x>0.97862</cdr:x>
      <cdr:y>0.30741</cdr:y>
    </cdr:to>
    <cdr:sp macro="" textlink="">
      <cdr:nvSpPr>
        <cdr:cNvPr id="2" name="ZoneTexte 18"/>
        <cdr:cNvSpPr txBox="1"/>
      </cdr:nvSpPr>
      <cdr:spPr>
        <a:xfrm xmlns:a="http://schemas.openxmlformats.org/drawingml/2006/main">
          <a:off x="1536700" y="584200"/>
          <a:ext cx="295271" cy="19048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0.82428</cdr:x>
      <cdr:y>0.40191</cdr:y>
    </cdr:from>
    <cdr:to>
      <cdr:x>0.98201</cdr:x>
      <cdr:y>0.48758</cdr:y>
    </cdr:to>
    <cdr:sp macro="" textlink="">
      <cdr:nvSpPr>
        <cdr:cNvPr id="3" name="ZoneTexte 15"/>
        <cdr:cNvSpPr txBox="1"/>
      </cdr:nvSpPr>
      <cdr:spPr>
        <a:xfrm xmlns:a="http://schemas.openxmlformats.org/drawingml/2006/main">
          <a:off x="2314584" y="1012818"/>
          <a:ext cx="442906" cy="21588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userShapes>
</file>

<file path=xl/drawings/drawing11.xml><?xml version="1.0" encoding="utf-8"?>
<c:userShapes xmlns:c="http://schemas.openxmlformats.org/drawingml/2006/chart">
  <cdr:relSizeAnchor xmlns:cdr="http://schemas.openxmlformats.org/drawingml/2006/chartDrawing">
    <cdr:from>
      <cdr:x>0.87516</cdr:x>
      <cdr:y>0.07686</cdr:y>
    </cdr:from>
    <cdr:to>
      <cdr:x>1</cdr:x>
      <cdr:y>0.14741</cdr:y>
    </cdr:to>
    <cdr:sp macro="" textlink="">
      <cdr:nvSpPr>
        <cdr:cNvPr id="2" name="ZoneTexte 20"/>
        <cdr:cNvSpPr txBox="1"/>
      </cdr:nvSpPr>
      <cdr:spPr>
        <a:xfrm xmlns:a="http://schemas.openxmlformats.org/drawingml/2006/main">
          <a:off x="2457450" y="193687"/>
          <a:ext cx="350550" cy="17778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0.87177</cdr:x>
      <cdr:y>0.26963</cdr:y>
    </cdr:from>
    <cdr:to>
      <cdr:x>1</cdr:x>
      <cdr:y>0.36286</cdr:y>
    </cdr:to>
    <cdr:sp macro="" textlink="">
      <cdr:nvSpPr>
        <cdr:cNvPr id="3" name="ZoneTexte 19"/>
        <cdr:cNvSpPr txBox="1"/>
      </cdr:nvSpPr>
      <cdr:spPr>
        <a:xfrm xmlns:a="http://schemas.openxmlformats.org/drawingml/2006/main">
          <a:off x="2447924" y="679468"/>
          <a:ext cx="360075" cy="23493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0.91587</cdr:x>
      <cdr:y>0.58712</cdr:y>
    </cdr:from>
    <cdr:to>
      <cdr:x>0.98643</cdr:x>
      <cdr:y>0.6539</cdr:y>
    </cdr:to>
    <cdr:sp macro="" textlink="">
      <cdr:nvSpPr>
        <cdr:cNvPr id="4" name="ZoneTexte 19"/>
        <cdr:cNvSpPr txBox="1"/>
      </cdr:nvSpPr>
      <cdr:spPr>
        <a:xfrm xmlns:a="http://schemas.openxmlformats.org/drawingml/2006/main">
          <a:off x="2571750" y="1479540"/>
          <a:ext cx="198145" cy="16828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0.78357</cdr:x>
      <cdr:y>0.65516</cdr:y>
    </cdr:from>
    <cdr:to>
      <cdr:x>0.9413</cdr:x>
      <cdr:y>0.73075</cdr:y>
    </cdr:to>
    <cdr:sp macro="" textlink="">
      <cdr:nvSpPr>
        <cdr:cNvPr id="5" name="ZoneTexte 19"/>
        <cdr:cNvSpPr txBox="1"/>
      </cdr:nvSpPr>
      <cdr:spPr>
        <a:xfrm xmlns:a="http://schemas.openxmlformats.org/drawingml/2006/main">
          <a:off x="2200267" y="1651002"/>
          <a:ext cx="442906" cy="19048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0.87855</cdr:x>
      <cdr:y>0.43971</cdr:y>
    </cdr:from>
    <cdr:to>
      <cdr:x>1</cdr:x>
      <cdr:y>0.51027</cdr:y>
    </cdr:to>
    <cdr:sp macro="" textlink="">
      <cdr:nvSpPr>
        <cdr:cNvPr id="6" name="ZoneTexte 19"/>
        <cdr:cNvSpPr txBox="1"/>
      </cdr:nvSpPr>
      <cdr:spPr>
        <a:xfrm xmlns:a="http://schemas.openxmlformats.org/drawingml/2006/main">
          <a:off x="2466974" y="1108070"/>
          <a:ext cx="341025" cy="1778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B</a:t>
          </a:r>
        </a:p>
      </cdr:txBody>
    </cdr:sp>
  </cdr:relSizeAnchor>
</c:userShapes>
</file>

<file path=xl/drawings/drawing12.xml><?xml version="1.0" encoding="utf-8"?>
<xdr:wsDr xmlns:xdr="http://schemas.openxmlformats.org/drawingml/2006/spreadsheetDrawing" xmlns:a="http://schemas.openxmlformats.org/drawingml/2006/main">
  <xdr:twoCellAnchor>
    <xdr:from>
      <xdr:col>2</xdr:col>
      <xdr:colOff>1838322</xdr:colOff>
      <xdr:row>19</xdr:row>
      <xdr:rowOff>180975</xdr:rowOff>
    </xdr:from>
    <xdr:to>
      <xdr:col>15</xdr:col>
      <xdr:colOff>95249</xdr:colOff>
      <xdr:row>32</xdr:row>
      <xdr:rowOff>123825</xdr:rowOff>
    </xdr:to>
    <xdr:graphicFrame macro="">
      <xdr:nvGraphicFramePr>
        <xdr:cNvPr id="2" name="Graphique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11</xdr:row>
      <xdr:rowOff>190498</xdr:rowOff>
    </xdr:from>
    <xdr:to>
      <xdr:col>12</xdr:col>
      <xdr:colOff>400050</xdr:colOff>
      <xdr:row>19</xdr:row>
      <xdr:rowOff>76200</xdr:rowOff>
    </xdr:to>
    <xdr:sp macro="" textlink="">
      <xdr:nvSpPr>
        <xdr:cNvPr id="3" name="ZoneTexte 2">
          <a:extLst>
            <a:ext uri="{FF2B5EF4-FFF2-40B4-BE49-F238E27FC236}">
              <a16:creationId xmlns:a16="http://schemas.microsoft.com/office/drawing/2014/main" id="{00000000-0008-0000-0500-000003000000}"/>
            </a:ext>
          </a:extLst>
        </xdr:cNvPr>
        <xdr:cNvSpPr txBox="1"/>
      </xdr:nvSpPr>
      <xdr:spPr>
        <a:xfrm>
          <a:off x="771525" y="2333623"/>
          <a:ext cx="7858125" cy="14097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Note : les données 2014 ne sont pas disponibles pour les régimes complémentaires autres que l’AGIRC et l’ARRCO ; le solde financier ne peut donc pas être calculé pour l’ensemble du système de retraite en 2014. Un solde positif correspond à un excédent, un solde négatif à un besoin de financement. Données hors produits et charges financières, hors dotations et reprises sur provisions, et hors transferts internes au système de retraite (transferts au sein des régimes de retraite et transferts avec le FSV). Les regroupements de régimes sont les suivants : salariés privé base = CNAV et MSA salariés ; salariés privé compl. = ARRCO, AGIRC, IRCANTEC ; fonctionnaires = SRE, CNRACL ; non-salariés = MSA, RSI (artisans et commerçants), CNAVPL, MSA RCO, RCI, CNAVPL RCO ; régimes spéciaux = CNIEG, SNCF, RATP, CNBF, BDF, FSPOEIE, ENIM, CANSSM, CRPCEN, CNBF RCO (voir l’annexe 5 pour la liste des sigles).</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Champ : ensemble des régimes de retraite français légalement obligatoires, y compris FSV et SASPA, hors RAFP.</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Sources : rapports à la CCSS 2002-2013 ; données des régimes pour 2014 (lorsque disponibles).</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19050</xdr:colOff>
      <xdr:row>11</xdr:row>
      <xdr:rowOff>9525</xdr:rowOff>
    </xdr:from>
    <xdr:to>
      <xdr:col>8</xdr:col>
      <xdr:colOff>571500</xdr:colOff>
      <xdr:row>17</xdr:row>
      <xdr:rowOff>104775</xdr:rowOff>
    </xdr:to>
    <xdr:sp macro="" textlink="">
      <xdr:nvSpPr>
        <xdr:cNvPr id="4" name="ZoneTexte 3">
          <a:extLst>
            <a:ext uri="{FF2B5EF4-FFF2-40B4-BE49-F238E27FC236}">
              <a16:creationId xmlns:a16="http://schemas.microsoft.com/office/drawing/2014/main" id="{00000000-0008-0000-0600-000004000000}"/>
            </a:ext>
          </a:extLst>
        </xdr:cNvPr>
        <xdr:cNvSpPr txBox="1"/>
      </xdr:nvSpPr>
      <xdr:spPr>
        <a:xfrm>
          <a:off x="781050" y="3305175"/>
          <a:ext cx="7372350"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000" i="1">
              <a:solidFill>
                <a:schemeClr val="dk1"/>
              </a:solidFill>
              <a:effectLst/>
              <a:latin typeface="Times New Roman" panose="02020603050405020304" pitchFamily="18" charset="0"/>
              <a:ea typeface="+mn-ea"/>
              <a:cs typeface="Times New Roman" panose="02020603050405020304" pitchFamily="18" charset="0"/>
            </a:rPr>
            <a:t>Note : données hors produits et charges financières, hors dotations et reprises sur provisions, et hors transferts internes au système de retraite (transferts au sein des régimes de retraite et transferts avec le FSV). Convention COR = cotisations des employeurs de fonctionnaires d’État et subvention d’équilibre aux régimes spéciaux concernés évoluant comme la masse salariale de ces régimes.</a:t>
          </a:r>
        </a:p>
        <a:p>
          <a:pPr marL="0" indent="0"/>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y compris FSV et SASPA, hors RAFP et hors compte pénibilité.</a:t>
          </a:r>
        </a:p>
        <a:p>
          <a:pPr marL="0" indent="0"/>
          <a:r>
            <a:rPr lang="fr-FR" sz="1000" i="1">
              <a:solidFill>
                <a:schemeClr val="dk1"/>
              </a:solidFill>
              <a:effectLst/>
              <a:latin typeface="Times New Roman" panose="02020603050405020304" pitchFamily="18" charset="0"/>
              <a:ea typeface="+mn-ea"/>
              <a:cs typeface="Times New Roman" panose="02020603050405020304" pitchFamily="18" charset="0"/>
            </a:rPr>
            <a:t>Sources : rapports à la CCSS 2002-2013 ; projections COR - juin 2015.</a:t>
          </a:r>
        </a:p>
      </xdr:txBody>
    </xdr:sp>
    <xdr:clientData/>
  </xdr:twoCellAnchor>
  <xdr:twoCellAnchor>
    <xdr:from>
      <xdr:col>3</xdr:col>
      <xdr:colOff>0</xdr:colOff>
      <xdr:row>20</xdr:row>
      <xdr:rowOff>47625</xdr:rowOff>
    </xdr:from>
    <xdr:to>
      <xdr:col>10</xdr:col>
      <xdr:colOff>66000</xdr:colOff>
      <xdr:row>31</xdr:row>
      <xdr:rowOff>112125</xdr:rowOff>
    </xdr:to>
    <xdr:graphicFrame macro="">
      <xdr:nvGraphicFramePr>
        <xdr:cNvPr id="8" name="Graphique 7">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0.78317</cdr:x>
      <cdr:y>0.71878</cdr:y>
    </cdr:from>
    <cdr:to>
      <cdr:x>0.85007</cdr:x>
      <cdr:y>0.78808</cdr:y>
    </cdr:to>
    <cdr:sp macro="" textlink="">
      <cdr:nvSpPr>
        <cdr:cNvPr id="2" name="ZoneTexte 20"/>
        <cdr:cNvSpPr txBox="1"/>
      </cdr:nvSpPr>
      <cdr:spPr>
        <a:xfrm xmlns:a="http://schemas.openxmlformats.org/drawingml/2006/main">
          <a:off x="4229100" y="1552575"/>
          <a:ext cx="361275" cy="14967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0.7601</cdr:x>
      <cdr:y>0.51217</cdr:y>
    </cdr:from>
    <cdr:to>
      <cdr:x>0.87476</cdr:x>
      <cdr:y>0.59027</cdr:y>
    </cdr:to>
    <cdr:sp macro="" textlink="">
      <cdr:nvSpPr>
        <cdr:cNvPr id="3" name="ZoneTexte 19"/>
        <cdr:cNvSpPr txBox="1"/>
      </cdr:nvSpPr>
      <cdr:spPr>
        <a:xfrm xmlns:a="http://schemas.openxmlformats.org/drawingml/2006/main">
          <a:off x="4104561" y="1106283"/>
          <a:ext cx="619164" cy="16869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0.76539</cdr:x>
      <cdr:y>0.08756</cdr:y>
    </cdr:from>
    <cdr:to>
      <cdr:x>0.86988</cdr:x>
      <cdr:y>0.1619</cdr:y>
    </cdr:to>
    <cdr:sp macro="" textlink="">
      <cdr:nvSpPr>
        <cdr:cNvPr id="4" name="ZoneTexte 19"/>
        <cdr:cNvSpPr txBox="1"/>
      </cdr:nvSpPr>
      <cdr:spPr>
        <a:xfrm xmlns:a="http://schemas.openxmlformats.org/drawingml/2006/main">
          <a:off x="4133082" y="189130"/>
          <a:ext cx="564246" cy="1605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0.80786</cdr:x>
      <cdr:y>0</cdr:y>
    </cdr:from>
    <cdr:to>
      <cdr:x>0.83608</cdr:x>
      <cdr:y>0.07056</cdr:y>
    </cdr:to>
    <cdr:sp macro="" textlink="">
      <cdr:nvSpPr>
        <cdr:cNvPr id="5" name="ZoneTexte 19"/>
        <cdr:cNvSpPr txBox="1"/>
      </cdr:nvSpPr>
      <cdr:spPr>
        <a:xfrm xmlns:a="http://schemas.openxmlformats.org/drawingml/2006/main">
          <a:off x="4362449" y="0"/>
          <a:ext cx="152401" cy="152399"/>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0.77516</cdr:x>
      <cdr:y>0.25703</cdr:y>
    </cdr:from>
    <cdr:to>
      <cdr:x>0.8559</cdr:x>
      <cdr:y>0.33009</cdr:y>
    </cdr:to>
    <cdr:sp macro="" textlink="">
      <cdr:nvSpPr>
        <cdr:cNvPr id="6" name="ZoneTexte 19"/>
        <cdr:cNvSpPr txBox="1"/>
      </cdr:nvSpPr>
      <cdr:spPr>
        <a:xfrm xmlns:a="http://schemas.openxmlformats.org/drawingml/2006/main">
          <a:off x="4185876" y="555181"/>
          <a:ext cx="435996" cy="15781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B</a:t>
          </a:r>
        </a:p>
      </cdr:txBody>
    </cdr:sp>
  </cdr:relSizeAnchor>
</c:userShapes>
</file>

<file path=xl/drawings/drawing15.xml><?xml version="1.0" encoding="utf-8"?>
<xdr:wsDr xmlns:xdr="http://schemas.openxmlformats.org/drawingml/2006/spreadsheetDrawing" xmlns:a="http://schemas.openxmlformats.org/drawingml/2006/main">
  <xdr:twoCellAnchor>
    <xdr:from>
      <xdr:col>1</xdr:col>
      <xdr:colOff>19050</xdr:colOff>
      <xdr:row>11</xdr:row>
      <xdr:rowOff>9525</xdr:rowOff>
    </xdr:from>
    <xdr:to>
      <xdr:col>8</xdr:col>
      <xdr:colOff>571500</xdr:colOff>
      <xdr:row>16</xdr:row>
      <xdr:rowOff>38100</xdr:rowOff>
    </xdr:to>
    <xdr:sp macro="" textlink="">
      <xdr:nvSpPr>
        <xdr:cNvPr id="2" name="ZoneTexte 1">
          <a:extLst>
            <a:ext uri="{FF2B5EF4-FFF2-40B4-BE49-F238E27FC236}">
              <a16:creationId xmlns:a16="http://schemas.microsoft.com/office/drawing/2014/main" id="{00000000-0008-0000-0700-000002000000}"/>
            </a:ext>
          </a:extLst>
        </xdr:cNvPr>
        <xdr:cNvSpPr txBox="1"/>
      </xdr:nvSpPr>
      <xdr:spPr>
        <a:xfrm>
          <a:off x="781050" y="2152650"/>
          <a:ext cx="7372350"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000" i="1">
              <a:solidFill>
                <a:schemeClr val="dk1"/>
              </a:solidFill>
              <a:effectLst/>
              <a:latin typeface="Times New Roman" panose="02020603050405020304" pitchFamily="18" charset="0"/>
              <a:ea typeface="+mn-ea"/>
              <a:cs typeface="Times New Roman" panose="02020603050405020304" pitchFamily="18" charset="0"/>
            </a:rPr>
            <a:t>Note : données hors produits et charges financières, hors dotations et reprises sur provisions, et hors transferts internes au système de retraite (transferts au sein des régimes de retraite et transferts avec le FSV). Convention CCSS = cotisations et subventions d’équilibre évoluant de manière à équilibrer chaque année le solde financier de ces régimes.</a:t>
          </a:r>
        </a:p>
        <a:p>
          <a:pPr marL="0" indent="0"/>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y compris FSV et SASPA, hors RAFP et hors compte pénibilité.</a:t>
          </a:r>
        </a:p>
        <a:p>
          <a:pPr marL="0" indent="0"/>
          <a:r>
            <a:rPr lang="fr-FR" sz="1000" i="1">
              <a:solidFill>
                <a:schemeClr val="dk1"/>
              </a:solidFill>
              <a:effectLst/>
              <a:latin typeface="Times New Roman" panose="02020603050405020304" pitchFamily="18" charset="0"/>
              <a:ea typeface="+mn-ea"/>
              <a:cs typeface="Times New Roman" panose="02020603050405020304" pitchFamily="18" charset="0"/>
            </a:rPr>
            <a:t>Sources : rapports à la CCSS 2002-2013 ; projections COR – juin 2015.</a:t>
          </a:r>
        </a:p>
      </xdr:txBody>
    </xdr:sp>
    <xdr:clientData/>
  </xdr:twoCellAnchor>
  <xdr:twoCellAnchor>
    <xdr:from>
      <xdr:col>3</xdr:col>
      <xdr:colOff>0</xdr:colOff>
      <xdr:row>20</xdr:row>
      <xdr:rowOff>0</xdr:rowOff>
    </xdr:from>
    <xdr:to>
      <xdr:col>10</xdr:col>
      <xdr:colOff>66000</xdr:colOff>
      <xdr:row>31</xdr:row>
      <xdr:rowOff>64500</xdr:rowOff>
    </xdr:to>
    <xdr:graphicFrame macro="">
      <xdr:nvGraphicFramePr>
        <xdr:cNvPr id="5" name="Graphique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0.74437</cdr:x>
      <cdr:y>0.64634</cdr:y>
    </cdr:from>
    <cdr:to>
      <cdr:x>0.86242</cdr:x>
      <cdr:y>0.72445</cdr:y>
    </cdr:to>
    <cdr:sp macro="" textlink="">
      <cdr:nvSpPr>
        <cdr:cNvPr id="2" name="ZoneTexte 20"/>
        <cdr:cNvSpPr txBox="1"/>
      </cdr:nvSpPr>
      <cdr:spPr>
        <a:xfrm xmlns:a="http://schemas.openxmlformats.org/drawingml/2006/main">
          <a:off x="4019580" y="1396088"/>
          <a:ext cx="637470" cy="16871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0.74423</cdr:x>
      <cdr:y>0.48382</cdr:y>
    </cdr:from>
    <cdr:to>
      <cdr:x>0.85889</cdr:x>
      <cdr:y>0.56192</cdr:y>
    </cdr:to>
    <cdr:sp macro="" textlink="">
      <cdr:nvSpPr>
        <cdr:cNvPr id="3" name="ZoneTexte 19"/>
        <cdr:cNvSpPr txBox="1"/>
      </cdr:nvSpPr>
      <cdr:spPr>
        <a:xfrm xmlns:a="http://schemas.openxmlformats.org/drawingml/2006/main">
          <a:off x="4018836" y="1045045"/>
          <a:ext cx="619164" cy="16869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0.75466</cdr:x>
      <cdr:y>0.20032</cdr:y>
    </cdr:from>
    <cdr:to>
      <cdr:x>0.85915</cdr:x>
      <cdr:y>0.27466</cdr:y>
    </cdr:to>
    <cdr:sp macro="" textlink="">
      <cdr:nvSpPr>
        <cdr:cNvPr id="4" name="ZoneTexte 19"/>
        <cdr:cNvSpPr txBox="1"/>
      </cdr:nvSpPr>
      <cdr:spPr>
        <a:xfrm xmlns:a="http://schemas.openxmlformats.org/drawingml/2006/main">
          <a:off x="4075188" y="432689"/>
          <a:ext cx="564246" cy="1605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0.74287</cdr:x>
      <cdr:y>0.09702</cdr:y>
    </cdr:from>
    <cdr:to>
      <cdr:x>0.86771</cdr:x>
      <cdr:y>0.17135</cdr:y>
    </cdr:to>
    <cdr:sp macro="" textlink="">
      <cdr:nvSpPr>
        <cdr:cNvPr id="5" name="ZoneTexte 19"/>
        <cdr:cNvSpPr txBox="1"/>
      </cdr:nvSpPr>
      <cdr:spPr>
        <a:xfrm xmlns:a="http://schemas.openxmlformats.org/drawingml/2006/main">
          <a:off x="4011489" y="209562"/>
          <a:ext cx="674136" cy="16055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0.74097</cdr:x>
      <cdr:y>0.34207</cdr:y>
    </cdr:from>
    <cdr:to>
      <cdr:x>0.86242</cdr:x>
      <cdr:y>0.41641</cdr:y>
    </cdr:to>
    <cdr:sp macro="" textlink="">
      <cdr:nvSpPr>
        <cdr:cNvPr id="6" name="ZoneTexte 19"/>
        <cdr:cNvSpPr txBox="1"/>
      </cdr:nvSpPr>
      <cdr:spPr>
        <a:xfrm xmlns:a="http://schemas.openxmlformats.org/drawingml/2006/main">
          <a:off x="4001220" y="738867"/>
          <a:ext cx="655830" cy="1605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B</a:t>
          </a:r>
        </a:p>
      </cdr:txBody>
    </cdr:sp>
  </cdr:relSizeAnchor>
</c:userShapes>
</file>

<file path=xl/drawings/drawing17.xml><?xml version="1.0" encoding="utf-8"?>
<xdr:wsDr xmlns:xdr="http://schemas.openxmlformats.org/drawingml/2006/spreadsheetDrawing" xmlns:a="http://schemas.openxmlformats.org/drawingml/2006/main">
  <xdr:twoCellAnchor>
    <xdr:from>
      <xdr:col>1</xdr:col>
      <xdr:colOff>0</xdr:colOff>
      <xdr:row>15</xdr:row>
      <xdr:rowOff>0</xdr:rowOff>
    </xdr:from>
    <xdr:to>
      <xdr:col>8</xdr:col>
      <xdr:colOff>57150</xdr:colOff>
      <xdr:row>22</xdr:row>
      <xdr:rowOff>57149</xdr:rowOff>
    </xdr:to>
    <xdr:sp macro="" textlink="">
      <xdr:nvSpPr>
        <xdr:cNvPr id="2" name="ZoneTexte 1">
          <a:extLst>
            <a:ext uri="{FF2B5EF4-FFF2-40B4-BE49-F238E27FC236}">
              <a16:creationId xmlns:a16="http://schemas.microsoft.com/office/drawing/2014/main" id="{00000000-0008-0000-0800-000002000000}"/>
            </a:ext>
          </a:extLst>
        </xdr:cNvPr>
        <xdr:cNvSpPr txBox="1"/>
      </xdr:nvSpPr>
      <xdr:spPr>
        <a:xfrm>
          <a:off x="762000" y="3895725"/>
          <a:ext cx="7372350" cy="13906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effectLst/>
              <a:latin typeface="Times New Roman" panose="02020603050405020304" pitchFamily="18" charset="0"/>
              <a:ea typeface="+mn-ea"/>
              <a:cs typeface="Times New Roman" panose="02020603050405020304" pitchFamily="18" charset="0"/>
            </a:rPr>
            <a:t>Lecture : dans le scénario économique C’, le besoin de financement cumulé sur les 25 prochaines années représenterait 0,7 % du PIB cumulé sur cette période ; l’équilibre financier du système de retraite pourrait être assuré soit avec une hausse de 1,5 point de pourcentage dès 2016 du taux de cotisation, soit avec un abattement de 4,7 % dès 2016 de toutes les pensions de retraite.</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effectLst/>
              <a:latin typeface="Times New Roman" panose="02020603050405020304" pitchFamily="18" charset="0"/>
              <a:ea typeface="+mn-ea"/>
              <a:cs typeface="Times New Roman" panose="02020603050405020304" pitchFamily="18" charset="0"/>
            </a:rPr>
            <a:t>Note : solde financier actualisé en moyenne sur les 25 prochaines années (l’année 2015 étant incluse). Le taux d’actualisation est supposé égal chaque année à la productivité potentielle apparente du travail.</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y compris FSV et SASPA, hors RAFP et hors compte pénibilité.</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effectLst/>
              <a:latin typeface="Times New Roman" panose="02020603050405020304" pitchFamily="18" charset="0"/>
              <a:ea typeface="+mn-ea"/>
              <a:cs typeface="Times New Roman" panose="02020603050405020304" pitchFamily="18" charset="0"/>
            </a:rPr>
            <a:t>Source : projections COR – juin 2015.</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12</xdr:row>
      <xdr:rowOff>0</xdr:rowOff>
    </xdr:from>
    <xdr:to>
      <xdr:col>9</xdr:col>
      <xdr:colOff>257175</xdr:colOff>
      <xdr:row>18</xdr:row>
      <xdr:rowOff>47625</xdr:rowOff>
    </xdr:to>
    <xdr:sp macro="" textlink="">
      <xdr:nvSpPr>
        <xdr:cNvPr id="2" name="ZoneTexte 1">
          <a:extLst>
            <a:ext uri="{FF2B5EF4-FFF2-40B4-BE49-F238E27FC236}">
              <a16:creationId xmlns:a16="http://schemas.microsoft.com/office/drawing/2014/main" id="{00000000-0008-0000-0900-000002000000}"/>
            </a:ext>
          </a:extLst>
        </xdr:cNvPr>
        <xdr:cNvSpPr txBox="1"/>
      </xdr:nvSpPr>
      <xdr:spPr>
        <a:xfrm>
          <a:off x="762000" y="2686050"/>
          <a:ext cx="7372350" cy="119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dans le scénario A' à législation inchangée, 36 % du besoin de financement lié aux évolutions de la démographie et de l’emploi cumulées sur la période 2003-2060 serait couvert par la hausse projetée de l’âge moyen de départ à la retraite sur la période, 18 % par la hausse du taux de prélèvement global et 69 % par la diminution de la pension moyenne relative, sous les hypothèses propres à ce scénario économique.</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régimes de retraite français légalement obligatoires, y compris FSV et SASPA, hors RAFP et hors compte pénibilité.</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rapports à la CCSS 2002-2013 ; projections COR – juin 2015.</a:t>
          </a:r>
        </a:p>
      </xdr:txBody>
    </xdr:sp>
    <xdr:clientData/>
  </xdr:twoCellAnchor>
  <xdr:twoCellAnchor>
    <xdr:from>
      <xdr:col>1</xdr:col>
      <xdr:colOff>2828925</xdr:colOff>
      <xdr:row>18</xdr:row>
      <xdr:rowOff>166687</xdr:rowOff>
    </xdr:from>
    <xdr:to>
      <xdr:col>11</xdr:col>
      <xdr:colOff>76200</xdr:colOff>
      <xdr:row>30</xdr:row>
      <xdr:rowOff>180975</xdr:rowOff>
    </xdr:to>
    <xdr:graphicFrame macro="">
      <xdr:nvGraphicFramePr>
        <xdr:cNvPr id="3" name="Graphique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0.62589</cdr:x>
      <cdr:y>0.17598</cdr:y>
    </cdr:from>
    <cdr:to>
      <cdr:x>0.86702</cdr:x>
      <cdr:y>0.25466</cdr:y>
    </cdr:to>
    <cdr:sp macro="" textlink="">
      <cdr:nvSpPr>
        <cdr:cNvPr id="2" name="ZoneTexte 1"/>
        <cdr:cNvSpPr txBox="1"/>
      </cdr:nvSpPr>
      <cdr:spPr>
        <a:xfrm xmlns:a="http://schemas.openxmlformats.org/drawingml/2006/main">
          <a:off x="3362325" y="404813"/>
          <a:ext cx="1295400"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b="1" i="1" u="sng"/>
            <a:t>Contributions</a:t>
          </a:r>
          <a:r>
            <a:rPr lang="fr-FR" sz="1100" b="1" i="1" u="sng" baseline="0"/>
            <a:t>  :</a:t>
          </a:r>
          <a:endParaRPr lang="fr-FR" sz="1100" b="1" i="1" u="sng"/>
        </a:p>
      </cdr:txBody>
    </cdr:sp>
  </cdr:relSizeAnchor>
</c:userShapes>
</file>

<file path=xl/drawings/drawing20.xml><?xml version="1.0" encoding="utf-8"?>
<xdr:wsDr xmlns:xdr="http://schemas.openxmlformats.org/drawingml/2006/spreadsheetDrawing" xmlns:a="http://schemas.openxmlformats.org/drawingml/2006/main">
  <xdr:twoCellAnchor>
    <xdr:from>
      <xdr:col>1</xdr:col>
      <xdr:colOff>0</xdr:colOff>
      <xdr:row>19</xdr:row>
      <xdr:rowOff>0</xdr:rowOff>
    </xdr:from>
    <xdr:to>
      <xdr:col>14</xdr:col>
      <xdr:colOff>238125</xdr:colOff>
      <xdr:row>25</xdr:row>
      <xdr:rowOff>28575</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47675" y="4791075"/>
          <a:ext cx="7210425" cy="1171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Lecture : dans le scénario C’, pour assurer l’équilibre financier du système de retraite en 2060 sans remettre en cause l’évolution spontanée à cette date (à législation inchangée) du taux de prélèvement global et de la pension moyenne relative, il faudrait que l’âge moyen conjoncturel de départ à la retraite soit de 66,4 ans (graphique du haut), soit 2,4 ans de plus que sa valeur projetée en 2060 à législation inchangée (graphique du bas).</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Champ : ensemble des régimes de retraite français légalement obligatoires, y compris FSV et SASPA, hors RAFP et hors compte pénibilité. Retraités ayant au moins un droit propre de retraite.</a:t>
          </a:r>
        </a:p>
        <a:p>
          <a:pPr marL="0" marR="0" indent="0" defTabSz="914400" eaLnBrk="1" fontAlgn="auto" latinLnBrk="0" hangingPunct="1">
            <a:lnSpc>
              <a:spcPct val="100000"/>
            </a:lnSpc>
            <a:spcBef>
              <a:spcPts val="0"/>
            </a:spcBef>
            <a:spcAft>
              <a:spcPts val="0"/>
            </a:spcAft>
            <a:buClrTx/>
            <a:buSzTx/>
            <a:buFontTx/>
            <a:buNone/>
            <a:tabLst/>
            <a:defRPr/>
          </a:pPr>
          <a:r>
            <a:rPr lang="fr-FR" sz="1000" i="1">
              <a:solidFill>
                <a:schemeClr val="dk1"/>
              </a:solidFill>
              <a:latin typeface="Times New Roman" panose="02020603050405020304" pitchFamily="18" charset="0"/>
              <a:ea typeface="+mn-ea"/>
              <a:cs typeface="Times New Roman" panose="02020603050405020304" pitchFamily="18" charset="0"/>
            </a:rPr>
            <a:t>Source : projections COR – juin 2015.</a:t>
          </a:r>
        </a:p>
      </xdr:txBody>
    </xdr:sp>
    <xdr:clientData/>
  </xdr:twoCellAnchor>
  <xdr:twoCellAnchor>
    <xdr:from>
      <xdr:col>16</xdr:col>
      <xdr:colOff>85725</xdr:colOff>
      <xdr:row>27</xdr:row>
      <xdr:rowOff>0</xdr:rowOff>
    </xdr:from>
    <xdr:to>
      <xdr:col>23</xdr:col>
      <xdr:colOff>85725</xdr:colOff>
      <xdr:row>33</xdr:row>
      <xdr:rowOff>171449</xdr:rowOff>
    </xdr:to>
    <xdr:sp macro="" textlink="">
      <xdr:nvSpPr>
        <xdr:cNvPr id="3" name="ZoneTexte 2">
          <a:extLst>
            <a:ext uri="{FF2B5EF4-FFF2-40B4-BE49-F238E27FC236}">
              <a16:creationId xmlns:a16="http://schemas.microsoft.com/office/drawing/2014/main" id="{00000000-0008-0000-0A00-000003000000}"/>
            </a:ext>
          </a:extLst>
        </xdr:cNvPr>
        <xdr:cNvSpPr txBox="1"/>
      </xdr:nvSpPr>
      <xdr:spPr>
        <a:xfrm>
          <a:off x="8267700" y="5934075"/>
          <a:ext cx="2667000" cy="1314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000" b="0" i="0" u="sng">
              <a:solidFill>
                <a:schemeClr val="dk1"/>
              </a:solidFill>
              <a:latin typeface="Times New Roman" panose="02020603050405020304" pitchFamily="18" charset="0"/>
              <a:ea typeface="+mn-ea"/>
              <a:cs typeface="Times New Roman" panose="02020603050405020304" pitchFamily="18" charset="0"/>
            </a:rPr>
            <a:t>Exemple 3</a:t>
          </a:r>
          <a:r>
            <a:rPr lang="fr-FR" sz="1000" i="0">
              <a:solidFill>
                <a:schemeClr val="dk1"/>
              </a:solidFill>
              <a:latin typeface="Times New Roman" panose="02020603050405020304" pitchFamily="18" charset="0"/>
              <a:ea typeface="+mn-ea"/>
              <a:cs typeface="Times New Roman" panose="02020603050405020304" pitchFamily="18" charset="0"/>
            </a:rPr>
            <a:t> : évolution de la pension moyenne relative des retraités nécessaire pour assurer l’équilibre financier du système de retraite, si l’on ne revient pas sur les évolutions à législation inchangée de l’âge moyen conjoncturel de départ et du taux de prélèvement global</a:t>
          </a:r>
        </a:p>
      </xdr:txBody>
    </xdr:sp>
    <xdr:clientData/>
  </xdr:twoCellAnchor>
  <xdr:twoCellAnchor>
    <xdr:from>
      <xdr:col>8</xdr:col>
      <xdr:colOff>371475</xdr:colOff>
      <xdr:row>27</xdr:row>
      <xdr:rowOff>0</xdr:rowOff>
    </xdr:from>
    <xdr:to>
      <xdr:col>15</xdr:col>
      <xdr:colOff>371475</xdr:colOff>
      <xdr:row>34</xdr:row>
      <xdr:rowOff>9525</xdr:rowOff>
    </xdr:to>
    <xdr:sp macro="" textlink="">
      <xdr:nvSpPr>
        <xdr:cNvPr id="4" name="ZoneTexte 3">
          <a:extLst>
            <a:ext uri="{FF2B5EF4-FFF2-40B4-BE49-F238E27FC236}">
              <a16:creationId xmlns:a16="http://schemas.microsoft.com/office/drawing/2014/main" id="{00000000-0008-0000-0A00-000004000000}"/>
            </a:ext>
          </a:extLst>
        </xdr:cNvPr>
        <xdr:cNvSpPr txBox="1"/>
      </xdr:nvSpPr>
      <xdr:spPr>
        <a:xfrm>
          <a:off x="5819775" y="5934075"/>
          <a:ext cx="2667000"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000" i="0" u="sng">
              <a:solidFill>
                <a:schemeClr val="dk1"/>
              </a:solidFill>
              <a:latin typeface="Times New Roman" panose="02020603050405020304" pitchFamily="18" charset="0"/>
              <a:ea typeface="+mn-ea"/>
              <a:cs typeface="Times New Roman" panose="02020603050405020304" pitchFamily="18" charset="0"/>
            </a:rPr>
            <a:t>Exemple 2</a:t>
          </a:r>
          <a:r>
            <a:rPr lang="fr-FR" sz="1000" i="0">
              <a:solidFill>
                <a:schemeClr val="dk1"/>
              </a:solidFill>
              <a:latin typeface="Times New Roman" panose="02020603050405020304" pitchFamily="18" charset="0"/>
              <a:ea typeface="+mn-ea"/>
              <a:cs typeface="Times New Roman" panose="02020603050405020304" pitchFamily="18" charset="0"/>
            </a:rPr>
            <a:t> : taux de prélèvement global assurant l’équilibre financier du système de retraite, si l’on ne revient pas sur les évolutions à législation inchangée de l’âge moyen conjoncturel de départ et de la pension moyenne relative des retraités</a:t>
          </a:r>
        </a:p>
      </xdr:txBody>
    </xdr:sp>
    <xdr:clientData/>
  </xdr:twoCellAnchor>
  <xdr:twoCellAnchor>
    <xdr:from>
      <xdr:col>1</xdr:col>
      <xdr:colOff>2276475</xdr:colOff>
      <xdr:row>27</xdr:row>
      <xdr:rowOff>0</xdr:rowOff>
    </xdr:from>
    <xdr:to>
      <xdr:col>8</xdr:col>
      <xdr:colOff>257175</xdr:colOff>
      <xdr:row>34</xdr:row>
      <xdr:rowOff>19050</xdr:rowOff>
    </xdr:to>
    <xdr:sp macro="" textlink="">
      <xdr:nvSpPr>
        <xdr:cNvPr id="5" name="ZoneTexte 4">
          <a:extLst>
            <a:ext uri="{FF2B5EF4-FFF2-40B4-BE49-F238E27FC236}">
              <a16:creationId xmlns:a16="http://schemas.microsoft.com/office/drawing/2014/main" id="{00000000-0008-0000-0A00-000005000000}"/>
            </a:ext>
          </a:extLst>
        </xdr:cNvPr>
        <xdr:cNvSpPr txBox="1"/>
      </xdr:nvSpPr>
      <xdr:spPr>
        <a:xfrm>
          <a:off x="2724150" y="5934075"/>
          <a:ext cx="2667000"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000" i="0" u="sng">
              <a:solidFill>
                <a:schemeClr val="dk1"/>
              </a:solidFill>
              <a:latin typeface="Times New Roman" panose="02020603050405020304" pitchFamily="18" charset="0"/>
              <a:ea typeface="+mn-ea"/>
              <a:cs typeface="Times New Roman" panose="02020603050405020304" pitchFamily="18" charset="0"/>
            </a:rPr>
            <a:t>Exemple 1 :</a:t>
          </a:r>
          <a:r>
            <a:rPr lang="fr-FR" sz="1000" i="0" u="none">
              <a:solidFill>
                <a:schemeClr val="dk1"/>
              </a:solidFill>
              <a:latin typeface="Times New Roman" panose="02020603050405020304" pitchFamily="18" charset="0"/>
              <a:ea typeface="+mn-ea"/>
              <a:cs typeface="Times New Roman" panose="02020603050405020304" pitchFamily="18" charset="0"/>
            </a:rPr>
            <a:t> âge moyen conjoncturel de départ à la retraite assurant l’équilibre financier du système de retraite, si l’on ne revient pas sur les évolutions à législation inchangée du taux de prélèvement global et de la pension moyenne relative des retraités</a:t>
          </a:r>
        </a:p>
      </xdr:txBody>
    </xdr:sp>
    <xdr:clientData/>
  </xdr:twoCellAnchor>
  <xdr:twoCellAnchor>
    <xdr:from>
      <xdr:col>3</xdr:col>
      <xdr:colOff>19050</xdr:colOff>
      <xdr:row>35</xdr:row>
      <xdr:rowOff>38100</xdr:rowOff>
    </xdr:from>
    <xdr:to>
      <xdr:col>7</xdr:col>
      <xdr:colOff>367050</xdr:colOff>
      <xdr:row>48</xdr:row>
      <xdr:rowOff>81600</xdr:rowOff>
    </xdr:to>
    <xdr:graphicFrame macro="">
      <xdr:nvGraphicFramePr>
        <xdr:cNvPr id="8" name="Graphique 7">
          <a:extLst>
            <a:ext uri="{FF2B5EF4-FFF2-40B4-BE49-F238E27FC236}">
              <a16:creationId xmlns:a16="http://schemas.microsoft.com/office/drawing/2014/main" id="{00000000-0008-0000-0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28575</xdr:colOff>
      <xdr:row>34</xdr:row>
      <xdr:rowOff>180975</xdr:rowOff>
    </xdr:from>
    <xdr:to>
      <xdr:col>21</xdr:col>
      <xdr:colOff>376575</xdr:colOff>
      <xdr:row>48</xdr:row>
      <xdr:rowOff>33975</xdr:rowOff>
    </xdr:to>
    <xdr:graphicFrame macro="">
      <xdr:nvGraphicFramePr>
        <xdr:cNvPr id="9" name="Graphique 8">
          <a:extLst>
            <a:ext uri="{FF2B5EF4-FFF2-40B4-BE49-F238E27FC236}">
              <a16:creationId xmlns:a16="http://schemas.microsoft.com/office/drawing/2014/main" id="{00000000-0008-0000-0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35</xdr:row>
      <xdr:rowOff>0</xdr:rowOff>
    </xdr:from>
    <xdr:to>
      <xdr:col>14</xdr:col>
      <xdr:colOff>348000</xdr:colOff>
      <xdr:row>48</xdr:row>
      <xdr:rowOff>43500</xdr:rowOff>
    </xdr:to>
    <xdr:graphicFrame macro="">
      <xdr:nvGraphicFramePr>
        <xdr:cNvPr id="10" name="Graphique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85725</xdr:colOff>
      <xdr:row>67</xdr:row>
      <xdr:rowOff>0</xdr:rowOff>
    </xdr:from>
    <xdr:to>
      <xdr:col>23</xdr:col>
      <xdr:colOff>85725</xdr:colOff>
      <xdr:row>73</xdr:row>
      <xdr:rowOff>171449</xdr:rowOff>
    </xdr:to>
    <xdr:sp macro="" textlink="">
      <xdr:nvSpPr>
        <xdr:cNvPr id="11" name="ZoneTexte 10">
          <a:extLst>
            <a:ext uri="{FF2B5EF4-FFF2-40B4-BE49-F238E27FC236}">
              <a16:creationId xmlns:a16="http://schemas.microsoft.com/office/drawing/2014/main" id="{00000000-0008-0000-0A00-00000B000000}"/>
            </a:ext>
          </a:extLst>
        </xdr:cNvPr>
        <xdr:cNvSpPr txBox="1"/>
      </xdr:nvSpPr>
      <xdr:spPr>
        <a:xfrm>
          <a:off x="8267700" y="5934075"/>
          <a:ext cx="2667000" cy="1314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000" i="0" u="sng">
              <a:solidFill>
                <a:schemeClr val="dk1"/>
              </a:solidFill>
              <a:latin typeface="Times New Roman" panose="02020603050405020304" pitchFamily="18" charset="0"/>
              <a:ea typeface="+mn-ea"/>
              <a:cs typeface="Times New Roman" panose="02020603050405020304" pitchFamily="18" charset="0"/>
            </a:rPr>
            <a:t>Exemple 3 </a:t>
          </a:r>
          <a:r>
            <a:rPr lang="fr-FR" sz="1000" i="0">
              <a:solidFill>
                <a:schemeClr val="dk1"/>
              </a:solidFill>
              <a:latin typeface="Times New Roman" panose="02020603050405020304" pitchFamily="18" charset="0"/>
              <a:ea typeface="+mn-ea"/>
              <a:cs typeface="Times New Roman" panose="02020603050405020304" pitchFamily="18" charset="0"/>
            </a:rPr>
            <a:t>: évolution de la pension moyenne relative des retraités nécessaire pour assurer l’équilibre financier du système de retraite, si l’on ne revient pas sur les évolutions à législation inchangée de l’âge moyen conjoncturel de départ et du taux de prélèvement global</a:t>
          </a:r>
        </a:p>
      </xdr:txBody>
    </xdr:sp>
    <xdr:clientData/>
  </xdr:twoCellAnchor>
  <xdr:twoCellAnchor>
    <xdr:from>
      <xdr:col>8</xdr:col>
      <xdr:colOff>371475</xdr:colOff>
      <xdr:row>67</xdr:row>
      <xdr:rowOff>0</xdr:rowOff>
    </xdr:from>
    <xdr:to>
      <xdr:col>15</xdr:col>
      <xdr:colOff>371475</xdr:colOff>
      <xdr:row>74</xdr:row>
      <xdr:rowOff>9525</xdr:rowOff>
    </xdr:to>
    <xdr:sp macro="" textlink="">
      <xdr:nvSpPr>
        <xdr:cNvPr id="12" name="ZoneTexte 11">
          <a:extLst>
            <a:ext uri="{FF2B5EF4-FFF2-40B4-BE49-F238E27FC236}">
              <a16:creationId xmlns:a16="http://schemas.microsoft.com/office/drawing/2014/main" id="{00000000-0008-0000-0A00-00000C000000}"/>
            </a:ext>
          </a:extLst>
        </xdr:cNvPr>
        <xdr:cNvSpPr txBox="1"/>
      </xdr:nvSpPr>
      <xdr:spPr>
        <a:xfrm>
          <a:off x="5505450" y="5934075"/>
          <a:ext cx="2667000"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000" i="0" u="sng">
              <a:solidFill>
                <a:schemeClr val="dk1"/>
              </a:solidFill>
              <a:latin typeface="Times New Roman" panose="02020603050405020304" pitchFamily="18" charset="0"/>
              <a:ea typeface="+mn-ea"/>
              <a:cs typeface="Times New Roman" panose="02020603050405020304" pitchFamily="18" charset="0"/>
            </a:rPr>
            <a:t>Exemple 2</a:t>
          </a:r>
          <a:r>
            <a:rPr lang="fr-FR" sz="1000" i="0">
              <a:solidFill>
                <a:schemeClr val="dk1"/>
              </a:solidFill>
              <a:latin typeface="Times New Roman" panose="02020603050405020304" pitchFamily="18" charset="0"/>
              <a:ea typeface="+mn-ea"/>
              <a:cs typeface="Times New Roman" panose="02020603050405020304" pitchFamily="18" charset="0"/>
            </a:rPr>
            <a:t> : taux de prélèvement global assurant l’équilibre financier du système de retraite, si l’on ne revient pas sur les évolutions à législation inchangée de l’âge moyen conjoncturel de départ et de la pension moyenne relative des retraités</a:t>
          </a:r>
        </a:p>
      </xdr:txBody>
    </xdr:sp>
    <xdr:clientData/>
  </xdr:twoCellAnchor>
  <xdr:twoCellAnchor>
    <xdr:from>
      <xdr:col>1</xdr:col>
      <xdr:colOff>2276475</xdr:colOff>
      <xdr:row>67</xdr:row>
      <xdr:rowOff>0</xdr:rowOff>
    </xdr:from>
    <xdr:to>
      <xdr:col>8</xdr:col>
      <xdr:colOff>257175</xdr:colOff>
      <xdr:row>74</xdr:row>
      <xdr:rowOff>19050</xdr:rowOff>
    </xdr:to>
    <xdr:sp macro="" textlink="">
      <xdr:nvSpPr>
        <xdr:cNvPr id="13" name="ZoneTexte 12">
          <a:extLst>
            <a:ext uri="{FF2B5EF4-FFF2-40B4-BE49-F238E27FC236}">
              <a16:creationId xmlns:a16="http://schemas.microsoft.com/office/drawing/2014/main" id="{00000000-0008-0000-0A00-00000D000000}"/>
            </a:ext>
          </a:extLst>
        </xdr:cNvPr>
        <xdr:cNvSpPr txBox="1"/>
      </xdr:nvSpPr>
      <xdr:spPr>
        <a:xfrm>
          <a:off x="2724150" y="5934075"/>
          <a:ext cx="2667000"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000" i="0" u="sng">
              <a:solidFill>
                <a:schemeClr val="dk1"/>
              </a:solidFill>
              <a:latin typeface="Times New Roman" panose="02020603050405020304" pitchFamily="18" charset="0"/>
              <a:ea typeface="+mn-ea"/>
              <a:cs typeface="Times New Roman" panose="02020603050405020304" pitchFamily="18" charset="0"/>
            </a:rPr>
            <a:t>Exemple 1 </a:t>
          </a:r>
          <a:r>
            <a:rPr lang="fr-FR" sz="1000" i="0">
              <a:solidFill>
                <a:schemeClr val="dk1"/>
              </a:solidFill>
              <a:latin typeface="Times New Roman" panose="02020603050405020304" pitchFamily="18" charset="0"/>
              <a:ea typeface="+mn-ea"/>
              <a:cs typeface="Times New Roman" panose="02020603050405020304" pitchFamily="18" charset="0"/>
            </a:rPr>
            <a:t>: âge moyen conjoncturel de départ à la retraite assurant l’équilibre financier du système de retraite, si l’on ne revient pas sur les évolutions à législation inchangée du taux de prélèvement global et de la pension moyenne relative des retraités</a:t>
          </a:r>
        </a:p>
      </xdr:txBody>
    </xdr:sp>
    <xdr:clientData/>
  </xdr:twoCellAnchor>
  <xdr:twoCellAnchor>
    <xdr:from>
      <xdr:col>2</xdr:col>
      <xdr:colOff>400050</xdr:colOff>
      <xdr:row>75</xdr:row>
      <xdr:rowOff>19050</xdr:rowOff>
    </xdr:from>
    <xdr:to>
      <xdr:col>7</xdr:col>
      <xdr:colOff>319425</xdr:colOff>
      <xdr:row>88</xdr:row>
      <xdr:rowOff>62550</xdr:rowOff>
    </xdr:to>
    <xdr:graphicFrame macro="">
      <xdr:nvGraphicFramePr>
        <xdr:cNvPr id="14" name="Graphique 13">
          <a:extLst>
            <a:ext uri="{FF2B5EF4-FFF2-40B4-BE49-F238E27FC236}">
              <a16:creationId xmlns:a16="http://schemas.microsoft.com/office/drawing/2014/main" id="{00000000-0008-0000-0A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28575</xdr:colOff>
      <xdr:row>74</xdr:row>
      <xdr:rowOff>180975</xdr:rowOff>
    </xdr:from>
    <xdr:to>
      <xdr:col>21</xdr:col>
      <xdr:colOff>376575</xdr:colOff>
      <xdr:row>88</xdr:row>
      <xdr:rowOff>33975</xdr:rowOff>
    </xdr:to>
    <xdr:graphicFrame macro="">
      <xdr:nvGraphicFramePr>
        <xdr:cNvPr id="15" name="Graphique 14">
          <a:extLst>
            <a:ext uri="{FF2B5EF4-FFF2-40B4-BE49-F238E27FC236}">
              <a16:creationId xmlns:a16="http://schemas.microsoft.com/office/drawing/2014/main" id="{00000000-0008-0000-0A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75</xdr:row>
      <xdr:rowOff>0</xdr:rowOff>
    </xdr:from>
    <xdr:to>
      <xdr:col>14</xdr:col>
      <xdr:colOff>348000</xdr:colOff>
      <xdr:row>88</xdr:row>
      <xdr:rowOff>43500</xdr:rowOff>
    </xdr:to>
    <xdr:graphicFrame macro="">
      <xdr:nvGraphicFramePr>
        <xdr:cNvPr id="16" name="Graphique 15">
          <a:extLst>
            <a:ext uri="{FF2B5EF4-FFF2-40B4-BE49-F238E27FC236}">
              <a16:creationId xmlns:a16="http://schemas.microsoft.com/office/drawing/2014/main" id="{00000000-0008-0000-0A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0.84227</cdr:x>
      <cdr:y>0.20915</cdr:y>
    </cdr:from>
    <cdr:to>
      <cdr:x>1</cdr:x>
      <cdr:y>0.28473</cdr:y>
    </cdr:to>
    <cdr:sp macro="" textlink="">
      <cdr:nvSpPr>
        <cdr:cNvPr id="2" name="ZoneTexte 20"/>
        <cdr:cNvSpPr txBox="1"/>
      </cdr:nvSpPr>
      <cdr:spPr>
        <a:xfrm xmlns:a="http://schemas.openxmlformats.org/drawingml/2006/main">
          <a:off x="1576729" y="527059"/>
          <a:ext cx="295271" cy="19046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0.84226</cdr:x>
      <cdr:y>0.30742</cdr:y>
    </cdr:from>
    <cdr:to>
      <cdr:x>1</cdr:x>
      <cdr:y>0.38301</cdr:y>
    </cdr:to>
    <cdr:sp macro="" textlink="">
      <cdr:nvSpPr>
        <cdr:cNvPr id="3" name="ZoneTexte 19"/>
        <cdr:cNvSpPr txBox="1"/>
      </cdr:nvSpPr>
      <cdr:spPr>
        <a:xfrm xmlns:a="http://schemas.openxmlformats.org/drawingml/2006/main">
          <a:off x="1576711" y="774706"/>
          <a:ext cx="295289" cy="19048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0.89551</cdr:x>
      <cdr:y>0.57956</cdr:y>
    </cdr:from>
    <cdr:to>
      <cdr:x>1</cdr:x>
      <cdr:y>0.6539</cdr:y>
    </cdr:to>
    <cdr:sp macro="" textlink="">
      <cdr:nvSpPr>
        <cdr:cNvPr id="4" name="ZoneTexte 19"/>
        <cdr:cNvSpPr txBox="1"/>
      </cdr:nvSpPr>
      <cdr:spPr>
        <a:xfrm xmlns:a="http://schemas.openxmlformats.org/drawingml/2006/main">
          <a:off x="1676395" y="1460489"/>
          <a:ext cx="195605" cy="18733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0.84227</cdr:x>
      <cdr:y>0.65138</cdr:y>
    </cdr:from>
    <cdr:to>
      <cdr:x>1</cdr:x>
      <cdr:y>0.72697</cdr:y>
    </cdr:to>
    <cdr:sp macro="" textlink="">
      <cdr:nvSpPr>
        <cdr:cNvPr id="5" name="ZoneTexte 19"/>
        <cdr:cNvSpPr txBox="1"/>
      </cdr:nvSpPr>
      <cdr:spPr>
        <a:xfrm xmlns:a="http://schemas.openxmlformats.org/drawingml/2006/main">
          <a:off x="1576730" y="1641477"/>
          <a:ext cx="295270" cy="19048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0.87516</cdr:x>
      <cdr:y>0.48885</cdr:y>
    </cdr:from>
    <cdr:to>
      <cdr:x>1</cdr:x>
      <cdr:y>0.58208</cdr:y>
    </cdr:to>
    <cdr:sp macro="" textlink="">
      <cdr:nvSpPr>
        <cdr:cNvPr id="6" name="ZoneTexte 19"/>
        <cdr:cNvSpPr txBox="1"/>
      </cdr:nvSpPr>
      <cdr:spPr>
        <a:xfrm xmlns:a="http://schemas.openxmlformats.org/drawingml/2006/main">
          <a:off x="1638301" y="1231902"/>
          <a:ext cx="233699" cy="23494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B</a:t>
          </a:r>
        </a:p>
      </cdr:txBody>
    </cdr:sp>
  </cdr:relSizeAnchor>
</c:userShapes>
</file>

<file path=xl/drawings/drawing22.xml><?xml version="1.0" encoding="utf-8"?>
<c:userShapes xmlns:c="http://schemas.openxmlformats.org/drawingml/2006/chart">
  <cdr:relSizeAnchor xmlns:cdr="http://schemas.openxmlformats.org/drawingml/2006/chartDrawing">
    <cdr:from>
      <cdr:x>0.87007</cdr:x>
      <cdr:y>0.02394</cdr:y>
    </cdr:from>
    <cdr:to>
      <cdr:x>1</cdr:x>
      <cdr:y>0.09071</cdr:y>
    </cdr:to>
    <cdr:sp macro="" textlink="">
      <cdr:nvSpPr>
        <cdr:cNvPr id="2" name="ZoneTexte 20"/>
        <cdr:cNvSpPr txBox="1"/>
      </cdr:nvSpPr>
      <cdr:spPr>
        <a:xfrm xmlns:a="http://schemas.openxmlformats.org/drawingml/2006/main">
          <a:off x="1628775" y="60335"/>
          <a:ext cx="243225" cy="16826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0.87516</cdr:x>
      <cdr:y>0.12851</cdr:y>
    </cdr:from>
    <cdr:to>
      <cdr:x>1</cdr:x>
      <cdr:y>0.21293</cdr:y>
    </cdr:to>
    <cdr:sp macro="" textlink="">
      <cdr:nvSpPr>
        <cdr:cNvPr id="3" name="ZoneTexte 19"/>
        <cdr:cNvSpPr txBox="1"/>
      </cdr:nvSpPr>
      <cdr:spPr>
        <a:xfrm xmlns:a="http://schemas.openxmlformats.org/drawingml/2006/main">
          <a:off x="1638300" y="323850"/>
          <a:ext cx="233700" cy="2127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0.91078</cdr:x>
      <cdr:y>0.31876</cdr:y>
    </cdr:from>
    <cdr:to>
      <cdr:x>0.98982</cdr:x>
      <cdr:y>0.40443</cdr:y>
    </cdr:to>
    <cdr:sp macro="" textlink="">
      <cdr:nvSpPr>
        <cdr:cNvPr id="4" name="ZoneTexte 19"/>
        <cdr:cNvSpPr txBox="1"/>
      </cdr:nvSpPr>
      <cdr:spPr>
        <a:xfrm xmlns:a="http://schemas.openxmlformats.org/drawingml/2006/main">
          <a:off x="1704975" y="803274"/>
          <a:ext cx="147972" cy="21590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0.89551</cdr:x>
      <cdr:y>0.48507</cdr:y>
    </cdr:from>
    <cdr:to>
      <cdr:x>1</cdr:x>
      <cdr:y>0.55563</cdr:y>
    </cdr:to>
    <cdr:sp macro="" textlink="">
      <cdr:nvSpPr>
        <cdr:cNvPr id="5" name="ZoneTexte 19"/>
        <cdr:cNvSpPr txBox="1"/>
      </cdr:nvSpPr>
      <cdr:spPr>
        <a:xfrm xmlns:a="http://schemas.openxmlformats.org/drawingml/2006/main">
          <a:off x="1676400" y="1222377"/>
          <a:ext cx="195600" cy="17779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0.89042</cdr:x>
      <cdr:y>0.23561</cdr:y>
    </cdr:from>
    <cdr:to>
      <cdr:x>1</cdr:x>
      <cdr:y>0.3175</cdr:y>
    </cdr:to>
    <cdr:sp macro="" textlink="">
      <cdr:nvSpPr>
        <cdr:cNvPr id="6" name="ZoneTexte 19"/>
        <cdr:cNvSpPr txBox="1"/>
      </cdr:nvSpPr>
      <cdr:spPr>
        <a:xfrm xmlns:a="http://schemas.openxmlformats.org/drawingml/2006/main">
          <a:off x="1666875" y="593732"/>
          <a:ext cx="205125" cy="20636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B</a:t>
          </a:r>
        </a:p>
      </cdr:txBody>
    </cdr:sp>
  </cdr:relSizeAnchor>
</c:userShapes>
</file>

<file path=xl/drawings/drawing23.xml><?xml version="1.0" encoding="utf-8"?>
<c:userShapes xmlns:c="http://schemas.openxmlformats.org/drawingml/2006/chart">
  <cdr:relSizeAnchor xmlns:cdr="http://schemas.openxmlformats.org/drawingml/2006/chartDrawing">
    <cdr:from>
      <cdr:x>0.88554</cdr:x>
      <cdr:y>0.10332</cdr:y>
    </cdr:from>
    <cdr:to>
      <cdr:x>1</cdr:x>
      <cdr:y>0.19277</cdr:y>
    </cdr:to>
    <cdr:sp macro="" textlink="">
      <cdr:nvSpPr>
        <cdr:cNvPr id="2" name="ZoneTexte 20"/>
        <cdr:cNvSpPr txBox="1"/>
      </cdr:nvSpPr>
      <cdr:spPr>
        <a:xfrm xmlns:a="http://schemas.openxmlformats.org/drawingml/2006/main">
          <a:off x="1562100" y="260359"/>
          <a:ext cx="201900" cy="22541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0.87474</cdr:x>
      <cdr:y>0.23057</cdr:y>
    </cdr:from>
    <cdr:to>
      <cdr:x>1</cdr:x>
      <cdr:y>0.31119</cdr:y>
    </cdr:to>
    <cdr:sp macro="" textlink="">
      <cdr:nvSpPr>
        <cdr:cNvPr id="3" name="ZoneTexte 19"/>
        <cdr:cNvSpPr txBox="1"/>
      </cdr:nvSpPr>
      <cdr:spPr>
        <a:xfrm xmlns:a="http://schemas.openxmlformats.org/drawingml/2006/main">
          <a:off x="1543050" y="581025"/>
          <a:ext cx="220950" cy="20318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0.89551</cdr:x>
      <cdr:y>0.50774</cdr:y>
    </cdr:from>
    <cdr:to>
      <cdr:x>1</cdr:x>
      <cdr:y>0.58208</cdr:y>
    </cdr:to>
    <cdr:sp macro="" textlink="">
      <cdr:nvSpPr>
        <cdr:cNvPr id="4" name="ZoneTexte 19"/>
        <cdr:cNvSpPr txBox="1"/>
      </cdr:nvSpPr>
      <cdr:spPr>
        <a:xfrm xmlns:a="http://schemas.openxmlformats.org/drawingml/2006/main">
          <a:off x="1579680" y="1279514"/>
          <a:ext cx="184320" cy="18733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0.90174</cdr:x>
      <cdr:y>0.6098</cdr:y>
    </cdr:from>
    <cdr:to>
      <cdr:x>1</cdr:x>
      <cdr:y>0.68792</cdr:y>
    </cdr:to>
    <cdr:sp macro="" textlink="">
      <cdr:nvSpPr>
        <cdr:cNvPr id="5" name="ZoneTexte 19"/>
        <cdr:cNvSpPr txBox="1"/>
      </cdr:nvSpPr>
      <cdr:spPr>
        <a:xfrm xmlns:a="http://schemas.openxmlformats.org/drawingml/2006/main">
          <a:off x="1688057" y="1536694"/>
          <a:ext cx="183943" cy="19686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0.86935</cdr:x>
      <cdr:y>0.42459</cdr:y>
    </cdr:from>
    <cdr:to>
      <cdr:x>1</cdr:x>
      <cdr:y>0.49893</cdr:y>
    </cdr:to>
    <cdr:sp macro="" textlink="">
      <cdr:nvSpPr>
        <cdr:cNvPr id="6" name="ZoneTexte 19"/>
        <cdr:cNvSpPr txBox="1"/>
      </cdr:nvSpPr>
      <cdr:spPr>
        <a:xfrm xmlns:a="http://schemas.openxmlformats.org/drawingml/2006/main">
          <a:off x="1533525" y="1069977"/>
          <a:ext cx="230475" cy="18732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B</a:t>
          </a:r>
        </a:p>
      </cdr:txBody>
    </cdr:sp>
  </cdr:relSizeAnchor>
</c:userShapes>
</file>

<file path=xl/drawings/drawing24.xml><?xml version="1.0" encoding="utf-8"?>
<c:userShapes xmlns:c="http://schemas.openxmlformats.org/drawingml/2006/chart">
  <cdr:relSizeAnchor xmlns:cdr="http://schemas.openxmlformats.org/drawingml/2006/chartDrawing">
    <cdr:from>
      <cdr:x>0.91587</cdr:x>
      <cdr:y>0.6665</cdr:y>
    </cdr:from>
    <cdr:to>
      <cdr:x>1</cdr:x>
      <cdr:y>0.75595</cdr:y>
    </cdr:to>
    <cdr:sp macro="" textlink="">
      <cdr:nvSpPr>
        <cdr:cNvPr id="2" name="ZoneTexte 20"/>
        <cdr:cNvSpPr txBox="1"/>
      </cdr:nvSpPr>
      <cdr:spPr>
        <a:xfrm xmlns:a="http://schemas.openxmlformats.org/drawingml/2006/main">
          <a:off x="1714500" y="1679578"/>
          <a:ext cx="157500" cy="22542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0.87516</cdr:x>
      <cdr:y>0.48129</cdr:y>
    </cdr:from>
    <cdr:to>
      <cdr:x>1</cdr:x>
      <cdr:y>0.56571</cdr:y>
    </cdr:to>
    <cdr:sp macro="" textlink="">
      <cdr:nvSpPr>
        <cdr:cNvPr id="3" name="ZoneTexte 19"/>
        <cdr:cNvSpPr txBox="1"/>
      </cdr:nvSpPr>
      <cdr:spPr>
        <a:xfrm xmlns:a="http://schemas.openxmlformats.org/drawingml/2006/main">
          <a:off x="1543782" y="1212850"/>
          <a:ext cx="220218" cy="21273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0.87654</cdr:x>
      <cdr:y>0.29986</cdr:y>
    </cdr:from>
    <cdr:to>
      <cdr:x>0.98612</cdr:x>
      <cdr:y>0.38175</cdr:y>
    </cdr:to>
    <cdr:sp macro="" textlink="">
      <cdr:nvSpPr>
        <cdr:cNvPr id="4" name="ZoneTexte 19"/>
        <cdr:cNvSpPr txBox="1"/>
      </cdr:nvSpPr>
      <cdr:spPr>
        <a:xfrm xmlns:a="http://schemas.openxmlformats.org/drawingml/2006/main">
          <a:off x="1546225" y="755650"/>
          <a:ext cx="193299" cy="20636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B</a:t>
          </a:r>
        </a:p>
      </cdr:txBody>
    </cdr:sp>
  </cdr:relSizeAnchor>
  <cdr:relSizeAnchor xmlns:cdr="http://schemas.openxmlformats.org/drawingml/2006/chartDrawing">
    <cdr:from>
      <cdr:x>0.90652</cdr:x>
      <cdr:y>0.07308</cdr:y>
    </cdr:from>
    <cdr:to>
      <cdr:x>1</cdr:x>
      <cdr:y>0.14489</cdr:y>
    </cdr:to>
    <cdr:sp macro="" textlink="">
      <cdr:nvSpPr>
        <cdr:cNvPr id="5" name="ZoneTexte 19"/>
        <cdr:cNvSpPr txBox="1"/>
      </cdr:nvSpPr>
      <cdr:spPr>
        <a:xfrm xmlns:a="http://schemas.openxmlformats.org/drawingml/2006/main">
          <a:off x="1599108" y="184150"/>
          <a:ext cx="164892" cy="18096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0.72812</cdr:x>
      <cdr:y>0.02772</cdr:y>
    </cdr:from>
    <cdr:to>
      <cdr:x>0.83261</cdr:x>
      <cdr:y>0.09828</cdr:y>
    </cdr:to>
    <cdr:sp macro="" textlink="">
      <cdr:nvSpPr>
        <cdr:cNvPr id="6" name="ZoneTexte 19"/>
        <cdr:cNvSpPr txBox="1"/>
      </cdr:nvSpPr>
      <cdr:spPr>
        <a:xfrm xmlns:a="http://schemas.openxmlformats.org/drawingml/2006/main">
          <a:off x="1284405" y="69850"/>
          <a:ext cx="184320" cy="17781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userShapes>
</file>

<file path=xl/drawings/drawing25.xml><?xml version="1.0" encoding="utf-8"?>
<c:userShapes xmlns:c="http://schemas.openxmlformats.org/drawingml/2006/chart">
  <cdr:relSizeAnchor xmlns:cdr="http://schemas.openxmlformats.org/drawingml/2006/chartDrawing">
    <cdr:from>
      <cdr:x>0.87007</cdr:x>
      <cdr:y>0.04662</cdr:y>
    </cdr:from>
    <cdr:to>
      <cdr:x>1</cdr:x>
      <cdr:y>0.11339</cdr:y>
    </cdr:to>
    <cdr:sp macro="" textlink="">
      <cdr:nvSpPr>
        <cdr:cNvPr id="2" name="ZoneTexte 20"/>
        <cdr:cNvSpPr txBox="1"/>
      </cdr:nvSpPr>
      <cdr:spPr>
        <a:xfrm xmlns:a="http://schemas.openxmlformats.org/drawingml/2006/main">
          <a:off x="1534803" y="117479"/>
          <a:ext cx="229197" cy="16826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0.86976</cdr:x>
      <cdr:y>0.21922</cdr:y>
    </cdr:from>
    <cdr:to>
      <cdr:x>0.9946</cdr:x>
      <cdr:y>0.30364</cdr:y>
    </cdr:to>
    <cdr:sp macro="" textlink="">
      <cdr:nvSpPr>
        <cdr:cNvPr id="3" name="ZoneTexte 19"/>
        <cdr:cNvSpPr txBox="1"/>
      </cdr:nvSpPr>
      <cdr:spPr>
        <a:xfrm xmlns:a="http://schemas.openxmlformats.org/drawingml/2006/main">
          <a:off x="1534257" y="552445"/>
          <a:ext cx="220218" cy="21273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0.89094</cdr:x>
      <cdr:y>0.46869</cdr:y>
    </cdr:from>
    <cdr:to>
      <cdr:x>0.98442</cdr:x>
      <cdr:y>0.5405</cdr:y>
    </cdr:to>
    <cdr:sp macro="" textlink="">
      <cdr:nvSpPr>
        <cdr:cNvPr id="4" name="ZoneTexte 19"/>
        <cdr:cNvSpPr txBox="1"/>
      </cdr:nvSpPr>
      <cdr:spPr>
        <a:xfrm xmlns:a="http://schemas.openxmlformats.org/drawingml/2006/main">
          <a:off x="1571625" y="1181100"/>
          <a:ext cx="164892" cy="18096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0.87931</cdr:x>
      <cdr:y>0.65894</cdr:y>
    </cdr:from>
    <cdr:to>
      <cdr:x>0.9838</cdr:x>
      <cdr:y>0.7295</cdr:y>
    </cdr:to>
    <cdr:sp macro="" textlink="">
      <cdr:nvSpPr>
        <cdr:cNvPr id="5" name="ZoneTexte 19"/>
        <cdr:cNvSpPr txBox="1"/>
      </cdr:nvSpPr>
      <cdr:spPr>
        <a:xfrm xmlns:a="http://schemas.openxmlformats.org/drawingml/2006/main">
          <a:off x="1551105" y="1660526"/>
          <a:ext cx="184320" cy="17781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dr:relSizeAnchor xmlns:cdr="http://schemas.openxmlformats.org/drawingml/2006/chartDrawing">
    <cdr:from>
      <cdr:x>0.89042</cdr:x>
      <cdr:y>0.36034</cdr:y>
    </cdr:from>
    <cdr:to>
      <cdr:x>1</cdr:x>
      <cdr:y>0.44223</cdr:y>
    </cdr:to>
    <cdr:sp macro="" textlink="">
      <cdr:nvSpPr>
        <cdr:cNvPr id="6" name="ZoneTexte 19"/>
        <cdr:cNvSpPr txBox="1"/>
      </cdr:nvSpPr>
      <cdr:spPr>
        <a:xfrm xmlns:a="http://schemas.openxmlformats.org/drawingml/2006/main">
          <a:off x="1570701" y="908062"/>
          <a:ext cx="193299" cy="20636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B</a:t>
          </a:r>
        </a:p>
      </cdr:txBody>
    </cdr:sp>
  </cdr:relSizeAnchor>
</c:userShapes>
</file>

<file path=xl/drawings/drawing26.xml><?xml version="1.0" encoding="utf-8"?>
<xdr:wsDr xmlns:xdr="http://schemas.openxmlformats.org/drawingml/2006/spreadsheetDrawing" xmlns:a="http://schemas.openxmlformats.org/drawingml/2006/main">
  <xdr:twoCellAnchor>
    <xdr:from>
      <xdr:col>0</xdr:col>
      <xdr:colOff>752474</xdr:colOff>
      <xdr:row>10</xdr:row>
      <xdr:rowOff>171448</xdr:rowOff>
    </xdr:from>
    <xdr:to>
      <xdr:col>21</xdr:col>
      <xdr:colOff>47625</xdr:colOff>
      <xdr:row>18</xdr:row>
      <xdr:rowOff>85725</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752474" y="2124073"/>
          <a:ext cx="11658601" cy="14382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2012, la pension nette moyenne de l'ensemble des retraités résidents en France représentait 65,1% du revenu d'activité net moyen de l'ensemble des personnes en emploi, mais le niveau de vie moyen de l’ensemble des retraités représentait 102,6 % de celui de l’ensemble de la population. </a:t>
          </a:r>
        </a:p>
        <a:p>
          <a:r>
            <a:rPr lang="fr-FR" sz="1000" i="1">
              <a:solidFill>
                <a:schemeClr val="dk1"/>
              </a:solidFill>
              <a:effectLst/>
              <a:latin typeface="Times New Roman" panose="02020603050405020304" pitchFamily="18" charset="0"/>
              <a:ea typeface="+mn-ea"/>
              <a:cs typeface="Times New Roman" panose="02020603050405020304" pitchFamily="18" charset="0"/>
            </a:rPr>
            <a:t>Note : le niveau de vie d’une personne désigne le revenu disponible par unité de consommation du ménage auquel appartient cette personne. Les revenus du patrimoine financier sont estimés par l’INSEE à partir des enquêtes Patrimoine successives. Les loyers imputés aux propriétaires ne sont pas pris en compte ici. Comme les estimations de revenus financiers sont légèrement bruitées, les niveaux de vie moyens sont lissés sur trois ans : par exemple, la valeur affichée pour 2011 correspond en fait à la moyenne des niveaux de vie des trois années 2010, 2011 et 2012 ; la dernière valeur affichée, celle de 2012, correspond en fait à la moyenne de 2011 et 2012.</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pour la pension nette moyenne relative (estimée en fin d’année), personnes retraitées vivant en France ; pour le niveau de vie moyen, personnes retraitées vivant en France métropolitaine dans un ménage ordinaire (les personnes âgées vivant en institution sont hors champ) dont le revenu déclaré au fisc est positif ou nul et dont la personne de référence n'est pas étudiante..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INSEE-DGI, enquêtes Revenus fiscaux rétropolées de 1996 à 2004 ; INSEE-DGFiP-CNAF-CNAV-CCMSA, enquêtes Revenus fiscaux et sociaux de 2005 à 2012 ; DREES, modèle ANCETRE 2008-2013 ; INSEE, Comptes Nationaux.</a:t>
          </a:r>
        </a:p>
      </xdr:txBody>
    </xdr:sp>
    <xdr:clientData/>
  </xdr:twoCellAnchor>
  <xdr:twoCellAnchor>
    <xdr:from>
      <xdr:col>3</xdr:col>
      <xdr:colOff>0</xdr:colOff>
      <xdr:row>21</xdr:row>
      <xdr:rowOff>123825</xdr:rowOff>
    </xdr:from>
    <xdr:to>
      <xdr:col>9</xdr:col>
      <xdr:colOff>7650</xdr:colOff>
      <xdr:row>32</xdr:row>
      <xdr:rowOff>188325</xdr:rowOff>
    </xdr:to>
    <xdr:graphicFrame macro="">
      <xdr:nvGraphicFramePr>
        <xdr:cNvPr id="3" name="Graphique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xdr:colOff>
      <xdr:row>21</xdr:row>
      <xdr:rowOff>171450</xdr:rowOff>
    </xdr:from>
    <xdr:to>
      <xdr:col>16</xdr:col>
      <xdr:colOff>26700</xdr:colOff>
      <xdr:row>33</xdr:row>
      <xdr:rowOff>45450</xdr:rowOff>
    </xdr:to>
    <xdr:graphicFrame macro="">
      <xdr:nvGraphicFramePr>
        <xdr:cNvPr id="4" name="Graphique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761999</xdr:colOff>
      <xdr:row>44</xdr:row>
      <xdr:rowOff>19050</xdr:rowOff>
    </xdr:from>
    <xdr:to>
      <xdr:col>21</xdr:col>
      <xdr:colOff>9524</xdr:colOff>
      <xdr:row>50</xdr:row>
      <xdr:rowOff>47625</xdr:rowOff>
    </xdr:to>
    <xdr:sp macro="" textlink="">
      <xdr:nvSpPr>
        <xdr:cNvPr id="5" name="ZoneTexte 4">
          <a:extLst>
            <a:ext uri="{FF2B5EF4-FFF2-40B4-BE49-F238E27FC236}">
              <a16:creationId xmlns:a16="http://schemas.microsoft.com/office/drawing/2014/main" id="{00000000-0008-0000-0B00-000005000000}"/>
            </a:ext>
          </a:extLst>
        </xdr:cNvPr>
        <xdr:cNvSpPr txBox="1"/>
      </xdr:nvSpPr>
      <xdr:spPr>
        <a:xfrm>
          <a:off x="761999" y="8534400"/>
          <a:ext cx="11610975" cy="1171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le niveau de vie d’une personne désigne le revenu disponible par unité de consommation du ménage auquel appartient cette personne. Les revenus du patrimoine financier sont estimés par l’INSEE à partir des enquêtes Patrimoine successives. Les loyers imputés aux propriétaires ne sont pas pris en compte ici. Comme les estimations de revenus financiers sont légèrement bruitées, les niveaux de vie moyens sont lissés sur trois ans : par exemple, la valeur affichée pour 2011 correspond en fait à la moyenne des niveaux de vie des trois années 2010, 2011 et 2012 ; la dernière valeur affichée, celle de 2012, correspond en fait à la moyenne de 2011 et 2012.</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pour la pension nette moyenne relative (estimée en fin d’année), personnes retraitées vivant en France ; pour le niveau de vie moyen, personnes retraitées vivant en France métropolitaine dans un ménage ordinaire (les personnes âgées vivant en institution sont hors champ) dont le revenu déclaré au fisc est positif ou nul et dont la personne de référence n'est pas étudiante..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INSEE-DGI, enquêtes Revenus fiscaux rétropolées de 1996 à 2004 ; INSEE-DGFiP-CNAF-CNAV-CCMSA, enquêtes Revenus fiscaux et sociaux de 2005 à 2012 ; DREES, modèle ANCETRE 2008-2013 ; INSEE, Comptes Nationaux.</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17</xdr:row>
      <xdr:rowOff>0</xdr:rowOff>
    </xdr:from>
    <xdr:to>
      <xdr:col>11</xdr:col>
      <xdr:colOff>19050</xdr:colOff>
      <xdr:row>20</xdr:row>
      <xdr:rowOff>161925</xdr:rowOff>
    </xdr:to>
    <xdr:sp macro="" textlink="">
      <xdr:nvSpPr>
        <xdr:cNvPr id="4" name="ZoneTexte 3">
          <a:extLst>
            <a:ext uri="{FF2B5EF4-FFF2-40B4-BE49-F238E27FC236}">
              <a16:creationId xmlns:a16="http://schemas.microsoft.com/office/drawing/2014/main" id="{00000000-0008-0000-0C00-000004000000}"/>
            </a:ext>
          </a:extLst>
        </xdr:cNvPr>
        <xdr:cNvSpPr txBox="1"/>
      </xdr:nvSpPr>
      <xdr:spPr>
        <a:xfrm>
          <a:off x="762000" y="3286125"/>
          <a:ext cx="9029700" cy="73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et champ : voir figure 2.11. L'évolution du niveau de vie en projection est calculée en tenant compte uniquement des évolutions de la pension nette moyenne relative et du nombre d'unité de consommation par ménages (projeté à partir du modèle DESTINIE de l'INSEE).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INSEE-DGI, enquêtes Revenus fiscaux rétropolées de 1996 à 2004 ; INSEE-DGFiP-CNAF-CNAV-CCMSA, enquêtes Revenus fiscaux et sociaux de 2005 à 2012 ; projections COR – juin 2015 ; INSEE, modèle DESTINIE.</a:t>
          </a:r>
        </a:p>
      </xdr:txBody>
    </xdr:sp>
    <xdr:clientData/>
  </xdr:twoCellAnchor>
  <xdr:twoCellAnchor>
    <xdr:from>
      <xdr:col>2</xdr:col>
      <xdr:colOff>57150</xdr:colOff>
      <xdr:row>26</xdr:row>
      <xdr:rowOff>57150</xdr:rowOff>
    </xdr:from>
    <xdr:to>
      <xdr:col>5</xdr:col>
      <xdr:colOff>579150</xdr:colOff>
      <xdr:row>37</xdr:row>
      <xdr:rowOff>121650</xdr:rowOff>
    </xdr:to>
    <xdr:graphicFrame macro="">
      <xdr:nvGraphicFramePr>
        <xdr:cNvPr id="5" name="Graphique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26</xdr:row>
      <xdr:rowOff>38100</xdr:rowOff>
    </xdr:from>
    <xdr:to>
      <xdr:col>9</xdr:col>
      <xdr:colOff>598200</xdr:colOff>
      <xdr:row>37</xdr:row>
      <xdr:rowOff>102600</xdr:rowOff>
    </xdr:to>
    <xdr:graphicFrame macro="">
      <xdr:nvGraphicFramePr>
        <xdr:cNvPr id="6" name="Graphique 5">
          <a:extLst>
            <a:ext uri="{FF2B5EF4-FFF2-40B4-BE49-F238E27FC236}">
              <a16:creationId xmlns:a16="http://schemas.microsoft.com/office/drawing/2014/main" id="{00000000-0008-0000-0C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50</xdr:row>
      <xdr:rowOff>0</xdr:rowOff>
    </xdr:from>
    <xdr:to>
      <xdr:col>11</xdr:col>
      <xdr:colOff>533400</xdr:colOff>
      <xdr:row>52</xdr:row>
      <xdr:rowOff>47625</xdr:rowOff>
    </xdr:to>
    <xdr:sp macro="" textlink="">
      <xdr:nvSpPr>
        <xdr:cNvPr id="7" name="ZoneTexte 6">
          <a:extLst>
            <a:ext uri="{FF2B5EF4-FFF2-40B4-BE49-F238E27FC236}">
              <a16:creationId xmlns:a16="http://schemas.microsoft.com/office/drawing/2014/main" id="{00000000-0008-0000-0C00-000007000000}"/>
            </a:ext>
          </a:extLst>
        </xdr:cNvPr>
        <xdr:cNvSpPr txBox="1"/>
      </xdr:nvSpPr>
      <xdr:spPr>
        <a:xfrm>
          <a:off x="762000" y="9610725"/>
          <a:ext cx="9544050"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a:t>
          </a:r>
          <a:r>
            <a:rPr lang="fr-FR" sz="1000" i="1" baseline="0">
              <a:solidFill>
                <a:schemeClr val="dk1"/>
              </a:solidFill>
              <a:effectLst/>
              <a:latin typeface="Times New Roman" panose="02020603050405020304" pitchFamily="18" charset="0"/>
              <a:ea typeface="+mn-ea"/>
              <a:cs typeface="Times New Roman" panose="02020603050405020304" pitchFamily="18" charset="0"/>
            </a:rPr>
            <a:t>a pension mensuelle est calculée en moyenne sur l'année (à la différence de la figure 2.12, où la pension représentée est estimée en fin d'année).</a:t>
          </a:r>
        </a:p>
        <a:p>
          <a:r>
            <a:rPr lang="fr-FR" sz="1000" i="1" baseline="0">
              <a:solidFill>
                <a:schemeClr val="dk1"/>
              </a:solidFill>
              <a:effectLst/>
              <a:latin typeface="Times New Roman" panose="02020603050405020304" pitchFamily="18" charset="0"/>
              <a:ea typeface="+mn-ea"/>
              <a:cs typeface="Times New Roman" panose="02020603050405020304" pitchFamily="18" charset="0"/>
            </a:rPr>
            <a:t>Champ : résidents en France .</a:t>
          </a:r>
          <a:endParaRPr lang="fr-FR" sz="1000" i="1">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28.xml><?xml version="1.0" encoding="utf-8"?>
<c:userShapes xmlns:c="http://schemas.openxmlformats.org/drawingml/2006/chart">
  <cdr:relSizeAnchor xmlns:cdr="http://schemas.openxmlformats.org/drawingml/2006/chartDrawing">
    <cdr:from>
      <cdr:x>0.84124</cdr:x>
      <cdr:y>0.33767</cdr:y>
    </cdr:from>
    <cdr:to>
      <cdr:x>0.99897</cdr:x>
      <cdr:y>0.41325</cdr:y>
    </cdr:to>
    <cdr:sp macro="" textlink="">
      <cdr:nvSpPr>
        <cdr:cNvPr id="2" name="ZoneTexte 18"/>
        <cdr:cNvSpPr txBox="1"/>
      </cdr:nvSpPr>
      <cdr:spPr>
        <a:xfrm xmlns:a="http://schemas.openxmlformats.org/drawingml/2006/main">
          <a:off x="2362203" y="729360"/>
          <a:ext cx="442906" cy="16325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0.84227</cdr:x>
      <cdr:y>0.53609</cdr:y>
    </cdr:from>
    <cdr:to>
      <cdr:x>1</cdr:x>
      <cdr:y>0.62176</cdr:y>
    </cdr:to>
    <cdr:sp macro="" textlink="">
      <cdr:nvSpPr>
        <cdr:cNvPr id="3" name="ZoneTexte 15"/>
        <cdr:cNvSpPr txBox="1"/>
      </cdr:nvSpPr>
      <cdr:spPr>
        <a:xfrm xmlns:a="http://schemas.openxmlformats.org/drawingml/2006/main">
          <a:off x="2365094" y="1157949"/>
          <a:ext cx="442906" cy="18504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userShapes>
</file>

<file path=xl/drawings/drawing29.xml><?xml version="1.0" encoding="utf-8"?>
<c:userShapes xmlns:c="http://schemas.openxmlformats.org/drawingml/2006/chart">
  <cdr:relSizeAnchor xmlns:cdr="http://schemas.openxmlformats.org/drawingml/2006/chartDrawing">
    <cdr:from>
      <cdr:x>0.91926</cdr:x>
      <cdr:y>0.05544</cdr:y>
    </cdr:from>
    <cdr:to>
      <cdr:x>0.98982</cdr:x>
      <cdr:y>0.13229</cdr:y>
    </cdr:to>
    <cdr:sp macro="" textlink="">
      <cdr:nvSpPr>
        <cdr:cNvPr id="2" name="ZoneTexte 18"/>
        <cdr:cNvSpPr txBox="1"/>
      </cdr:nvSpPr>
      <cdr:spPr>
        <a:xfrm xmlns:a="http://schemas.openxmlformats.org/drawingml/2006/main">
          <a:off x="2581283" y="119752"/>
          <a:ext cx="198133" cy="165996"/>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C'</a:t>
          </a:r>
        </a:p>
      </cdr:txBody>
    </cdr:sp>
  </cdr:relSizeAnchor>
  <cdr:relSizeAnchor xmlns:cdr="http://schemas.openxmlformats.org/drawingml/2006/chartDrawing">
    <cdr:from>
      <cdr:x>0.90569</cdr:x>
      <cdr:y>0.33198</cdr:y>
    </cdr:from>
    <cdr:to>
      <cdr:x>1</cdr:x>
      <cdr:y>0.40569</cdr:y>
    </cdr:to>
    <cdr:sp macro="" textlink="">
      <cdr:nvSpPr>
        <cdr:cNvPr id="3" name="ZoneTexte 15"/>
        <cdr:cNvSpPr txBox="1"/>
      </cdr:nvSpPr>
      <cdr:spPr>
        <a:xfrm xmlns:a="http://schemas.openxmlformats.org/drawingml/2006/main">
          <a:off x="2543176" y="717069"/>
          <a:ext cx="264824" cy="15923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000" b="0"/>
            <a:t>A'</a:t>
          </a:r>
        </a:p>
      </cdr:txBody>
    </cdr:sp>
  </cdr:relSizeAnchor>
</c:userShapes>
</file>

<file path=xl/drawings/drawing30.xml><?xml version="1.0" encoding="utf-8"?>
<xdr:wsDr xmlns:xdr="http://schemas.openxmlformats.org/drawingml/2006/spreadsheetDrawing" xmlns:a="http://schemas.openxmlformats.org/drawingml/2006/main">
  <xdr:twoCellAnchor>
    <xdr:from>
      <xdr:col>1</xdr:col>
      <xdr:colOff>0</xdr:colOff>
      <xdr:row>9</xdr:row>
      <xdr:rowOff>0</xdr:rowOff>
    </xdr:from>
    <xdr:to>
      <xdr:col>14</xdr:col>
      <xdr:colOff>552450</xdr:colOff>
      <xdr:row>13</xdr:row>
      <xdr:rowOff>152400</xdr:rowOff>
    </xdr:to>
    <xdr:sp macro="" textlink="">
      <xdr:nvSpPr>
        <xdr:cNvPr id="2" name="ZoneTexte 1">
          <a:extLst>
            <a:ext uri="{FF2B5EF4-FFF2-40B4-BE49-F238E27FC236}">
              <a16:creationId xmlns:a16="http://schemas.microsoft.com/office/drawing/2014/main" id="{00000000-0008-0000-0D00-000002000000}"/>
            </a:ext>
          </a:extLst>
        </xdr:cNvPr>
        <xdr:cNvSpPr txBox="1"/>
      </xdr:nvSpPr>
      <xdr:spPr>
        <a:xfrm>
          <a:off x="762000" y="1857375"/>
          <a:ext cx="90297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baseline="0">
              <a:solidFill>
                <a:schemeClr val="dk1"/>
              </a:solidFill>
              <a:effectLst/>
              <a:latin typeface="Times New Roman" panose="02020603050405020304" pitchFamily="18" charset="0"/>
              <a:ea typeface="+mn-ea"/>
              <a:cs typeface="Times New Roman" panose="02020603050405020304" pitchFamily="18" charset="0"/>
            </a:rPr>
            <a:t>Lecture : en 2012, le taux de pauvreté (proportion de personnes ayant un niveau de vie en-dessous du seuil de pauvreté) était de 8,4 % pour les retraités (9,1 % pour les femmes retraitées et 7,6 % pour les hommes retraités).</a:t>
          </a:r>
        </a:p>
        <a:p>
          <a:r>
            <a:rPr lang="fr-FR" sz="1000" i="1" baseline="0">
              <a:solidFill>
                <a:schemeClr val="dk1"/>
              </a:solidFill>
              <a:effectLst/>
              <a:latin typeface="Times New Roman" panose="02020603050405020304" pitchFamily="18" charset="0"/>
              <a:ea typeface="+mn-ea"/>
              <a:cs typeface="Times New Roman" panose="02020603050405020304" pitchFamily="18" charset="0"/>
            </a:rPr>
            <a:t>Champ : personnes vivant en France métropolitaine dans un ménage ordinaire dont le revenu déclaré au fisc est positif ou nul et dont la personne de référence n'est pas étudiante. Les personnes âgées vivant en institution (qui représentent environ 3 % de l’ensemble des retraités) sont hors champ.</a:t>
          </a:r>
        </a:p>
        <a:p>
          <a:r>
            <a:rPr lang="fr-FR" sz="1000" i="1" baseline="0">
              <a:solidFill>
                <a:schemeClr val="dk1"/>
              </a:solidFill>
              <a:effectLst/>
              <a:latin typeface="Times New Roman" panose="02020603050405020304" pitchFamily="18" charset="0"/>
              <a:ea typeface="+mn-ea"/>
              <a:cs typeface="Times New Roman" panose="02020603050405020304" pitchFamily="18" charset="0"/>
            </a:rPr>
            <a:t>Sources : INSEE-DGI, enquêtes Revenus fiscaux rétropolées de 1996 à 2004 ; INSEE-DGFiP-CNAF-CNAV-CCMSA, enquêtes Revenus fiscaux et sociaux de 2005 à 2012.</a:t>
          </a:r>
        </a:p>
      </xdr:txBody>
    </xdr:sp>
    <xdr:clientData/>
  </xdr:twoCellAnchor>
  <xdr:twoCellAnchor>
    <xdr:from>
      <xdr:col>2</xdr:col>
      <xdr:colOff>0</xdr:colOff>
      <xdr:row>15</xdr:row>
      <xdr:rowOff>0</xdr:rowOff>
    </xdr:from>
    <xdr:to>
      <xdr:col>9</xdr:col>
      <xdr:colOff>186150</xdr:colOff>
      <xdr:row>26</xdr:row>
      <xdr:rowOff>64500</xdr:rowOff>
    </xdr:to>
    <xdr:graphicFrame macro="">
      <xdr:nvGraphicFramePr>
        <xdr:cNvPr id="3" name="Graphique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1</xdr:col>
      <xdr:colOff>0</xdr:colOff>
      <xdr:row>16</xdr:row>
      <xdr:rowOff>28576</xdr:rowOff>
    </xdr:from>
    <xdr:to>
      <xdr:col>30</xdr:col>
      <xdr:colOff>285750</xdr:colOff>
      <xdr:row>20</xdr:row>
      <xdr:rowOff>123826</xdr:rowOff>
    </xdr:to>
    <xdr:sp macro="" textlink="">
      <xdr:nvSpPr>
        <xdr:cNvPr id="5" name="ZoneTexte 4">
          <a:extLst>
            <a:ext uri="{FF2B5EF4-FFF2-40B4-BE49-F238E27FC236}">
              <a16:creationId xmlns:a16="http://schemas.microsoft.com/office/drawing/2014/main" id="{00000000-0008-0000-0E00-000005000000}"/>
            </a:ext>
          </a:extLst>
        </xdr:cNvPr>
        <xdr:cNvSpPr txBox="1"/>
      </xdr:nvSpPr>
      <xdr:spPr>
        <a:xfrm>
          <a:off x="762000" y="3143251"/>
          <a:ext cx="15763875"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000" i="1">
              <a:solidFill>
                <a:schemeClr val="dk1"/>
              </a:solidFill>
              <a:effectLst/>
              <a:latin typeface="Times New Roman" panose="02020603050405020304" pitchFamily="18" charset="0"/>
              <a:ea typeface="+mn-ea"/>
              <a:cs typeface="Times New Roman" panose="02020603050405020304" pitchFamily="18" charset="0"/>
            </a:rPr>
            <a:t>Note : la pension moyenne relative par génération en projection est une estimation qu’il convient de regarder avec prudence ; en effet, certains régimes participant à l’actualisation des projections n’étant pas en mesure de projeter des résultats par génération, certaines informations ont été extrapolées à partir des pensions moyennes des nouveaux retraités année après année. Le taux de remplacement calculé comme le rapport de la pension à la liquidation (pension perçue en moyenne au cours des 12 premiers mois de la retraite) sur le dernier salaire, net de cotisations sociales (incluant CSG et CRDS), sous l’hypothèse d’un départ au taux plein (sans décote ni surcote) au titre de la durée validée (pour certaines générations, ce départ a lieu dans le cadre d’une retraite anticipée pour carrière longue). Pour l’AGIRC et l’ARRCO, les cotisations sont supposées réalisées au taux moyen et les rendements supposés constants à partir de 2015. </a:t>
          </a:r>
        </a:p>
        <a:p>
          <a:pPr marL="0" indent="0"/>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CALIPER (pour le cas type) ; projections COR – juin 2015 (pour la moyenne par génération).</a:t>
          </a:r>
        </a:p>
      </xdr:txBody>
    </xdr:sp>
    <xdr:clientData/>
  </xdr:twoCellAnchor>
  <xdr:twoCellAnchor>
    <xdr:from>
      <xdr:col>9</xdr:col>
      <xdr:colOff>47625</xdr:colOff>
      <xdr:row>27</xdr:row>
      <xdr:rowOff>9525</xdr:rowOff>
    </xdr:from>
    <xdr:to>
      <xdr:col>15</xdr:col>
      <xdr:colOff>112425</xdr:colOff>
      <xdr:row>38</xdr:row>
      <xdr:rowOff>74025</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26</xdr:row>
      <xdr:rowOff>180975</xdr:rowOff>
    </xdr:from>
    <xdr:to>
      <xdr:col>8</xdr:col>
      <xdr:colOff>64800</xdr:colOff>
      <xdr:row>38</xdr:row>
      <xdr:rowOff>54975</xdr:rowOff>
    </xdr:to>
    <xdr:graphicFrame macro="">
      <xdr:nvGraphicFramePr>
        <xdr:cNvPr id="6" name="Graphique 5">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1</xdr:col>
      <xdr:colOff>0</xdr:colOff>
      <xdr:row>11</xdr:row>
      <xdr:rowOff>190499</xdr:rowOff>
    </xdr:from>
    <xdr:to>
      <xdr:col>10</xdr:col>
      <xdr:colOff>38099</xdr:colOff>
      <xdr:row>17</xdr:row>
      <xdr:rowOff>38100</xdr:rowOff>
    </xdr:to>
    <xdr:sp macro="" textlink="">
      <xdr:nvSpPr>
        <xdr:cNvPr id="2" name="ZoneTexte 1">
          <a:extLst>
            <a:ext uri="{FF2B5EF4-FFF2-40B4-BE49-F238E27FC236}">
              <a16:creationId xmlns:a16="http://schemas.microsoft.com/office/drawing/2014/main" id="{00000000-0008-0000-0F00-000002000000}"/>
            </a:ext>
          </a:extLst>
        </xdr:cNvPr>
        <xdr:cNvSpPr txBox="1"/>
      </xdr:nvSpPr>
      <xdr:spPr>
        <a:xfrm>
          <a:off x="762000" y="2619374"/>
          <a:ext cx="6134099" cy="990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les cas types marqués en gras correspondent aux indicateurs du décret du 20 juin 2014. L’outil CALIPER de la DREES ne permet pas, à ce jour, de simuler le cas type n° 8 du COR (cas type de policier). Le cas type n° 2 est éligible à un départ anticipé à 60 ans, au titre des carrières longues.</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Pensions de base et complémentaires (y compris RAFP pour les cas types de fonctionnaires). </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CALIPER.</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0</xdr:colOff>
      <xdr:row>16</xdr:row>
      <xdr:rowOff>28575</xdr:rowOff>
    </xdr:from>
    <xdr:to>
      <xdr:col>25</xdr:col>
      <xdr:colOff>0</xdr:colOff>
      <xdr:row>19</xdr:row>
      <xdr:rowOff>19050</xdr:rowOff>
    </xdr:to>
    <xdr:sp macro="" textlink="">
      <xdr:nvSpPr>
        <xdr:cNvPr id="2" name="ZoneTexte 1">
          <a:extLst>
            <a:ext uri="{FF2B5EF4-FFF2-40B4-BE49-F238E27FC236}">
              <a16:creationId xmlns:a16="http://schemas.microsoft.com/office/drawing/2014/main" id="{00000000-0008-0000-1000-000002000000}"/>
            </a:ext>
          </a:extLst>
        </xdr:cNvPr>
        <xdr:cNvSpPr txBox="1"/>
      </xdr:nvSpPr>
      <xdr:spPr>
        <a:xfrm>
          <a:off x="762000" y="3590925"/>
          <a:ext cx="13192125"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pour le cas type né en 1940, (graphique de gauche) le montant de pension relatif au revenu d’activité moyen vaut, en moyenne sur toute la durée de retraite, 91,5 % de ce qu’il valait au moment de la liquidation des droits et (graphique de droite) la pension moyenne perçue sur l’ensemble de la durée de retraite représente 76,1 % du salaire moyen sur l’ensemble de la carrière.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CALIPER.</a:t>
          </a:r>
        </a:p>
      </xdr:txBody>
    </xdr:sp>
    <xdr:clientData/>
  </xdr:twoCellAnchor>
  <xdr:twoCellAnchor>
    <xdr:from>
      <xdr:col>2</xdr:col>
      <xdr:colOff>0</xdr:colOff>
      <xdr:row>22</xdr:row>
      <xdr:rowOff>0</xdr:rowOff>
    </xdr:from>
    <xdr:to>
      <xdr:col>8</xdr:col>
      <xdr:colOff>64800</xdr:colOff>
      <xdr:row>33</xdr:row>
      <xdr:rowOff>64500</xdr:rowOff>
    </xdr:to>
    <xdr:graphicFrame macro="">
      <xdr:nvGraphicFramePr>
        <xdr:cNvPr id="4" name="Graphique 3">
          <a:extLst>
            <a:ext uri="{FF2B5EF4-FFF2-40B4-BE49-F238E27FC236}">
              <a16:creationId xmlns:a16="http://schemas.microsoft.com/office/drawing/2014/main" id="{00000000-0008-0000-1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22</xdr:row>
      <xdr:rowOff>0</xdr:rowOff>
    </xdr:from>
    <xdr:to>
      <xdr:col>15</xdr:col>
      <xdr:colOff>64800</xdr:colOff>
      <xdr:row>33</xdr:row>
      <xdr:rowOff>64500</xdr:rowOff>
    </xdr:to>
    <xdr:graphicFrame macro="">
      <xdr:nvGraphicFramePr>
        <xdr:cNvPr id="5" name="Graphique 4">
          <a:extLst>
            <a:ext uri="{FF2B5EF4-FFF2-40B4-BE49-F238E27FC236}">
              <a16:creationId xmlns:a16="http://schemas.microsoft.com/office/drawing/2014/main" id="{00000000-0008-0000-1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1</xdr:col>
      <xdr:colOff>0</xdr:colOff>
      <xdr:row>7</xdr:row>
      <xdr:rowOff>0</xdr:rowOff>
    </xdr:from>
    <xdr:to>
      <xdr:col>12</xdr:col>
      <xdr:colOff>571500</xdr:colOff>
      <xdr:row>11</xdr:row>
      <xdr:rowOff>152400</xdr:rowOff>
    </xdr:to>
    <xdr:sp macro="" textlink="">
      <xdr:nvSpPr>
        <xdr:cNvPr id="2" name="ZoneTexte 1">
          <a:extLst>
            <a:ext uri="{FF2B5EF4-FFF2-40B4-BE49-F238E27FC236}">
              <a16:creationId xmlns:a16="http://schemas.microsoft.com/office/drawing/2014/main" id="{00000000-0008-0000-1100-000002000000}"/>
            </a:ext>
          </a:extLst>
        </xdr:cNvPr>
        <xdr:cNvSpPr txBox="1"/>
      </xdr:nvSpPr>
      <xdr:spPr>
        <a:xfrm>
          <a:off x="762000" y="1666875"/>
          <a:ext cx="916305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baseline="0">
              <a:solidFill>
                <a:schemeClr val="dk1"/>
              </a:solidFill>
              <a:effectLst/>
              <a:latin typeface="Times New Roman" panose="02020603050405020304" pitchFamily="18" charset="0"/>
              <a:ea typeface="+mn-ea"/>
              <a:cs typeface="Times New Roman" panose="02020603050405020304" pitchFamily="18" charset="0"/>
            </a:rPr>
            <a:t>Lecture : parmi la génération 1946, les 10 % de retraités ayant les pensions nettes les plus faibles perçoivent une pension nette inférieure à 48,7 % de la pension nette moyenne de la génération (droits directs uniquement).</a:t>
          </a:r>
        </a:p>
        <a:p>
          <a:r>
            <a:rPr lang="fr-FR" sz="1000" i="1" baseline="0">
              <a:solidFill>
                <a:schemeClr val="dk1"/>
              </a:solidFill>
              <a:effectLst/>
              <a:latin typeface="Times New Roman" panose="02020603050405020304" pitchFamily="18" charset="0"/>
              <a:ea typeface="+mn-ea"/>
              <a:cs typeface="Times New Roman" panose="02020603050405020304" pitchFamily="18" charset="0"/>
            </a:rPr>
            <a:t>Note : pondérations non corrigées de la mortalité différentielle. </a:t>
          </a:r>
        </a:p>
        <a:p>
          <a:r>
            <a:rPr lang="fr-FR" sz="1000" i="1" baseline="0">
              <a:solidFill>
                <a:schemeClr val="dk1"/>
              </a:solidFill>
              <a:effectLst/>
              <a:latin typeface="Times New Roman" panose="02020603050405020304" pitchFamily="18" charset="0"/>
              <a:ea typeface="+mn-ea"/>
              <a:cs typeface="Times New Roman" panose="02020603050405020304" pitchFamily="18" charset="0"/>
            </a:rPr>
            <a:t>Champ : retraités de droit direct à carrière complète, résidents en France ou à l’étranger, vivants au 31 décembre 2012. </a:t>
          </a:r>
        </a:p>
        <a:p>
          <a:r>
            <a:rPr lang="fr-FR" sz="1000" i="1" baseline="0">
              <a:solidFill>
                <a:schemeClr val="dk1"/>
              </a:solidFill>
              <a:effectLst/>
              <a:latin typeface="Times New Roman" panose="02020603050405020304" pitchFamily="18" charset="0"/>
              <a:ea typeface="+mn-ea"/>
              <a:cs typeface="Times New Roman" panose="02020603050405020304" pitchFamily="18" charset="0"/>
            </a:rPr>
            <a:t>Source : DREES, d’après les données de l’échantillon interrégimes de retraités (EIR) de 2012.</a:t>
          </a:r>
        </a:p>
      </xdr:txBody>
    </xdr:sp>
    <xdr:clientData/>
  </xdr:twoCellAnchor>
  <xdr:twoCellAnchor>
    <xdr:from>
      <xdr:col>2</xdr:col>
      <xdr:colOff>323850</xdr:colOff>
      <xdr:row>12</xdr:row>
      <xdr:rowOff>123825</xdr:rowOff>
    </xdr:from>
    <xdr:to>
      <xdr:col>6</xdr:col>
      <xdr:colOff>155850</xdr:colOff>
      <xdr:row>23</xdr:row>
      <xdr:rowOff>85725</xdr:rowOff>
    </xdr:to>
    <xdr:graphicFrame macro="">
      <xdr:nvGraphicFramePr>
        <xdr:cNvPr id="3" name="Graphique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1</xdr:col>
      <xdr:colOff>2619375</xdr:colOff>
      <xdr:row>12</xdr:row>
      <xdr:rowOff>180974</xdr:rowOff>
    </xdr:from>
    <xdr:to>
      <xdr:col>9</xdr:col>
      <xdr:colOff>9525</xdr:colOff>
      <xdr:row>24</xdr:row>
      <xdr:rowOff>9525</xdr:rowOff>
    </xdr:to>
    <xdr:graphicFrame macro="">
      <xdr:nvGraphicFramePr>
        <xdr:cNvPr id="2" name="Graphique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1</xdr:rowOff>
    </xdr:from>
    <xdr:to>
      <xdr:col>15</xdr:col>
      <xdr:colOff>123824</xdr:colOff>
      <xdr:row>12</xdr:row>
      <xdr:rowOff>57151</xdr:rowOff>
    </xdr:to>
    <xdr:sp macro="" textlink="">
      <xdr:nvSpPr>
        <xdr:cNvPr id="4" name="ZoneTexte 3">
          <a:extLst>
            <a:ext uri="{FF2B5EF4-FFF2-40B4-BE49-F238E27FC236}">
              <a16:creationId xmlns:a16="http://schemas.microsoft.com/office/drawing/2014/main" id="{00000000-0008-0000-1200-000004000000}"/>
            </a:ext>
          </a:extLst>
        </xdr:cNvPr>
        <xdr:cNvSpPr txBox="1"/>
      </xdr:nvSpPr>
      <xdr:spPr>
        <a:xfrm>
          <a:off x="0" y="1952626"/>
          <a:ext cx="8743949"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voir figure 2.14. Au taux réduit de CSG.</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CALIPER.</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0</xdr:colOff>
      <xdr:row>11</xdr:row>
      <xdr:rowOff>38100</xdr:rowOff>
    </xdr:from>
    <xdr:to>
      <xdr:col>12</xdr:col>
      <xdr:colOff>0</xdr:colOff>
      <xdr:row>15</xdr:row>
      <xdr:rowOff>133350</xdr:rowOff>
    </xdr:to>
    <xdr:sp macro="" textlink="">
      <xdr:nvSpPr>
        <xdr:cNvPr id="2" name="ZoneTexte 1">
          <a:extLst>
            <a:ext uri="{FF2B5EF4-FFF2-40B4-BE49-F238E27FC236}">
              <a16:creationId xmlns:a16="http://schemas.microsoft.com/office/drawing/2014/main" id="{00000000-0008-0000-1300-000002000000}"/>
            </a:ext>
          </a:extLst>
        </xdr:cNvPr>
        <xdr:cNvSpPr txBox="1"/>
      </xdr:nvSpPr>
      <xdr:spPr>
        <a:xfrm>
          <a:off x="762000" y="2266950"/>
          <a:ext cx="10296525"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l’espérance de vie est calculée par génération, comme : 60 + espérance de vie à 60 ans (selon l’hypothèse que l’assuré atteint l’âge de la retraite, et ne décède donc pas avant 60 ans). Les scénarios de mortalité des projections démographiques de l’INSEE sont extrapolés sous hypothèse de poursuite de la baisse de la mortalité au-delà de 2060. Pour le cas type, l’âge de départ à la retraite correspond à un départ au taux plein sans décote ni surcote, éventuellement dans le cadre du dispositif de retraite anticipée pour carrière longue (générations 1952 à 1967). </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de droit directs, résidents en France, hors effets du compte pénibilité.</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CALIPER (cas type) et modèle ANCETRE (moyenne par génération) ; INSEE, projections de population 2007-2060 ; projections COR – juin 2015.</a:t>
          </a:r>
        </a:p>
      </xdr:txBody>
    </xdr:sp>
    <xdr:clientData/>
  </xdr:twoCellAnchor>
  <xdr:twoCellAnchor>
    <xdr:from>
      <xdr:col>7</xdr:col>
      <xdr:colOff>9525</xdr:colOff>
      <xdr:row>20</xdr:row>
      <xdr:rowOff>171450</xdr:rowOff>
    </xdr:from>
    <xdr:to>
      <xdr:col>10</xdr:col>
      <xdr:colOff>567525</xdr:colOff>
      <xdr:row>32</xdr:row>
      <xdr:rowOff>45450</xdr:rowOff>
    </xdr:to>
    <xdr:graphicFrame macro="">
      <xdr:nvGraphicFramePr>
        <xdr:cNvPr id="5" name="Graphique 4">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21</xdr:row>
      <xdr:rowOff>38100</xdr:rowOff>
    </xdr:from>
    <xdr:to>
      <xdr:col>5</xdr:col>
      <xdr:colOff>577050</xdr:colOff>
      <xdr:row>32</xdr:row>
      <xdr:rowOff>102600</xdr:rowOff>
    </xdr:to>
    <xdr:graphicFrame macro="">
      <xdr:nvGraphicFramePr>
        <xdr:cNvPr id="4" name="Graphique 3">
          <a:extLst>
            <a:ext uri="{FF2B5EF4-FFF2-40B4-BE49-F238E27FC236}">
              <a16:creationId xmlns:a16="http://schemas.microsoft.com/office/drawing/2014/main" id="{00000000-0008-0000-1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0</xdr:col>
      <xdr:colOff>761999</xdr:colOff>
      <xdr:row>11</xdr:row>
      <xdr:rowOff>0</xdr:rowOff>
    </xdr:from>
    <xdr:to>
      <xdr:col>13</xdr:col>
      <xdr:colOff>28574</xdr:colOff>
      <xdr:row>14</xdr:row>
      <xdr:rowOff>28575</xdr:rowOff>
    </xdr:to>
    <xdr:sp macro="" textlink="">
      <xdr:nvSpPr>
        <xdr:cNvPr id="2" name="ZoneTexte 1">
          <a:extLst>
            <a:ext uri="{FF2B5EF4-FFF2-40B4-BE49-F238E27FC236}">
              <a16:creationId xmlns:a16="http://schemas.microsoft.com/office/drawing/2014/main" id="{00000000-0008-0000-1400-000002000000}"/>
            </a:ext>
          </a:extLst>
        </xdr:cNvPr>
        <xdr:cNvSpPr txBox="1"/>
      </xdr:nvSpPr>
      <xdr:spPr>
        <a:xfrm>
          <a:off x="761999" y="2228850"/>
          <a:ext cx="10277475"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voir figure 2.19.</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de droit directs, résidents en France, hors effets du compte pénibilité.</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CALIPER (cas type) et modèle ANCETRE (moyenne par génération) ; INSEE, projections de population 2007-2060 ; projections COR – juin 2015.</a:t>
          </a:r>
        </a:p>
      </xdr:txBody>
    </xdr:sp>
    <xdr:clientData/>
  </xdr:twoCellAnchor>
  <xdr:twoCellAnchor>
    <xdr:from>
      <xdr:col>6</xdr:col>
      <xdr:colOff>9525</xdr:colOff>
      <xdr:row>19</xdr:row>
      <xdr:rowOff>180975</xdr:rowOff>
    </xdr:from>
    <xdr:to>
      <xdr:col>9</xdr:col>
      <xdr:colOff>567525</xdr:colOff>
      <xdr:row>31</xdr:row>
      <xdr:rowOff>54975</xdr:rowOff>
    </xdr:to>
    <xdr:graphicFrame macro="">
      <xdr:nvGraphicFramePr>
        <xdr:cNvPr id="3" name="Graphique 2">
          <a:extLst>
            <a:ext uri="{FF2B5EF4-FFF2-40B4-BE49-F238E27FC236}">
              <a16:creationId xmlns:a16="http://schemas.microsoft.com/office/drawing/2014/main" id="{00000000-0008-0000-1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20</xdr:row>
      <xdr:rowOff>0</xdr:rowOff>
    </xdr:from>
    <xdr:to>
      <xdr:col>5</xdr:col>
      <xdr:colOff>567525</xdr:colOff>
      <xdr:row>31</xdr:row>
      <xdr:rowOff>64500</xdr:rowOff>
    </xdr:to>
    <xdr:graphicFrame macro="">
      <xdr:nvGraphicFramePr>
        <xdr:cNvPr id="4" name="Graphique 3">
          <a:extLst>
            <a:ext uri="{FF2B5EF4-FFF2-40B4-BE49-F238E27FC236}">
              <a16:creationId xmlns:a16="http://schemas.microsoft.com/office/drawing/2014/main" id="{00000000-0008-0000-1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1</xdr:col>
      <xdr:colOff>0</xdr:colOff>
      <xdr:row>8</xdr:row>
      <xdr:rowOff>1</xdr:rowOff>
    </xdr:from>
    <xdr:to>
      <xdr:col>15</xdr:col>
      <xdr:colOff>123824</xdr:colOff>
      <xdr:row>12</xdr:row>
      <xdr:rowOff>19051</xdr:rowOff>
    </xdr:to>
    <xdr:sp macro="" textlink="">
      <xdr:nvSpPr>
        <xdr:cNvPr id="3" name="ZoneTexte 2">
          <a:extLst>
            <a:ext uri="{FF2B5EF4-FFF2-40B4-BE49-F238E27FC236}">
              <a16:creationId xmlns:a16="http://schemas.microsoft.com/office/drawing/2014/main" id="{00000000-0008-0000-1500-000003000000}"/>
            </a:ext>
          </a:extLst>
        </xdr:cNvPr>
        <xdr:cNvSpPr txBox="1"/>
      </xdr:nvSpPr>
      <xdr:spPr>
        <a:xfrm>
          <a:off x="762000" y="1562101"/>
          <a:ext cx="8743949"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pour la génération 1953, le taux de cotisation est, en moyenne sur l’ensemble de la carrière, de 23,8 %.</a:t>
          </a:r>
        </a:p>
        <a:p>
          <a:r>
            <a:rPr lang="fr-FR" sz="1000" i="1">
              <a:solidFill>
                <a:schemeClr val="dk1"/>
              </a:solidFill>
              <a:effectLst/>
              <a:latin typeface="Times New Roman" panose="02020603050405020304" pitchFamily="18" charset="0"/>
              <a:ea typeface="+mn-ea"/>
              <a:cs typeface="Times New Roman" panose="02020603050405020304" pitchFamily="18" charset="0"/>
            </a:rPr>
            <a:t>Note : cotisation à l’ARRCO au taux moyen (légèrement supérieur au taux minimal obligatoire : par exemple, taux effectif – y compris taux d’appel – de 8,25 % au lieu de 7,63 % en 2014).</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CALIPER.</a:t>
          </a:r>
        </a:p>
      </xdr:txBody>
    </xdr:sp>
    <xdr:clientData/>
  </xdr:twoCellAnchor>
  <xdr:twoCellAnchor>
    <xdr:from>
      <xdr:col>2</xdr:col>
      <xdr:colOff>0</xdr:colOff>
      <xdr:row>14</xdr:row>
      <xdr:rowOff>0</xdr:rowOff>
    </xdr:from>
    <xdr:to>
      <xdr:col>8</xdr:col>
      <xdr:colOff>64800</xdr:colOff>
      <xdr:row>25</xdr:row>
      <xdr:rowOff>64500</xdr:rowOff>
    </xdr:to>
    <xdr:graphicFrame macro="">
      <xdr:nvGraphicFramePr>
        <xdr:cNvPr id="5" name="Graphique 4">
          <a:extLst>
            <a:ext uri="{FF2B5EF4-FFF2-40B4-BE49-F238E27FC236}">
              <a16:creationId xmlns:a16="http://schemas.microsoft.com/office/drawing/2014/main" id="{00000000-0008-0000-1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1</xdr:col>
      <xdr:colOff>0</xdr:colOff>
      <xdr:row>10</xdr:row>
      <xdr:rowOff>190499</xdr:rowOff>
    </xdr:from>
    <xdr:to>
      <xdr:col>10</xdr:col>
      <xdr:colOff>190500</xdr:colOff>
      <xdr:row>15</xdr:row>
      <xdr:rowOff>104774</xdr:rowOff>
    </xdr:to>
    <xdr:sp macro="" textlink="">
      <xdr:nvSpPr>
        <xdr:cNvPr id="2" name="ZoneTexte 1">
          <a:extLst>
            <a:ext uri="{FF2B5EF4-FFF2-40B4-BE49-F238E27FC236}">
              <a16:creationId xmlns:a16="http://schemas.microsoft.com/office/drawing/2014/main" id="{00000000-0008-0000-1600-000002000000}"/>
            </a:ext>
          </a:extLst>
        </xdr:cNvPr>
        <xdr:cNvSpPr txBox="1"/>
      </xdr:nvSpPr>
      <xdr:spPr>
        <a:xfrm>
          <a:off x="762000" y="2228849"/>
          <a:ext cx="8153400"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voir figure 2.19 pour le calcul de la durée de vie totale. Les durées de carrière moyennes par génération correspondent à la durée d'assurance validée tous régimes, calculée sur le champ de l'ensemble des retraités jusqu'à la génération 1942, et sur le champ des retraités de la CNAV à partir de la génération 1944.</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CALIPER (cas type) et EIR 2008 (moyenne par génération, jusqu'à la génération 1942) ; INSEE, projections de population 2007-2060 ; projections CNAV (moyenne par génération à partir de la génération 1944, hors effets du compte pénibilité).</a:t>
          </a:r>
        </a:p>
      </xdr:txBody>
    </xdr:sp>
    <xdr:clientData/>
  </xdr:twoCellAnchor>
  <xdr:twoCellAnchor>
    <xdr:from>
      <xdr:col>6</xdr:col>
      <xdr:colOff>9525</xdr:colOff>
      <xdr:row>20</xdr:row>
      <xdr:rowOff>9525</xdr:rowOff>
    </xdr:from>
    <xdr:to>
      <xdr:col>9</xdr:col>
      <xdr:colOff>567525</xdr:colOff>
      <xdr:row>31</xdr:row>
      <xdr:rowOff>74025</xdr:rowOff>
    </xdr:to>
    <xdr:graphicFrame macro="">
      <xdr:nvGraphicFramePr>
        <xdr:cNvPr id="3" name="Graphique 2">
          <a:extLst>
            <a:ext uri="{FF2B5EF4-FFF2-40B4-BE49-F238E27FC236}">
              <a16:creationId xmlns:a16="http://schemas.microsoft.com/office/drawing/2014/main" i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20</xdr:row>
      <xdr:rowOff>0</xdr:rowOff>
    </xdr:from>
    <xdr:to>
      <xdr:col>5</xdr:col>
      <xdr:colOff>558000</xdr:colOff>
      <xdr:row>31</xdr:row>
      <xdr:rowOff>64500</xdr:rowOff>
    </xdr:to>
    <xdr:graphicFrame macro="">
      <xdr:nvGraphicFramePr>
        <xdr:cNvPr id="5" name="Graphique 4">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1</xdr:col>
      <xdr:colOff>38100</xdr:colOff>
      <xdr:row>89</xdr:row>
      <xdr:rowOff>57150</xdr:rowOff>
    </xdr:from>
    <xdr:to>
      <xdr:col>8</xdr:col>
      <xdr:colOff>286800</xdr:colOff>
      <xdr:row>104</xdr:row>
      <xdr:rowOff>79650</xdr:rowOff>
    </xdr:to>
    <xdr:graphicFrame macro="">
      <xdr:nvGraphicFramePr>
        <xdr:cNvPr id="2" name="Graphique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78</xdr:row>
      <xdr:rowOff>95249</xdr:rowOff>
    </xdr:from>
    <xdr:to>
      <xdr:col>10</xdr:col>
      <xdr:colOff>523875</xdr:colOff>
      <xdr:row>87</xdr:row>
      <xdr:rowOff>1</xdr:rowOff>
    </xdr:to>
    <xdr:sp macro="" textlink="">
      <xdr:nvSpPr>
        <xdr:cNvPr id="3" name="ZoneTexte 2">
          <a:extLst>
            <a:ext uri="{FF2B5EF4-FFF2-40B4-BE49-F238E27FC236}">
              <a16:creationId xmlns:a16="http://schemas.microsoft.com/office/drawing/2014/main" id="{00000000-0008-0000-1700-000003000000}"/>
            </a:ext>
          </a:extLst>
        </xdr:cNvPr>
        <xdr:cNvSpPr txBox="1"/>
      </xdr:nvSpPr>
      <xdr:spPr>
        <a:xfrm>
          <a:off x="809625" y="15830549"/>
          <a:ext cx="8629650" cy="16192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en 2013, le montant moyen des pensions (y compris majorations et réversions) parmi l’ensemble des femmes retraitées de droit direct représente 74,8 % du montant moyen des pensions parmi l’ensemble des hommes retraités. Selon les projections du COR (graphique du bas), ce rapport augmenterait pour atteindre 85,1 % en 2060 dans le scénario B.</a:t>
          </a:r>
        </a:p>
        <a:p>
          <a:r>
            <a:rPr lang="fr-FR" sz="1000" i="1">
              <a:latin typeface="Times New Roman" panose="02020603050405020304" pitchFamily="18" charset="0"/>
              <a:cs typeface="Times New Roman" panose="02020603050405020304" pitchFamily="18" charset="0"/>
            </a:rPr>
            <a:t>Note : pour les années 2012 et 2013, le modèle ANCETRE est basé sur les données de l'EIR 2012. Dans le premier rapport annuel du COR, les résultats du modèle ANCETRE pour l'année 2012 étaient encore basés sur les données de l'EIR 2008. Par conséquent, les résultats présentés ici pour l'année 2012 ou la génération 1947 ont été révisés par rapport à ceux présentés dans le premier rapport annuel du COR.</a:t>
          </a:r>
        </a:p>
        <a:p>
          <a:r>
            <a:rPr lang="fr-FR" sz="1000" i="1">
              <a:latin typeface="Times New Roman" panose="02020603050405020304" pitchFamily="18" charset="0"/>
              <a:cs typeface="Times New Roman" panose="02020603050405020304" pitchFamily="18" charset="0"/>
            </a:rPr>
            <a:t>Champ : retraités percevant un droit direct (résidant en France ou à l’étranger).</a:t>
          </a:r>
        </a:p>
        <a:p>
          <a:r>
            <a:rPr lang="fr-FR" sz="1000" i="1">
              <a:latin typeface="Times New Roman" panose="02020603050405020304" pitchFamily="18" charset="0"/>
              <a:cs typeface="Times New Roman" panose="02020603050405020304" pitchFamily="18" charset="0"/>
            </a:rPr>
            <a:t>Sources : pour les générations 1939 à 1948 et les années 2004 à 2013, DREES, modèle ANCETRE ; pour les générations 1924 à 1938, Aubert P., « Les écarts de niveaux de pension de retraite entre générations », dossier Solidarité et Santé, n° 33, DREES 2012 (graphique 1, p. 5) ; pour les années 2014 à 2060 : projections COR – juin 2015.</a:t>
          </a:r>
        </a:p>
      </xdr:txBody>
    </xdr:sp>
    <xdr:clientData/>
  </xdr:twoCellAnchor>
  <xdr:twoCellAnchor>
    <xdr:from>
      <xdr:col>1</xdr:col>
      <xdr:colOff>0</xdr:colOff>
      <xdr:row>152</xdr:row>
      <xdr:rowOff>0</xdr:rowOff>
    </xdr:from>
    <xdr:to>
      <xdr:col>18</xdr:col>
      <xdr:colOff>361950</xdr:colOff>
      <xdr:row>154</xdr:row>
      <xdr:rowOff>114300</xdr:rowOff>
    </xdr:to>
    <xdr:sp macro="" textlink="">
      <xdr:nvSpPr>
        <xdr:cNvPr id="4" name="ZoneTexte 3">
          <a:extLst>
            <a:ext uri="{FF2B5EF4-FFF2-40B4-BE49-F238E27FC236}">
              <a16:creationId xmlns:a16="http://schemas.microsoft.com/office/drawing/2014/main" id="{00000000-0008-0000-1700-000004000000}"/>
            </a:ext>
          </a:extLst>
        </xdr:cNvPr>
        <xdr:cNvSpPr txBox="1"/>
      </xdr:nvSpPr>
      <xdr:spPr>
        <a:xfrm>
          <a:off x="762000" y="29851350"/>
          <a:ext cx="1457325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latin typeface="Times New Roman" panose="02020603050405020304" pitchFamily="18" charset="0"/>
              <a:ea typeface="+mn-ea"/>
              <a:cs typeface="Times New Roman" panose="02020603050405020304" pitchFamily="18" charset="0"/>
            </a:rPr>
            <a:t>Champ : résident en France, retraités de droit direct de l’ensemble des régimes de retraite français légalement obligatoires</a:t>
          </a:r>
          <a:r>
            <a:rPr lang="fr-FR" sz="1100" i="1">
              <a:solidFill>
                <a:schemeClr val="dk1"/>
              </a:solidFill>
              <a:effectLst/>
              <a:latin typeface="+mn-lt"/>
              <a:ea typeface="+mn-ea"/>
              <a:cs typeface="+mn-cs"/>
            </a:rPr>
            <a:t>. </a:t>
          </a:r>
          <a:endParaRPr lang="fr-FR" sz="1100">
            <a:solidFill>
              <a:schemeClr val="dk1"/>
            </a:solidFill>
            <a:effectLst/>
            <a:latin typeface="+mn-lt"/>
            <a:ea typeface="+mn-ea"/>
            <a:cs typeface="+mn-cs"/>
          </a:endParaRPr>
        </a:p>
        <a:p>
          <a:r>
            <a:rPr lang="fr-FR" sz="1000" i="1">
              <a:solidFill>
                <a:schemeClr val="dk1"/>
              </a:solidFill>
              <a:latin typeface="Times New Roman" panose="02020603050405020304" pitchFamily="18" charset="0"/>
              <a:ea typeface="+mn-ea"/>
              <a:cs typeface="Times New Roman" panose="02020603050405020304" pitchFamily="18" charset="0"/>
            </a:rPr>
            <a:t>Source : projections COR - juin</a:t>
          </a:r>
          <a:r>
            <a:rPr lang="fr-FR" sz="1000" i="1" baseline="0">
              <a:solidFill>
                <a:schemeClr val="dk1"/>
              </a:solidFill>
              <a:latin typeface="Times New Roman" panose="02020603050405020304" pitchFamily="18" charset="0"/>
              <a:ea typeface="+mn-ea"/>
              <a:cs typeface="Times New Roman" panose="02020603050405020304" pitchFamily="18" charset="0"/>
            </a:rPr>
            <a:t> 2015</a:t>
          </a:r>
          <a:r>
            <a:rPr lang="fr-FR" sz="1000" i="1">
              <a:solidFill>
                <a:schemeClr val="dk1"/>
              </a:solidFill>
              <a:latin typeface="Times New Roman" panose="02020603050405020304" pitchFamily="18" charset="0"/>
              <a:ea typeface="+mn-ea"/>
              <a:cs typeface="Times New Roman" panose="02020603050405020304" pitchFamily="18" charset="0"/>
            </a:rPr>
            <a:t>.</a:t>
          </a:r>
        </a:p>
      </xdr:txBody>
    </xdr:sp>
    <xdr:clientData/>
  </xdr:twoCellAnchor>
  <xdr:twoCellAnchor>
    <xdr:from>
      <xdr:col>8</xdr:col>
      <xdr:colOff>361949</xdr:colOff>
      <xdr:row>89</xdr:row>
      <xdr:rowOff>66674</xdr:rowOff>
    </xdr:from>
    <xdr:to>
      <xdr:col>16</xdr:col>
      <xdr:colOff>25949</xdr:colOff>
      <xdr:row>100</xdr:row>
      <xdr:rowOff>131174</xdr:rowOff>
    </xdr:to>
    <xdr:graphicFrame macro="">
      <xdr:nvGraphicFramePr>
        <xdr:cNvPr id="5" name="Graphique 4">
          <a:extLst>
            <a:ext uri="{FF2B5EF4-FFF2-40B4-BE49-F238E27FC236}">
              <a16:creationId xmlns:a16="http://schemas.microsoft.com/office/drawing/2014/main" id="{00000000-0008-0000-1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1.xml><?xml version="1.0" encoding="utf-8"?>
<c:userShapes xmlns:c="http://schemas.openxmlformats.org/drawingml/2006/chart">
  <cdr:relSizeAnchor xmlns:cdr="http://schemas.openxmlformats.org/drawingml/2006/chartDrawing">
    <cdr:from>
      <cdr:x>0.86821</cdr:x>
      <cdr:y>0.51295</cdr:y>
    </cdr:from>
    <cdr:to>
      <cdr:x>1</cdr:x>
      <cdr:y>0.61172</cdr:y>
    </cdr:to>
    <cdr:sp macro="" textlink="">
      <cdr:nvSpPr>
        <cdr:cNvPr id="2" name="ZoneTexte 1"/>
        <cdr:cNvSpPr txBox="1"/>
      </cdr:nvSpPr>
      <cdr:spPr>
        <a:xfrm xmlns:a="http://schemas.openxmlformats.org/drawingml/2006/main">
          <a:off x="5124939" y="1455987"/>
          <a:ext cx="777936" cy="2803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b="1"/>
            <a:t>génération</a:t>
          </a:r>
        </a:p>
      </cdr:txBody>
    </cdr:sp>
  </cdr:relSizeAnchor>
  <cdr:relSizeAnchor xmlns:cdr="http://schemas.openxmlformats.org/drawingml/2006/chartDrawing">
    <cdr:from>
      <cdr:x>0.87478</cdr:x>
      <cdr:y>0.7914</cdr:y>
    </cdr:from>
    <cdr:to>
      <cdr:x>1</cdr:x>
      <cdr:y>0.89018</cdr:y>
    </cdr:to>
    <cdr:sp macro="" textlink="">
      <cdr:nvSpPr>
        <cdr:cNvPr id="3" name="ZoneTexte 1"/>
        <cdr:cNvSpPr txBox="1"/>
      </cdr:nvSpPr>
      <cdr:spPr>
        <a:xfrm xmlns:a="http://schemas.openxmlformats.org/drawingml/2006/main">
          <a:off x="5038725" y="2136774"/>
          <a:ext cx="721275" cy="2667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900" b="1"/>
            <a:t>année</a:t>
          </a:r>
        </a:p>
      </cdr:txBody>
    </cdr:sp>
  </cdr:relSizeAnchor>
  <cdr:relSizeAnchor xmlns:cdr="http://schemas.openxmlformats.org/drawingml/2006/chartDrawing">
    <cdr:from>
      <cdr:x>0.86006</cdr:x>
      <cdr:y>0.57383</cdr:y>
    </cdr:from>
    <cdr:to>
      <cdr:x>0.89395</cdr:x>
      <cdr:y>0.63423</cdr:y>
    </cdr:to>
    <cdr:cxnSp macro="">
      <cdr:nvCxnSpPr>
        <cdr:cNvPr id="5" name="Connecteur droit avec flèche 4">
          <a:extLst xmlns:a="http://schemas.openxmlformats.org/drawingml/2006/main">
            <a:ext uri="{FF2B5EF4-FFF2-40B4-BE49-F238E27FC236}">
              <a16:creationId xmlns:a16="http://schemas.microsoft.com/office/drawing/2014/main" id="{6FFFFC03-9CE4-460E-576C-15B4007DD1A8}"/>
            </a:ext>
          </a:extLst>
        </cdr:cNvPr>
        <cdr:cNvCxnSpPr/>
      </cdr:nvCxnSpPr>
      <cdr:spPr>
        <a:xfrm xmlns:a="http://schemas.openxmlformats.org/drawingml/2006/main" flipH="1">
          <a:off x="5076826" y="1628775"/>
          <a:ext cx="200025" cy="171450"/>
        </a:xfrm>
        <a:prstGeom xmlns:a="http://schemas.openxmlformats.org/drawingml/2006/main" prst="straightConnector1">
          <a:avLst/>
        </a:prstGeom>
        <a:ln xmlns:a="http://schemas.openxmlformats.org/drawingml/2006/main">
          <a:solidFill>
            <a:sysClr val="windowText" lastClr="000000"/>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0.87974</cdr:x>
      <cdr:y>0.74436</cdr:y>
    </cdr:from>
    <cdr:to>
      <cdr:x>0.90454</cdr:x>
      <cdr:y>0.80433</cdr:y>
    </cdr:to>
    <cdr:cxnSp macro="">
      <cdr:nvCxnSpPr>
        <cdr:cNvPr id="7" name="Connecteur droit avec flèche 6">
          <a:extLst xmlns:a="http://schemas.openxmlformats.org/drawingml/2006/main">
            <a:ext uri="{FF2B5EF4-FFF2-40B4-BE49-F238E27FC236}">
              <a16:creationId xmlns:a16="http://schemas.microsoft.com/office/drawing/2014/main" id="{036D37C1-29ED-4562-358A-C5601CA85ED9}"/>
            </a:ext>
          </a:extLst>
        </cdr:cNvPr>
        <cdr:cNvCxnSpPr/>
      </cdr:nvCxnSpPr>
      <cdr:spPr>
        <a:xfrm xmlns:a="http://schemas.openxmlformats.org/drawingml/2006/main" flipH="1" flipV="1">
          <a:off x="5067300" y="2009775"/>
          <a:ext cx="142875" cy="161925"/>
        </a:xfrm>
        <a:prstGeom xmlns:a="http://schemas.openxmlformats.org/drawingml/2006/main" prst="straightConnector1">
          <a:avLst/>
        </a:prstGeom>
        <a:ln xmlns:a="http://schemas.openxmlformats.org/drawingml/2006/main">
          <a:solidFill>
            <a:sysClr val="windowText" lastClr="000000"/>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0.12788</cdr:x>
      <cdr:y>0.07962</cdr:y>
    </cdr:from>
    <cdr:to>
      <cdr:x>0.63881</cdr:x>
      <cdr:y>0.57973</cdr:y>
    </cdr:to>
    <cdr:sp macro="" textlink="">
      <cdr:nvSpPr>
        <cdr:cNvPr id="11" name="Rectangle 10"/>
        <cdr:cNvSpPr/>
      </cdr:nvSpPr>
      <cdr:spPr>
        <a:xfrm xmlns:a="http://schemas.openxmlformats.org/drawingml/2006/main">
          <a:off x="816099" y="238125"/>
          <a:ext cx="3260602" cy="1495760"/>
        </a:xfrm>
        <a:prstGeom xmlns:a="http://schemas.openxmlformats.org/drawingml/2006/main" prst="rect">
          <a:avLst/>
        </a:prstGeom>
        <a:solidFill xmlns:a="http://schemas.openxmlformats.org/drawingml/2006/main">
          <a:schemeClr val="bg1">
            <a:lumMod val="6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fr-FR" sz="1100"/>
        </a:p>
      </cdr:txBody>
    </cdr:sp>
  </cdr:relSizeAnchor>
  <cdr:relSizeAnchor xmlns:cdr="http://schemas.openxmlformats.org/drawingml/2006/chartDrawing">
    <cdr:from>
      <cdr:x>0.10597</cdr:x>
      <cdr:y>0.00955</cdr:y>
    </cdr:from>
    <cdr:to>
      <cdr:x>0.66711</cdr:x>
      <cdr:y>0.07962</cdr:y>
    </cdr:to>
    <cdr:sp macro="" textlink="">
      <cdr:nvSpPr>
        <cdr:cNvPr id="12" name="ZoneTexte 5"/>
        <cdr:cNvSpPr txBox="1"/>
      </cdr:nvSpPr>
      <cdr:spPr>
        <a:xfrm xmlns:a="http://schemas.openxmlformats.org/drawingml/2006/main">
          <a:off x="676276" y="28575"/>
          <a:ext cx="3581054" cy="209550"/>
        </a:xfrm>
        <a:prstGeom xmlns:a="http://schemas.openxmlformats.org/drawingml/2006/main" prst="rect">
          <a:avLst/>
        </a:prstGeom>
        <a:solidFill xmlns:a="http://schemas.openxmlformats.org/drawingml/2006/main">
          <a:schemeClr val="bg1">
            <a:lumMod val="50000"/>
            <a:alpha val="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100" b="1">
              <a:solidFill>
                <a:schemeClr val="bg1">
                  <a:lumMod val="65000"/>
                </a:schemeClr>
              </a:solidFill>
            </a:rPr>
            <a:t>données rétropolées</a:t>
          </a:r>
        </a:p>
      </cdr:txBody>
    </cdr:sp>
  </cdr:relSizeAnchor>
</c:userShapes>
</file>

<file path=xl/drawings/drawing42.xml><?xml version="1.0" encoding="utf-8"?>
<c:userShapes xmlns:c="http://schemas.openxmlformats.org/drawingml/2006/chart">
  <cdr:relSizeAnchor xmlns:cdr="http://schemas.openxmlformats.org/drawingml/2006/chartDrawing">
    <cdr:from>
      <cdr:x>0.86982</cdr:x>
      <cdr:y>0.57437</cdr:y>
    </cdr:from>
    <cdr:to>
      <cdr:x>0.96904</cdr:x>
      <cdr:y>0.66366</cdr:y>
    </cdr:to>
    <cdr:sp macro="" textlink="">
      <cdr:nvSpPr>
        <cdr:cNvPr id="2" name="ZoneTexte 1"/>
        <cdr:cNvSpPr txBox="1"/>
      </cdr:nvSpPr>
      <cdr:spPr>
        <a:xfrm xmlns:a="http://schemas.openxmlformats.org/drawingml/2006/main">
          <a:off x="5010150" y="1240631"/>
          <a:ext cx="571501" cy="1928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fr-FR" sz="1000" b="1"/>
            <a:t>année</a:t>
          </a:r>
        </a:p>
      </cdr:txBody>
    </cdr:sp>
  </cdr:relSizeAnchor>
  <cdr:relSizeAnchor xmlns:cdr="http://schemas.openxmlformats.org/drawingml/2006/chartDrawing">
    <cdr:from>
      <cdr:x>0.26293</cdr:x>
      <cdr:y>0.11024</cdr:y>
    </cdr:from>
    <cdr:to>
      <cdr:x>0.96738</cdr:x>
      <cdr:y>0.66146</cdr:y>
    </cdr:to>
    <cdr:sp macro="" textlink="">
      <cdr:nvSpPr>
        <cdr:cNvPr id="3" name="Rectangle 2"/>
        <cdr:cNvSpPr/>
      </cdr:nvSpPr>
      <cdr:spPr>
        <a:xfrm xmlns:a="http://schemas.openxmlformats.org/drawingml/2006/main">
          <a:off x="1514476" y="238118"/>
          <a:ext cx="4057633" cy="1190636"/>
        </a:xfrm>
        <a:prstGeom xmlns:a="http://schemas.openxmlformats.org/drawingml/2006/main" prst="rect">
          <a:avLst/>
        </a:prstGeom>
        <a:solidFill xmlns:a="http://schemas.openxmlformats.org/drawingml/2006/main">
          <a:sysClr val="window" lastClr="FFFFFF">
            <a:lumMod val="65000"/>
            <a:alpha val="20000"/>
          </a:sys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pPr algn="l"/>
          <a:endParaRPr lang="fr-FR" sz="1100"/>
        </a:p>
      </cdr:txBody>
    </cdr:sp>
  </cdr:relSizeAnchor>
  <cdr:relSizeAnchor xmlns:cdr="http://schemas.openxmlformats.org/drawingml/2006/chartDrawing">
    <cdr:from>
      <cdr:x>0.22324</cdr:x>
      <cdr:y>0</cdr:y>
    </cdr:from>
    <cdr:to>
      <cdr:x>0.92467</cdr:x>
      <cdr:y>0.09343</cdr:y>
    </cdr:to>
    <cdr:sp macro="" textlink="">
      <cdr:nvSpPr>
        <cdr:cNvPr id="7" name="ZoneTexte 5"/>
        <cdr:cNvSpPr txBox="1"/>
      </cdr:nvSpPr>
      <cdr:spPr>
        <a:xfrm xmlns:a="http://schemas.openxmlformats.org/drawingml/2006/main">
          <a:off x="1285875" y="0"/>
          <a:ext cx="4040208" cy="201802"/>
        </a:xfrm>
        <a:prstGeom xmlns:a="http://schemas.openxmlformats.org/drawingml/2006/main" prst="rect">
          <a:avLst/>
        </a:prstGeom>
        <a:solidFill xmlns:a="http://schemas.openxmlformats.org/drawingml/2006/main">
          <a:sysClr val="window" lastClr="FFFFFF">
            <a:lumMod val="50000"/>
            <a:alpha val="0"/>
          </a:sysClr>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r>
            <a:rPr lang="fr-FR" sz="1100" b="1">
              <a:solidFill>
                <a:sysClr val="window" lastClr="FFFFFF">
                  <a:lumMod val="65000"/>
                </a:sysClr>
              </a:solidFill>
            </a:rPr>
            <a:t>données projetées</a:t>
          </a:r>
        </a:p>
      </cdr:txBody>
    </cdr:sp>
  </cdr:relSizeAnchor>
</c:userShapes>
</file>

<file path=xl/drawings/drawing43.xml><?xml version="1.0" encoding="utf-8"?>
<xdr:wsDr xmlns:xdr="http://schemas.openxmlformats.org/drawingml/2006/spreadsheetDrawing" xmlns:a="http://schemas.openxmlformats.org/drawingml/2006/main">
  <xdr:twoCellAnchor>
    <xdr:from>
      <xdr:col>1</xdr:col>
      <xdr:colOff>104775</xdr:colOff>
      <xdr:row>19</xdr:row>
      <xdr:rowOff>171450</xdr:rowOff>
    </xdr:from>
    <xdr:to>
      <xdr:col>5</xdr:col>
      <xdr:colOff>133350</xdr:colOff>
      <xdr:row>33</xdr:row>
      <xdr:rowOff>28575</xdr:rowOff>
    </xdr:to>
    <xdr:graphicFrame macro="">
      <xdr:nvGraphicFramePr>
        <xdr:cNvPr id="2" name="Graphique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733425</xdr:colOff>
      <xdr:row>14</xdr:row>
      <xdr:rowOff>171450</xdr:rowOff>
    </xdr:from>
    <xdr:to>
      <xdr:col>5</xdr:col>
      <xdr:colOff>1343025</xdr:colOff>
      <xdr:row>19</xdr:row>
      <xdr:rowOff>19050</xdr:rowOff>
    </xdr:to>
    <xdr:sp macro="" textlink="">
      <xdr:nvSpPr>
        <xdr:cNvPr id="3" name="ZoneTexte 2">
          <a:extLst>
            <a:ext uri="{FF2B5EF4-FFF2-40B4-BE49-F238E27FC236}">
              <a16:creationId xmlns:a16="http://schemas.microsoft.com/office/drawing/2014/main" id="{00000000-0008-0000-1800-000003000000}"/>
            </a:ext>
          </a:extLst>
        </xdr:cNvPr>
        <xdr:cNvSpPr txBox="1"/>
      </xdr:nvSpPr>
      <xdr:spPr>
        <a:xfrm>
          <a:off x="733425" y="3248025"/>
          <a:ext cx="689610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Champ : retraités de droit direct d’au moins un régime de base ou complémentaire français (pondérés pour être représentatifs des retraités de la génération en vie à l’âge de 66 ans).</a:t>
          </a:r>
        </a:p>
        <a:p>
          <a:r>
            <a:rPr lang="fr-FR" sz="1000" i="1">
              <a:latin typeface="Times New Roman" panose="02020603050405020304" pitchFamily="18" charset="0"/>
              <a:cs typeface="Times New Roman" panose="02020603050405020304" pitchFamily="18" charset="0"/>
            </a:rPr>
            <a:t>Source : étude DREES à partir de l’EIR 2008, voir Aubert P. (2011), « Les écarts de niveaux de pension de retraite entre générations », document de travail (série Études et Recherche), n°107 (graphique 38, page 71) ; calculs SG-COR.</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2</xdr:col>
      <xdr:colOff>200025</xdr:colOff>
      <xdr:row>21</xdr:row>
      <xdr:rowOff>142875</xdr:rowOff>
    </xdr:from>
    <xdr:to>
      <xdr:col>6</xdr:col>
      <xdr:colOff>0</xdr:colOff>
      <xdr:row>35</xdr:row>
      <xdr:rowOff>19050</xdr:rowOff>
    </xdr:to>
    <xdr:graphicFrame macro="">
      <xdr:nvGraphicFramePr>
        <xdr:cNvPr id="2" name="Graphique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285750</xdr:colOff>
      <xdr:row>21</xdr:row>
      <xdr:rowOff>152400</xdr:rowOff>
    </xdr:from>
    <xdr:to>
      <xdr:col>10</xdr:col>
      <xdr:colOff>85725</xdr:colOff>
      <xdr:row>35</xdr:row>
      <xdr:rowOff>28575</xdr:rowOff>
    </xdr:to>
    <xdr:graphicFrame macro="">
      <xdr:nvGraphicFramePr>
        <xdr:cNvPr id="3" name="Graphique 2">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761999</xdr:colOff>
      <xdr:row>10</xdr:row>
      <xdr:rowOff>0</xdr:rowOff>
    </xdr:from>
    <xdr:to>
      <xdr:col>10</xdr:col>
      <xdr:colOff>390524</xdr:colOff>
      <xdr:row>18</xdr:row>
      <xdr:rowOff>180976</xdr:rowOff>
    </xdr:to>
    <xdr:sp macro="" textlink="">
      <xdr:nvSpPr>
        <xdr:cNvPr id="4" name="ZoneTexte 3">
          <a:extLst>
            <a:ext uri="{FF2B5EF4-FFF2-40B4-BE49-F238E27FC236}">
              <a16:creationId xmlns:a16="http://schemas.microsoft.com/office/drawing/2014/main" id="{00000000-0008-0000-1900-000004000000}"/>
            </a:ext>
          </a:extLst>
        </xdr:cNvPr>
        <xdr:cNvSpPr txBox="1"/>
      </xdr:nvSpPr>
      <xdr:spPr>
        <a:xfrm>
          <a:off x="761999" y="2714625"/>
          <a:ext cx="8639175" cy="1704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en 2012, le rapport entre le niveau de vie moyen des femmes retraitées et celui des hommes retraités était de 95,4 %, autrement dit le niveau de vie moyen des femmes était inférieur de 4,6 % à celui des hommes parmi les retraités ; le taux de pauvreté des femmes retraitées était supérieur de 1,5 point à celui des hommes retraités (9,1 % contre 7,6 %).</a:t>
          </a:r>
        </a:p>
        <a:p>
          <a:r>
            <a:rPr lang="fr-FR" sz="1000" i="1">
              <a:latin typeface="Times New Roman" panose="02020603050405020304" pitchFamily="18" charset="0"/>
              <a:cs typeface="Times New Roman" panose="02020603050405020304" pitchFamily="18" charset="0"/>
            </a:rPr>
            <a:t>Note : le niveau de vie d’une personne désigne le revenu disponible par unité de consommation du ménage auquel appartient cette personne. Les revenus du patrimoine financier sont estimés par l’INSEE à partir des enquêtes Patrimoine successives. Les loyers imputés aux propriétaires ne sont pas pris en compte ici. Comme les estimations de revenus financiers sont légèrement bruitées, les niveaux de vie moyens sont lissés sur trois ans (mais pas les taux de pauvreté).</a:t>
          </a:r>
        </a:p>
        <a:p>
          <a:r>
            <a:rPr lang="fr-FR" sz="1000" i="1">
              <a:latin typeface="Times New Roman" panose="02020603050405020304" pitchFamily="18" charset="0"/>
              <a:cs typeface="Times New Roman" panose="02020603050405020304" pitchFamily="18" charset="0"/>
            </a:rPr>
            <a:t>Champ : personnes retraitées (inactives au sens du BIT et se déclarant retraitées) vivant en France métropolitaine dans un ménage ordinaire dont le revenu déclaré au fisc est positif ou nul et dont la personne de référence n'est pas étudiante. Les personnes âgées vivant en institution sont hors champ.</a:t>
          </a:r>
        </a:p>
        <a:p>
          <a:r>
            <a:rPr lang="fr-FR" sz="1000" i="1">
              <a:latin typeface="Times New Roman" panose="02020603050405020304" pitchFamily="18" charset="0"/>
              <a:cs typeface="Times New Roman" panose="02020603050405020304" pitchFamily="18" charset="0"/>
            </a:rPr>
            <a:t>Sources : INSEE-DGI, enquêtes Revenus fiscaux rétropolées de 1996 à 2004 ; INSEE-DGFiP-CNAF-CNAV-CCMSA, enquêtes Revenus fiscaux et sociaux de 2005 à 2012.</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1</xdr:col>
      <xdr:colOff>28575</xdr:colOff>
      <xdr:row>16</xdr:row>
      <xdr:rowOff>9525</xdr:rowOff>
    </xdr:from>
    <xdr:to>
      <xdr:col>10</xdr:col>
      <xdr:colOff>695325</xdr:colOff>
      <xdr:row>23</xdr:row>
      <xdr:rowOff>1</xdr:rowOff>
    </xdr:to>
    <xdr:sp macro="" textlink="">
      <xdr:nvSpPr>
        <xdr:cNvPr id="2" name="ZoneTexte 1">
          <a:extLst>
            <a:ext uri="{FF2B5EF4-FFF2-40B4-BE49-F238E27FC236}">
              <a16:creationId xmlns:a16="http://schemas.microsoft.com/office/drawing/2014/main" id="{00000000-0008-0000-1A00-000002000000}"/>
            </a:ext>
          </a:extLst>
        </xdr:cNvPr>
        <xdr:cNvSpPr txBox="1"/>
      </xdr:nvSpPr>
      <xdr:spPr>
        <a:xfrm>
          <a:off x="790575" y="2962275"/>
          <a:ext cx="8639175" cy="1323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itchFamily="18" charset="0"/>
              <a:cs typeface="Times New Roman" pitchFamily="18" charset="0"/>
            </a:rPr>
            <a:t>Lecture : en 2012, le niveau de vie moyen des femmes retraitées qui sont des veuves vivant seules était égal à 1 740 euros par mois et par unité de consommation, ce qui représentait 81% du niveau de vie moyen de l'ensemble des retraités (hommes ou femmes) vivant en couple ; leur taux de pauvreté était de 12,8 %.</a:t>
          </a:r>
        </a:p>
        <a:p>
          <a:r>
            <a:rPr lang="fr-FR" sz="1000" i="1">
              <a:latin typeface="Times New Roman" pitchFamily="18" charset="0"/>
              <a:cs typeface="Times New Roman" pitchFamily="18" charset="0"/>
            </a:rPr>
            <a:t>Note : les personnes divorcées incluent les personnes mariées mais séparées de leur conjoint. Le niveau de vie d’une personne désigne le revenu disponible par unité de consommation du ménage auquel appartient cette personne. Les revenus du patrimoine financier sont estimés par l’INSEE à partir de l'enquête Patrimoine 2010. Les loyers imputés aux propriétaires ne sont pas pris en compte ici. </a:t>
          </a:r>
        </a:p>
        <a:p>
          <a:r>
            <a:rPr lang="fr-FR" sz="1000" i="1">
              <a:latin typeface="Times New Roman" pitchFamily="18" charset="0"/>
              <a:cs typeface="Times New Roman" pitchFamily="18" charset="0"/>
            </a:rPr>
            <a:t>Champ : personnes retraitées (inactives au sens du BIT et se déclarant retraitées) vivant en France métropolitaine dans un ménage ordinaire dont le revenu déclaré au fisc est positif ou nul et dont la personne de référence n'est pas étudiante. Les personnes âgées vivant en institution sont hors champ.</a:t>
          </a:r>
        </a:p>
        <a:p>
          <a:r>
            <a:rPr lang="fr-FR" sz="1000" i="1">
              <a:latin typeface="Times New Roman" pitchFamily="18" charset="0"/>
              <a:cs typeface="Times New Roman" pitchFamily="18" charset="0"/>
            </a:rPr>
            <a:t>Sources : INSEE-DGFiP-CNAF-CNAV-CCMSA, enquête Revenus fiscaux et sociaux 2012.</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445983</xdr:colOff>
      <xdr:row>77</xdr:row>
      <xdr:rowOff>11205</xdr:rowOff>
    </xdr:from>
    <xdr:to>
      <xdr:col>4</xdr:col>
      <xdr:colOff>1162233</xdr:colOff>
      <xdr:row>93</xdr:row>
      <xdr:rowOff>154080</xdr:rowOff>
    </xdr:to>
    <xdr:graphicFrame macro="">
      <xdr:nvGraphicFramePr>
        <xdr:cNvPr id="2" name="Graphique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474820</xdr:colOff>
      <xdr:row>66</xdr:row>
      <xdr:rowOff>0</xdr:rowOff>
    </xdr:from>
    <xdr:to>
      <xdr:col>4</xdr:col>
      <xdr:colOff>1173004</xdr:colOff>
      <xdr:row>75</xdr:row>
      <xdr:rowOff>161925</xdr:rowOff>
    </xdr:to>
    <xdr:sp macro="" textlink="">
      <xdr:nvSpPr>
        <xdr:cNvPr id="3" name="ZoneTexte 2">
          <a:extLst>
            <a:ext uri="{FF2B5EF4-FFF2-40B4-BE49-F238E27FC236}">
              <a16:creationId xmlns:a16="http://schemas.microsoft.com/office/drawing/2014/main" id="{00000000-0008-0000-1B00-000003000000}"/>
            </a:ext>
          </a:extLst>
        </xdr:cNvPr>
        <xdr:cNvSpPr txBox="1"/>
      </xdr:nvSpPr>
      <xdr:spPr>
        <a:xfrm>
          <a:off x="474820" y="12973050"/>
          <a:ext cx="6317934"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la durée de retraite relative (rapport entre la durée moyenne espérée de retraite et l'espérance de vie) des femmes nées en 1942 représente 96,4 % de celle des hommes de la même génération, si on considère une même espérance de vie (moyenne) pour les deux sexes, ou bien 112,0 % de celle des hommes de la même génération, si on calcule les espérances de vie séparément pour les femmes et pour les hommes.</a:t>
          </a:r>
        </a:p>
        <a:p>
          <a:r>
            <a:rPr lang="fr-FR" sz="1000" i="1">
              <a:solidFill>
                <a:schemeClr val="dk1"/>
              </a:solidFill>
              <a:effectLst/>
              <a:latin typeface="Times New Roman" panose="02020603050405020304" pitchFamily="18" charset="0"/>
              <a:ea typeface="+mn-ea"/>
              <a:cs typeface="Times New Roman" panose="02020603050405020304" pitchFamily="18" charset="0"/>
            </a:rPr>
            <a:t>Note : la durée espérée de retraite est calculée à partir de l'âge de départ à la retraite et de l'espérance de vie de la génération. L'âge de départ à la retraite est observé ou projeté selon que la génération soit ou non partie à la retraite en 2013 (voir plages en grisé sur le graphique). Les espérances de vie à 60 ans par génération sont projetées sous les hypothèses du scénario démographique central de l’INSEE, et ce quelle que soit la génération : en effet l'espérance de vie d'une génération ne peut être observé qu'après le décès de tous ses membres.</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résidant en France.</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ANCETRE ;INSEE, projections de population 2007-2060 ; projections du COR – juin 2015.</a:t>
          </a:r>
        </a:p>
      </xdr:txBody>
    </xdr:sp>
    <xdr:clientData/>
  </xdr:twoCellAnchor>
</xdr:wsDr>
</file>

<file path=xl/drawings/drawing47.xml><?xml version="1.0" encoding="utf-8"?>
<c:userShapes xmlns:c="http://schemas.openxmlformats.org/drawingml/2006/chart">
  <cdr:relSizeAnchor xmlns:cdr="http://schemas.openxmlformats.org/drawingml/2006/chartDrawing">
    <cdr:from>
      <cdr:x>0.6126</cdr:x>
      <cdr:y>0.0755</cdr:y>
    </cdr:from>
    <cdr:to>
      <cdr:x>0.97785</cdr:x>
      <cdr:y>0.75329</cdr:y>
    </cdr:to>
    <cdr:sp macro="" textlink="">
      <cdr:nvSpPr>
        <cdr:cNvPr id="14" name="Rectangle 7"/>
        <cdr:cNvSpPr/>
      </cdr:nvSpPr>
      <cdr:spPr>
        <a:xfrm xmlns:a="http://schemas.openxmlformats.org/drawingml/2006/main">
          <a:off x="3580278" y="240926"/>
          <a:ext cx="2134724" cy="2162736"/>
        </a:xfrm>
        <a:prstGeom xmlns:a="http://schemas.openxmlformats.org/drawingml/2006/main" prst="rect">
          <a:avLst/>
        </a:prstGeom>
        <a:solidFill xmlns:a="http://schemas.openxmlformats.org/drawingml/2006/main">
          <a:schemeClr val="bg1">
            <a:lumMod val="65000"/>
            <a:alpha val="4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fr-FR"/>
        </a:p>
      </cdr:txBody>
    </cdr:sp>
  </cdr:relSizeAnchor>
  <cdr:relSizeAnchor xmlns:cdr="http://schemas.openxmlformats.org/drawingml/2006/chartDrawing">
    <cdr:from>
      <cdr:x>0.34411</cdr:x>
      <cdr:y>0.07375</cdr:y>
    </cdr:from>
    <cdr:to>
      <cdr:x>0.6126</cdr:x>
      <cdr:y>0.75154</cdr:y>
    </cdr:to>
    <cdr:sp macro="" textlink="">
      <cdr:nvSpPr>
        <cdr:cNvPr id="4" name="Rectangle 3"/>
        <cdr:cNvSpPr/>
      </cdr:nvSpPr>
      <cdr:spPr>
        <a:xfrm xmlns:a="http://schemas.openxmlformats.org/drawingml/2006/main">
          <a:off x="2009217" y="235327"/>
          <a:ext cx="1567648" cy="2162743"/>
        </a:xfrm>
        <a:prstGeom xmlns:a="http://schemas.openxmlformats.org/drawingml/2006/main" prst="rect">
          <a:avLst/>
        </a:prstGeom>
        <a:solidFill xmlns:a="http://schemas.openxmlformats.org/drawingml/2006/main">
          <a:schemeClr val="bg1">
            <a:lumMod val="6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fr-FR"/>
        </a:p>
      </cdr:txBody>
    </cdr:sp>
  </cdr:relSizeAnchor>
  <cdr:relSizeAnchor xmlns:cdr="http://schemas.openxmlformats.org/drawingml/2006/chartDrawing">
    <cdr:from>
      <cdr:x>0.68978</cdr:x>
      <cdr:y>0.01846</cdr:y>
    </cdr:from>
    <cdr:to>
      <cdr:x>0.92178</cdr:x>
      <cdr:y>0.07164</cdr:y>
    </cdr:to>
    <cdr:sp macro="" textlink="">
      <cdr:nvSpPr>
        <cdr:cNvPr id="6" name="ZoneTexte 5"/>
        <cdr:cNvSpPr txBox="1"/>
      </cdr:nvSpPr>
      <cdr:spPr>
        <a:xfrm xmlns:a="http://schemas.openxmlformats.org/drawingml/2006/main">
          <a:off x="4027486" y="58904"/>
          <a:ext cx="1354607" cy="1696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fr-FR" sz="900">
              <a:solidFill>
                <a:schemeClr val="bg1">
                  <a:lumMod val="50000"/>
                </a:schemeClr>
              </a:solidFill>
            </a:rPr>
            <a:t>Données projetées</a:t>
          </a:r>
        </a:p>
      </cdr:txBody>
    </cdr:sp>
  </cdr:relSizeAnchor>
  <cdr:relSizeAnchor xmlns:cdr="http://schemas.openxmlformats.org/drawingml/2006/chartDrawing">
    <cdr:from>
      <cdr:x>0.13163</cdr:x>
      <cdr:y>0.01335</cdr:y>
    </cdr:from>
    <cdr:to>
      <cdr:x>0.36363</cdr:x>
      <cdr:y>0.09201</cdr:y>
    </cdr:to>
    <cdr:sp macro="" textlink="">
      <cdr:nvSpPr>
        <cdr:cNvPr id="18" name="ZoneTexte 5"/>
        <cdr:cNvSpPr txBox="1"/>
      </cdr:nvSpPr>
      <cdr:spPr>
        <a:xfrm xmlns:a="http://schemas.openxmlformats.org/drawingml/2006/main">
          <a:off x="768557" y="42597"/>
          <a:ext cx="1354608" cy="25099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r-FR" sz="900" b="0">
              <a:solidFill>
                <a:schemeClr val="bg1">
                  <a:lumMod val="50000"/>
                </a:schemeClr>
              </a:solidFill>
            </a:rPr>
            <a:t>Données observées</a:t>
          </a:r>
        </a:p>
      </cdr:txBody>
    </cdr:sp>
  </cdr:relSizeAnchor>
  <cdr:relSizeAnchor xmlns:cdr="http://schemas.openxmlformats.org/drawingml/2006/chartDrawing">
    <cdr:from>
      <cdr:x>0.33028</cdr:x>
      <cdr:y>0.01634</cdr:y>
    </cdr:from>
    <cdr:to>
      <cdr:x>0.63897</cdr:x>
      <cdr:y>0.07477</cdr:y>
    </cdr:to>
    <cdr:sp macro="" textlink="">
      <cdr:nvSpPr>
        <cdr:cNvPr id="20" name="ZoneTexte 5"/>
        <cdr:cNvSpPr txBox="1"/>
      </cdr:nvSpPr>
      <cdr:spPr>
        <a:xfrm xmlns:a="http://schemas.openxmlformats.org/drawingml/2006/main">
          <a:off x="1928428" y="52123"/>
          <a:ext cx="1802387" cy="18647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r-FR" sz="900" b="0">
              <a:solidFill>
                <a:schemeClr val="bg1">
                  <a:lumMod val="50000"/>
                </a:schemeClr>
              </a:solidFill>
            </a:rPr>
            <a:t>Données partiellement</a:t>
          </a:r>
          <a:r>
            <a:rPr lang="fr-FR" sz="900" b="0" baseline="0">
              <a:solidFill>
                <a:schemeClr val="bg1">
                  <a:lumMod val="50000"/>
                </a:schemeClr>
              </a:solidFill>
            </a:rPr>
            <a:t> </a:t>
          </a:r>
          <a:r>
            <a:rPr lang="fr-FR" sz="900" b="0">
              <a:solidFill>
                <a:schemeClr val="bg1">
                  <a:lumMod val="50000"/>
                </a:schemeClr>
              </a:solidFill>
            </a:rPr>
            <a:t>projetées</a:t>
          </a:r>
        </a:p>
      </cdr:txBody>
    </cdr:sp>
  </cdr:relSizeAnchor>
</c:userShapes>
</file>

<file path=xl/drawings/drawing48.xml><?xml version="1.0" encoding="utf-8"?>
<xdr:wsDr xmlns:xdr="http://schemas.openxmlformats.org/drawingml/2006/spreadsheetDrawing" xmlns:a="http://schemas.openxmlformats.org/drawingml/2006/main">
  <xdr:twoCellAnchor>
    <xdr:from>
      <xdr:col>0</xdr:col>
      <xdr:colOff>742950</xdr:colOff>
      <xdr:row>18</xdr:row>
      <xdr:rowOff>0</xdr:rowOff>
    </xdr:from>
    <xdr:to>
      <xdr:col>6</xdr:col>
      <xdr:colOff>73575</xdr:colOff>
      <xdr:row>31</xdr:row>
      <xdr:rowOff>83550</xdr:rowOff>
    </xdr:to>
    <xdr:graphicFrame macro="">
      <xdr:nvGraphicFramePr>
        <xdr:cNvPr id="2" name="Graphique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723900</xdr:colOff>
      <xdr:row>14</xdr:row>
      <xdr:rowOff>152400</xdr:rowOff>
    </xdr:from>
    <xdr:to>
      <xdr:col>9</xdr:col>
      <xdr:colOff>47625</xdr:colOff>
      <xdr:row>17</xdr:row>
      <xdr:rowOff>57150</xdr:rowOff>
    </xdr:to>
    <xdr:sp macro="" textlink="">
      <xdr:nvSpPr>
        <xdr:cNvPr id="3" name="ZoneTexte 2">
          <a:extLst>
            <a:ext uri="{FF2B5EF4-FFF2-40B4-BE49-F238E27FC236}">
              <a16:creationId xmlns:a16="http://schemas.microsoft.com/office/drawing/2014/main" id="{00000000-0008-0000-1C00-000003000000}"/>
            </a:ext>
          </a:extLst>
        </xdr:cNvPr>
        <xdr:cNvSpPr txBox="1"/>
      </xdr:nvSpPr>
      <xdr:spPr>
        <a:xfrm>
          <a:off x="723900" y="3419475"/>
          <a:ext cx="803910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Note : voir les documents n° 11 et 11bis de la séance du COR du 26 mars 2014.</a:t>
          </a:r>
        </a:p>
        <a:p>
          <a:r>
            <a:rPr lang="fr-FR" sz="1000" i="1">
              <a:latin typeface="Times New Roman" panose="02020603050405020304" pitchFamily="18" charset="0"/>
              <a:cs typeface="Times New Roman" panose="02020603050405020304" pitchFamily="18" charset="0"/>
            </a:rPr>
            <a:t>Source : action conjointe européenne EHLEIS (données des enquêtes SRCV de l’INSEE). </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1</xdr:col>
      <xdr:colOff>114299</xdr:colOff>
      <xdr:row>21</xdr:row>
      <xdr:rowOff>4761</xdr:rowOff>
    </xdr:from>
    <xdr:to>
      <xdr:col>7</xdr:col>
      <xdr:colOff>349799</xdr:colOff>
      <xdr:row>36</xdr:row>
      <xdr:rowOff>27261</xdr:rowOff>
    </xdr:to>
    <xdr:graphicFrame macro="">
      <xdr:nvGraphicFramePr>
        <xdr:cNvPr id="2" name="Graphique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752475</xdr:colOff>
      <xdr:row>11</xdr:row>
      <xdr:rowOff>9525</xdr:rowOff>
    </xdr:from>
    <xdr:to>
      <xdr:col>10</xdr:col>
      <xdr:colOff>219075</xdr:colOff>
      <xdr:row>18</xdr:row>
      <xdr:rowOff>1</xdr:rowOff>
    </xdr:to>
    <xdr:sp macro="" textlink="">
      <xdr:nvSpPr>
        <xdr:cNvPr id="3" name="ZoneTexte 2">
          <a:extLst>
            <a:ext uri="{FF2B5EF4-FFF2-40B4-BE49-F238E27FC236}">
              <a16:creationId xmlns:a16="http://schemas.microsoft.com/office/drawing/2014/main" id="{00000000-0008-0000-1D00-000003000000}"/>
            </a:ext>
          </a:extLst>
        </xdr:cNvPr>
        <xdr:cNvSpPr txBox="1"/>
      </xdr:nvSpPr>
      <xdr:spPr>
        <a:xfrm>
          <a:off x="752475" y="3238500"/>
          <a:ext cx="8039100" cy="1323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latin typeface="Times New Roman" panose="02020603050405020304" pitchFamily="18" charset="0"/>
              <a:cs typeface="Times New Roman" panose="02020603050405020304" pitchFamily="18" charset="0"/>
            </a:rPr>
            <a:t>Lecture : parmi les retraités résidant en France nés en 1930, l’âge moyen de départ à la retraite des femmes est plus élevé de 1,6 an que celui des hommes, dont 0,6 an expliqué par les départs avant l'âge de 60 ans (les départs anticipés concernent davantage les hommes) ; l'écart total de 1,6 an est entièrement expliqué par les départs à 65 ans ou avant (les départs après 65 ans ont été rares dans cette génération). </a:t>
          </a:r>
          <a:br>
            <a:rPr lang="fr-FR" sz="1000" i="1">
              <a:latin typeface="Times New Roman" panose="02020603050405020304" pitchFamily="18" charset="0"/>
              <a:cs typeface="Times New Roman" panose="02020603050405020304" pitchFamily="18" charset="0"/>
            </a:rPr>
          </a:br>
          <a:r>
            <a:rPr lang="fr-FR" sz="1000" i="1">
              <a:latin typeface="Times New Roman" panose="02020603050405020304" pitchFamily="18" charset="0"/>
              <a:cs typeface="Times New Roman" panose="02020603050405020304" pitchFamily="18" charset="0"/>
            </a:rPr>
            <a:t>En projection, pour la génération 1990, l’âge moyen de départ à la retraite des femmes serait moins élevé de 0,4 an que celui des hommes, d'où un écart total d'âge de départ négatif (- 0,4 an), dont la moitié (- 0,2 an) serait expliqué par les départs à 65 ans ou avant ; cependant l'écart expliqué par les départs avant 60 ans serait toujours positif (+ 0,1 an), ce qui signifie que les départs avant 60 ans concerneraient toujours davantage les hommes.</a:t>
          </a:r>
        </a:p>
        <a:p>
          <a:r>
            <a:rPr lang="fr-FR" sz="1000" i="1">
              <a:latin typeface="Times New Roman" panose="02020603050405020304" pitchFamily="18" charset="0"/>
              <a:cs typeface="Times New Roman" panose="02020603050405020304" pitchFamily="18" charset="0"/>
            </a:rPr>
            <a:t>Champ : retraités de droit direct, tous régimes confondus, résidant en France.</a:t>
          </a:r>
        </a:p>
        <a:p>
          <a:r>
            <a:rPr lang="fr-FR" sz="1000" i="1">
              <a:latin typeface="Times New Roman" panose="02020603050405020304" pitchFamily="18" charset="0"/>
              <a:cs typeface="Times New Roman" panose="02020603050405020304" pitchFamily="18" charset="0"/>
            </a:rPr>
            <a:t>Sources : DREES, modèle ANCETRE ; projections du COR – juin 2015.</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1</xdr:col>
      <xdr:colOff>0</xdr:colOff>
      <xdr:row>15</xdr:row>
      <xdr:rowOff>9525</xdr:rowOff>
    </xdr:from>
    <xdr:to>
      <xdr:col>7</xdr:col>
      <xdr:colOff>704850</xdr:colOff>
      <xdr:row>18</xdr:row>
      <xdr:rowOff>114300</xdr:rowOff>
    </xdr:to>
    <xdr:sp macro="" textlink="">
      <xdr:nvSpPr>
        <xdr:cNvPr id="2" name="ZoneTexte 1">
          <a:extLst>
            <a:ext uri="{FF2B5EF4-FFF2-40B4-BE49-F238E27FC236}">
              <a16:creationId xmlns:a16="http://schemas.microsoft.com/office/drawing/2014/main" id="{00000000-0008-0000-1E00-000002000000}"/>
            </a:ext>
          </a:extLst>
        </xdr:cNvPr>
        <xdr:cNvSpPr txBox="1"/>
      </xdr:nvSpPr>
      <xdr:spPr>
        <a:xfrm>
          <a:off x="762000" y="3495675"/>
          <a:ext cx="6134100"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résidant en France, vivant au 31 décembre 2008.</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2008 ; calculs SG-COR.</a:t>
          </a:r>
        </a:p>
      </xdr:txBody>
    </xdr:sp>
    <xdr:clientData/>
  </xdr:twoCellAnchor>
  <xdr:twoCellAnchor>
    <xdr:from>
      <xdr:col>1</xdr:col>
      <xdr:colOff>0</xdr:colOff>
      <xdr:row>20</xdr:row>
      <xdr:rowOff>0</xdr:rowOff>
    </xdr:from>
    <xdr:to>
      <xdr:col>6</xdr:col>
      <xdr:colOff>561975</xdr:colOff>
      <xdr:row>31</xdr:row>
      <xdr:rowOff>66675</xdr:rowOff>
    </xdr:to>
    <xdr:graphicFrame macro="">
      <xdr:nvGraphicFramePr>
        <xdr:cNvPr id="3" name="Graphique 2">
          <a:extLst>
            <a:ext uri="{FF2B5EF4-FFF2-40B4-BE49-F238E27FC236}">
              <a16:creationId xmlns:a16="http://schemas.microsoft.com/office/drawing/2014/main" id="{00000000-0008-0000-1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11%20-%20Archives\01%20-%20Archives%20anciens%20agents\Briard%20Karine\GT-SP\2013%2011%20-%20Financement%20retraite\2013%2011%20-%20Taux%20normalis&#233;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1%20-%20Archives/01%20-%20Archives%20anciens%20agents/Briard%20Karine/GT-SP/2013%2011%20-%20Financement%20retraite/2013%2011%20-%20Taux%20normalis&#233;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11%20-%20Archives\01%20-%20Archives%20anciens%20agents\Briard%20Karine\GT-SP\2013%2011%20-%20Financement%20retraite\2013%2011%20-%20Structure%20financeme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06%20-%20Documentation\Chiffres%20cl&#233;s\Chiffres%20cl&#233;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06%20-%20Documentation/Chiffres%20cl&#233;s/Chiffres%20cl&#233;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1%20-%20Archives/01%20-%20Archives%20anciens%20agents/Briard%20Karine/GT-SP/2013%2011%20-%20Financement%20retraite/2013%2011%20-%20Structure%20financeme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sheetName val="TX"/>
      <sheetName val="TX_nettes"/>
      <sheetName val="CNAV-MSA"/>
      <sheetName val="SRE"/>
      <sheetName val="CNRACL"/>
      <sheetName val="NS"/>
      <sheetName val="poly"/>
      <sheetName val="PIPA"/>
      <sheetName val="PIPA_2011"/>
      <sheetName val="IP1448"/>
      <sheetName val="txsuperbrut"/>
      <sheetName val="txcot"/>
      <sheetName val="txpoly"/>
      <sheetName val="misc"/>
      <sheetName val="schema"/>
    </sheetNames>
    <sheetDataSet>
      <sheetData sheetId="0"/>
      <sheetData sheetId="1">
        <row r="8">
          <cell r="C8">
            <v>2011</v>
          </cell>
        </row>
      </sheetData>
      <sheetData sheetId="2"/>
      <sheetData sheetId="3"/>
      <sheetData sheetId="4"/>
      <sheetData sheetId="5">
        <row r="23">
          <cell r="D23">
            <v>875.09834085714317</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sheetName val="TX"/>
      <sheetName val="TX_nettes"/>
      <sheetName val="CNAV-MSA"/>
      <sheetName val="SRE"/>
      <sheetName val="CNRACL"/>
      <sheetName val="NS"/>
      <sheetName val="poly"/>
      <sheetName val="PIPA"/>
      <sheetName val="PIPA_2011"/>
      <sheetName val="IP1448"/>
      <sheetName val="txsuperbrut"/>
      <sheetName val="txcot"/>
      <sheetName val="txpoly"/>
      <sheetName val="misc"/>
      <sheetName val="schema"/>
    </sheetNames>
    <sheetDataSet>
      <sheetData sheetId="0"/>
      <sheetData sheetId="1">
        <row r="8">
          <cell r="C8">
            <v>2011</v>
          </cell>
        </row>
      </sheetData>
      <sheetData sheetId="2"/>
      <sheetData sheetId="3"/>
      <sheetData sheetId="4"/>
      <sheetData sheetId="5">
        <row r="23">
          <cell r="D23">
            <v>875.09834085714317</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ow r="131">
          <cell r="C131">
            <v>6.5595699999999999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Données_base"/>
      <sheetName val="Valeurs"/>
      <sheetName val="Demo"/>
      <sheetName val="Act-Emploi"/>
      <sheetName val="Seniors"/>
      <sheetName val="ProtSociale"/>
      <sheetName val="Dépenses"/>
      <sheetName val="Régimes"/>
      <sheetName val="EpRetraite"/>
      <sheetName val="PteRetraites"/>
      <sheetName val="Carrière"/>
      <sheetName val="Param"/>
      <sheetName val="TauxCot"/>
      <sheetName val="txcot"/>
      <sheetName val="Pensions"/>
      <sheetName val="NiveauVie"/>
      <sheetName val="AgeDépart"/>
      <sheetName val="CNAV"/>
      <sheetName val="Compens"/>
      <sheetName val="Projections"/>
      <sheetName val="Soldes"/>
      <sheetName val="EvolPensions"/>
      <sheetName val="chg"/>
    </sheetNames>
    <sheetDataSet>
      <sheetData sheetId="0">
        <row r="131">
          <cell r="C131">
            <v>6.5595699999999999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DATA"/>
      <sheetName val="DATA_preg"/>
      <sheetName val="chk_data"/>
      <sheetName val="chk_preg"/>
      <sheetName val="V_preg"/>
      <sheetName val="STRCTR"/>
      <sheetName val="STRCTR_ssC"/>
      <sheetName val="G_BASE"/>
      <sheetName val="cnieg"/>
      <sheetName val="G_CPTR"/>
      <sheetName val="G_GP"/>
      <sheetName val="G_GP_ssC"/>
      <sheetName val="G_TSRGM"/>
      <sheetName val="tempnon-salariés"/>
      <sheetName val="tempFPE"/>
      <sheetName val="CNRACL (2)"/>
      <sheetName val="G_TSRGM_hrz"/>
      <sheetName val="txcot"/>
      <sheetName val="legende"/>
    </sheetNames>
    <sheetDataSet>
      <sheetData sheetId="0"/>
      <sheetData sheetId="1">
        <row r="8">
          <cell r="AG8">
            <v>49250.247855344016</v>
          </cell>
        </row>
      </sheetData>
      <sheetData sheetId="2">
        <row r="39">
          <cell r="K39">
            <v>1141.8148143999999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61"/>
  <sheetViews>
    <sheetView tabSelected="1" workbookViewId="0">
      <selection activeCell="W22" sqref="W22"/>
    </sheetView>
  </sheetViews>
  <sheetFormatPr baseColWidth="10" defaultRowHeight="14.4"/>
  <cols>
    <col min="2" max="2" width="35.33203125" customWidth="1"/>
    <col min="3" max="3" width="11.44140625" style="29" customWidth="1"/>
    <col min="4" max="52" width="5.6640625" customWidth="1"/>
    <col min="53" max="64" width="5.5546875" customWidth="1"/>
  </cols>
  <sheetData>
    <row r="1" spans="1:64" ht="15.6">
      <c r="A1" s="31" t="s">
        <v>227</v>
      </c>
    </row>
    <row r="3" spans="1:64" ht="15" thickBot="1"/>
    <row r="4" spans="1:64" ht="15" thickBot="1">
      <c r="B4" s="661"/>
      <c r="C4" s="662"/>
      <c r="D4" s="370">
        <v>2000</v>
      </c>
      <c r="E4" s="372">
        <v>2001</v>
      </c>
      <c r="F4" s="372">
        <v>2002</v>
      </c>
      <c r="G4" s="372">
        <v>2003</v>
      </c>
      <c r="H4" s="372">
        <v>2004</v>
      </c>
      <c r="I4" s="372">
        <v>2005</v>
      </c>
      <c r="J4" s="372">
        <v>2006</v>
      </c>
      <c r="K4" s="372">
        <v>2007</v>
      </c>
      <c r="L4" s="372">
        <v>2008</v>
      </c>
      <c r="M4" s="372">
        <v>2009</v>
      </c>
      <c r="N4" s="372">
        <v>2010</v>
      </c>
      <c r="O4" s="372">
        <v>2011</v>
      </c>
      <c r="P4" s="372">
        <v>2012</v>
      </c>
      <c r="Q4" s="372">
        <v>2013</v>
      </c>
      <c r="R4" s="372">
        <v>2014</v>
      </c>
      <c r="S4" s="372">
        <v>2015</v>
      </c>
      <c r="T4" s="372">
        <v>2016</v>
      </c>
      <c r="U4" s="372">
        <v>2017</v>
      </c>
      <c r="V4" s="372">
        <v>2018</v>
      </c>
      <c r="W4" s="372">
        <v>2019</v>
      </c>
      <c r="X4" s="372">
        <v>2020</v>
      </c>
      <c r="Y4" s="372">
        <v>2021</v>
      </c>
      <c r="Z4" s="372">
        <v>2022</v>
      </c>
      <c r="AA4" s="372">
        <v>2023</v>
      </c>
      <c r="AB4" s="372">
        <v>2024</v>
      </c>
      <c r="AC4" s="372">
        <v>2025</v>
      </c>
      <c r="AD4" s="372">
        <v>2026</v>
      </c>
      <c r="AE4" s="372">
        <v>2027</v>
      </c>
      <c r="AF4" s="372">
        <v>2028</v>
      </c>
      <c r="AG4" s="372">
        <v>2029</v>
      </c>
      <c r="AH4" s="372">
        <v>2030</v>
      </c>
      <c r="AI4" s="372">
        <v>2031</v>
      </c>
      <c r="AJ4" s="372">
        <v>2032</v>
      </c>
      <c r="AK4" s="372">
        <v>2033</v>
      </c>
      <c r="AL4" s="372">
        <v>2034</v>
      </c>
      <c r="AM4" s="372">
        <v>2035</v>
      </c>
      <c r="AN4" s="372">
        <v>2036</v>
      </c>
      <c r="AO4" s="372">
        <v>2037</v>
      </c>
      <c r="AP4" s="372">
        <v>2038</v>
      </c>
      <c r="AQ4" s="372">
        <v>2039</v>
      </c>
      <c r="AR4" s="372">
        <v>2040</v>
      </c>
      <c r="AS4" s="372">
        <v>2041</v>
      </c>
      <c r="AT4" s="372">
        <v>2042</v>
      </c>
      <c r="AU4" s="372">
        <v>2043</v>
      </c>
      <c r="AV4" s="372">
        <v>2044</v>
      </c>
      <c r="AW4" s="372">
        <v>2045</v>
      </c>
      <c r="AX4" s="372">
        <v>2046</v>
      </c>
      <c r="AY4" s="372">
        <v>2047</v>
      </c>
      <c r="AZ4" s="372">
        <v>2048</v>
      </c>
      <c r="BA4" s="372">
        <v>2049</v>
      </c>
      <c r="BB4" s="372">
        <v>2050</v>
      </c>
      <c r="BC4" s="372">
        <v>2051</v>
      </c>
      <c r="BD4" s="372">
        <v>2052</v>
      </c>
      <c r="BE4" s="372">
        <v>2053</v>
      </c>
      <c r="BF4" s="372">
        <v>2054</v>
      </c>
      <c r="BG4" s="372">
        <v>2055</v>
      </c>
      <c r="BH4" s="372">
        <v>2056</v>
      </c>
      <c r="BI4" s="372">
        <v>2057</v>
      </c>
      <c r="BJ4" s="372">
        <v>2058</v>
      </c>
      <c r="BK4" s="372">
        <v>2059</v>
      </c>
      <c r="BL4" s="371">
        <v>2060</v>
      </c>
    </row>
    <row r="5" spans="1:64" ht="15" customHeight="1">
      <c r="B5" s="666" t="s">
        <v>67</v>
      </c>
      <c r="C5" s="84" t="s">
        <v>66</v>
      </c>
      <c r="D5" s="409"/>
      <c r="E5" s="410">
        <v>2.17</v>
      </c>
      <c r="F5" s="410">
        <v>2.14</v>
      </c>
      <c r="G5" s="410">
        <v>2.1</v>
      </c>
      <c r="H5" s="410">
        <v>2.0499999999999998</v>
      </c>
      <c r="I5" s="410">
        <v>2.0099999999999998</v>
      </c>
      <c r="J5" s="410">
        <v>1.98</v>
      </c>
      <c r="K5" s="410">
        <v>1.96</v>
      </c>
      <c r="L5" s="410">
        <v>1.91</v>
      </c>
      <c r="M5" s="410">
        <v>1.84</v>
      </c>
      <c r="N5" s="410">
        <v>1.8</v>
      </c>
      <c r="O5" s="410">
        <v>1.78</v>
      </c>
      <c r="P5" s="410">
        <v>1.78</v>
      </c>
      <c r="Q5" s="410">
        <v>1.76</v>
      </c>
      <c r="R5" s="410"/>
      <c r="S5" s="402"/>
      <c r="T5" s="402"/>
      <c r="U5" s="402"/>
      <c r="V5" s="402"/>
      <c r="W5" s="402"/>
      <c r="X5" s="402"/>
      <c r="Y5" s="402"/>
      <c r="Z5" s="402"/>
      <c r="AA5" s="402"/>
      <c r="AB5" s="402"/>
      <c r="AC5" s="402"/>
      <c r="AD5" s="402"/>
      <c r="AE5" s="402"/>
      <c r="AF5" s="402"/>
      <c r="AG5" s="402"/>
      <c r="AH5" s="402"/>
      <c r="AI5" s="402"/>
      <c r="AJ5" s="402"/>
      <c r="AK5" s="402"/>
      <c r="AL5" s="402"/>
      <c r="AM5" s="402"/>
      <c r="AN5" s="402"/>
      <c r="AO5" s="402"/>
      <c r="AP5" s="402"/>
      <c r="AQ5" s="402"/>
      <c r="AR5" s="402"/>
      <c r="AS5" s="402"/>
      <c r="AT5" s="402"/>
      <c r="AU5" s="402"/>
      <c r="AV5" s="402"/>
      <c r="AW5" s="402"/>
      <c r="AX5" s="402"/>
      <c r="AY5" s="402"/>
      <c r="AZ5" s="402"/>
      <c r="BA5" s="402"/>
      <c r="BB5" s="402"/>
      <c r="BC5" s="402"/>
      <c r="BD5" s="402"/>
      <c r="BE5" s="402"/>
      <c r="BF5" s="402"/>
      <c r="BG5" s="402"/>
      <c r="BH5" s="402"/>
      <c r="BI5" s="402"/>
      <c r="BJ5" s="402"/>
      <c r="BK5" s="402"/>
      <c r="BL5" s="403"/>
    </row>
    <row r="6" spans="1:64">
      <c r="B6" s="667"/>
      <c r="C6" s="85" t="s">
        <v>54</v>
      </c>
      <c r="D6" s="276"/>
      <c r="E6" s="277"/>
      <c r="F6" s="277"/>
      <c r="G6" s="277"/>
      <c r="H6" s="277"/>
      <c r="I6" s="277"/>
      <c r="J6" s="277"/>
      <c r="K6" s="277"/>
      <c r="L6" s="277"/>
      <c r="M6" s="277"/>
      <c r="N6" s="277"/>
      <c r="O6" s="277"/>
      <c r="P6" s="277"/>
      <c r="Q6" s="277"/>
      <c r="R6" s="278">
        <v>1.74</v>
      </c>
      <c r="S6" s="278">
        <v>1.72</v>
      </c>
      <c r="T6" s="278">
        <v>1.71</v>
      </c>
      <c r="U6" s="278">
        <v>1.71</v>
      </c>
      <c r="V6" s="278">
        <v>1.69</v>
      </c>
      <c r="W6" s="278">
        <v>1.69</v>
      </c>
      <c r="X6" s="278">
        <v>1.69</v>
      </c>
      <c r="Y6" s="278">
        <v>1.69</v>
      </c>
      <c r="Z6" s="278">
        <v>1.7</v>
      </c>
      <c r="AA6" s="278">
        <v>1.69</v>
      </c>
      <c r="AB6" s="278">
        <v>1.69</v>
      </c>
      <c r="AC6" s="278">
        <v>1.69</v>
      </c>
      <c r="AD6" s="278">
        <v>1.68</v>
      </c>
      <c r="AE6" s="278">
        <v>1.67</v>
      </c>
      <c r="AF6" s="278">
        <v>1.65</v>
      </c>
      <c r="AG6" s="278">
        <v>1.64</v>
      </c>
      <c r="AH6" s="278">
        <v>1.62</v>
      </c>
      <c r="AI6" s="278">
        <v>1.61</v>
      </c>
      <c r="AJ6" s="278">
        <v>1.59</v>
      </c>
      <c r="AK6" s="278">
        <v>1.57</v>
      </c>
      <c r="AL6" s="278">
        <v>1.56</v>
      </c>
      <c r="AM6" s="278">
        <v>1.55</v>
      </c>
      <c r="AN6" s="278">
        <v>1.54</v>
      </c>
      <c r="AO6" s="278">
        <v>1.53</v>
      </c>
      <c r="AP6" s="278">
        <v>1.53</v>
      </c>
      <c r="AQ6" s="278">
        <v>1.53</v>
      </c>
      <c r="AR6" s="278">
        <v>1.52</v>
      </c>
      <c r="AS6" s="278">
        <v>1.51</v>
      </c>
      <c r="AT6" s="278">
        <v>1.51</v>
      </c>
      <c r="AU6" s="278">
        <v>1.5</v>
      </c>
      <c r="AV6" s="278">
        <v>1.49</v>
      </c>
      <c r="AW6" s="278">
        <v>1.48</v>
      </c>
      <c r="AX6" s="278">
        <v>1.48</v>
      </c>
      <c r="AY6" s="278">
        <v>1.47</v>
      </c>
      <c r="AZ6" s="278">
        <v>1.46</v>
      </c>
      <c r="BA6" s="278">
        <v>1.46</v>
      </c>
      <c r="BB6" s="278">
        <v>1.45</v>
      </c>
      <c r="BC6" s="278">
        <v>1.45</v>
      </c>
      <c r="BD6" s="278">
        <v>1.45</v>
      </c>
      <c r="BE6" s="278">
        <v>1.44</v>
      </c>
      <c r="BF6" s="278">
        <v>1.44</v>
      </c>
      <c r="BG6" s="278">
        <v>1.44</v>
      </c>
      <c r="BH6" s="278">
        <v>1.44</v>
      </c>
      <c r="BI6" s="278">
        <v>1.44</v>
      </c>
      <c r="BJ6" s="278">
        <v>1.44</v>
      </c>
      <c r="BK6" s="278">
        <v>1.44</v>
      </c>
      <c r="BL6" s="279">
        <v>1.44</v>
      </c>
    </row>
    <row r="7" spans="1:64">
      <c r="B7" s="667"/>
      <c r="C7" s="85" t="s">
        <v>89</v>
      </c>
      <c r="D7" s="276"/>
      <c r="E7" s="277"/>
      <c r="F7" s="277"/>
      <c r="G7" s="277"/>
      <c r="H7" s="277"/>
      <c r="I7" s="277"/>
      <c r="J7" s="277"/>
      <c r="K7" s="277"/>
      <c r="L7" s="277"/>
      <c r="M7" s="277"/>
      <c r="N7" s="277"/>
      <c r="O7" s="277"/>
      <c r="P7" s="277"/>
      <c r="Q7" s="277"/>
      <c r="R7" s="278">
        <v>1.74</v>
      </c>
      <c r="S7" s="278">
        <v>1.72</v>
      </c>
      <c r="T7" s="278">
        <v>1.71</v>
      </c>
      <c r="U7" s="278">
        <v>1.71</v>
      </c>
      <c r="V7" s="278">
        <v>1.69</v>
      </c>
      <c r="W7" s="278">
        <v>1.69</v>
      </c>
      <c r="X7" s="278">
        <v>1.69</v>
      </c>
      <c r="Y7" s="278">
        <v>1.69</v>
      </c>
      <c r="Z7" s="278">
        <v>1.7</v>
      </c>
      <c r="AA7" s="278">
        <v>1.69</v>
      </c>
      <c r="AB7" s="278">
        <v>1.69</v>
      </c>
      <c r="AC7" s="278">
        <v>1.69</v>
      </c>
      <c r="AD7" s="278">
        <v>1.68</v>
      </c>
      <c r="AE7" s="278">
        <v>1.67</v>
      </c>
      <c r="AF7" s="278">
        <v>1.65</v>
      </c>
      <c r="AG7" s="278">
        <v>1.64</v>
      </c>
      <c r="AH7" s="278">
        <v>1.62</v>
      </c>
      <c r="AI7" s="278">
        <v>1.61</v>
      </c>
      <c r="AJ7" s="278">
        <v>1.59</v>
      </c>
      <c r="AK7" s="278">
        <v>1.57</v>
      </c>
      <c r="AL7" s="278">
        <v>1.56</v>
      </c>
      <c r="AM7" s="278">
        <v>1.55</v>
      </c>
      <c r="AN7" s="278">
        <v>1.54</v>
      </c>
      <c r="AO7" s="278">
        <v>1.53</v>
      </c>
      <c r="AP7" s="278">
        <v>1.53</v>
      </c>
      <c r="AQ7" s="278">
        <v>1.52</v>
      </c>
      <c r="AR7" s="278">
        <v>1.52</v>
      </c>
      <c r="AS7" s="278">
        <v>1.51</v>
      </c>
      <c r="AT7" s="278">
        <v>1.51</v>
      </c>
      <c r="AU7" s="278">
        <v>1.5</v>
      </c>
      <c r="AV7" s="278">
        <v>1.49</v>
      </c>
      <c r="AW7" s="278">
        <v>1.48</v>
      </c>
      <c r="AX7" s="278">
        <v>1.47</v>
      </c>
      <c r="AY7" s="278">
        <v>1.47</v>
      </c>
      <c r="AZ7" s="278">
        <v>1.46</v>
      </c>
      <c r="BA7" s="278">
        <v>1.46</v>
      </c>
      <c r="BB7" s="278">
        <v>1.45</v>
      </c>
      <c r="BC7" s="278">
        <v>1.45</v>
      </c>
      <c r="BD7" s="278">
        <v>1.45</v>
      </c>
      <c r="BE7" s="278">
        <v>1.44</v>
      </c>
      <c r="BF7" s="278">
        <v>1.44</v>
      </c>
      <c r="BG7" s="278">
        <v>1.44</v>
      </c>
      <c r="BH7" s="278">
        <v>1.44</v>
      </c>
      <c r="BI7" s="278">
        <v>1.44</v>
      </c>
      <c r="BJ7" s="278">
        <v>1.44</v>
      </c>
      <c r="BK7" s="278">
        <v>1.44</v>
      </c>
      <c r="BL7" s="279">
        <v>1.44</v>
      </c>
    </row>
    <row r="8" spans="1:64">
      <c r="B8" s="667"/>
      <c r="C8" s="85" t="s">
        <v>55</v>
      </c>
      <c r="D8" s="276"/>
      <c r="E8" s="277"/>
      <c r="F8" s="277"/>
      <c r="G8" s="277"/>
      <c r="H8" s="277"/>
      <c r="I8" s="277"/>
      <c r="J8" s="277"/>
      <c r="K8" s="277"/>
      <c r="L8" s="277"/>
      <c r="M8" s="277"/>
      <c r="N8" s="277"/>
      <c r="O8" s="277"/>
      <c r="P8" s="277"/>
      <c r="Q8" s="277"/>
      <c r="R8" s="278">
        <v>1.74</v>
      </c>
      <c r="S8" s="278">
        <v>1.72</v>
      </c>
      <c r="T8" s="278">
        <v>1.71</v>
      </c>
      <c r="U8" s="278">
        <v>1.71</v>
      </c>
      <c r="V8" s="278">
        <v>1.69</v>
      </c>
      <c r="W8" s="278">
        <v>1.69</v>
      </c>
      <c r="X8" s="278">
        <v>1.69</v>
      </c>
      <c r="Y8" s="278">
        <v>1.69</v>
      </c>
      <c r="Z8" s="278">
        <v>1.69</v>
      </c>
      <c r="AA8" s="278">
        <v>1.68</v>
      </c>
      <c r="AB8" s="278">
        <v>1.68</v>
      </c>
      <c r="AC8" s="278">
        <v>1.67</v>
      </c>
      <c r="AD8" s="278">
        <v>1.65</v>
      </c>
      <c r="AE8" s="278">
        <v>1.64</v>
      </c>
      <c r="AF8" s="278">
        <v>1.63</v>
      </c>
      <c r="AG8" s="278">
        <v>1.62</v>
      </c>
      <c r="AH8" s="278">
        <v>1.62</v>
      </c>
      <c r="AI8" s="278">
        <v>1.61</v>
      </c>
      <c r="AJ8" s="278">
        <v>1.59</v>
      </c>
      <c r="AK8" s="278">
        <v>1.57</v>
      </c>
      <c r="AL8" s="278">
        <v>1.56</v>
      </c>
      <c r="AM8" s="278">
        <v>1.55</v>
      </c>
      <c r="AN8" s="278">
        <v>1.54</v>
      </c>
      <c r="AO8" s="278">
        <v>1.53</v>
      </c>
      <c r="AP8" s="278">
        <v>1.53</v>
      </c>
      <c r="AQ8" s="278">
        <v>1.52</v>
      </c>
      <c r="AR8" s="278">
        <v>1.52</v>
      </c>
      <c r="AS8" s="278">
        <v>1.51</v>
      </c>
      <c r="AT8" s="278">
        <v>1.5</v>
      </c>
      <c r="AU8" s="278">
        <v>1.5</v>
      </c>
      <c r="AV8" s="278">
        <v>1.49</v>
      </c>
      <c r="AW8" s="278">
        <v>1.48</v>
      </c>
      <c r="AX8" s="278">
        <v>1.47</v>
      </c>
      <c r="AY8" s="278">
        <v>1.47</v>
      </c>
      <c r="AZ8" s="278">
        <v>1.46</v>
      </c>
      <c r="BA8" s="278">
        <v>1.46</v>
      </c>
      <c r="BB8" s="278">
        <v>1.45</v>
      </c>
      <c r="BC8" s="278">
        <v>1.45</v>
      </c>
      <c r="BD8" s="278">
        <v>1.44</v>
      </c>
      <c r="BE8" s="278">
        <v>1.44</v>
      </c>
      <c r="BF8" s="278">
        <v>1.44</v>
      </c>
      <c r="BG8" s="278">
        <v>1.44</v>
      </c>
      <c r="BH8" s="278">
        <v>1.44</v>
      </c>
      <c r="BI8" s="278">
        <v>1.44</v>
      </c>
      <c r="BJ8" s="278">
        <v>1.44</v>
      </c>
      <c r="BK8" s="278">
        <v>1.44</v>
      </c>
      <c r="BL8" s="279">
        <v>1.44</v>
      </c>
    </row>
    <row r="9" spans="1:64">
      <c r="B9" s="667"/>
      <c r="C9" s="85" t="s">
        <v>56</v>
      </c>
      <c r="D9" s="276"/>
      <c r="E9" s="277"/>
      <c r="F9" s="277"/>
      <c r="G9" s="277"/>
      <c r="H9" s="277"/>
      <c r="I9" s="277"/>
      <c r="J9" s="277"/>
      <c r="K9" s="277"/>
      <c r="L9" s="277"/>
      <c r="M9" s="277"/>
      <c r="N9" s="277"/>
      <c r="O9" s="277"/>
      <c r="P9" s="277"/>
      <c r="Q9" s="277"/>
      <c r="R9" s="278">
        <v>1.74</v>
      </c>
      <c r="S9" s="278">
        <v>1.72</v>
      </c>
      <c r="T9" s="278">
        <v>1.71</v>
      </c>
      <c r="U9" s="278">
        <v>1.71</v>
      </c>
      <c r="V9" s="278">
        <v>1.69</v>
      </c>
      <c r="W9" s="278">
        <v>1.69</v>
      </c>
      <c r="X9" s="278">
        <v>1.69</v>
      </c>
      <c r="Y9" s="278">
        <v>1.69</v>
      </c>
      <c r="Z9" s="278">
        <v>1.69</v>
      </c>
      <c r="AA9" s="278">
        <v>1.68</v>
      </c>
      <c r="AB9" s="278">
        <v>1.68</v>
      </c>
      <c r="AC9" s="278">
        <v>1.66</v>
      </c>
      <c r="AD9" s="278">
        <v>1.64</v>
      </c>
      <c r="AE9" s="278">
        <v>1.63</v>
      </c>
      <c r="AF9" s="278">
        <v>1.61</v>
      </c>
      <c r="AG9" s="278">
        <v>1.6</v>
      </c>
      <c r="AH9" s="278">
        <v>1.58</v>
      </c>
      <c r="AI9" s="278">
        <v>1.56</v>
      </c>
      <c r="AJ9" s="278">
        <v>1.55</v>
      </c>
      <c r="AK9" s="278">
        <v>1.53</v>
      </c>
      <c r="AL9" s="278">
        <v>1.52</v>
      </c>
      <c r="AM9" s="278">
        <v>1.51</v>
      </c>
      <c r="AN9" s="278">
        <v>1.5</v>
      </c>
      <c r="AO9" s="278">
        <v>1.49</v>
      </c>
      <c r="AP9" s="278">
        <v>1.49</v>
      </c>
      <c r="AQ9" s="278">
        <v>1.48</v>
      </c>
      <c r="AR9" s="278">
        <v>1.48</v>
      </c>
      <c r="AS9" s="278">
        <v>1.47</v>
      </c>
      <c r="AT9" s="278">
        <v>1.46</v>
      </c>
      <c r="AU9" s="278">
        <v>1.45</v>
      </c>
      <c r="AV9" s="278">
        <v>1.45</v>
      </c>
      <c r="AW9" s="278">
        <v>1.44</v>
      </c>
      <c r="AX9" s="278">
        <v>1.43</v>
      </c>
      <c r="AY9" s="278">
        <v>1.42</v>
      </c>
      <c r="AZ9" s="278">
        <v>1.42</v>
      </c>
      <c r="BA9" s="278">
        <v>1.41</v>
      </c>
      <c r="BB9" s="278">
        <v>1.41</v>
      </c>
      <c r="BC9" s="278">
        <v>1.4</v>
      </c>
      <c r="BD9" s="278">
        <v>1.4</v>
      </c>
      <c r="BE9" s="278">
        <v>1.4</v>
      </c>
      <c r="BF9" s="278">
        <v>1.4</v>
      </c>
      <c r="BG9" s="278">
        <v>1.4</v>
      </c>
      <c r="BH9" s="278">
        <v>1.39</v>
      </c>
      <c r="BI9" s="278">
        <v>1.39</v>
      </c>
      <c r="BJ9" s="278">
        <v>1.39</v>
      </c>
      <c r="BK9" s="278">
        <v>1.39</v>
      </c>
      <c r="BL9" s="279">
        <v>1.39</v>
      </c>
    </row>
    <row r="10" spans="1:64" ht="15" thickBot="1">
      <c r="B10" s="668"/>
      <c r="C10" s="86" t="s">
        <v>57</v>
      </c>
      <c r="D10" s="280"/>
      <c r="E10" s="281"/>
      <c r="F10" s="281"/>
      <c r="G10" s="281"/>
      <c r="H10" s="281"/>
      <c r="I10" s="281"/>
      <c r="J10" s="281"/>
      <c r="K10" s="281"/>
      <c r="L10" s="281"/>
      <c r="M10" s="281"/>
      <c r="N10" s="281"/>
      <c r="O10" s="281"/>
      <c r="P10" s="281"/>
      <c r="Q10" s="281"/>
      <c r="R10" s="282">
        <v>1.74</v>
      </c>
      <c r="S10" s="282">
        <v>1.72</v>
      </c>
      <c r="T10" s="282">
        <v>1.71</v>
      </c>
      <c r="U10" s="282">
        <v>1.71</v>
      </c>
      <c r="V10" s="282">
        <v>1.69</v>
      </c>
      <c r="W10" s="282">
        <v>1.69</v>
      </c>
      <c r="X10" s="282">
        <v>1.69</v>
      </c>
      <c r="Y10" s="282">
        <v>1.69</v>
      </c>
      <c r="Z10" s="282">
        <v>1.69</v>
      </c>
      <c r="AA10" s="282">
        <v>1.68</v>
      </c>
      <c r="AB10" s="282">
        <v>1.68</v>
      </c>
      <c r="AC10" s="282">
        <v>1.66</v>
      </c>
      <c r="AD10" s="282">
        <v>1.64</v>
      </c>
      <c r="AE10" s="282">
        <v>1.63</v>
      </c>
      <c r="AF10" s="282">
        <v>1.61</v>
      </c>
      <c r="AG10" s="282">
        <v>1.6</v>
      </c>
      <c r="AH10" s="282">
        <v>1.58</v>
      </c>
      <c r="AI10" s="282">
        <v>1.56</v>
      </c>
      <c r="AJ10" s="282">
        <v>1.55</v>
      </c>
      <c r="AK10" s="282">
        <v>1.53</v>
      </c>
      <c r="AL10" s="282">
        <v>1.52</v>
      </c>
      <c r="AM10" s="282">
        <v>1.51</v>
      </c>
      <c r="AN10" s="282">
        <v>1.5</v>
      </c>
      <c r="AO10" s="282">
        <v>1.49</v>
      </c>
      <c r="AP10" s="282">
        <v>1.49</v>
      </c>
      <c r="AQ10" s="282">
        <v>1.48</v>
      </c>
      <c r="AR10" s="282">
        <v>1.48</v>
      </c>
      <c r="AS10" s="282">
        <v>1.47</v>
      </c>
      <c r="AT10" s="282">
        <v>1.46</v>
      </c>
      <c r="AU10" s="282">
        <v>1.45</v>
      </c>
      <c r="AV10" s="282">
        <v>1.44</v>
      </c>
      <c r="AW10" s="282">
        <v>1.44</v>
      </c>
      <c r="AX10" s="282">
        <v>1.43</v>
      </c>
      <c r="AY10" s="282">
        <v>1.42</v>
      </c>
      <c r="AZ10" s="282">
        <v>1.42</v>
      </c>
      <c r="BA10" s="282">
        <v>1.41</v>
      </c>
      <c r="BB10" s="282">
        <v>1.41</v>
      </c>
      <c r="BC10" s="282">
        <v>1.4</v>
      </c>
      <c r="BD10" s="282">
        <v>1.4</v>
      </c>
      <c r="BE10" s="282">
        <v>1.4</v>
      </c>
      <c r="BF10" s="282">
        <v>1.39</v>
      </c>
      <c r="BG10" s="282">
        <v>1.39</v>
      </c>
      <c r="BH10" s="282">
        <v>1.39</v>
      </c>
      <c r="BI10" s="282">
        <v>1.39</v>
      </c>
      <c r="BJ10" s="282">
        <v>1.39</v>
      </c>
      <c r="BK10" s="282">
        <v>1.39</v>
      </c>
      <c r="BL10" s="283">
        <v>1.39</v>
      </c>
    </row>
    <row r="11" spans="1:64" ht="15" customHeight="1">
      <c r="B11" s="666" t="s">
        <v>68</v>
      </c>
      <c r="C11" s="84" t="s">
        <v>66</v>
      </c>
      <c r="D11" s="409"/>
      <c r="E11" s="402">
        <v>0</v>
      </c>
      <c r="F11" s="402">
        <v>0.26300000000000001</v>
      </c>
      <c r="G11" s="402">
        <v>0.26900000000000002</v>
      </c>
      <c r="H11" s="402">
        <v>0.27500000000000002</v>
      </c>
      <c r="I11" s="402">
        <v>0.27200000000000002</v>
      </c>
      <c r="J11" s="402">
        <v>0.27500000000000002</v>
      </c>
      <c r="K11" s="402">
        <v>0.27800000000000002</v>
      </c>
      <c r="L11" s="402">
        <v>0.27800000000000002</v>
      </c>
      <c r="M11" s="402">
        <v>0.28299999999999997</v>
      </c>
      <c r="N11" s="402">
        <v>0.28100000000000003</v>
      </c>
      <c r="O11" s="402">
        <v>0.28899999999999998</v>
      </c>
      <c r="P11" s="402">
        <v>0.29699999999999999</v>
      </c>
      <c r="Q11" s="402">
        <v>0.30599999999999999</v>
      </c>
      <c r="R11" s="402"/>
      <c r="S11" s="402"/>
      <c r="T11" s="402"/>
      <c r="U11" s="402"/>
      <c r="V11" s="402"/>
      <c r="W11" s="402"/>
      <c r="X11" s="402"/>
      <c r="Y11" s="402"/>
      <c r="Z11" s="402"/>
      <c r="AA11" s="402"/>
      <c r="AB11" s="402"/>
      <c r="AC11" s="402"/>
      <c r="AD11" s="402"/>
      <c r="AE11" s="402"/>
      <c r="AF11" s="402"/>
      <c r="AG11" s="402"/>
      <c r="AH11" s="402"/>
      <c r="AI11" s="402"/>
      <c r="AJ11" s="402"/>
      <c r="AK11" s="402"/>
      <c r="AL11" s="402"/>
      <c r="AM11" s="402"/>
      <c r="AN11" s="402"/>
      <c r="AO11" s="402"/>
      <c r="AP11" s="402"/>
      <c r="AQ11" s="402"/>
      <c r="AR11" s="402"/>
      <c r="AS11" s="402"/>
      <c r="AT11" s="402"/>
      <c r="AU11" s="402"/>
      <c r="AV11" s="402"/>
      <c r="AW11" s="402"/>
      <c r="AX11" s="402"/>
      <c r="AY11" s="402"/>
      <c r="AZ11" s="402"/>
      <c r="BA11" s="402"/>
      <c r="BB11" s="402"/>
      <c r="BC11" s="402"/>
      <c r="BD11" s="402"/>
      <c r="BE11" s="402"/>
      <c r="BF11" s="402"/>
      <c r="BG11" s="402"/>
      <c r="BH11" s="402"/>
      <c r="BI11" s="402"/>
      <c r="BJ11" s="402"/>
      <c r="BK11" s="402"/>
      <c r="BL11" s="403"/>
    </row>
    <row r="12" spans="1:64">
      <c r="B12" s="667"/>
      <c r="C12" s="85" t="s">
        <v>54</v>
      </c>
      <c r="D12" s="276"/>
      <c r="E12" s="277"/>
      <c r="F12" s="277"/>
      <c r="G12" s="277"/>
      <c r="H12" s="277"/>
      <c r="I12" s="277"/>
      <c r="J12" s="277"/>
      <c r="K12" s="277"/>
      <c r="L12" s="277"/>
      <c r="M12" s="277"/>
      <c r="N12" s="277"/>
      <c r="O12" s="277"/>
      <c r="P12" s="277"/>
      <c r="Q12" s="277"/>
      <c r="R12" s="277">
        <v>0.309</v>
      </c>
      <c r="S12" s="277">
        <v>0.311</v>
      </c>
      <c r="T12" s="277">
        <v>0.312</v>
      </c>
      <c r="U12" s="277">
        <v>0.312</v>
      </c>
      <c r="V12" s="277">
        <v>0.311</v>
      </c>
      <c r="W12" s="277">
        <v>0.309</v>
      </c>
      <c r="X12" s="277">
        <v>0.308</v>
      </c>
      <c r="Y12" s="277">
        <v>0.30499999999999999</v>
      </c>
      <c r="Z12" s="277">
        <v>0.30399999999999999</v>
      </c>
      <c r="AA12" s="277">
        <v>0.30299999999999999</v>
      </c>
      <c r="AB12" s="277">
        <v>0.30199999999999999</v>
      </c>
      <c r="AC12" s="277">
        <v>0.30099999999999999</v>
      </c>
      <c r="AD12" s="277">
        <v>0.3</v>
      </c>
      <c r="AE12" s="277">
        <v>0.29899999999999999</v>
      </c>
      <c r="AF12" s="277">
        <v>0.29799999999999999</v>
      </c>
      <c r="AG12" s="277">
        <v>0.29799999999999999</v>
      </c>
      <c r="AH12" s="277">
        <v>0.29799999999999999</v>
      </c>
      <c r="AI12" s="277">
        <v>0.29799999999999999</v>
      </c>
      <c r="AJ12" s="277">
        <v>0.29799999999999999</v>
      </c>
      <c r="AK12" s="277">
        <v>0.29699999999999999</v>
      </c>
      <c r="AL12" s="277">
        <v>0.29699999999999999</v>
      </c>
      <c r="AM12" s="277">
        <v>0.29699999999999999</v>
      </c>
      <c r="AN12" s="277">
        <v>0.29699999999999999</v>
      </c>
      <c r="AO12" s="277">
        <v>0.29599999999999999</v>
      </c>
      <c r="AP12" s="277">
        <v>0.29599999999999999</v>
      </c>
      <c r="AQ12" s="277">
        <v>0.29599999999999999</v>
      </c>
      <c r="AR12" s="277">
        <v>0.29599999999999999</v>
      </c>
      <c r="AS12" s="277">
        <v>0.29599999999999999</v>
      </c>
      <c r="AT12" s="277">
        <v>0.29499999999999998</v>
      </c>
      <c r="AU12" s="277">
        <v>0.29499999999999998</v>
      </c>
      <c r="AV12" s="277">
        <v>0.29499999999999998</v>
      </c>
      <c r="AW12" s="277">
        <v>0.29499999999999998</v>
      </c>
      <c r="AX12" s="277">
        <v>0.29499999999999998</v>
      </c>
      <c r="AY12" s="277">
        <v>0.29499999999999998</v>
      </c>
      <c r="AZ12" s="277">
        <v>0.29499999999999998</v>
      </c>
      <c r="BA12" s="277">
        <v>0.29399999999999998</v>
      </c>
      <c r="BB12" s="277">
        <v>0.29399999999999998</v>
      </c>
      <c r="BC12" s="277">
        <v>0.29399999999999998</v>
      </c>
      <c r="BD12" s="277">
        <v>0.29399999999999998</v>
      </c>
      <c r="BE12" s="277">
        <v>0.29399999999999998</v>
      </c>
      <c r="BF12" s="277">
        <v>0.29399999999999998</v>
      </c>
      <c r="BG12" s="277">
        <v>0.29399999999999998</v>
      </c>
      <c r="BH12" s="277">
        <v>0.29299999999999998</v>
      </c>
      <c r="BI12" s="277">
        <v>0.29299999999999998</v>
      </c>
      <c r="BJ12" s="277">
        <v>0.29299999999999998</v>
      </c>
      <c r="BK12" s="277">
        <v>0.29299999999999998</v>
      </c>
      <c r="BL12" s="284">
        <v>0.29299999999999998</v>
      </c>
    </row>
    <row r="13" spans="1:64">
      <c r="B13" s="667"/>
      <c r="C13" s="85" t="s">
        <v>89</v>
      </c>
      <c r="D13" s="276"/>
      <c r="E13" s="277"/>
      <c r="F13" s="277"/>
      <c r="G13" s="277"/>
      <c r="H13" s="277"/>
      <c r="I13" s="277"/>
      <c r="J13" s="277"/>
      <c r="K13" s="277"/>
      <c r="L13" s="277"/>
      <c r="M13" s="277"/>
      <c r="N13" s="277"/>
      <c r="O13" s="277"/>
      <c r="P13" s="277"/>
      <c r="Q13" s="277"/>
      <c r="R13" s="277">
        <v>0.309</v>
      </c>
      <c r="S13" s="277">
        <v>0.311</v>
      </c>
      <c r="T13" s="277">
        <v>0.312</v>
      </c>
      <c r="U13" s="277">
        <v>0.312</v>
      </c>
      <c r="V13" s="277">
        <v>0.311</v>
      </c>
      <c r="W13" s="277">
        <v>0.309</v>
      </c>
      <c r="X13" s="277">
        <v>0.308</v>
      </c>
      <c r="Y13" s="277">
        <v>0.30499999999999999</v>
      </c>
      <c r="Z13" s="277">
        <v>0.30399999999999999</v>
      </c>
      <c r="AA13" s="277">
        <v>0.30299999999999999</v>
      </c>
      <c r="AB13" s="277">
        <v>0.30099999999999999</v>
      </c>
      <c r="AC13" s="277">
        <v>0.3</v>
      </c>
      <c r="AD13" s="277">
        <v>0.29899999999999999</v>
      </c>
      <c r="AE13" s="277">
        <v>0.29899999999999999</v>
      </c>
      <c r="AF13" s="277">
        <v>0.29799999999999999</v>
      </c>
      <c r="AG13" s="277">
        <v>0.29799999999999999</v>
      </c>
      <c r="AH13" s="277">
        <v>0.29799999999999999</v>
      </c>
      <c r="AI13" s="277">
        <v>0.29799999999999999</v>
      </c>
      <c r="AJ13" s="277">
        <v>0.29799999999999999</v>
      </c>
      <c r="AK13" s="277">
        <v>0.29699999999999999</v>
      </c>
      <c r="AL13" s="277">
        <v>0.29699999999999999</v>
      </c>
      <c r="AM13" s="277">
        <v>0.29699999999999999</v>
      </c>
      <c r="AN13" s="277">
        <v>0.29699999999999999</v>
      </c>
      <c r="AO13" s="277">
        <v>0.29699999999999999</v>
      </c>
      <c r="AP13" s="277">
        <v>0.29599999999999999</v>
      </c>
      <c r="AQ13" s="277">
        <v>0.29599999999999999</v>
      </c>
      <c r="AR13" s="277">
        <v>0.29599999999999999</v>
      </c>
      <c r="AS13" s="277">
        <v>0.29599999999999999</v>
      </c>
      <c r="AT13" s="277">
        <v>0.29599999999999999</v>
      </c>
      <c r="AU13" s="277">
        <v>0.29499999999999998</v>
      </c>
      <c r="AV13" s="277">
        <v>0.29499999999999998</v>
      </c>
      <c r="AW13" s="277">
        <v>0.29499999999999998</v>
      </c>
      <c r="AX13" s="277">
        <v>0.29499999999999998</v>
      </c>
      <c r="AY13" s="277">
        <v>0.29499999999999998</v>
      </c>
      <c r="AZ13" s="277">
        <v>0.29499999999999998</v>
      </c>
      <c r="BA13" s="277">
        <v>0.29499999999999998</v>
      </c>
      <c r="BB13" s="277">
        <v>0.29399999999999998</v>
      </c>
      <c r="BC13" s="277">
        <v>0.29399999999999998</v>
      </c>
      <c r="BD13" s="277">
        <v>0.29399999999999998</v>
      </c>
      <c r="BE13" s="277">
        <v>0.29399999999999998</v>
      </c>
      <c r="BF13" s="277">
        <v>0.29399999999999998</v>
      </c>
      <c r="BG13" s="277">
        <v>0.29399999999999998</v>
      </c>
      <c r="BH13" s="277">
        <v>0.29399999999999998</v>
      </c>
      <c r="BI13" s="277">
        <v>0.29299999999999998</v>
      </c>
      <c r="BJ13" s="277">
        <v>0.29299999999999998</v>
      </c>
      <c r="BK13" s="277">
        <v>0.29299999999999998</v>
      </c>
      <c r="BL13" s="284">
        <v>0.29299999999999998</v>
      </c>
    </row>
    <row r="14" spans="1:64">
      <c r="B14" s="667"/>
      <c r="C14" s="85" t="s">
        <v>55</v>
      </c>
      <c r="D14" s="276"/>
      <c r="E14" s="277"/>
      <c r="F14" s="277"/>
      <c r="G14" s="277"/>
      <c r="H14" s="277"/>
      <c r="I14" s="277"/>
      <c r="J14" s="277"/>
      <c r="K14" s="277"/>
      <c r="L14" s="277"/>
      <c r="M14" s="277"/>
      <c r="N14" s="277"/>
      <c r="O14" s="277"/>
      <c r="P14" s="277"/>
      <c r="Q14" s="277"/>
      <c r="R14" s="277">
        <v>0.309</v>
      </c>
      <c r="S14" s="277">
        <v>0.311</v>
      </c>
      <c r="T14" s="277">
        <v>0.312</v>
      </c>
      <c r="U14" s="277">
        <v>0.312</v>
      </c>
      <c r="V14" s="277">
        <v>0.311</v>
      </c>
      <c r="W14" s="277">
        <v>0.309</v>
      </c>
      <c r="X14" s="277">
        <v>0.308</v>
      </c>
      <c r="Y14" s="277">
        <v>0.307</v>
      </c>
      <c r="Z14" s="277">
        <v>0.30599999999999999</v>
      </c>
      <c r="AA14" s="277">
        <v>0.30499999999999999</v>
      </c>
      <c r="AB14" s="277">
        <v>0.30399999999999999</v>
      </c>
      <c r="AC14" s="277">
        <v>0.30299999999999999</v>
      </c>
      <c r="AD14" s="277">
        <v>0.30199999999999999</v>
      </c>
      <c r="AE14" s="277">
        <v>0.30099999999999999</v>
      </c>
      <c r="AF14" s="277">
        <v>0.30099999999999999</v>
      </c>
      <c r="AG14" s="277">
        <v>0.3</v>
      </c>
      <c r="AH14" s="277">
        <v>0.3</v>
      </c>
      <c r="AI14" s="277">
        <v>0.29899999999999999</v>
      </c>
      <c r="AJ14" s="277">
        <v>0.29899999999999999</v>
      </c>
      <c r="AK14" s="277">
        <v>0.29899999999999999</v>
      </c>
      <c r="AL14" s="277">
        <v>0.29899999999999999</v>
      </c>
      <c r="AM14" s="277">
        <v>0.29899999999999999</v>
      </c>
      <c r="AN14" s="277">
        <v>0.29899999999999999</v>
      </c>
      <c r="AO14" s="277">
        <v>0.29799999999999999</v>
      </c>
      <c r="AP14" s="277">
        <v>0.29799999999999999</v>
      </c>
      <c r="AQ14" s="277">
        <v>0.29799999999999999</v>
      </c>
      <c r="AR14" s="277">
        <v>0.29799999999999999</v>
      </c>
      <c r="AS14" s="277">
        <v>0.29799999999999999</v>
      </c>
      <c r="AT14" s="277">
        <v>0.29699999999999999</v>
      </c>
      <c r="AU14" s="277">
        <v>0.29699999999999999</v>
      </c>
      <c r="AV14" s="277">
        <v>0.29699999999999999</v>
      </c>
      <c r="AW14" s="277">
        <v>0.29699999999999999</v>
      </c>
      <c r="AX14" s="277">
        <v>0.29699999999999999</v>
      </c>
      <c r="AY14" s="277">
        <v>0.29699999999999999</v>
      </c>
      <c r="AZ14" s="277">
        <v>0.29699999999999999</v>
      </c>
      <c r="BA14" s="277">
        <v>0.29699999999999999</v>
      </c>
      <c r="BB14" s="277">
        <v>0.29699999999999999</v>
      </c>
      <c r="BC14" s="277">
        <v>0.29599999999999999</v>
      </c>
      <c r="BD14" s="277">
        <v>0.29599999999999999</v>
      </c>
      <c r="BE14" s="277">
        <v>0.29599999999999999</v>
      </c>
      <c r="BF14" s="277">
        <v>0.29599999999999999</v>
      </c>
      <c r="BG14" s="277">
        <v>0.29599999999999999</v>
      </c>
      <c r="BH14" s="277">
        <v>0.29599999999999999</v>
      </c>
      <c r="BI14" s="277">
        <v>0.29599999999999999</v>
      </c>
      <c r="BJ14" s="277">
        <v>0.29599999999999999</v>
      </c>
      <c r="BK14" s="277">
        <v>0.29599999999999999</v>
      </c>
      <c r="BL14" s="284">
        <v>0.29499999999999998</v>
      </c>
    </row>
    <row r="15" spans="1:64">
      <c r="B15" s="667"/>
      <c r="C15" s="85" t="s">
        <v>56</v>
      </c>
      <c r="D15" s="276"/>
      <c r="E15" s="277"/>
      <c r="F15" s="277"/>
      <c r="G15" s="277"/>
      <c r="H15" s="277"/>
      <c r="I15" s="277"/>
      <c r="J15" s="277"/>
      <c r="K15" s="277"/>
      <c r="L15" s="277"/>
      <c r="M15" s="277"/>
      <c r="N15" s="277"/>
      <c r="O15" s="277"/>
      <c r="P15" s="277"/>
      <c r="Q15" s="277"/>
      <c r="R15" s="277">
        <v>0.309</v>
      </c>
      <c r="S15" s="277">
        <v>0.311</v>
      </c>
      <c r="T15" s="277">
        <v>0.312</v>
      </c>
      <c r="U15" s="277">
        <v>0.312</v>
      </c>
      <c r="V15" s="277">
        <v>0.311</v>
      </c>
      <c r="W15" s="277">
        <v>0.309</v>
      </c>
      <c r="X15" s="277">
        <v>0.308</v>
      </c>
      <c r="Y15" s="277">
        <v>0.30599999999999999</v>
      </c>
      <c r="Z15" s="277">
        <v>0.30499999999999999</v>
      </c>
      <c r="AA15" s="277">
        <v>0.30399999999999999</v>
      </c>
      <c r="AB15" s="277">
        <v>0.30299999999999999</v>
      </c>
      <c r="AC15" s="277">
        <v>0.30199999999999999</v>
      </c>
      <c r="AD15" s="277">
        <v>0.30199999999999999</v>
      </c>
      <c r="AE15" s="277">
        <v>0.30199999999999999</v>
      </c>
      <c r="AF15" s="277">
        <v>0.30099999999999999</v>
      </c>
      <c r="AG15" s="277">
        <v>0.30099999999999999</v>
      </c>
      <c r="AH15" s="277">
        <v>0.30099999999999999</v>
      </c>
      <c r="AI15" s="277">
        <v>0.30099999999999999</v>
      </c>
      <c r="AJ15" s="277">
        <v>0.30099999999999999</v>
      </c>
      <c r="AK15" s="277">
        <v>0.30099999999999999</v>
      </c>
      <c r="AL15" s="277">
        <v>0.30099999999999999</v>
      </c>
      <c r="AM15" s="277">
        <v>0.30099999999999999</v>
      </c>
      <c r="AN15" s="277">
        <v>0.3</v>
      </c>
      <c r="AO15" s="277">
        <v>0.3</v>
      </c>
      <c r="AP15" s="277">
        <v>0.3</v>
      </c>
      <c r="AQ15" s="277">
        <v>0.3</v>
      </c>
      <c r="AR15" s="277">
        <v>0.3</v>
      </c>
      <c r="AS15" s="277">
        <v>0.29899999999999999</v>
      </c>
      <c r="AT15" s="277">
        <v>0.29899999999999999</v>
      </c>
      <c r="AU15" s="277">
        <v>0.29899999999999999</v>
      </c>
      <c r="AV15" s="277">
        <v>0.29899999999999999</v>
      </c>
      <c r="AW15" s="277">
        <v>0.29899999999999999</v>
      </c>
      <c r="AX15" s="277">
        <v>0.29899999999999999</v>
      </c>
      <c r="AY15" s="277">
        <v>0.29899999999999999</v>
      </c>
      <c r="AZ15" s="277">
        <v>0.29899999999999999</v>
      </c>
      <c r="BA15" s="277">
        <v>0.29899999999999999</v>
      </c>
      <c r="BB15" s="277">
        <v>0.29799999999999999</v>
      </c>
      <c r="BC15" s="277">
        <v>0.29799999999999999</v>
      </c>
      <c r="BD15" s="277">
        <v>0.29799999999999999</v>
      </c>
      <c r="BE15" s="277">
        <v>0.29799999999999999</v>
      </c>
      <c r="BF15" s="277">
        <v>0.29799999999999999</v>
      </c>
      <c r="BG15" s="277">
        <v>0.29799999999999999</v>
      </c>
      <c r="BH15" s="277">
        <v>0.29799999999999999</v>
      </c>
      <c r="BI15" s="277">
        <v>0.29799999999999999</v>
      </c>
      <c r="BJ15" s="277">
        <v>0.29799999999999999</v>
      </c>
      <c r="BK15" s="277">
        <v>0.29699999999999999</v>
      </c>
      <c r="BL15" s="284">
        <v>0.29699999999999999</v>
      </c>
    </row>
    <row r="16" spans="1:64" ht="15" thickBot="1">
      <c r="B16" s="668"/>
      <c r="C16" s="86" t="s">
        <v>57</v>
      </c>
      <c r="D16" s="280"/>
      <c r="E16" s="281"/>
      <c r="F16" s="281"/>
      <c r="G16" s="281"/>
      <c r="H16" s="281"/>
      <c r="I16" s="281"/>
      <c r="J16" s="281"/>
      <c r="K16" s="281"/>
      <c r="L16" s="281"/>
      <c r="M16" s="281"/>
      <c r="N16" s="281"/>
      <c r="O16" s="281"/>
      <c r="P16" s="281"/>
      <c r="Q16" s="281"/>
      <c r="R16" s="281">
        <v>0.309</v>
      </c>
      <c r="S16" s="281">
        <v>0.311</v>
      </c>
      <c r="T16" s="281">
        <v>0.312</v>
      </c>
      <c r="U16" s="281">
        <v>0.312</v>
      </c>
      <c r="V16" s="281">
        <v>0.311</v>
      </c>
      <c r="W16" s="281">
        <v>0.309</v>
      </c>
      <c r="X16" s="281">
        <v>0.308</v>
      </c>
      <c r="Y16" s="281">
        <v>0.30599999999999999</v>
      </c>
      <c r="Z16" s="281">
        <v>0.30499999999999999</v>
      </c>
      <c r="AA16" s="281">
        <v>0.30399999999999999</v>
      </c>
      <c r="AB16" s="281">
        <v>0.30299999999999999</v>
      </c>
      <c r="AC16" s="281">
        <v>0.30199999999999999</v>
      </c>
      <c r="AD16" s="281">
        <v>0.30199999999999999</v>
      </c>
      <c r="AE16" s="281">
        <v>0.30199999999999999</v>
      </c>
      <c r="AF16" s="281">
        <v>0.30199999999999999</v>
      </c>
      <c r="AG16" s="281">
        <v>0.30199999999999999</v>
      </c>
      <c r="AH16" s="281">
        <v>0.30199999999999999</v>
      </c>
      <c r="AI16" s="281">
        <v>0.30099999999999999</v>
      </c>
      <c r="AJ16" s="281">
        <v>0.30099999999999999</v>
      </c>
      <c r="AK16" s="281">
        <v>0.30099999999999999</v>
      </c>
      <c r="AL16" s="281">
        <v>0.30099999999999999</v>
      </c>
      <c r="AM16" s="281">
        <v>0.30099999999999999</v>
      </c>
      <c r="AN16" s="281">
        <v>0.30099999999999999</v>
      </c>
      <c r="AO16" s="281">
        <v>0.30099999999999999</v>
      </c>
      <c r="AP16" s="281">
        <v>0.30099999999999999</v>
      </c>
      <c r="AQ16" s="281">
        <v>0.3</v>
      </c>
      <c r="AR16" s="281">
        <v>0.3</v>
      </c>
      <c r="AS16" s="281">
        <v>0.3</v>
      </c>
      <c r="AT16" s="281">
        <v>0.3</v>
      </c>
      <c r="AU16" s="281">
        <v>0.3</v>
      </c>
      <c r="AV16" s="281">
        <v>0.3</v>
      </c>
      <c r="AW16" s="281">
        <v>0.3</v>
      </c>
      <c r="AX16" s="281">
        <v>0.3</v>
      </c>
      <c r="AY16" s="281">
        <v>0.3</v>
      </c>
      <c r="AZ16" s="281">
        <v>0.3</v>
      </c>
      <c r="BA16" s="281">
        <v>0.3</v>
      </c>
      <c r="BB16" s="281">
        <v>0.3</v>
      </c>
      <c r="BC16" s="281">
        <v>0.29899999999999999</v>
      </c>
      <c r="BD16" s="281">
        <v>0.29899999999999999</v>
      </c>
      <c r="BE16" s="281">
        <v>0.29899999999999999</v>
      </c>
      <c r="BF16" s="281">
        <v>0.29899999999999999</v>
      </c>
      <c r="BG16" s="281">
        <v>0.29899999999999999</v>
      </c>
      <c r="BH16" s="281">
        <v>0.29899999999999999</v>
      </c>
      <c r="BI16" s="281">
        <v>0.29899999999999999</v>
      </c>
      <c r="BJ16" s="281">
        <v>0.29899999999999999</v>
      </c>
      <c r="BK16" s="281">
        <v>0.29899999999999999</v>
      </c>
      <c r="BL16" s="285">
        <v>0.29899999999999999</v>
      </c>
    </row>
    <row r="17" spans="2:64" ht="15" customHeight="1">
      <c r="B17" s="666" t="s">
        <v>69</v>
      </c>
      <c r="C17" s="84" t="s">
        <v>66</v>
      </c>
      <c r="D17" s="409"/>
      <c r="E17" s="402"/>
      <c r="F17" s="402"/>
      <c r="G17" s="402"/>
      <c r="H17" s="402"/>
      <c r="I17" s="402">
        <v>0.48699999999999999</v>
      </c>
      <c r="J17" s="402">
        <v>0.48599999999999999</v>
      </c>
      <c r="K17" s="402">
        <v>0.48799999999999999</v>
      </c>
      <c r="L17" s="402">
        <v>0.49099999999999999</v>
      </c>
      <c r="M17" s="402">
        <v>0.501</v>
      </c>
      <c r="N17" s="402">
        <v>0.497</v>
      </c>
      <c r="O17" s="402">
        <v>0.505</v>
      </c>
      <c r="P17" s="402">
        <v>0.50900000000000001</v>
      </c>
      <c r="Q17" s="402">
        <v>0.51300000000000001</v>
      </c>
      <c r="R17" s="402"/>
      <c r="S17" s="402"/>
      <c r="T17" s="402"/>
      <c r="U17" s="402"/>
      <c r="V17" s="402"/>
      <c r="W17" s="402"/>
      <c r="X17" s="402"/>
      <c r="Y17" s="402"/>
      <c r="Z17" s="402"/>
      <c r="AA17" s="402"/>
      <c r="AB17" s="402"/>
      <c r="AC17" s="402"/>
      <c r="AD17" s="402"/>
      <c r="AE17" s="402"/>
      <c r="AF17" s="402"/>
      <c r="AG17" s="402"/>
      <c r="AH17" s="402"/>
      <c r="AI17" s="402"/>
      <c r="AJ17" s="402"/>
      <c r="AK17" s="402"/>
      <c r="AL17" s="402"/>
      <c r="AM17" s="402"/>
      <c r="AN17" s="402"/>
      <c r="AO17" s="402"/>
      <c r="AP17" s="402"/>
      <c r="AQ17" s="402"/>
      <c r="AR17" s="402"/>
      <c r="AS17" s="402"/>
      <c r="AT17" s="402"/>
      <c r="AU17" s="402"/>
      <c r="AV17" s="402"/>
      <c r="AW17" s="402"/>
      <c r="AX17" s="402"/>
      <c r="AY17" s="402"/>
      <c r="AZ17" s="402"/>
      <c r="BA17" s="402"/>
      <c r="BB17" s="402"/>
      <c r="BC17" s="402"/>
      <c r="BD17" s="402"/>
      <c r="BE17" s="402"/>
      <c r="BF17" s="402"/>
      <c r="BG17" s="402"/>
      <c r="BH17" s="402"/>
      <c r="BI17" s="402"/>
      <c r="BJ17" s="402"/>
      <c r="BK17" s="402"/>
      <c r="BL17" s="403"/>
    </row>
    <row r="18" spans="2:64">
      <c r="B18" s="667"/>
      <c r="C18" s="85" t="s">
        <v>54</v>
      </c>
      <c r="D18" s="276"/>
      <c r="E18" s="277"/>
      <c r="F18" s="277"/>
      <c r="G18" s="277"/>
      <c r="H18" s="277"/>
      <c r="I18" s="277"/>
      <c r="J18" s="277"/>
      <c r="K18" s="277"/>
      <c r="L18" s="277"/>
      <c r="M18" s="277"/>
      <c r="N18" s="277"/>
      <c r="O18" s="277"/>
      <c r="P18" s="277"/>
      <c r="Q18" s="277"/>
      <c r="R18" s="277">
        <v>0.51600000000000001</v>
      </c>
      <c r="S18" s="277">
        <v>0.51500000000000001</v>
      </c>
      <c r="T18" s="277">
        <v>0.51200000000000001</v>
      </c>
      <c r="U18" s="277">
        <v>0.51100000000000001</v>
      </c>
      <c r="V18" s="277">
        <v>0.51100000000000001</v>
      </c>
      <c r="W18" s="277">
        <v>0.50700000000000001</v>
      </c>
      <c r="X18" s="277">
        <v>0.505</v>
      </c>
      <c r="Y18" s="277">
        <v>0.499</v>
      </c>
      <c r="Z18" s="277">
        <v>0.495</v>
      </c>
      <c r="AA18" s="277">
        <v>0.48799999999999999</v>
      </c>
      <c r="AB18" s="277">
        <v>0.48199999999999998</v>
      </c>
      <c r="AC18" s="277">
        <v>0.47699999999999998</v>
      </c>
      <c r="AD18" s="277">
        <v>0.47</v>
      </c>
      <c r="AE18" s="277">
        <v>0.46400000000000002</v>
      </c>
      <c r="AF18" s="277">
        <v>0.45700000000000002</v>
      </c>
      <c r="AG18" s="277">
        <v>0.45100000000000001</v>
      </c>
      <c r="AH18" s="277">
        <v>0.44500000000000001</v>
      </c>
      <c r="AI18" s="277">
        <v>0.439</v>
      </c>
      <c r="AJ18" s="277">
        <v>0.433</v>
      </c>
      <c r="AK18" s="277">
        <v>0.42799999999999999</v>
      </c>
      <c r="AL18" s="277">
        <v>0.42199999999999999</v>
      </c>
      <c r="AM18" s="277">
        <v>0.41799999999999998</v>
      </c>
      <c r="AN18" s="277">
        <v>0.41299999999999998</v>
      </c>
      <c r="AO18" s="277">
        <v>0.40799999999999997</v>
      </c>
      <c r="AP18" s="277">
        <v>0.40400000000000003</v>
      </c>
      <c r="AQ18" s="277">
        <v>0.4</v>
      </c>
      <c r="AR18" s="277">
        <v>0.39600000000000002</v>
      </c>
      <c r="AS18" s="277">
        <v>0.39300000000000002</v>
      </c>
      <c r="AT18" s="277">
        <v>0.38900000000000001</v>
      </c>
      <c r="AU18" s="277">
        <v>0.38500000000000001</v>
      </c>
      <c r="AV18" s="277">
        <v>0.38100000000000001</v>
      </c>
      <c r="AW18" s="277">
        <v>0.378</v>
      </c>
      <c r="AX18" s="277">
        <v>0.375</v>
      </c>
      <c r="AY18" s="277">
        <v>0.372</v>
      </c>
      <c r="AZ18" s="277">
        <v>0.36899999999999999</v>
      </c>
      <c r="BA18" s="277">
        <v>0.36599999999999999</v>
      </c>
      <c r="BB18" s="277">
        <v>0.36399999999999999</v>
      </c>
      <c r="BC18" s="277">
        <v>0.36199999999999999</v>
      </c>
      <c r="BD18" s="277">
        <v>0.36</v>
      </c>
      <c r="BE18" s="277">
        <v>0.35799999999999998</v>
      </c>
      <c r="BF18" s="277">
        <v>0.35699999999999998</v>
      </c>
      <c r="BG18" s="277">
        <v>0.35499999999999998</v>
      </c>
      <c r="BH18" s="277">
        <v>0.35399999999999998</v>
      </c>
      <c r="BI18" s="277">
        <v>0.35299999999999998</v>
      </c>
      <c r="BJ18" s="277">
        <v>0.35299999999999998</v>
      </c>
      <c r="BK18" s="277">
        <v>0.35199999999999998</v>
      </c>
      <c r="BL18" s="284">
        <v>0.35199999999999998</v>
      </c>
    </row>
    <row r="19" spans="2:64">
      <c r="B19" s="667"/>
      <c r="C19" s="85" t="s">
        <v>89</v>
      </c>
      <c r="D19" s="276"/>
      <c r="E19" s="277"/>
      <c r="F19" s="277"/>
      <c r="G19" s="277"/>
      <c r="H19" s="277"/>
      <c r="I19" s="277"/>
      <c r="J19" s="277"/>
      <c r="K19" s="277"/>
      <c r="L19" s="277"/>
      <c r="M19" s="277"/>
      <c r="N19" s="277"/>
      <c r="O19" s="277"/>
      <c r="P19" s="277"/>
      <c r="Q19" s="277"/>
      <c r="R19" s="277">
        <v>0.51600000000000001</v>
      </c>
      <c r="S19" s="277">
        <v>0.51500000000000001</v>
      </c>
      <c r="T19" s="277">
        <v>0.51200000000000001</v>
      </c>
      <c r="U19" s="277">
        <v>0.51100000000000001</v>
      </c>
      <c r="V19" s="277">
        <v>0.51100000000000001</v>
      </c>
      <c r="W19" s="277">
        <v>0.50700000000000001</v>
      </c>
      <c r="X19" s="277">
        <v>0.504</v>
      </c>
      <c r="Y19" s="277">
        <v>0.5</v>
      </c>
      <c r="Z19" s="277">
        <v>0.495</v>
      </c>
      <c r="AA19" s="277">
        <v>0.48899999999999999</v>
      </c>
      <c r="AB19" s="277">
        <v>0.48299999999999998</v>
      </c>
      <c r="AC19" s="277">
        <v>0.47799999999999998</v>
      </c>
      <c r="AD19" s="277">
        <v>0.47199999999999998</v>
      </c>
      <c r="AE19" s="277">
        <v>0.46600000000000003</v>
      </c>
      <c r="AF19" s="277">
        <v>0.46</v>
      </c>
      <c r="AG19" s="277">
        <v>0.45500000000000002</v>
      </c>
      <c r="AH19" s="277">
        <v>0.45</v>
      </c>
      <c r="AI19" s="277">
        <v>0.44500000000000001</v>
      </c>
      <c r="AJ19" s="277">
        <v>0.44</v>
      </c>
      <c r="AK19" s="277">
        <v>0.435</v>
      </c>
      <c r="AL19" s="277">
        <v>0.43</v>
      </c>
      <c r="AM19" s="277">
        <v>0.42599999999999999</v>
      </c>
      <c r="AN19" s="277">
        <v>0.42199999999999999</v>
      </c>
      <c r="AO19" s="277">
        <v>0.41799999999999998</v>
      </c>
      <c r="AP19" s="277">
        <v>0.41399999999999998</v>
      </c>
      <c r="AQ19" s="277">
        <v>0.41099999999999998</v>
      </c>
      <c r="AR19" s="277">
        <v>0.40799999999999997</v>
      </c>
      <c r="AS19" s="277">
        <v>0.40400000000000003</v>
      </c>
      <c r="AT19" s="277">
        <v>0.40100000000000002</v>
      </c>
      <c r="AU19" s="277">
        <v>0.39800000000000002</v>
      </c>
      <c r="AV19" s="277">
        <v>0.39500000000000002</v>
      </c>
      <c r="AW19" s="277">
        <v>0.39200000000000002</v>
      </c>
      <c r="AX19" s="277">
        <v>0.38900000000000001</v>
      </c>
      <c r="AY19" s="277">
        <v>0.38600000000000001</v>
      </c>
      <c r="AZ19" s="277">
        <v>0.38400000000000001</v>
      </c>
      <c r="BA19" s="277">
        <v>0.38100000000000001</v>
      </c>
      <c r="BB19" s="277">
        <v>0.379</v>
      </c>
      <c r="BC19" s="277">
        <v>0.378</v>
      </c>
      <c r="BD19" s="277">
        <v>0.376</v>
      </c>
      <c r="BE19" s="277">
        <v>0.374</v>
      </c>
      <c r="BF19" s="277">
        <v>0.373</v>
      </c>
      <c r="BG19" s="277">
        <v>0.372</v>
      </c>
      <c r="BH19" s="277">
        <v>0.371</v>
      </c>
      <c r="BI19" s="277">
        <v>0.37</v>
      </c>
      <c r="BJ19" s="277">
        <v>0.37</v>
      </c>
      <c r="BK19" s="277">
        <v>0.36899999999999999</v>
      </c>
      <c r="BL19" s="284">
        <v>0.36899999999999999</v>
      </c>
    </row>
    <row r="20" spans="2:64">
      <c r="B20" s="667"/>
      <c r="C20" s="85" t="s">
        <v>55</v>
      </c>
      <c r="D20" s="276"/>
      <c r="E20" s="277"/>
      <c r="F20" s="277"/>
      <c r="G20" s="277"/>
      <c r="H20" s="277"/>
      <c r="I20" s="277"/>
      <c r="J20" s="277"/>
      <c r="K20" s="277"/>
      <c r="L20" s="277"/>
      <c r="M20" s="277"/>
      <c r="N20" s="277"/>
      <c r="O20" s="277"/>
      <c r="P20" s="277"/>
      <c r="Q20" s="277"/>
      <c r="R20" s="277">
        <v>0.51600000000000001</v>
      </c>
      <c r="S20" s="277">
        <v>0.51500000000000001</v>
      </c>
      <c r="T20" s="277">
        <v>0.51200000000000001</v>
      </c>
      <c r="U20" s="277">
        <v>0.51100000000000001</v>
      </c>
      <c r="V20" s="277">
        <v>0.51100000000000001</v>
      </c>
      <c r="W20" s="277">
        <v>0.50700000000000001</v>
      </c>
      <c r="X20" s="277">
        <v>0.504</v>
      </c>
      <c r="Y20" s="277">
        <v>0.499</v>
      </c>
      <c r="Z20" s="277">
        <v>0.496</v>
      </c>
      <c r="AA20" s="277">
        <v>0.49099999999999999</v>
      </c>
      <c r="AB20" s="277">
        <v>0.48499999999999999</v>
      </c>
      <c r="AC20" s="277">
        <v>0.48</v>
      </c>
      <c r="AD20" s="277">
        <v>0.47499999999999998</v>
      </c>
      <c r="AE20" s="277">
        <v>0.47099999999999997</v>
      </c>
      <c r="AF20" s="277">
        <v>0.46600000000000003</v>
      </c>
      <c r="AG20" s="277">
        <v>0.46200000000000002</v>
      </c>
      <c r="AH20" s="277">
        <v>0.45800000000000002</v>
      </c>
      <c r="AI20" s="277">
        <v>0.45400000000000001</v>
      </c>
      <c r="AJ20" s="277">
        <v>0.45</v>
      </c>
      <c r="AK20" s="277">
        <v>0.44600000000000001</v>
      </c>
      <c r="AL20" s="277">
        <v>0.443</v>
      </c>
      <c r="AM20" s="277">
        <v>0.439</v>
      </c>
      <c r="AN20" s="277">
        <v>0.436</v>
      </c>
      <c r="AO20" s="277">
        <v>0.433</v>
      </c>
      <c r="AP20" s="277">
        <v>0.43099999999999999</v>
      </c>
      <c r="AQ20" s="277">
        <v>0.42799999999999999</v>
      </c>
      <c r="AR20" s="277">
        <v>0.42599999999999999</v>
      </c>
      <c r="AS20" s="277">
        <v>0.42299999999999999</v>
      </c>
      <c r="AT20" s="277">
        <v>0.42099999999999999</v>
      </c>
      <c r="AU20" s="277">
        <v>0.41799999999999998</v>
      </c>
      <c r="AV20" s="277">
        <v>0.41599999999999998</v>
      </c>
      <c r="AW20" s="277">
        <v>0.41299999999999998</v>
      </c>
      <c r="AX20" s="277">
        <v>0.41099999999999998</v>
      </c>
      <c r="AY20" s="277">
        <v>0.40899999999999997</v>
      </c>
      <c r="AZ20" s="277">
        <v>0.40699999999999997</v>
      </c>
      <c r="BA20" s="277">
        <v>0.40500000000000003</v>
      </c>
      <c r="BB20" s="277">
        <v>0.40400000000000003</v>
      </c>
      <c r="BC20" s="277">
        <v>0.40300000000000002</v>
      </c>
      <c r="BD20" s="277">
        <v>0.40100000000000002</v>
      </c>
      <c r="BE20" s="277">
        <v>0.4</v>
      </c>
      <c r="BF20" s="277">
        <v>0.39900000000000002</v>
      </c>
      <c r="BG20" s="277">
        <v>0.39900000000000002</v>
      </c>
      <c r="BH20" s="277">
        <v>0.39800000000000002</v>
      </c>
      <c r="BI20" s="277">
        <v>0.39800000000000002</v>
      </c>
      <c r="BJ20" s="277">
        <v>0.39800000000000002</v>
      </c>
      <c r="BK20" s="277">
        <v>0.39800000000000002</v>
      </c>
      <c r="BL20" s="284">
        <v>0.39800000000000002</v>
      </c>
    </row>
    <row r="21" spans="2:64">
      <c r="B21" s="667"/>
      <c r="C21" s="85" t="s">
        <v>56</v>
      </c>
      <c r="D21" s="276"/>
      <c r="E21" s="277"/>
      <c r="F21" s="277"/>
      <c r="G21" s="277"/>
      <c r="H21" s="277"/>
      <c r="I21" s="277"/>
      <c r="J21" s="277"/>
      <c r="K21" s="277"/>
      <c r="L21" s="277"/>
      <c r="M21" s="277"/>
      <c r="N21" s="277"/>
      <c r="O21" s="277"/>
      <c r="P21" s="277"/>
      <c r="Q21" s="277"/>
      <c r="R21" s="277">
        <v>0.51600000000000001</v>
      </c>
      <c r="S21" s="277">
        <v>0.51500000000000001</v>
      </c>
      <c r="T21" s="277">
        <v>0.51200000000000001</v>
      </c>
      <c r="U21" s="277">
        <v>0.51100000000000001</v>
      </c>
      <c r="V21" s="277">
        <v>0.51100000000000001</v>
      </c>
      <c r="W21" s="277">
        <v>0.50700000000000001</v>
      </c>
      <c r="X21" s="277">
        <v>0.504</v>
      </c>
      <c r="Y21" s="277">
        <v>0.499</v>
      </c>
      <c r="Z21" s="277">
        <v>0.495</v>
      </c>
      <c r="AA21" s="277">
        <v>0.49</v>
      </c>
      <c r="AB21" s="277">
        <v>0.48499999999999999</v>
      </c>
      <c r="AC21" s="277">
        <v>0.48099999999999998</v>
      </c>
      <c r="AD21" s="277">
        <v>0.47699999999999998</v>
      </c>
      <c r="AE21" s="277">
        <v>0.47299999999999998</v>
      </c>
      <c r="AF21" s="277">
        <v>0.47</v>
      </c>
      <c r="AG21" s="277">
        <v>0.46600000000000003</v>
      </c>
      <c r="AH21" s="277">
        <v>0.46300000000000002</v>
      </c>
      <c r="AI21" s="277">
        <v>0.46</v>
      </c>
      <c r="AJ21" s="277">
        <v>0.45700000000000002</v>
      </c>
      <c r="AK21" s="277">
        <v>0.45300000000000001</v>
      </c>
      <c r="AL21" s="277">
        <v>0.45100000000000001</v>
      </c>
      <c r="AM21" s="277">
        <v>0.44800000000000001</v>
      </c>
      <c r="AN21" s="277">
        <v>0.44500000000000001</v>
      </c>
      <c r="AO21" s="277">
        <v>0.443</v>
      </c>
      <c r="AP21" s="277">
        <v>0.441</v>
      </c>
      <c r="AQ21" s="277">
        <v>0.438</v>
      </c>
      <c r="AR21" s="277">
        <v>0.437</v>
      </c>
      <c r="AS21" s="277">
        <v>0.435</v>
      </c>
      <c r="AT21" s="277">
        <v>0.433</v>
      </c>
      <c r="AU21" s="277">
        <v>0.43</v>
      </c>
      <c r="AV21" s="277">
        <v>0.42799999999999999</v>
      </c>
      <c r="AW21" s="277">
        <v>0.42599999999999999</v>
      </c>
      <c r="AX21" s="277">
        <v>0.42499999999999999</v>
      </c>
      <c r="AY21" s="277">
        <v>0.42299999999999999</v>
      </c>
      <c r="AZ21" s="277">
        <v>0.42099999999999999</v>
      </c>
      <c r="BA21" s="277">
        <v>0.41899999999999998</v>
      </c>
      <c r="BB21" s="277">
        <v>0.41799999999999998</v>
      </c>
      <c r="BC21" s="277">
        <v>0.41699999999999998</v>
      </c>
      <c r="BD21" s="277">
        <v>0.41599999999999998</v>
      </c>
      <c r="BE21" s="277">
        <v>0.41499999999999998</v>
      </c>
      <c r="BF21" s="277">
        <v>0.41399999999999998</v>
      </c>
      <c r="BG21" s="277">
        <v>0.41299999999999998</v>
      </c>
      <c r="BH21" s="277">
        <v>0.41299999999999998</v>
      </c>
      <c r="BI21" s="277">
        <v>0.41299999999999998</v>
      </c>
      <c r="BJ21" s="277">
        <v>0.41299999999999998</v>
      </c>
      <c r="BK21" s="277">
        <v>0.41299999999999998</v>
      </c>
      <c r="BL21" s="284">
        <v>0.41299999999999998</v>
      </c>
    </row>
    <row r="22" spans="2:64" ht="15" thickBot="1">
      <c r="B22" s="668"/>
      <c r="C22" s="86" t="s">
        <v>57</v>
      </c>
      <c r="D22" s="280"/>
      <c r="E22" s="281"/>
      <c r="F22" s="281"/>
      <c r="G22" s="281"/>
      <c r="H22" s="281"/>
      <c r="I22" s="281"/>
      <c r="J22" s="281"/>
      <c r="K22" s="281"/>
      <c r="L22" s="281"/>
      <c r="M22" s="281"/>
      <c r="N22" s="281"/>
      <c r="O22" s="281"/>
      <c r="P22" s="281"/>
      <c r="Q22" s="281"/>
      <c r="R22" s="281">
        <v>0.51600000000000001</v>
      </c>
      <c r="S22" s="281">
        <v>0.51500000000000001</v>
      </c>
      <c r="T22" s="281">
        <v>0.51200000000000001</v>
      </c>
      <c r="U22" s="281">
        <v>0.51100000000000001</v>
      </c>
      <c r="V22" s="281">
        <v>0.51100000000000001</v>
      </c>
      <c r="W22" s="281">
        <v>0.50700000000000001</v>
      </c>
      <c r="X22" s="281">
        <v>0.505</v>
      </c>
      <c r="Y22" s="281">
        <v>0.5</v>
      </c>
      <c r="Z22" s="281">
        <v>0.498</v>
      </c>
      <c r="AA22" s="281">
        <v>0.49399999999999999</v>
      </c>
      <c r="AB22" s="281">
        <v>0.49</v>
      </c>
      <c r="AC22" s="281">
        <v>0.48799999999999999</v>
      </c>
      <c r="AD22" s="281">
        <v>0.48499999999999999</v>
      </c>
      <c r="AE22" s="281">
        <v>0.48299999999999998</v>
      </c>
      <c r="AF22" s="281">
        <v>0.48</v>
      </c>
      <c r="AG22" s="281">
        <v>0.47799999999999998</v>
      </c>
      <c r="AH22" s="281">
        <v>0.47599999999999998</v>
      </c>
      <c r="AI22" s="281">
        <v>0.47399999999999998</v>
      </c>
      <c r="AJ22" s="281">
        <v>0.47199999999999998</v>
      </c>
      <c r="AK22" s="281">
        <v>0.47</v>
      </c>
      <c r="AL22" s="281">
        <v>0.46800000000000003</v>
      </c>
      <c r="AM22" s="281">
        <v>0.46600000000000003</v>
      </c>
      <c r="AN22" s="281">
        <v>0.46500000000000002</v>
      </c>
      <c r="AO22" s="281">
        <v>0.46300000000000002</v>
      </c>
      <c r="AP22" s="281">
        <v>0.46200000000000002</v>
      </c>
      <c r="AQ22" s="281">
        <v>0.46100000000000002</v>
      </c>
      <c r="AR22" s="281">
        <v>0.46</v>
      </c>
      <c r="AS22" s="281">
        <v>0.45900000000000002</v>
      </c>
      <c r="AT22" s="281">
        <v>0.45700000000000002</v>
      </c>
      <c r="AU22" s="281">
        <v>0.45600000000000002</v>
      </c>
      <c r="AV22" s="281">
        <v>0.45400000000000001</v>
      </c>
      <c r="AW22" s="281">
        <v>0.45300000000000001</v>
      </c>
      <c r="AX22" s="281">
        <v>0.45200000000000001</v>
      </c>
      <c r="AY22" s="281">
        <v>0.45100000000000001</v>
      </c>
      <c r="AZ22" s="281">
        <v>0.45</v>
      </c>
      <c r="BA22" s="281">
        <v>0.44900000000000001</v>
      </c>
      <c r="BB22" s="281">
        <v>0.44800000000000001</v>
      </c>
      <c r="BC22" s="281">
        <v>0.44700000000000001</v>
      </c>
      <c r="BD22" s="281">
        <v>0.44700000000000001</v>
      </c>
      <c r="BE22" s="281">
        <v>0.44600000000000001</v>
      </c>
      <c r="BF22" s="281">
        <v>0.44600000000000001</v>
      </c>
      <c r="BG22" s="281">
        <v>0.44600000000000001</v>
      </c>
      <c r="BH22" s="281">
        <v>0.44600000000000001</v>
      </c>
      <c r="BI22" s="281">
        <v>0.44600000000000001</v>
      </c>
      <c r="BJ22" s="281">
        <v>0.44700000000000001</v>
      </c>
      <c r="BK22" s="281">
        <v>0.44700000000000001</v>
      </c>
      <c r="BL22" s="285">
        <v>0.44700000000000001</v>
      </c>
    </row>
    <row r="50" spans="2:64" ht="15.6">
      <c r="B50" s="98" t="s">
        <v>216</v>
      </c>
    </row>
    <row r="51" spans="2:64" ht="15" thickBot="1"/>
    <row r="52" spans="2:64" s="155" customFormat="1" ht="15" thickBot="1">
      <c r="B52" s="370" t="s">
        <v>51</v>
      </c>
      <c r="C52" s="371"/>
      <c r="D52" s="370">
        <v>2000</v>
      </c>
      <c r="E52" s="372">
        <v>2001</v>
      </c>
      <c r="F52" s="372">
        <v>2002</v>
      </c>
      <c r="G52" s="372">
        <v>2003</v>
      </c>
      <c r="H52" s="372">
        <v>2004</v>
      </c>
      <c r="I52" s="372">
        <v>2005</v>
      </c>
      <c r="J52" s="372">
        <v>2006</v>
      </c>
      <c r="K52" s="372">
        <v>2007</v>
      </c>
      <c r="L52" s="372">
        <v>2008</v>
      </c>
      <c r="M52" s="372">
        <v>2009</v>
      </c>
      <c r="N52" s="372">
        <v>2010</v>
      </c>
      <c r="O52" s="372">
        <v>2011</v>
      </c>
      <c r="P52" s="372">
        <v>2012</v>
      </c>
      <c r="Q52" s="372">
        <v>2013</v>
      </c>
      <c r="R52" s="372">
        <v>2014</v>
      </c>
      <c r="S52" s="372">
        <v>2015</v>
      </c>
      <c r="T52" s="372">
        <v>2016</v>
      </c>
      <c r="U52" s="372">
        <v>2017</v>
      </c>
      <c r="V52" s="372">
        <v>2018</v>
      </c>
      <c r="W52" s="372">
        <v>2019</v>
      </c>
      <c r="X52" s="372">
        <v>2020</v>
      </c>
      <c r="Y52" s="372">
        <v>2021</v>
      </c>
      <c r="Z52" s="372">
        <v>2022</v>
      </c>
      <c r="AA52" s="372">
        <v>2023</v>
      </c>
      <c r="AB52" s="372">
        <v>2024</v>
      </c>
      <c r="AC52" s="372">
        <v>2025</v>
      </c>
      <c r="AD52" s="372">
        <v>2026</v>
      </c>
      <c r="AE52" s="372">
        <v>2027</v>
      </c>
      <c r="AF52" s="372">
        <v>2028</v>
      </c>
      <c r="AG52" s="372">
        <v>2029</v>
      </c>
      <c r="AH52" s="372">
        <v>2030</v>
      </c>
      <c r="AI52" s="372">
        <v>2031</v>
      </c>
      <c r="AJ52" s="372">
        <v>2032</v>
      </c>
      <c r="AK52" s="372">
        <v>2033</v>
      </c>
      <c r="AL52" s="372">
        <v>2034</v>
      </c>
      <c r="AM52" s="372">
        <v>2035</v>
      </c>
      <c r="AN52" s="372">
        <v>2036</v>
      </c>
      <c r="AO52" s="372">
        <v>2037</v>
      </c>
      <c r="AP52" s="372">
        <v>2038</v>
      </c>
      <c r="AQ52" s="372">
        <v>2039</v>
      </c>
      <c r="AR52" s="372">
        <v>2040</v>
      </c>
      <c r="AS52" s="372">
        <v>2041</v>
      </c>
      <c r="AT52" s="372">
        <v>2042</v>
      </c>
      <c r="AU52" s="372">
        <v>2043</v>
      </c>
      <c r="AV52" s="372">
        <v>2044</v>
      </c>
      <c r="AW52" s="372">
        <v>2045</v>
      </c>
      <c r="AX52" s="372">
        <v>2046</v>
      </c>
      <c r="AY52" s="372">
        <v>2047</v>
      </c>
      <c r="AZ52" s="372">
        <v>2048</v>
      </c>
      <c r="BA52" s="372">
        <v>2049</v>
      </c>
      <c r="BB52" s="372">
        <v>2050</v>
      </c>
      <c r="BC52" s="372">
        <v>2051</v>
      </c>
      <c r="BD52" s="372">
        <v>2052</v>
      </c>
      <c r="BE52" s="372">
        <v>2053</v>
      </c>
      <c r="BF52" s="372">
        <v>2054</v>
      </c>
      <c r="BG52" s="372">
        <v>2055</v>
      </c>
      <c r="BH52" s="372">
        <v>2056</v>
      </c>
      <c r="BI52" s="372">
        <v>2057</v>
      </c>
      <c r="BJ52" s="372">
        <v>2058</v>
      </c>
      <c r="BK52" s="372">
        <v>2059</v>
      </c>
      <c r="BL52" s="371">
        <v>2060</v>
      </c>
    </row>
    <row r="53" spans="2:64" s="155" customFormat="1" ht="19.5" customHeight="1">
      <c r="B53" s="663" t="s">
        <v>67</v>
      </c>
      <c r="C53" s="384" t="s">
        <v>217</v>
      </c>
      <c r="D53" s="375"/>
      <c r="E53" s="376"/>
      <c r="F53" s="376"/>
      <c r="G53" s="376"/>
      <c r="H53" s="376"/>
      <c r="I53" s="376"/>
      <c r="J53" s="376"/>
      <c r="K53" s="376"/>
      <c r="L53" s="376"/>
      <c r="M53" s="376"/>
      <c r="N53" s="376"/>
      <c r="O53" s="376"/>
      <c r="P53" s="376"/>
      <c r="Q53" s="376"/>
      <c r="R53" s="377">
        <v>1.74</v>
      </c>
      <c r="S53" s="377">
        <v>1.72</v>
      </c>
      <c r="T53" s="377">
        <v>1.71</v>
      </c>
      <c r="U53" s="377">
        <v>1.71</v>
      </c>
      <c r="V53" s="377">
        <v>1.69</v>
      </c>
      <c r="W53" s="377">
        <v>1.69</v>
      </c>
      <c r="X53" s="377">
        <v>1.68</v>
      </c>
      <c r="Y53" s="377">
        <v>1.67</v>
      </c>
      <c r="Z53" s="377">
        <v>1.66</v>
      </c>
      <c r="AA53" s="377">
        <v>1.64</v>
      </c>
      <c r="AB53" s="377">
        <v>1.63</v>
      </c>
      <c r="AC53" s="377">
        <v>1.61</v>
      </c>
      <c r="AD53" s="377">
        <v>1.59</v>
      </c>
      <c r="AE53" s="377">
        <v>1.57</v>
      </c>
      <c r="AF53" s="377">
        <v>1.56</v>
      </c>
      <c r="AG53" s="377">
        <v>1.54</v>
      </c>
      <c r="AH53" s="377">
        <v>1.53</v>
      </c>
      <c r="AI53" s="377">
        <v>1.51</v>
      </c>
      <c r="AJ53" s="377">
        <v>1.5</v>
      </c>
      <c r="AK53" s="377">
        <v>1.48</v>
      </c>
      <c r="AL53" s="377">
        <v>1.47</v>
      </c>
      <c r="AM53" s="377">
        <v>1.46</v>
      </c>
      <c r="AN53" s="377">
        <v>1.45</v>
      </c>
      <c r="AO53" s="377">
        <v>1.44</v>
      </c>
      <c r="AP53" s="377">
        <v>1.44</v>
      </c>
      <c r="AQ53" s="377">
        <v>1.43</v>
      </c>
      <c r="AR53" s="377">
        <v>1.43</v>
      </c>
      <c r="AS53" s="377">
        <v>1.42</v>
      </c>
      <c r="AT53" s="377">
        <v>1.42</v>
      </c>
      <c r="AU53" s="377">
        <v>1.41</v>
      </c>
      <c r="AV53" s="377">
        <v>1.4</v>
      </c>
      <c r="AW53" s="377">
        <v>1.39</v>
      </c>
      <c r="AX53" s="377">
        <v>1.38</v>
      </c>
      <c r="AY53" s="377">
        <v>1.38</v>
      </c>
      <c r="AZ53" s="377">
        <v>1.37</v>
      </c>
      <c r="BA53" s="377">
        <v>1.37</v>
      </c>
      <c r="BB53" s="377">
        <v>1.36</v>
      </c>
      <c r="BC53" s="377">
        <v>1.36</v>
      </c>
      <c r="BD53" s="377">
        <v>1.36</v>
      </c>
      <c r="BE53" s="377">
        <v>1.35</v>
      </c>
      <c r="BF53" s="377">
        <v>1.35</v>
      </c>
      <c r="BG53" s="377">
        <v>1.35</v>
      </c>
      <c r="BH53" s="377">
        <v>1.35</v>
      </c>
      <c r="BI53" s="377">
        <v>1.35</v>
      </c>
      <c r="BJ53" s="377">
        <v>1.35</v>
      </c>
      <c r="BK53" s="377">
        <v>1.35</v>
      </c>
      <c r="BL53" s="378">
        <v>1.35</v>
      </c>
    </row>
    <row r="54" spans="2:64" s="155" customFormat="1" ht="19.5" customHeight="1">
      <c r="B54" s="664"/>
      <c r="C54" s="385" t="s">
        <v>218</v>
      </c>
      <c r="D54" s="379"/>
      <c r="E54" s="321"/>
      <c r="F54" s="321"/>
      <c r="G54" s="321"/>
      <c r="H54" s="321"/>
      <c r="I54" s="321"/>
      <c r="J54" s="321"/>
      <c r="K54" s="321"/>
      <c r="L54" s="321"/>
      <c r="M54" s="321"/>
      <c r="N54" s="321"/>
      <c r="O54" s="321"/>
      <c r="P54" s="321"/>
      <c r="Q54" s="321"/>
      <c r="R54" s="380">
        <v>1.74</v>
      </c>
      <c r="S54" s="380">
        <v>1.72</v>
      </c>
      <c r="T54" s="380">
        <v>1.71</v>
      </c>
      <c r="U54" s="380">
        <v>1.71</v>
      </c>
      <c r="V54" s="380">
        <v>1.69</v>
      </c>
      <c r="W54" s="380">
        <v>1.69</v>
      </c>
      <c r="X54" s="380">
        <v>1.68</v>
      </c>
      <c r="Y54" s="380">
        <v>1.67</v>
      </c>
      <c r="Z54" s="380">
        <v>1.66</v>
      </c>
      <c r="AA54" s="380">
        <v>1.64</v>
      </c>
      <c r="AB54" s="380">
        <v>1.63</v>
      </c>
      <c r="AC54" s="380">
        <v>1.61</v>
      </c>
      <c r="AD54" s="380">
        <v>1.59</v>
      </c>
      <c r="AE54" s="380">
        <v>1.57</v>
      </c>
      <c r="AF54" s="380">
        <v>1.56</v>
      </c>
      <c r="AG54" s="380">
        <v>1.54</v>
      </c>
      <c r="AH54" s="380">
        <v>1.53</v>
      </c>
      <c r="AI54" s="380">
        <v>1.51</v>
      </c>
      <c r="AJ54" s="380">
        <v>1.5</v>
      </c>
      <c r="AK54" s="380">
        <v>1.48</v>
      </c>
      <c r="AL54" s="380">
        <v>1.47</v>
      </c>
      <c r="AM54" s="380">
        <v>1.46</v>
      </c>
      <c r="AN54" s="380">
        <v>1.45</v>
      </c>
      <c r="AO54" s="380">
        <v>1.44</v>
      </c>
      <c r="AP54" s="380">
        <v>1.44</v>
      </c>
      <c r="AQ54" s="380">
        <v>1.43</v>
      </c>
      <c r="AR54" s="380">
        <v>1.43</v>
      </c>
      <c r="AS54" s="380">
        <v>1.42</v>
      </c>
      <c r="AT54" s="380">
        <v>1.41</v>
      </c>
      <c r="AU54" s="380">
        <v>1.41</v>
      </c>
      <c r="AV54" s="380">
        <v>1.4</v>
      </c>
      <c r="AW54" s="380">
        <v>1.39</v>
      </c>
      <c r="AX54" s="380">
        <v>1.38</v>
      </c>
      <c r="AY54" s="380">
        <v>1.38</v>
      </c>
      <c r="AZ54" s="380">
        <v>1.37</v>
      </c>
      <c r="BA54" s="380">
        <v>1.37</v>
      </c>
      <c r="BB54" s="380">
        <v>1.36</v>
      </c>
      <c r="BC54" s="380">
        <v>1.36</v>
      </c>
      <c r="BD54" s="380">
        <v>1.35</v>
      </c>
      <c r="BE54" s="380">
        <v>1.35</v>
      </c>
      <c r="BF54" s="380">
        <v>1.35</v>
      </c>
      <c r="BG54" s="380">
        <v>1.35</v>
      </c>
      <c r="BH54" s="380">
        <v>1.35</v>
      </c>
      <c r="BI54" s="380">
        <v>1.35</v>
      </c>
      <c r="BJ54" s="380">
        <v>1.35</v>
      </c>
      <c r="BK54" s="380">
        <v>1.35</v>
      </c>
      <c r="BL54" s="381">
        <v>1.35</v>
      </c>
    </row>
    <row r="55" spans="2:64" s="155" customFormat="1" ht="19.5" customHeight="1" thickBot="1">
      <c r="B55" s="665"/>
      <c r="C55" s="386" t="s">
        <v>219</v>
      </c>
      <c r="D55" s="382"/>
      <c r="E55" s="323"/>
      <c r="F55" s="323"/>
      <c r="G55" s="323"/>
      <c r="H55" s="323"/>
      <c r="I55" s="323"/>
      <c r="J55" s="323"/>
      <c r="K55" s="323"/>
      <c r="L55" s="323"/>
      <c r="M55" s="323"/>
      <c r="N55" s="323"/>
      <c r="O55" s="323"/>
      <c r="P55" s="323"/>
      <c r="Q55" s="323"/>
      <c r="R55" s="373">
        <v>1.74</v>
      </c>
      <c r="S55" s="373">
        <v>1.72</v>
      </c>
      <c r="T55" s="373">
        <v>1.71</v>
      </c>
      <c r="U55" s="373">
        <v>1.71</v>
      </c>
      <c r="V55" s="373">
        <v>1.69</v>
      </c>
      <c r="W55" s="373">
        <v>1.69</v>
      </c>
      <c r="X55" s="373">
        <v>1.68</v>
      </c>
      <c r="Y55" s="373">
        <v>1.67</v>
      </c>
      <c r="Z55" s="373">
        <v>1.66</v>
      </c>
      <c r="AA55" s="373">
        <v>1.64</v>
      </c>
      <c r="AB55" s="373">
        <v>1.62</v>
      </c>
      <c r="AC55" s="373">
        <v>1.61</v>
      </c>
      <c r="AD55" s="373">
        <v>1.59</v>
      </c>
      <c r="AE55" s="373">
        <v>1.57</v>
      </c>
      <c r="AF55" s="373">
        <v>1.56</v>
      </c>
      <c r="AG55" s="373">
        <v>1.54</v>
      </c>
      <c r="AH55" s="373">
        <v>1.53</v>
      </c>
      <c r="AI55" s="373">
        <v>1.51</v>
      </c>
      <c r="AJ55" s="373">
        <v>1.5</v>
      </c>
      <c r="AK55" s="373">
        <v>1.48</v>
      </c>
      <c r="AL55" s="373">
        <v>1.47</v>
      </c>
      <c r="AM55" s="373">
        <v>1.46</v>
      </c>
      <c r="AN55" s="373">
        <v>1.45</v>
      </c>
      <c r="AO55" s="373">
        <v>1.44</v>
      </c>
      <c r="AP55" s="373">
        <v>1.44</v>
      </c>
      <c r="AQ55" s="373">
        <v>1.43</v>
      </c>
      <c r="AR55" s="373">
        <v>1.43</v>
      </c>
      <c r="AS55" s="373">
        <v>1.42</v>
      </c>
      <c r="AT55" s="373">
        <v>1.41</v>
      </c>
      <c r="AU55" s="373">
        <v>1.4</v>
      </c>
      <c r="AV55" s="373">
        <v>1.4</v>
      </c>
      <c r="AW55" s="373">
        <v>1.39</v>
      </c>
      <c r="AX55" s="373">
        <v>1.38</v>
      </c>
      <c r="AY55" s="373">
        <v>1.37</v>
      </c>
      <c r="AZ55" s="373">
        <v>1.37</v>
      </c>
      <c r="BA55" s="373">
        <v>1.36</v>
      </c>
      <c r="BB55" s="373">
        <v>1.36</v>
      </c>
      <c r="BC55" s="373">
        <v>1.35</v>
      </c>
      <c r="BD55" s="373">
        <v>1.35</v>
      </c>
      <c r="BE55" s="373">
        <v>1.35</v>
      </c>
      <c r="BF55" s="373">
        <v>1.35</v>
      </c>
      <c r="BG55" s="373">
        <v>1.34</v>
      </c>
      <c r="BH55" s="373">
        <v>1.34</v>
      </c>
      <c r="BI55" s="373">
        <v>1.34</v>
      </c>
      <c r="BJ55" s="373">
        <v>1.34</v>
      </c>
      <c r="BK55" s="373">
        <v>1.34</v>
      </c>
      <c r="BL55" s="374">
        <v>1.34</v>
      </c>
    </row>
    <row r="56" spans="2:64" s="155" customFormat="1" ht="19.5" customHeight="1">
      <c r="B56" s="663" t="s">
        <v>220</v>
      </c>
      <c r="C56" s="384" t="s">
        <v>217</v>
      </c>
      <c r="D56" s="375"/>
      <c r="E56" s="376"/>
      <c r="F56" s="376"/>
      <c r="G56" s="376"/>
      <c r="H56" s="376"/>
      <c r="I56" s="376"/>
      <c r="J56" s="376"/>
      <c r="K56" s="376"/>
      <c r="L56" s="376"/>
      <c r="M56" s="376"/>
      <c r="N56" s="376"/>
      <c r="O56" s="376"/>
      <c r="P56" s="376"/>
      <c r="Q56" s="376"/>
      <c r="R56" s="376">
        <v>0.309</v>
      </c>
      <c r="S56" s="376">
        <v>0.311</v>
      </c>
      <c r="T56" s="376">
        <v>0.312</v>
      </c>
      <c r="U56" s="376">
        <v>0.312</v>
      </c>
      <c r="V56" s="376">
        <v>0.311</v>
      </c>
      <c r="W56" s="376">
        <v>0.309</v>
      </c>
      <c r="X56" s="376">
        <v>0.31</v>
      </c>
      <c r="Y56" s="376">
        <v>0.308</v>
      </c>
      <c r="Z56" s="376">
        <v>0.307</v>
      </c>
      <c r="AA56" s="376">
        <v>0.30599999999999999</v>
      </c>
      <c r="AB56" s="376">
        <v>0.30499999999999999</v>
      </c>
      <c r="AC56" s="376">
        <v>0.30399999999999999</v>
      </c>
      <c r="AD56" s="376">
        <v>0.30399999999999999</v>
      </c>
      <c r="AE56" s="376">
        <v>0.30299999999999999</v>
      </c>
      <c r="AF56" s="376">
        <v>0.30299999999999999</v>
      </c>
      <c r="AG56" s="376">
        <v>0.30299999999999999</v>
      </c>
      <c r="AH56" s="376">
        <v>0.30299999999999999</v>
      </c>
      <c r="AI56" s="376">
        <v>0.30199999999999999</v>
      </c>
      <c r="AJ56" s="376">
        <v>0.30199999999999999</v>
      </c>
      <c r="AK56" s="376">
        <v>0.30199999999999999</v>
      </c>
      <c r="AL56" s="376">
        <v>0.30199999999999999</v>
      </c>
      <c r="AM56" s="376">
        <v>0.30199999999999999</v>
      </c>
      <c r="AN56" s="376">
        <v>0.30099999999999999</v>
      </c>
      <c r="AO56" s="376">
        <v>0.30099999999999999</v>
      </c>
      <c r="AP56" s="376">
        <v>0.30099999999999999</v>
      </c>
      <c r="AQ56" s="376">
        <v>0.30099999999999999</v>
      </c>
      <c r="AR56" s="376">
        <v>0.3</v>
      </c>
      <c r="AS56" s="376">
        <v>0.3</v>
      </c>
      <c r="AT56" s="376">
        <v>0.3</v>
      </c>
      <c r="AU56" s="376">
        <v>0.3</v>
      </c>
      <c r="AV56" s="376">
        <v>0.3</v>
      </c>
      <c r="AW56" s="376">
        <v>0.3</v>
      </c>
      <c r="AX56" s="376">
        <v>0.29899999999999999</v>
      </c>
      <c r="AY56" s="376">
        <v>0.29899999999999999</v>
      </c>
      <c r="AZ56" s="376">
        <v>0.29899999999999999</v>
      </c>
      <c r="BA56" s="376">
        <v>0.29899999999999999</v>
      </c>
      <c r="BB56" s="376">
        <v>0.29899999999999999</v>
      </c>
      <c r="BC56" s="376">
        <v>0.29799999999999999</v>
      </c>
      <c r="BD56" s="376">
        <v>0.29799999999999999</v>
      </c>
      <c r="BE56" s="376">
        <v>0.29799999999999999</v>
      </c>
      <c r="BF56" s="376">
        <v>0.29799999999999999</v>
      </c>
      <c r="BG56" s="376">
        <v>0.29799999999999999</v>
      </c>
      <c r="BH56" s="376">
        <v>0.29799999999999999</v>
      </c>
      <c r="BI56" s="376">
        <v>0.29799999999999999</v>
      </c>
      <c r="BJ56" s="376">
        <v>0.29699999999999999</v>
      </c>
      <c r="BK56" s="376">
        <v>0.29699999999999999</v>
      </c>
      <c r="BL56" s="383">
        <v>0.29699999999999999</v>
      </c>
    </row>
    <row r="57" spans="2:64" s="155" customFormat="1" ht="19.5" customHeight="1">
      <c r="B57" s="664"/>
      <c r="C57" s="385" t="s">
        <v>218</v>
      </c>
      <c r="D57" s="379"/>
      <c r="E57" s="321"/>
      <c r="F57" s="321"/>
      <c r="G57" s="321"/>
      <c r="H57" s="321"/>
      <c r="I57" s="321"/>
      <c r="J57" s="321"/>
      <c r="K57" s="321"/>
      <c r="L57" s="321"/>
      <c r="M57" s="321"/>
      <c r="N57" s="321"/>
      <c r="O57" s="321"/>
      <c r="P57" s="321"/>
      <c r="Q57" s="321"/>
      <c r="R57" s="321">
        <v>0.309</v>
      </c>
      <c r="S57" s="321">
        <v>0.311</v>
      </c>
      <c r="T57" s="321">
        <v>0.312</v>
      </c>
      <c r="U57" s="321">
        <v>0.312</v>
      </c>
      <c r="V57" s="321">
        <v>0.311</v>
      </c>
      <c r="W57" s="321">
        <v>0.309</v>
      </c>
      <c r="X57" s="321">
        <v>0.309</v>
      </c>
      <c r="Y57" s="321">
        <v>0.308</v>
      </c>
      <c r="Z57" s="321">
        <v>0.308</v>
      </c>
      <c r="AA57" s="321">
        <v>0.307</v>
      </c>
      <c r="AB57" s="321">
        <v>0.30499999999999999</v>
      </c>
      <c r="AC57" s="321">
        <v>0.30499999999999999</v>
      </c>
      <c r="AD57" s="321">
        <v>0.30499999999999999</v>
      </c>
      <c r="AE57" s="321">
        <v>0.30399999999999999</v>
      </c>
      <c r="AF57" s="321">
        <v>0.30399999999999999</v>
      </c>
      <c r="AG57" s="321">
        <v>0.30399999999999999</v>
      </c>
      <c r="AH57" s="321">
        <v>0.30399999999999999</v>
      </c>
      <c r="AI57" s="321">
        <v>0.30399999999999999</v>
      </c>
      <c r="AJ57" s="321">
        <v>0.30299999999999999</v>
      </c>
      <c r="AK57" s="321">
        <v>0.30299999999999999</v>
      </c>
      <c r="AL57" s="321">
        <v>0.30299999999999999</v>
      </c>
      <c r="AM57" s="321">
        <v>0.30299999999999999</v>
      </c>
      <c r="AN57" s="321">
        <v>0.30299999999999999</v>
      </c>
      <c r="AO57" s="321">
        <v>0.30299999999999999</v>
      </c>
      <c r="AP57" s="321">
        <v>0.30199999999999999</v>
      </c>
      <c r="AQ57" s="321">
        <v>0.30199999999999999</v>
      </c>
      <c r="AR57" s="321">
        <v>0.30199999999999999</v>
      </c>
      <c r="AS57" s="321">
        <v>0.30199999999999999</v>
      </c>
      <c r="AT57" s="321">
        <v>0.30199999999999999</v>
      </c>
      <c r="AU57" s="321">
        <v>0.30099999999999999</v>
      </c>
      <c r="AV57" s="321">
        <v>0.30099999999999999</v>
      </c>
      <c r="AW57" s="321">
        <v>0.30099999999999999</v>
      </c>
      <c r="AX57" s="321">
        <v>0.30099999999999999</v>
      </c>
      <c r="AY57" s="321">
        <v>0.30099999999999999</v>
      </c>
      <c r="AZ57" s="321">
        <v>0.30099999999999999</v>
      </c>
      <c r="BA57" s="321">
        <v>0.30099999999999999</v>
      </c>
      <c r="BB57" s="321">
        <v>0.30099999999999999</v>
      </c>
      <c r="BC57" s="321">
        <v>0.3</v>
      </c>
      <c r="BD57" s="321">
        <v>0.3</v>
      </c>
      <c r="BE57" s="321">
        <v>0.3</v>
      </c>
      <c r="BF57" s="321">
        <v>0.3</v>
      </c>
      <c r="BG57" s="321">
        <v>0.3</v>
      </c>
      <c r="BH57" s="321">
        <v>0.3</v>
      </c>
      <c r="BI57" s="321">
        <v>0.3</v>
      </c>
      <c r="BJ57" s="321">
        <v>0.3</v>
      </c>
      <c r="BK57" s="321">
        <v>0.29899999999999999</v>
      </c>
      <c r="BL57" s="322">
        <v>0.29899999999999999</v>
      </c>
    </row>
    <row r="58" spans="2:64" s="155" customFormat="1" ht="19.5" customHeight="1" thickBot="1">
      <c r="B58" s="665"/>
      <c r="C58" s="386" t="s">
        <v>219</v>
      </c>
      <c r="D58" s="382"/>
      <c r="E58" s="323"/>
      <c r="F58" s="323"/>
      <c r="G58" s="323"/>
      <c r="H58" s="323"/>
      <c r="I58" s="323"/>
      <c r="J58" s="323"/>
      <c r="K58" s="323"/>
      <c r="L58" s="323"/>
      <c r="M58" s="323"/>
      <c r="N58" s="323"/>
      <c r="O58" s="323"/>
      <c r="P58" s="323"/>
      <c r="Q58" s="323"/>
      <c r="R58" s="323">
        <v>0.309</v>
      </c>
      <c r="S58" s="323">
        <v>0.311</v>
      </c>
      <c r="T58" s="323">
        <v>0.312</v>
      </c>
      <c r="U58" s="323">
        <v>0.312</v>
      </c>
      <c r="V58" s="323">
        <v>0.311</v>
      </c>
      <c r="W58" s="323">
        <v>0.309</v>
      </c>
      <c r="X58" s="323">
        <v>0.31</v>
      </c>
      <c r="Y58" s="323">
        <v>0.308</v>
      </c>
      <c r="Z58" s="323">
        <v>0.308</v>
      </c>
      <c r="AA58" s="323">
        <v>0.307</v>
      </c>
      <c r="AB58" s="323">
        <v>0.30499999999999999</v>
      </c>
      <c r="AC58" s="323">
        <v>0.30499999999999999</v>
      </c>
      <c r="AD58" s="323">
        <v>0.30499999999999999</v>
      </c>
      <c r="AE58" s="323">
        <v>0.30499999999999999</v>
      </c>
      <c r="AF58" s="323">
        <v>0.30399999999999999</v>
      </c>
      <c r="AG58" s="323">
        <v>0.30399999999999999</v>
      </c>
      <c r="AH58" s="323">
        <v>0.30399999999999999</v>
      </c>
      <c r="AI58" s="323">
        <v>0.30399999999999999</v>
      </c>
      <c r="AJ58" s="323">
        <v>0.30399999999999999</v>
      </c>
      <c r="AK58" s="323">
        <v>0.30399999999999999</v>
      </c>
      <c r="AL58" s="323">
        <v>0.30399999999999999</v>
      </c>
      <c r="AM58" s="323">
        <v>0.30399999999999999</v>
      </c>
      <c r="AN58" s="323">
        <v>0.30399999999999999</v>
      </c>
      <c r="AO58" s="323">
        <v>0.30299999999999999</v>
      </c>
      <c r="AP58" s="323">
        <v>0.30299999999999999</v>
      </c>
      <c r="AQ58" s="323">
        <v>0.30299999999999999</v>
      </c>
      <c r="AR58" s="323">
        <v>0.30299999999999999</v>
      </c>
      <c r="AS58" s="323">
        <v>0.30299999999999999</v>
      </c>
      <c r="AT58" s="323">
        <v>0.30299999999999999</v>
      </c>
      <c r="AU58" s="323">
        <v>0.30299999999999999</v>
      </c>
      <c r="AV58" s="323">
        <v>0.30299999999999999</v>
      </c>
      <c r="AW58" s="323">
        <v>0.30299999999999999</v>
      </c>
      <c r="AX58" s="323">
        <v>0.30299999999999999</v>
      </c>
      <c r="AY58" s="323">
        <v>0.30199999999999999</v>
      </c>
      <c r="AZ58" s="323">
        <v>0.30199999999999999</v>
      </c>
      <c r="BA58" s="323">
        <v>0.30199999999999999</v>
      </c>
      <c r="BB58" s="323">
        <v>0.30199999999999999</v>
      </c>
      <c r="BC58" s="323">
        <v>0.30199999999999999</v>
      </c>
      <c r="BD58" s="323">
        <v>0.30199999999999999</v>
      </c>
      <c r="BE58" s="323">
        <v>0.30199999999999999</v>
      </c>
      <c r="BF58" s="323">
        <v>0.30199999999999999</v>
      </c>
      <c r="BG58" s="323">
        <v>0.30199999999999999</v>
      </c>
      <c r="BH58" s="323">
        <v>0.30099999999999999</v>
      </c>
      <c r="BI58" s="323">
        <v>0.30099999999999999</v>
      </c>
      <c r="BJ58" s="323">
        <v>0.30099999999999999</v>
      </c>
      <c r="BK58" s="323">
        <v>0.30099999999999999</v>
      </c>
      <c r="BL58" s="324">
        <v>0.30099999999999999</v>
      </c>
    </row>
    <row r="59" spans="2:64" s="155" customFormat="1" ht="19.5" customHeight="1">
      <c r="B59" s="663" t="s">
        <v>69</v>
      </c>
      <c r="C59" s="384" t="s">
        <v>217</v>
      </c>
      <c r="D59" s="375"/>
      <c r="E59" s="376"/>
      <c r="F59" s="376"/>
      <c r="G59" s="376"/>
      <c r="H59" s="376"/>
      <c r="I59" s="376"/>
      <c r="J59" s="376"/>
      <c r="K59" s="376"/>
      <c r="L59" s="376"/>
      <c r="M59" s="376"/>
      <c r="N59" s="376"/>
      <c r="O59" s="376"/>
      <c r="P59" s="376"/>
      <c r="Q59" s="376"/>
      <c r="R59" s="376">
        <v>0.51600000000000001</v>
      </c>
      <c r="S59" s="376">
        <v>0.51500000000000001</v>
      </c>
      <c r="T59" s="376">
        <v>0.51200000000000001</v>
      </c>
      <c r="U59" s="376">
        <v>0.51100000000000001</v>
      </c>
      <c r="V59" s="376">
        <v>0.51100000000000001</v>
      </c>
      <c r="W59" s="376">
        <v>0.50700000000000001</v>
      </c>
      <c r="X59" s="376">
        <v>0.505</v>
      </c>
      <c r="Y59" s="376">
        <v>0.5</v>
      </c>
      <c r="Z59" s="376">
        <v>0.497</v>
      </c>
      <c r="AA59" s="376">
        <v>0.48899999999999999</v>
      </c>
      <c r="AB59" s="376">
        <v>0.48199999999999998</v>
      </c>
      <c r="AC59" s="376">
        <v>0.47599999999999998</v>
      </c>
      <c r="AD59" s="376">
        <v>0.47</v>
      </c>
      <c r="AE59" s="376">
        <v>0.46300000000000002</v>
      </c>
      <c r="AF59" s="376">
        <v>0.45700000000000002</v>
      </c>
      <c r="AG59" s="376">
        <v>0.45</v>
      </c>
      <c r="AH59" s="376">
        <v>0.44400000000000001</v>
      </c>
      <c r="AI59" s="376">
        <v>0.438</v>
      </c>
      <c r="AJ59" s="376">
        <v>0.432</v>
      </c>
      <c r="AK59" s="376">
        <v>0.42599999999999999</v>
      </c>
      <c r="AL59" s="376">
        <v>0.42099999999999999</v>
      </c>
      <c r="AM59" s="376">
        <v>0.41599999999999998</v>
      </c>
      <c r="AN59" s="376">
        <v>0.41099999999999998</v>
      </c>
      <c r="AO59" s="376">
        <v>0.40600000000000003</v>
      </c>
      <c r="AP59" s="376">
        <v>0.40200000000000002</v>
      </c>
      <c r="AQ59" s="376">
        <v>0.39800000000000002</v>
      </c>
      <c r="AR59" s="376">
        <v>0.39300000000000002</v>
      </c>
      <c r="AS59" s="376">
        <v>0.39</v>
      </c>
      <c r="AT59" s="376">
        <v>0.38600000000000001</v>
      </c>
      <c r="AU59" s="376">
        <v>0.38200000000000001</v>
      </c>
      <c r="AV59" s="376">
        <v>0.378</v>
      </c>
      <c r="AW59" s="376">
        <v>0.374</v>
      </c>
      <c r="AX59" s="376">
        <v>0.371</v>
      </c>
      <c r="AY59" s="376">
        <v>0.36799999999999999</v>
      </c>
      <c r="AZ59" s="376">
        <v>0.36399999999999999</v>
      </c>
      <c r="BA59" s="376">
        <v>0.36199999999999999</v>
      </c>
      <c r="BB59" s="376">
        <v>0.35899999999999999</v>
      </c>
      <c r="BC59" s="376">
        <v>0.35699999999999998</v>
      </c>
      <c r="BD59" s="376">
        <v>0.35499999999999998</v>
      </c>
      <c r="BE59" s="376">
        <v>0.35199999999999998</v>
      </c>
      <c r="BF59" s="376">
        <v>0.35</v>
      </c>
      <c r="BG59" s="376">
        <v>0.34899999999999998</v>
      </c>
      <c r="BH59" s="376">
        <v>0.34799999999999998</v>
      </c>
      <c r="BI59" s="376">
        <v>0.34699999999999998</v>
      </c>
      <c r="BJ59" s="376">
        <v>0.34599999999999997</v>
      </c>
      <c r="BK59" s="376">
        <v>0.34499999999999997</v>
      </c>
      <c r="BL59" s="383">
        <v>0.34399999999999997</v>
      </c>
    </row>
    <row r="60" spans="2:64" s="155" customFormat="1" ht="19.5" customHeight="1">
      <c r="B60" s="664"/>
      <c r="C60" s="385" t="s">
        <v>218</v>
      </c>
      <c r="D60" s="379"/>
      <c r="E60" s="321"/>
      <c r="F60" s="321"/>
      <c r="G60" s="321"/>
      <c r="H60" s="321"/>
      <c r="I60" s="321"/>
      <c r="J60" s="321"/>
      <c r="K60" s="321"/>
      <c r="L60" s="321"/>
      <c r="M60" s="321"/>
      <c r="N60" s="321"/>
      <c r="O60" s="321"/>
      <c r="P60" s="321"/>
      <c r="Q60" s="321"/>
      <c r="R60" s="321">
        <v>0.51600000000000001</v>
      </c>
      <c r="S60" s="321">
        <v>0.51500000000000001</v>
      </c>
      <c r="T60" s="321">
        <v>0.51200000000000001</v>
      </c>
      <c r="U60" s="321">
        <v>0.51100000000000001</v>
      </c>
      <c r="V60" s="321">
        <v>0.51100000000000001</v>
      </c>
      <c r="W60" s="321">
        <v>0.50700000000000001</v>
      </c>
      <c r="X60" s="321">
        <v>0.504</v>
      </c>
      <c r="Y60" s="321">
        <v>0.499</v>
      </c>
      <c r="Z60" s="321">
        <v>0.497</v>
      </c>
      <c r="AA60" s="321">
        <v>0.49099999999999999</v>
      </c>
      <c r="AB60" s="321">
        <v>0.48399999999999999</v>
      </c>
      <c r="AC60" s="321">
        <v>0.47899999999999998</v>
      </c>
      <c r="AD60" s="321">
        <v>0.47399999999999998</v>
      </c>
      <c r="AE60" s="321">
        <v>0.46899999999999997</v>
      </c>
      <c r="AF60" s="321">
        <v>0.46400000000000002</v>
      </c>
      <c r="AG60" s="321">
        <v>0.46</v>
      </c>
      <c r="AH60" s="321">
        <v>0.45600000000000002</v>
      </c>
      <c r="AI60" s="321">
        <v>0.45200000000000001</v>
      </c>
      <c r="AJ60" s="321">
        <v>0.44800000000000001</v>
      </c>
      <c r="AK60" s="321">
        <v>0.44400000000000001</v>
      </c>
      <c r="AL60" s="321">
        <v>0.44</v>
      </c>
      <c r="AM60" s="321">
        <v>0.437</v>
      </c>
      <c r="AN60" s="321">
        <v>0.433</v>
      </c>
      <c r="AO60" s="321">
        <v>0.43</v>
      </c>
      <c r="AP60" s="321">
        <v>0.42699999999999999</v>
      </c>
      <c r="AQ60" s="321">
        <v>0.42499999999999999</v>
      </c>
      <c r="AR60" s="321">
        <v>0.42199999999999999</v>
      </c>
      <c r="AS60" s="321">
        <v>0.41899999999999998</v>
      </c>
      <c r="AT60" s="321">
        <v>0.41699999999999998</v>
      </c>
      <c r="AU60" s="321">
        <v>0.41399999999999998</v>
      </c>
      <c r="AV60" s="321">
        <v>0.41099999999999998</v>
      </c>
      <c r="AW60" s="321">
        <v>0.40899999999999997</v>
      </c>
      <c r="AX60" s="321">
        <v>0.40600000000000003</v>
      </c>
      <c r="AY60" s="321">
        <v>0.40400000000000003</v>
      </c>
      <c r="AZ60" s="321">
        <v>0.40100000000000002</v>
      </c>
      <c r="BA60" s="321">
        <v>0.39900000000000002</v>
      </c>
      <c r="BB60" s="321">
        <v>0.39800000000000002</v>
      </c>
      <c r="BC60" s="321">
        <v>0.39600000000000002</v>
      </c>
      <c r="BD60" s="321">
        <v>0.39500000000000002</v>
      </c>
      <c r="BE60" s="321">
        <v>0.39300000000000002</v>
      </c>
      <c r="BF60" s="321">
        <v>0.39200000000000002</v>
      </c>
      <c r="BG60" s="321">
        <v>0.39100000000000001</v>
      </c>
      <c r="BH60" s="321">
        <v>0.39</v>
      </c>
      <c r="BI60" s="321">
        <v>0.39</v>
      </c>
      <c r="BJ60" s="321">
        <v>0.39</v>
      </c>
      <c r="BK60" s="321">
        <v>0.38900000000000001</v>
      </c>
      <c r="BL60" s="322">
        <v>0.38900000000000001</v>
      </c>
    </row>
    <row r="61" spans="2:64" s="155" customFormat="1" ht="19.5" customHeight="1" thickBot="1">
      <c r="B61" s="665"/>
      <c r="C61" s="386" t="s">
        <v>219</v>
      </c>
      <c r="D61" s="382"/>
      <c r="E61" s="323"/>
      <c r="F61" s="323"/>
      <c r="G61" s="323"/>
      <c r="H61" s="323"/>
      <c r="I61" s="323"/>
      <c r="J61" s="323"/>
      <c r="K61" s="323"/>
      <c r="L61" s="323"/>
      <c r="M61" s="323"/>
      <c r="N61" s="323"/>
      <c r="O61" s="323"/>
      <c r="P61" s="323"/>
      <c r="Q61" s="323"/>
      <c r="R61" s="323">
        <v>0.51600000000000001</v>
      </c>
      <c r="S61" s="323">
        <v>0.51500000000000001</v>
      </c>
      <c r="T61" s="323">
        <v>0.51200000000000001</v>
      </c>
      <c r="U61" s="323">
        <v>0.51100000000000001</v>
      </c>
      <c r="V61" s="323">
        <v>0.51100000000000001</v>
      </c>
      <c r="W61" s="323">
        <v>0.50700000000000001</v>
      </c>
      <c r="X61" s="323">
        <v>0.50600000000000001</v>
      </c>
      <c r="Y61" s="323">
        <v>0.501</v>
      </c>
      <c r="Z61" s="323">
        <v>0.5</v>
      </c>
      <c r="AA61" s="323">
        <v>0.495</v>
      </c>
      <c r="AB61" s="323">
        <v>0.49</v>
      </c>
      <c r="AC61" s="323">
        <v>0.48799999999999999</v>
      </c>
      <c r="AD61" s="323">
        <v>0.48499999999999999</v>
      </c>
      <c r="AE61" s="323">
        <v>0.48199999999999998</v>
      </c>
      <c r="AF61" s="323">
        <v>0.48</v>
      </c>
      <c r="AG61" s="323">
        <v>0.47699999999999998</v>
      </c>
      <c r="AH61" s="323">
        <v>0.47499999999999998</v>
      </c>
      <c r="AI61" s="323">
        <v>0.47299999999999998</v>
      </c>
      <c r="AJ61" s="323">
        <v>0.47099999999999997</v>
      </c>
      <c r="AK61" s="323">
        <v>0.46899999999999997</v>
      </c>
      <c r="AL61" s="323">
        <v>0.46700000000000003</v>
      </c>
      <c r="AM61" s="323">
        <v>0.46500000000000002</v>
      </c>
      <c r="AN61" s="323">
        <v>0.46300000000000002</v>
      </c>
      <c r="AO61" s="323">
        <v>0.46200000000000002</v>
      </c>
      <c r="AP61" s="323">
        <v>0.46</v>
      </c>
      <c r="AQ61" s="323">
        <v>0.45900000000000002</v>
      </c>
      <c r="AR61" s="323">
        <v>0.45800000000000002</v>
      </c>
      <c r="AS61" s="323">
        <v>0.45700000000000002</v>
      </c>
      <c r="AT61" s="323">
        <v>0.45500000000000002</v>
      </c>
      <c r="AU61" s="323">
        <v>0.45300000000000001</v>
      </c>
      <c r="AV61" s="323">
        <v>0.45200000000000001</v>
      </c>
      <c r="AW61" s="323">
        <v>0.45100000000000001</v>
      </c>
      <c r="AX61" s="323">
        <v>0.44900000000000001</v>
      </c>
      <c r="AY61" s="323">
        <v>0.44800000000000001</v>
      </c>
      <c r="AZ61" s="323">
        <v>0.44700000000000001</v>
      </c>
      <c r="BA61" s="323">
        <v>0.44500000000000001</v>
      </c>
      <c r="BB61" s="323">
        <v>0.44500000000000001</v>
      </c>
      <c r="BC61" s="323">
        <v>0.44400000000000001</v>
      </c>
      <c r="BD61" s="323">
        <v>0.443</v>
      </c>
      <c r="BE61" s="323">
        <v>0.443</v>
      </c>
      <c r="BF61" s="323">
        <v>0.442</v>
      </c>
      <c r="BG61" s="323">
        <v>0.442</v>
      </c>
      <c r="BH61" s="323">
        <v>0.442</v>
      </c>
      <c r="BI61" s="323">
        <v>0.442</v>
      </c>
      <c r="BJ61" s="323">
        <v>0.443</v>
      </c>
      <c r="BK61" s="323">
        <v>0.443</v>
      </c>
      <c r="BL61" s="324">
        <v>0.443</v>
      </c>
    </row>
  </sheetData>
  <mergeCells count="7">
    <mergeCell ref="B4:C4"/>
    <mergeCell ref="B53:B55"/>
    <mergeCell ref="B56:B58"/>
    <mergeCell ref="B59:B61"/>
    <mergeCell ref="B5:B10"/>
    <mergeCell ref="B11:B16"/>
    <mergeCell ref="B17:B2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6"/>
  <sheetViews>
    <sheetView workbookViewId="0">
      <selection activeCell="BH6" sqref="BH6"/>
    </sheetView>
  </sheetViews>
  <sheetFormatPr baseColWidth="10" defaultRowHeight="14.4"/>
  <cols>
    <col min="2" max="2" width="15.88671875" customWidth="1"/>
    <col min="3" max="63" width="5.6640625" customWidth="1"/>
  </cols>
  <sheetData>
    <row r="1" spans="1:63" ht="15.6">
      <c r="A1" s="83" t="s">
        <v>70</v>
      </c>
      <c r="B1" s="29"/>
    </row>
    <row r="2" spans="1:63">
      <c r="B2" s="29"/>
    </row>
    <row r="3" spans="1:63" ht="15" thickBot="1">
      <c r="B3" s="29"/>
    </row>
    <row r="4" spans="1:63" ht="15" thickBot="1">
      <c r="B4" s="88"/>
      <c r="C4" s="370">
        <v>2000</v>
      </c>
      <c r="D4" s="372">
        <v>2001</v>
      </c>
      <c r="E4" s="372">
        <v>2002</v>
      </c>
      <c r="F4" s="372">
        <v>2003</v>
      </c>
      <c r="G4" s="372">
        <v>2004</v>
      </c>
      <c r="H4" s="372">
        <v>2005</v>
      </c>
      <c r="I4" s="372">
        <v>2006</v>
      </c>
      <c r="J4" s="372">
        <v>2007</v>
      </c>
      <c r="K4" s="372">
        <v>2008</v>
      </c>
      <c r="L4" s="372">
        <v>2009</v>
      </c>
      <c r="M4" s="372">
        <v>2010</v>
      </c>
      <c r="N4" s="372">
        <v>2011</v>
      </c>
      <c r="O4" s="372">
        <v>2012</v>
      </c>
      <c r="P4" s="372">
        <v>2013</v>
      </c>
      <c r="Q4" s="372">
        <v>2014</v>
      </c>
      <c r="R4" s="372">
        <v>2015</v>
      </c>
      <c r="S4" s="372">
        <v>2016</v>
      </c>
      <c r="T4" s="372">
        <v>2017</v>
      </c>
      <c r="U4" s="372">
        <v>2018</v>
      </c>
      <c r="V4" s="372">
        <v>2019</v>
      </c>
      <c r="W4" s="372">
        <v>2020</v>
      </c>
      <c r="X4" s="372">
        <v>2021</v>
      </c>
      <c r="Y4" s="372">
        <v>2022</v>
      </c>
      <c r="Z4" s="372">
        <v>2023</v>
      </c>
      <c r="AA4" s="372">
        <v>2024</v>
      </c>
      <c r="AB4" s="372">
        <v>2025</v>
      </c>
      <c r="AC4" s="372">
        <v>2026</v>
      </c>
      <c r="AD4" s="372">
        <v>2027</v>
      </c>
      <c r="AE4" s="372">
        <v>2028</v>
      </c>
      <c r="AF4" s="372">
        <v>2029</v>
      </c>
      <c r="AG4" s="372">
        <v>2030</v>
      </c>
      <c r="AH4" s="372">
        <v>2031</v>
      </c>
      <c r="AI4" s="372">
        <v>2032</v>
      </c>
      <c r="AJ4" s="372">
        <v>2033</v>
      </c>
      <c r="AK4" s="372">
        <v>2034</v>
      </c>
      <c r="AL4" s="372">
        <v>2035</v>
      </c>
      <c r="AM4" s="372">
        <v>2036</v>
      </c>
      <c r="AN4" s="372">
        <v>2037</v>
      </c>
      <c r="AO4" s="372">
        <v>2038</v>
      </c>
      <c r="AP4" s="372">
        <v>2039</v>
      </c>
      <c r="AQ4" s="372">
        <v>2040</v>
      </c>
      <c r="AR4" s="372">
        <v>2041</v>
      </c>
      <c r="AS4" s="372">
        <v>2042</v>
      </c>
      <c r="AT4" s="372">
        <v>2043</v>
      </c>
      <c r="AU4" s="372">
        <v>2044</v>
      </c>
      <c r="AV4" s="372">
        <v>2045</v>
      </c>
      <c r="AW4" s="372">
        <v>2046</v>
      </c>
      <c r="AX4" s="372">
        <v>2047</v>
      </c>
      <c r="AY4" s="372">
        <v>2048</v>
      </c>
      <c r="AZ4" s="372">
        <v>2049</v>
      </c>
      <c r="BA4" s="372">
        <v>2050</v>
      </c>
      <c r="BB4" s="372">
        <v>2051</v>
      </c>
      <c r="BC4" s="372">
        <v>2052</v>
      </c>
      <c r="BD4" s="372">
        <v>2053</v>
      </c>
      <c r="BE4" s="372">
        <v>2054</v>
      </c>
      <c r="BF4" s="372">
        <v>2055</v>
      </c>
      <c r="BG4" s="372">
        <v>2056</v>
      </c>
      <c r="BH4" s="372">
        <v>2057</v>
      </c>
      <c r="BI4" s="372">
        <v>2058</v>
      </c>
      <c r="BJ4" s="372">
        <v>2059</v>
      </c>
      <c r="BK4" s="371">
        <v>2060</v>
      </c>
    </row>
    <row r="5" spans="1:63" ht="15" customHeight="1">
      <c r="B5" s="222" t="s">
        <v>66</v>
      </c>
      <c r="C5" s="286">
        <v>60.7</v>
      </c>
      <c r="D5" s="287">
        <v>60.8</v>
      </c>
      <c r="E5" s="287">
        <v>60.8</v>
      </c>
      <c r="F5" s="287">
        <v>60.8</v>
      </c>
      <c r="G5" s="287">
        <v>60.7</v>
      </c>
      <c r="H5" s="287">
        <v>60.6</v>
      </c>
      <c r="I5" s="287">
        <v>60.6</v>
      </c>
      <c r="J5" s="287">
        <v>60.5</v>
      </c>
      <c r="K5" s="287">
        <v>60.5</v>
      </c>
      <c r="L5" s="287">
        <v>60.6</v>
      </c>
      <c r="M5" s="287">
        <v>60.5</v>
      </c>
      <c r="N5" s="287">
        <v>60.8</v>
      </c>
      <c r="O5" s="287">
        <v>61</v>
      </c>
      <c r="P5" s="287">
        <v>61.2</v>
      </c>
      <c r="Q5" s="287"/>
      <c r="R5" s="287"/>
      <c r="S5" s="287"/>
      <c r="T5" s="287"/>
      <c r="U5" s="287"/>
      <c r="V5" s="287"/>
      <c r="W5" s="287"/>
      <c r="X5" s="287"/>
      <c r="Y5" s="287"/>
      <c r="Z5" s="287"/>
      <c r="AA5" s="287"/>
      <c r="AB5" s="287"/>
      <c r="AC5" s="287"/>
      <c r="AD5" s="287"/>
      <c r="AE5" s="287"/>
      <c r="AF5" s="287"/>
      <c r="AG5" s="287"/>
      <c r="AH5" s="287"/>
      <c r="AI5" s="287"/>
      <c r="AJ5" s="287"/>
      <c r="AK5" s="287"/>
      <c r="AL5" s="287"/>
      <c r="AM5" s="287"/>
      <c r="AN5" s="287"/>
      <c r="AO5" s="287"/>
      <c r="AP5" s="287"/>
      <c r="AQ5" s="287"/>
      <c r="AR5" s="287"/>
      <c r="AS5" s="287"/>
      <c r="AT5" s="287"/>
      <c r="AU5" s="287"/>
      <c r="AV5" s="287"/>
      <c r="AW5" s="287"/>
      <c r="AX5" s="287"/>
      <c r="AY5" s="287"/>
      <c r="AZ5" s="287"/>
      <c r="BA5" s="287"/>
      <c r="BB5" s="287"/>
      <c r="BC5" s="287"/>
      <c r="BD5" s="287"/>
      <c r="BE5" s="287"/>
      <c r="BF5" s="287"/>
      <c r="BG5" s="287"/>
      <c r="BH5" s="287"/>
      <c r="BI5" s="287"/>
      <c r="BJ5" s="287"/>
      <c r="BK5" s="288"/>
    </row>
    <row r="6" spans="1:63" ht="15" thickBot="1">
      <c r="B6" s="89" t="s">
        <v>152</v>
      </c>
      <c r="C6" s="289"/>
      <c r="D6" s="290"/>
      <c r="E6" s="290"/>
      <c r="F6" s="290"/>
      <c r="G6" s="290"/>
      <c r="H6" s="290"/>
      <c r="I6" s="290"/>
      <c r="J6" s="290"/>
      <c r="K6" s="290"/>
      <c r="L6" s="290"/>
      <c r="M6" s="290"/>
      <c r="N6" s="290"/>
      <c r="O6" s="290"/>
      <c r="P6" s="290"/>
      <c r="Q6" s="290">
        <v>61.3</v>
      </c>
      <c r="R6" s="290">
        <v>61.6</v>
      </c>
      <c r="S6" s="290">
        <v>61.8</v>
      </c>
      <c r="T6" s="290">
        <v>62</v>
      </c>
      <c r="U6" s="290">
        <v>62.1</v>
      </c>
      <c r="V6" s="290">
        <v>62.2</v>
      </c>
      <c r="W6" s="290">
        <v>62.3</v>
      </c>
      <c r="X6" s="290">
        <v>62.5</v>
      </c>
      <c r="Y6" s="290">
        <v>62.5</v>
      </c>
      <c r="Z6" s="290">
        <v>62.6</v>
      </c>
      <c r="AA6" s="290">
        <v>62.7</v>
      </c>
      <c r="AB6" s="290">
        <v>62.8</v>
      </c>
      <c r="AC6" s="290">
        <v>62.9</v>
      </c>
      <c r="AD6" s="290">
        <v>63</v>
      </c>
      <c r="AE6" s="290">
        <v>63.1</v>
      </c>
      <c r="AF6" s="290">
        <v>63.2</v>
      </c>
      <c r="AG6" s="290">
        <v>63.3</v>
      </c>
      <c r="AH6" s="290">
        <v>63.4</v>
      </c>
      <c r="AI6" s="290">
        <v>63.5</v>
      </c>
      <c r="AJ6" s="290">
        <v>63.6</v>
      </c>
      <c r="AK6" s="290">
        <v>63.7</v>
      </c>
      <c r="AL6" s="290">
        <v>63.8</v>
      </c>
      <c r="AM6" s="290">
        <v>63.9</v>
      </c>
      <c r="AN6" s="290">
        <v>63.9</v>
      </c>
      <c r="AO6" s="290">
        <v>64</v>
      </c>
      <c r="AP6" s="290">
        <v>64.099999999999994</v>
      </c>
      <c r="AQ6" s="290">
        <v>64.099999999999994</v>
      </c>
      <c r="AR6" s="290">
        <v>64.099999999999994</v>
      </c>
      <c r="AS6" s="290">
        <v>64.099999999999994</v>
      </c>
      <c r="AT6" s="290">
        <v>64.099999999999994</v>
      </c>
      <c r="AU6" s="290">
        <v>64.099999999999994</v>
      </c>
      <c r="AV6" s="290">
        <v>64</v>
      </c>
      <c r="AW6" s="290">
        <v>64</v>
      </c>
      <c r="AX6" s="290">
        <v>64</v>
      </c>
      <c r="AY6" s="290">
        <v>64</v>
      </c>
      <c r="AZ6" s="290">
        <v>64</v>
      </c>
      <c r="BA6" s="290">
        <v>64</v>
      </c>
      <c r="BB6" s="290">
        <v>64</v>
      </c>
      <c r="BC6" s="290">
        <v>64</v>
      </c>
      <c r="BD6" s="290">
        <v>64</v>
      </c>
      <c r="BE6" s="290">
        <v>64</v>
      </c>
      <c r="BF6" s="290">
        <v>64</v>
      </c>
      <c r="BG6" s="290">
        <v>64</v>
      </c>
      <c r="BH6" s="290">
        <v>64</v>
      </c>
      <c r="BI6" s="290">
        <v>64</v>
      </c>
      <c r="BJ6" s="290">
        <v>64</v>
      </c>
      <c r="BK6" s="291">
        <v>64</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6"/>
  <sheetViews>
    <sheetView workbookViewId="0">
      <selection activeCell="AG4" sqref="AG4"/>
    </sheetView>
  </sheetViews>
  <sheetFormatPr baseColWidth="10" defaultRowHeight="14.4"/>
  <cols>
    <col min="2" max="2" width="29.33203125" customWidth="1"/>
    <col min="3" max="33" width="7.109375" style="29" customWidth="1"/>
  </cols>
  <sheetData>
    <row r="1" spans="1:34" ht="15.6">
      <c r="A1" s="83" t="s">
        <v>228</v>
      </c>
    </row>
    <row r="2" spans="1:34" ht="15" thickBot="1">
      <c r="A2" s="159"/>
    </row>
    <row r="3" spans="1:34" ht="15" thickBot="1">
      <c r="B3" s="596"/>
      <c r="C3" s="597">
        <v>1990</v>
      </c>
      <c r="D3" s="598">
        <v>1991</v>
      </c>
      <c r="E3" s="598">
        <v>1992</v>
      </c>
      <c r="F3" s="598">
        <v>1993</v>
      </c>
      <c r="G3" s="598">
        <v>1994</v>
      </c>
      <c r="H3" s="598">
        <v>1995</v>
      </c>
      <c r="I3" s="598">
        <v>1996</v>
      </c>
      <c r="J3" s="598">
        <v>1997</v>
      </c>
      <c r="K3" s="598">
        <v>1998</v>
      </c>
      <c r="L3" s="598">
        <v>1999</v>
      </c>
      <c r="M3" s="598">
        <v>2000</v>
      </c>
      <c r="N3" s="598">
        <v>2001</v>
      </c>
      <c r="O3" s="598">
        <v>2002</v>
      </c>
      <c r="P3" s="598">
        <v>2003</v>
      </c>
      <c r="Q3" s="598">
        <v>2004</v>
      </c>
      <c r="R3" s="598">
        <v>2005</v>
      </c>
      <c r="S3" s="598">
        <v>2006</v>
      </c>
      <c r="T3" s="598">
        <v>2007</v>
      </c>
      <c r="U3" s="598">
        <v>2008</v>
      </c>
      <c r="V3" s="598">
        <v>2009</v>
      </c>
      <c r="W3" s="598">
        <v>2010</v>
      </c>
      <c r="X3" s="598">
        <v>2011</v>
      </c>
      <c r="Y3" s="598">
        <v>2012</v>
      </c>
      <c r="Z3" s="598">
        <v>2013</v>
      </c>
      <c r="AA3" s="598">
        <v>2014</v>
      </c>
      <c r="AB3" s="598">
        <v>2015</v>
      </c>
      <c r="AC3" s="598">
        <v>2016</v>
      </c>
      <c r="AD3" s="598">
        <v>2017</v>
      </c>
      <c r="AE3" s="598">
        <v>2018</v>
      </c>
      <c r="AF3" s="598">
        <v>2019</v>
      </c>
      <c r="AG3" s="599">
        <v>2020</v>
      </c>
      <c r="AH3" s="600"/>
    </row>
    <row r="4" spans="1:34">
      <c r="B4" s="601" t="s">
        <v>155</v>
      </c>
      <c r="C4" s="602">
        <v>0.22700000000000001</v>
      </c>
      <c r="D4" s="603">
        <v>0.23200000000000001</v>
      </c>
      <c r="E4" s="603">
        <v>0.23300000000000001</v>
      </c>
      <c r="F4" s="603">
        <v>0.23300000000000001</v>
      </c>
      <c r="G4" s="603">
        <v>0.23400000000000001</v>
      </c>
      <c r="H4" s="603">
        <v>0.23400000000000001</v>
      </c>
      <c r="I4" s="603">
        <v>0.24</v>
      </c>
      <c r="J4" s="603">
        <v>0.247</v>
      </c>
      <c r="K4" s="603">
        <v>0.253</v>
      </c>
      <c r="L4" s="603">
        <v>0.25900000000000001</v>
      </c>
      <c r="M4" s="603">
        <v>0.25900000000000001</v>
      </c>
      <c r="N4" s="603">
        <v>0.25900000000000001</v>
      </c>
      <c r="O4" s="603">
        <v>0.26</v>
      </c>
      <c r="P4" s="603">
        <v>0.26</v>
      </c>
      <c r="Q4" s="603">
        <v>0.26</v>
      </c>
      <c r="R4" s="603">
        <v>0.26</v>
      </c>
      <c r="S4" s="603">
        <v>0.26200000000000001</v>
      </c>
      <c r="T4" s="603">
        <v>0.26200000000000001</v>
      </c>
      <c r="U4" s="603">
        <v>0.26200000000000001</v>
      </c>
      <c r="V4" s="603">
        <v>0.26200000000000001</v>
      </c>
      <c r="W4" s="603">
        <v>0.26200000000000001</v>
      </c>
      <c r="X4" s="603">
        <v>0.26200000000000001</v>
      </c>
      <c r="Y4" s="603">
        <v>0.26200000000000001</v>
      </c>
      <c r="Z4" s="603">
        <v>0.26400000000000001</v>
      </c>
      <c r="AA4" s="603">
        <v>0.26900000000000002</v>
      </c>
      <c r="AB4" s="603">
        <v>0.27200000000000002</v>
      </c>
      <c r="AC4" s="603">
        <v>0.27400000000000002</v>
      </c>
      <c r="AD4" s="603">
        <v>0.27500000000000002</v>
      </c>
      <c r="AE4" s="603">
        <v>0.27500000000000002</v>
      </c>
      <c r="AF4" s="603">
        <v>0.27500000000000002</v>
      </c>
      <c r="AG4" s="604">
        <v>0.27500000000000002</v>
      </c>
      <c r="AH4" s="600"/>
    </row>
    <row r="5" spans="1:34" ht="15" thickBot="1">
      <c r="B5" s="605" t="s">
        <v>156</v>
      </c>
      <c r="C5" s="606">
        <v>0.24399999999999999</v>
      </c>
      <c r="D5" s="607">
        <v>0.249</v>
      </c>
      <c r="E5" s="607">
        <v>0.25</v>
      </c>
      <c r="F5" s="607">
        <v>0.25</v>
      </c>
      <c r="G5" s="607">
        <v>0.254</v>
      </c>
      <c r="H5" s="607">
        <v>0.254</v>
      </c>
      <c r="I5" s="607">
        <v>0.25700000000000001</v>
      </c>
      <c r="J5" s="607">
        <v>0.25900000000000001</v>
      </c>
      <c r="K5" s="607">
        <v>0.26200000000000001</v>
      </c>
      <c r="L5" s="607">
        <v>0.26500000000000001</v>
      </c>
      <c r="M5" s="607">
        <v>0.26500000000000001</v>
      </c>
      <c r="N5" s="607">
        <v>0.26500000000000001</v>
      </c>
      <c r="O5" s="607">
        <v>0.26500000000000001</v>
      </c>
      <c r="P5" s="607">
        <v>0.26500000000000001</v>
      </c>
      <c r="Q5" s="607">
        <v>0.26500000000000001</v>
      </c>
      <c r="R5" s="607">
        <v>0.26500000000000001</v>
      </c>
      <c r="S5" s="607">
        <v>0.26700000000000002</v>
      </c>
      <c r="T5" s="607">
        <v>0.26700000000000002</v>
      </c>
      <c r="U5" s="607">
        <v>0.26700000000000002</v>
      </c>
      <c r="V5" s="607">
        <v>0.26700000000000002</v>
      </c>
      <c r="W5" s="607">
        <v>0.26700000000000002</v>
      </c>
      <c r="X5" s="607">
        <v>0.26700000000000002</v>
      </c>
      <c r="Y5" s="607">
        <v>0.26700000000000002</v>
      </c>
      <c r="Z5" s="607">
        <v>0.26900000000000002</v>
      </c>
      <c r="AA5" s="607">
        <v>0.27400000000000002</v>
      </c>
      <c r="AB5" s="607">
        <v>0.27700000000000002</v>
      </c>
      <c r="AC5" s="607">
        <v>0.27900000000000003</v>
      </c>
      <c r="AD5" s="607">
        <v>0.28000000000000003</v>
      </c>
      <c r="AE5" s="607">
        <v>0.28000000000000003</v>
      </c>
      <c r="AF5" s="607">
        <v>0.28000000000000003</v>
      </c>
      <c r="AG5" s="608">
        <v>0.28000000000000003</v>
      </c>
      <c r="AH5" s="600"/>
    </row>
    <row r="6" spans="1:34">
      <c r="B6" s="600"/>
      <c r="C6" s="609"/>
      <c r="D6" s="609"/>
      <c r="E6" s="609"/>
      <c r="F6" s="609"/>
      <c r="G6" s="609"/>
      <c r="H6" s="609"/>
      <c r="I6" s="609"/>
      <c r="J6" s="609"/>
      <c r="K6" s="609"/>
      <c r="L6" s="609"/>
      <c r="M6" s="609"/>
      <c r="N6" s="609"/>
      <c r="O6" s="609"/>
      <c r="P6" s="609"/>
      <c r="Q6" s="609"/>
      <c r="R6" s="609"/>
      <c r="S6" s="609"/>
      <c r="T6" s="609"/>
      <c r="U6" s="609"/>
      <c r="V6" s="609"/>
      <c r="W6" s="609"/>
      <c r="X6" s="609"/>
      <c r="Y6" s="609"/>
      <c r="Z6" s="609"/>
      <c r="AA6" s="609"/>
      <c r="AB6" s="609"/>
      <c r="AC6" s="609"/>
      <c r="AD6" s="609"/>
      <c r="AE6" s="609"/>
      <c r="AF6" s="609"/>
      <c r="AG6" s="609"/>
      <c r="AH6" s="600"/>
    </row>
    <row r="7" spans="1:34">
      <c r="B7" s="600"/>
      <c r="C7" s="609"/>
      <c r="D7" s="609"/>
      <c r="E7" s="609"/>
      <c r="F7" s="609"/>
      <c r="G7" s="609"/>
      <c r="H7" s="609"/>
      <c r="I7" s="609"/>
      <c r="J7" s="609"/>
      <c r="K7" s="609"/>
      <c r="L7" s="609"/>
      <c r="M7" s="609"/>
      <c r="N7" s="609"/>
      <c r="O7" s="609"/>
      <c r="P7" s="609"/>
      <c r="Q7" s="609"/>
      <c r="R7" s="609"/>
      <c r="S7" s="609"/>
      <c r="T7" s="609"/>
      <c r="U7" s="609"/>
      <c r="V7" s="609"/>
      <c r="W7" s="609"/>
      <c r="X7" s="609"/>
      <c r="Y7" s="609"/>
      <c r="Z7" s="609"/>
      <c r="AA7" s="609"/>
      <c r="AB7" s="609"/>
      <c r="AC7" s="609"/>
      <c r="AD7" s="609"/>
      <c r="AE7" s="609"/>
      <c r="AF7" s="609"/>
      <c r="AG7" s="609"/>
      <c r="AH7" s="600"/>
    </row>
    <row r="8" spans="1:34">
      <c r="B8" s="600"/>
      <c r="C8" s="609"/>
      <c r="D8" s="609"/>
      <c r="E8" s="609"/>
      <c r="F8" s="609"/>
      <c r="G8" s="609"/>
      <c r="H8" s="609"/>
      <c r="I8" s="609"/>
      <c r="J8" s="609"/>
      <c r="K8" s="609"/>
      <c r="L8" s="609"/>
      <c r="M8" s="609"/>
      <c r="N8" s="609"/>
      <c r="O8" s="609"/>
      <c r="P8" s="609"/>
      <c r="Q8" s="609"/>
      <c r="R8" s="609"/>
      <c r="S8" s="609"/>
      <c r="T8" s="609"/>
      <c r="U8" s="609"/>
      <c r="V8" s="609"/>
      <c r="W8" s="609"/>
      <c r="X8" s="609"/>
      <c r="Y8" s="609"/>
      <c r="Z8" s="609"/>
      <c r="AA8" s="609"/>
      <c r="AB8" s="609"/>
      <c r="AC8" s="609"/>
      <c r="AD8" s="609"/>
      <c r="AE8" s="609"/>
      <c r="AF8" s="609"/>
      <c r="AG8" s="609"/>
      <c r="AH8" s="600"/>
    </row>
    <row r="9" spans="1:34">
      <c r="B9" s="600"/>
      <c r="C9" s="609"/>
      <c r="D9" s="609"/>
      <c r="E9" s="609"/>
      <c r="F9" s="609"/>
      <c r="G9" s="609"/>
      <c r="H9" s="609"/>
      <c r="I9" s="609"/>
      <c r="J9" s="609"/>
      <c r="K9" s="609"/>
      <c r="L9" s="609"/>
      <c r="M9" s="609"/>
      <c r="N9" s="609"/>
      <c r="O9" s="609"/>
      <c r="P9" s="609"/>
      <c r="Q9" s="609"/>
      <c r="R9" s="609"/>
      <c r="S9" s="609"/>
      <c r="T9" s="609"/>
      <c r="U9" s="609"/>
      <c r="V9" s="609"/>
      <c r="W9" s="609"/>
      <c r="X9" s="609"/>
      <c r="Y9" s="609"/>
      <c r="Z9" s="609"/>
      <c r="AA9" s="609"/>
      <c r="AB9" s="609"/>
      <c r="AC9" s="609"/>
      <c r="AD9" s="609"/>
      <c r="AE9" s="609"/>
      <c r="AF9" s="609"/>
      <c r="AG9" s="609"/>
      <c r="AH9" s="600"/>
    </row>
    <row r="10" spans="1:34">
      <c r="B10" s="600"/>
      <c r="C10" s="609"/>
      <c r="D10" s="609"/>
      <c r="E10" s="609"/>
      <c r="F10" s="609"/>
      <c r="G10" s="609"/>
      <c r="H10" s="609"/>
      <c r="I10" s="609"/>
      <c r="J10" s="609"/>
      <c r="K10" s="609"/>
      <c r="L10" s="609"/>
      <c r="M10" s="609"/>
      <c r="N10" s="609"/>
      <c r="O10" s="609"/>
      <c r="P10" s="609"/>
      <c r="Q10" s="609"/>
      <c r="R10" s="609"/>
      <c r="S10" s="609"/>
      <c r="T10" s="609"/>
      <c r="U10" s="609"/>
      <c r="V10" s="609"/>
      <c r="W10" s="609"/>
      <c r="X10" s="609"/>
      <c r="Y10" s="609"/>
      <c r="Z10" s="609"/>
      <c r="AA10" s="609"/>
      <c r="AB10" s="609"/>
      <c r="AC10" s="609"/>
      <c r="AD10" s="609"/>
      <c r="AE10" s="609"/>
      <c r="AF10" s="609"/>
      <c r="AG10" s="609"/>
      <c r="AH10" s="600"/>
    </row>
    <row r="11" spans="1:34">
      <c r="B11" s="600"/>
      <c r="C11" s="609"/>
      <c r="D11" s="609"/>
      <c r="E11" s="609"/>
      <c r="F11" s="609"/>
      <c r="G11" s="609"/>
      <c r="H11" s="609"/>
      <c r="I11" s="609"/>
      <c r="J11" s="609"/>
      <c r="K11" s="609"/>
      <c r="L11" s="609"/>
      <c r="M11" s="609"/>
      <c r="N11" s="609"/>
      <c r="O11" s="609"/>
      <c r="P11" s="609"/>
      <c r="Q11" s="609"/>
      <c r="R11" s="609"/>
      <c r="S11" s="609"/>
      <c r="T11" s="609"/>
      <c r="U11" s="609"/>
      <c r="V11" s="609"/>
      <c r="W11" s="609"/>
      <c r="X11" s="609"/>
      <c r="Y11" s="609"/>
      <c r="Z11" s="609"/>
      <c r="AA11" s="609"/>
      <c r="AB11" s="609"/>
      <c r="AC11" s="609"/>
      <c r="AD11" s="609"/>
      <c r="AE11" s="609"/>
      <c r="AF11" s="609"/>
      <c r="AG11" s="609"/>
      <c r="AH11" s="600"/>
    </row>
    <row r="12" spans="1:34">
      <c r="B12" s="600"/>
      <c r="C12" s="609"/>
      <c r="D12" s="609"/>
      <c r="E12" s="609"/>
      <c r="F12" s="609"/>
      <c r="G12" s="609"/>
      <c r="H12" s="609"/>
      <c r="I12" s="609"/>
      <c r="J12" s="609"/>
      <c r="K12" s="609"/>
      <c r="L12" s="609"/>
      <c r="M12" s="609"/>
      <c r="N12" s="609"/>
      <c r="O12" s="609"/>
      <c r="P12" s="609"/>
      <c r="Q12" s="609"/>
      <c r="R12" s="609"/>
      <c r="S12" s="609"/>
      <c r="T12" s="609"/>
      <c r="U12" s="609"/>
      <c r="V12" s="609"/>
      <c r="W12" s="609"/>
      <c r="X12" s="609"/>
      <c r="Y12" s="609"/>
      <c r="Z12" s="609"/>
      <c r="AA12" s="609"/>
      <c r="AB12" s="609"/>
      <c r="AC12" s="609"/>
      <c r="AD12" s="609"/>
      <c r="AE12" s="609"/>
      <c r="AF12" s="609"/>
      <c r="AG12" s="609"/>
      <c r="AH12" s="600"/>
    </row>
    <row r="13" spans="1:34">
      <c r="B13" s="600"/>
      <c r="C13" s="609"/>
      <c r="D13" s="609"/>
      <c r="E13" s="609"/>
      <c r="F13" s="609"/>
      <c r="G13" s="609"/>
      <c r="H13" s="609"/>
      <c r="I13" s="609"/>
      <c r="J13" s="609"/>
      <c r="K13" s="609"/>
      <c r="L13" s="609"/>
      <c r="M13" s="609"/>
      <c r="N13" s="609"/>
      <c r="O13" s="609"/>
      <c r="P13" s="609"/>
      <c r="Q13" s="609"/>
      <c r="R13" s="609"/>
      <c r="S13" s="609"/>
      <c r="T13" s="609"/>
      <c r="U13" s="609"/>
      <c r="V13" s="609"/>
      <c r="W13" s="609"/>
      <c r="X13" s="609"/>
      <c r="Y13" s="609"/>
      <c r="Z13" s="609"/>
      <c r="AA13" s="609"/>
      <c r="AB13" s="609"/>
      <c r="AC13" s="609"/>
      <c r="AD13" s="609"/>
      <c r="AE13" s="609"/>
      <c r="AF13" s="609"/>
      <c r="AG13" s="609"/>
      <c r="AH13" s="600"/>
    </row>
    <row r="14" spans="1:34">
      <c r="B14" s="600"/>
      <c r="C14" s="609"/>
      <c r="D14" s="609"/>
      <c r="E14" s="609"/>
      <c r="F14" s="609"/>
      <c r="G14" s="609"/>
      <c r="H14" s="609"/>
      <c r="I14" s="609"/>
      <c r="J14" s="609"/>
      <c r="K14" s="609"/>
      <c r="L14" s="609"/>
      <c r="M14" s="609"/>
      <c r="N14" s="609"/>
      <c r="O14" s="609"/>
      <c r="P14" s="609"/>
      <c r="Q14" s="609"/>
      <c r="R14" s="609"/>
      <c r="S14" s="609"/>
      <c r="T14" s="609"/>
      <c r="U14" s="609"/>
      <c r="V14" s="609"/>
      <c r="W14" s="609"/>
      <c r="X14" s="609"/>
      <c r="Y14" s="609"/>
      <c r="Z14" s="609"/>
      <c r="AA14" s="609"/>
      <c r="AB14" s="609"/>
      <c r="AC14" s="609"/>
      <c r="AD14" s="609"/>
      <c r="AE14" s="609"/>
      <c r="AF14" s="609"/>
      <c r="AG14" s="609"/>
      <c r="AH14" s="600"/>
    </row>
    <row r="15" spans="1:34">
      <c r="B15" s="600"/>
      <c r="C15" s="609"/>
      <c r="D15" s="609"/>
      <c r="E15" s="609"/>
      <c r="F15" s="609"/>
      <c r="G15" s="609"/>
      <c r="H15" s="609"/>
      <c r="I15" s="609"/>
      <c r="J15" s="609"/>
      <c r="K15" s="609"/>
      <c r="L15" s="609"/>
      <c r="M15" s="609"/>
      <c r="N15" s="609"/>
      <c r="O15" s="609"/>
      <c r="P15" s="609"/>
      <c r="Q15" s="609"/>
      <c r="R15" s="609"/>
      <c r="S15" s="609"/>
      <c r="T15" s="609"/>
      <c r="U15" s="609"/>
      <c r="V15" s="609"/>
      <c r="W15" s="609"/>
      <c r="X15" s="609"/>
      <c r="Y15" s="609"/>
      <c r="Z15" s="609"/>
      <c r="AA15" s="609"/>
      <c r="AB15" s="609"/>
      <c r="AC15" s="609"/>
      <c r="AD15" s="609"/>
      <c r="AE15" s="609"/>
      <c r="AF15" s="609"/>
      <c r="AG15" s="609"/>
      <c r="AH15" s="600"/>
    </row>
    <row r="16" spans="1:34">
      <c r="B16" s="600"/>
      <c r="C16" s="609"/>
      <c r="D16" s="609"/>
      <c r="E16" s="609"/>
      <c r="F16" s="609"/>
      <c r="G16" s="609"/>
      <c r="H16" s="609"/>
      <c r="I16" s="609"/>
      <c r="J16" s="609"/>
      <c r="K16" s="609"/>
      <c r="L16" s="609"/>
      <c r="M16" s="609"/>
      <c r="N16" s="609"/>
      <c r="O16" s="609"/>
      <c r="P16" s="609"/>
      <c r="Q16" s="609"/>
      <c r="R16" s="609"/>
      <c r="S16" s="609"/>
      <c r="T16" s="609"/>
      <c r="U16" s="609"/>
      <c r="V16" s="609"/>
      <c r="W16" s="609"/>
      <c r="X16" s="609"/>
      <c r="Y16" s="609"/>
      <c r="Z16" s="609"/>
      <c r="AA16" s="609"/>
      <c r="AB16" s="609"/>
      <c r="AC16" s="609"/>
      <c r="AD16" s="609"/>
      <c r="AE16" s="609"/>
      <c r="AF16" s="609"/>
      <c r="AG16" s="609"/>
      <c r="AH16" s="600"/>
    </row>
    <row r="17" spans="2:34">
      <c r="B17" s="600"/>
      <c r="C17" s="609"/>
      <c r="D17" s="609"/>
      <c r="E17" s="609"/>
      <c r="F17" s="609"/>
      <c r="G17" s="609"/>
      <c r="H17" s="609"/>
      <c r="I17" s="609"/>
      <c r="J17" s="609"/>
      <c r="K17" s="609"/>
      <c r="L17" s="609"/>
      <c r="M17" s="609"/>
      <c r="N17" s="609"/>
      <c r="O17" s="609"/>
      <c r="P17" s="609"/>
      <c r="Q17" s="609"/>
      <c r="R17" s="609"/>
      <c r="S17" s="609"/>
      <c r="T17" s="609"/>
      <c r="U17" s="609"/>
      <c r="V17" s="609"/>
      <c r="W17" s="609"/>
      <c r="X17" s="609"/>
      <c r="Y17" s="609"/>
      <c r="Z17" s="609"/>
      <c r="AA17" s="609"/>
      <c r="AB17" s="609"/>
      <c r="AC17" s="609"/>
      <c r="AD17" s="609"/>
      <c r="AE17" s="609"/>
      <c r="AF17" s="609"/>
      <c r="AG17" s="609"/>
      <c r="AH17" s="600"/>
    </row>
    <row r="18" spans="2:34">
      <c r="B18" s="600"/>
      <c r="C18" s="609"/>
      <c r="D18" s="609"/>
      <c r="E18" s="609"/>
      <c r="F18" s="609"/>
      <c r="G18" s="609"/>
      <c r="H18" s="609"/>
      <c r="I18" s="609"/>
      <c r="J18" s="609"/>
      <c r="K18" s="609"/>
      <c r="L18" s="609"/>
      <c r="M18" s="609"/>
      <c r="N18" s="609"/>
      <c r="O18" s="609"/>
      <c r="P18" s="609"/>
      <c r="Q18" s="609"/>
      <c r="R18" s="609"/>
      <c r="S18" s="609"/>
      <c r="T18" s="609"/>
      <c r="U18" s="609"/>
      <c r="V18" s="609"/>
      <c r="W18" s="609"/>
      <c r="X18" s="609"/>
      <c r="Y18" s="609"/>
      <c r="Z18" s="609"/>
      <c r="AA18" s="609"/>
      <c r="AB18" s="609"/>
      <c r="AC18" s="609"/>
      <c r="AD18" s="609"/>
      <c r="AE18" s="609"/>
      <c r="AF18" s="609"/>
      <c r="AG18" s="609"/>
      <c r="AH18" s="600"/>
    </row>
    <row r="19" spans="2:34">
      <c r="B19" s="600"/>
      <c r="C19" s="609"/>
      <c r="D19" s="609"/>
      <c r="E19" s="609"/>
      <c r="F19" s="609"/>
      <c r="G19" s="609"/>
      <c r="H19" s="609"/>
      <c r="I19" s="609"/>
      <c r="J19" s="609"/>
      <c r="K19" s="609"/>
      <c r="L19" s="609"/>
      <c r="M19" s="609"/>
      <c r="N19" s="609"/>
      <c r="O19" s="609"/>
      <c r="P19" s="609"/>
      <c r="Q19" s="609"/>
      <c r="R19" s="609"/>
      <c r="S19" s="609"/>
      <c r="T19" s="609"/>
      <c r="U19" s="609"/>
      <c r="V19" s="609"/>
      <c r="W19" s="609"/>
      <c r="X19" s="609"/>
      <c r="Y19" s="609"/>
      <c r="Z19" s="609"/>
      <c r="AA19" s="609"/>
      <c r="AB19" s="609"/>
      <c r="AC19" s="609"/>
      <c r="AD19" s="609"/>
      <c r="AE19" s="609"/>
      <c r="AF19" s="609"/>
      <c r="AG19" s="609"/>
      <c r="AH19" s="600"/>
    </row>
    <row r="20" spans="2:34">
      <c r="B20" s="600"/>
      <c r="C20" s="609"/>
      <c r="D20" s="609"/>
      <c r="E20" s="609"/>
      <c r="F20" s="609"/>
      <c r="G20" s="609"/>
      <c r="H20" s="609"/>
      <c r="I20" s="609"/>
      <c r="J20" s="609"/>
      <c r="K20" s="609"/>
      <c r="L20" s="609"/>
      <c r="M20" s="609"/>
      <c r="N20" s="609"/>
      <c r="O20" s="609"/>
      <c r="P20" s="609"/>
      <c r="Q20" s="609"/>
      <c r="R20" s="609"/>
      <c r="S20" s="609"/>
      <c r="T20" s="609"/>
      <c r="U20" s="609"/>
      <c r="V20" s="609"/>
      <c r="W20" s="609"/>
      <c r="X20" s="609"/>
      <c r="Y20" s="609"/>
      <c r="Z20" s="609"/>
      <c r="AA20" s="609"/>
      <c r="AB20" s="609"/>
      <c r="AC20" s="609"/>
      <c r="AD20" s="609"/>
      <c r="AE20" s="609"/>
      <c r="AF20" s="609"/>
      <c r="AG20" s="609"/>
      <c r="AH20" s="600"/>
    </row>
    <row r="21" spans="2:34">
      <c r="B21" s="600"/>
      <c r="C21" s="609"/>
      <c r="D21" s="609"/>
      <c r="E21" s="609"/>
      <c r="F21" s="609"/>
      <c r="G21" s="609"/>
      <c r="H21" s="609"/>
      <c r="I21" s="609"/>
      <c r="J21" s="609"/>
      <c r="K21" s="609"/>
      <c r="L21" s="609"/>
      <c r="M21" s="609"/>
      <c r="N21" s="609"/>
      <c r="O21" s="609"/>
      <c r="P21" s="609"/>
      <c r="Q21" s="609"/>
      <c r="R21" s="609"/>
      <c r="S21" s="609"/>
      <c r="T21" s="609"/>
      <c r="U21" s="609"/>
      <c r="V21" s="609"/>
      <c r="W21" s="609"/>
      <c r="X21" s="609"/>
      <c r="Y21" s="609"/>
      <c r="Z21" s="609"/>
      <c r="AA21" s="609"/>
      <c r="AB21" s="609"/>
      <c r="AC21" s="609"/>
      <c r="AD21" s="609"/>
      <c r="AE21" s="609"/>
      <c r="AF21" s="609"/>
      <c r="AG21" s="609"/>
      <c r="AH21" s="600"/>
    </row>
    <row r="22" spans="2:34">
      <c r="B22" s="600"/>
      <c r="C22" s="609"/>
      <c r="D22" s="609"/>
      <c r="E22" s="609"/>
      <c r="F22" s="609"/>
      <c r="G22" s="609"/>
      <c r="H22" s="609"/>
      <c r="I22" s="609"/>
      <c r="J22" s="609"/>
      <c r="K22" s="609"/>
      <c r="L22" s="609"/>
      <c r="M22" s="609"/>
      <c r="N22" s="609"/>
      <c r="O22" s="609"/>
      <c r="P22" s="609"/>
      <c r="Q22" s="609"/>
      <c r="R22" s="609"/>
      <c r="S22" s="609"/>
      <c r="T22" s="609"/>
      <c r="U22" s="609"/>
      <c r="V22" s="609"/>
      <c r="W22" s="609"/>
      <c r="X22" s="609"/>
      <c r="Y22" s="609"/>
      <c r="Z22" s="609"/>
      <c r="AA22" s="609"/>
      <c r="AB22" s="609"/>
      <c r="AC22" s="609"/>
      <c r="AD22" s="609"/>
      <c r="AE22" s="609"/>
      <c r="AF22" s="609"/>
      <c r="AG22" s="609"/>
      <c r="AH22" s="600"/>
    </row>
    <row r="23" spans="2:34" ht="15.6">
      <c r="B23" s="98" t="s">
        <v>157</v>
      </c>
      <c r="C23" s="609"/>
      <c r="D23" s="609"/>
      <c r="E23" s="609"/>
      <c r="F23" s="609"/>
      <c r="G23" s="609"/>
      <c r="H23" s="609"/>
      <c r="I23" s="609"/>
      <c r="J23" s="609"/>
      <c r="K23" s="609"/>
      <c r="L23" s="609"/>
      <c r="M23" s="609"/>
      <c r="N23" s="609"/>
      <c r="O23" s="609"/>
      <c r="P23" s="609"/>
      <c r="Q23" s="609"/>
      <c r="R23" s="609"/>
      <c r="S23" s="609"/>
      <c r="T23" s="609"/>
      <c r="U23" s="609"/>
      <c r="V23" s="609"/>
      <c r="W23" s="609"/>
      <c r="X23" s="609"/>
      <c r="Y23" s="609"/>
      <c r="Z23" s="609"/>
      <c r="AA23" s="609"/>
      <c r="AB23" s="609"/>
      <c r="AC23" s="609"/>
      <c r="AD23" s="609"/>
      <c r="AE23" s="609"/>
      <c r="AF23" s="609"/>
      <c r="AG23" s="609"/>
      <c r="AH23" s="600"/>
    </row>
    <row r="24" spans="2:34" ht="15" thickBot="1">
      <c r="B24" s="600"/>
      <c r="C24" s="609"/>
      <c r="D24" s="609"/>
      <c r="E24" s="609"/>
      <c r="F24" s="609"/>
      <c r="G24" s="609"/>
      <c r="H24" s="609"/>
      <c r="I24" s="609"/>
      <c r="J24" s="609"/>
      <c r="K24" s="609"/>
      <c r="L24" s="609"/>
      <c r="M24" s="609"/>
      <c r="N24" s="609"/>
      <c r="O24" s="609"/>
      <c r="P24" s="609"/>
      <c r="Q24" s="609"/>
      <c r="R24" s="609"/>
      <c r="S24" s="609"/>
      <c r="T24" s="609"/>
      <c r="U24" s="609"/>
      <c r="V24" s="609"/>
      <c r="W24" s="609"/>
      <c r="X24" s="609"/>
      <c r="Y24" s="609"/>
      <c r="Z24" s="609"/>
      <c r="AA24" s="609"/>
      <c r="AB24" s="609"/>
      <c r="AC24" s="609"/>
      <c r="AD24" s="609"/>
      <c r="AE24" s="609"/>
      <c r="AF24" s="609"/>
      <c r="AG24" s="609"/>
      <c r="AH24" s="600"/>
    </row>
    <row r="25" spans="2:34" ht="15" thickBot="1">
      <c r="B25" s="596"/>
      <c r="C25" s="597">
        <v>1990</v>
      </c>
      <c r="D25" s="598">
        <v>1991</v>
      </c>
      <c r="E25" s="598">
        <v>1992</v>
      </c>
      <c r="F25" s="598">
        <v>1993</v>
      </c>
      <c r="G25" s="598">
        <v>1994</v>
      </c>
      <c r="H25" s="598">
        <v>1995</v>
      </c>
      <c r="I25" s="598">
        <v>1996</v>
      </c>
      <c r="J25" s="598">
        <v>1997</v>
      </c>
      <c r="K25" s="598">
        <v>1998</v>
      </c>
      <c r="L25" s="598">
        <v>1999</v>
      </c>
      <c r="M25" s="598">
        <v>2000</v>
      </c>
      <c r="N25" s="598">
        <v>2001</v>
      </c>
      <c r="O25" s="598">
        <v>2002</v>
      </c>
      <c r="P25" s="598">
        <v>2003</v>
      </c>
      <c r="Q25" s="598">
        <v>2004</v>
      </c>
      <c r="R25" s="598">
        <v>2005</v>
      </c>
      <c r="S25" s="598">
        <v>2006</v>
      </c>
      <c r="T25" s="598">
        <v>2007</v>
      </c>
      <c r="U25" s="598">
        <v>2008</v>
      </c>
      <c r="V25" s="598">
        <v>2009</v>
      </c>
      <c r="W25" s="598">
        <v>2010</v>
      </c>
      <c r="X25" s="598">
        <v>2011</v>
      </c>
      <c r="Y25" s="598">
        <v>2012</v>
      </c>
      <c r="Z25" s="598">
        <v>2013</v>
      </c>
      <c r="AA25" s="598">
        <v>2014</v>
      </c>
      <c r="AB25" s="598">
        <v>2015</v>
      </c>
      <c r="AC25" s="598">
        <v>2016</v>
      </c>
      <c r="AD25" s="598">
        <v>2017</v>
      </c>
      <c r="AE25" s="598">
        <v>2018</v>
      </c>
      <c r="AF25" s="598">
        <v>2019</v>
      </c>
      <c r="AG25" s="599">
        <v>2020</v>
      </c>
      <c r="AH25" s="600"/>
    </row>
    <row r="26" spans="2:34">
      <c r="B26" s="601" t="s">
        <v>19</v>
      </c>
      <c r="C26" s="602">
        <v>0.159</v>
      </c>
      <c r="D26" s="603">
        <v>0.16500000000000001</v>
      </c>
      <c r="E26" s="603">
        <v>0.16500000000000001</v>
      </c>
      <c r="F26" s="603">
        <v>0.16500000000000001</v>
      </c>
      <c r="G26" s="603">
        <v>0.16500000000000001</v>
      </c>
      <c r="H26" s="603">
        <v>0.16500000000000001</v>
      </c>
      <c r="I26" s="603">
        <v>0.16500000000000001</v>
      </c>
      <c r="J26" s="603">
        <v>0.16500000000000001</v>
      </c>
      <c r="K26" s="603">
        <v>0.16500000000000001</v>
      </c>
      <c r="L26" s="603">
        <v>0.16500000000000001</v>
      </c>
      <c r="M26" s="603">
        <v>0.16500000000000001</v>
      </c>
      <c r="N26" s="603">
        <v>0.16500000000000001</v>
      </c>
      <c r="O26" s="603">
        <v>0.16500000000000001</v>
      </c>
      <c r="P26" s="603">
        <v>0.16500000000000001</v>
      </c>
      <c r="Q26" s="603">
        <v>0.16500000000000001</v>
      </c>
      <c r="R26" s="603">
        <v>0.16500000000000001</v>
      </c>
      <c r="S26" s="603">
        <v>0.16700000000000001</v>
      </c>
      <c r="T26" s="603">
        <v>0.16700000000000001</v>
      </c>
      <c r="U26" s="603">
        <v>0.16700000000000001</v>
      </c>
      <c r="V26" s="603">
        <v>0.16700000000000001</v>
      </c>
      <c r="W26" s="603">
        <v>0.16700000000000001</v>
      </c>
      <c r="X26" s="603">
        <v>0.16700000000000001</v>
      </c>
      <c r="Y26" s="603">
        <v>0.16700000000000001</v>
      </c>
      <c r="Z26" s="603">
        <v>0.16900000000000001</v>
      </c>
      <c r="AA26" s="603">
        <v>0.17299999999999999</v>
      </c>
      <c r="AB26" s="603">
        <v>0.17499999999999999</v>
      </c>
      <c r="AC26" s="603">
        <v>0.17699999999999999</v>
      </c>
      <c r="AD26" s="603">
        <v>0.17799999999999999</v>
      </c>
      <c r="AE26" s="603">
        <v>0.17799999999999999</v>
      </c>
      <c r="AF26" s="603">
        <v>0.17799999999999999</v>
      </c>
      <c r="AG26" s="604">
        <v>0.17799999999999999</v>
      </c>
      <c r="AH26" s="600"/>
    </row>
    <row r="27" spans="2:34">
      <c r="B27" s="610" t="s">
        <v>159</v>
      </c>
      <c r="C27" s="611">
        <v>6.8000000000000005E-2</v>
      </c>
      <c r="D27" s="612">
        <v>6.7000000000000004E-2</v>
      </c>
      <c r="E27" s="612">
        <v>6.8000000000000005E-2</v>
      </c>
      <c r="F27" s="612">
        <v>6.8000000000000005E-2</v>
      </c>
      <c r="G27" s="612">
        <v>7.0000000000000007E-2</v>
      </c>
      <c r="H27" s="612">
        <v>7.0000000000000007E-2</v>
      </c>
      <c r="I27" s="612">
        <v>7.5999999999999998E-2</v>
      </c>
      <c r="J27" s="612">
        <v>8.2000000000000003E-2</v>
      </c>
      <c r="K27" s="612">
        <v>8.7999999999999995E-2</v>
      </c>
      <c r="L27" s="612">
        <v>9.5000000000000001E-2</v>
      </c>
      <c r="M27" s="612">
        <v>9.5000000000000001E-2</v>
      </c>
      <c r="N27" s="612">
        <v>9.5000000000000001E-2</v>
      </c>
      <c r="O27" s="612">
        <v>9.5000000000000001E-2</v>
      </c>
      <c r="P27" s="612">
        <v>9.5000000000000001E-2</v>
      </c>
      <c r="Q27" s="612">
        <v>9.5000000000000001E-2</v>
      </c>
      <c r="R27" s="612">
        <v>9.5000000000000001E-2</v>
      </c>
      <c r="S27" s="612">
        <v>9.5000000000000001E-2</v>
      </c>
      <c r="T27" s="612">
        <v>9.5000000000000001E-2</v>
      </c>
      <c r="U27" s="612">
        <v>9.5000000000000001E-2</v>
      </c>
      <c r="V27" s="612">
        <v>9.5000000000000001E-2</v>
      </c>
      <c r="W27" s="612">
        <v>9.5000000000000001E-2</v>
      </c>
      <c r="X27" s="612">
        <v>9.5000000000000001E-2</v>
      </c>
      <c r="Y27" s="612">
        <v>9.5000000000000001E-2</v>
      </c>
      <c r="Z27" s="612">
        <v>9.5000000000000001E-2</v>
      </c>
      <c r="AA27" s="612">
        <v>9.6000000000000002E-2</v>
      </c>
      <c r="AB27" s="612">
        <v>9.8000000000000004E-2</v>
      </c>
      <c r="AC27" s="612">
        <v>9.8000000000000004E-2</v>
      </c>
      <c r="AD27" s="612">
        <v>9.8000000000000004E-2</v>
      </c>
      <c r="AE27" s="612">
        <v>9.8000000000000004E-2</v>
      </c>
      <c r="AF27" s="612">
        <v>9.8000000000000004E-2</v>
      </c>
      <c r="AG27" s="613">
        <v>9.8000000000000004E-2</v>
      </c>
      <c r="AH27" s="600"/>
    </row>
    <row r="28" spans="2:34" ht="15" thickBot="1">
      <c r="B28" s="605" t="s">
        <v>158</v>
      </c>
      <c r="C28" s="606">
        <v>8.5000000000000006E-2</v>
      </c>
      <c r="D28" s="607">
        <v>8.5000000000000006E-2</v>
      </c>
      <c r="E28" s="607">
        <v>8.5999999999999993E-2</v>
      </c>
      <c r="F28" s="607">
        <v>8.5999999999999993E-2</v>
      </c>
      <c r="G28" s="607">
        <v>8.8999999999999996E-2</v>
      </c>
      <c r="H28" s="607">
        <v>0.09</v>
      </c>
      <c r="I28" s="607">
        <v>9.1999999999999998E-2</v>
      </c>
      <c r="J28" s="607">
        <v>9.5000000000000001E-2</v>
      </c>
      <c r="K28" s="607">
        <v>9.8000000000000004E-2</v>
      </c>
      <c r="L28" s="607">
        <v>0.10100000000000001</v>
      </c>
      <c r="M28" s="607">
        <v>0.10100000000000001</v>
      </c>
      <c r="N28" s="607">
        <v>0.10100000000000001</v>
      </c>
      <c r="O28" s="607">
        <v>0.10100000000000001</v>
      </c>
      <c r="P28" s="607">
        <v>0.10100000000000001</v>
      </c>
      <c r="Q28" s="607">
        <v>0.10100000000000001</v>
      </c>
      <c r="R28" s="607">
        <v>0.10100000000000001</v>
      </c>
      <c r="S28" s="607">
        <v>0.10100000000000001</v>
      </c>
      <c r="T28" s="607">
        <v>0.10100000000000001</v>
      </c>
      <c r="U28" s="607">
        <v>0.10100000000000001</v>
      </c>
      <c r="V28" s="607">
        <v>0.10100000000000001</v>
      </c>
      <c r="W28" s="607">
        <v>0.10100000000000001</v>
      </c>
      <c r="X28" s="607">
        <v>0.10100000000000001</v>
      </c>
      <c r="Y28" s="607">
        <v>0.10100000000000001</v>
      </c>
      <c r="Z28" s="607">
        <v>0.10100000000000001</v>
      </c>
      <c r="AA28" s="607">
        <v>0.10199999999999999</v>
      </c>
      <c r="AB28" s="607">
        <v>0.10299999999999999</v>
      </c>
      <c r="AC28" s="607">
        <v>0.10299999999999999</v>
      </c>
      <c r="AD28" s="607">
        <v>0.10299999999999999</v>
      </c>
      <c r="AE28" s="607">
        <v>0.10299999999999999</v>
      </c>
      <c r="AF28" s="607">
        <v>0.10299999999999999</v>
      </c>
      <c r="AG28" s="608">
        <v>0.10299999999999999</v>
      </c>
      <c r="AH28" s="600"/>
    </row>
    <row r="29" spans="2:34">
      <c r="B29" s="600"/>
      <c r="C29" s="609"/>
      <c r="D29" s="609"/>
      <c r="E29" s="609"/>
      <c r="F29" s="609"/>
      <c r="G29" s="609"/>
      <c r="H29" s="609"/>
      <c r="I29" s="609"/>
      <c r="J29" s="609"/>
      <c r="K29" s="609"/>
      <c r="L29" s="609"/>
      <c r="M29" s="609"/>
      <c r="N29" s="609"/>
      <c r="O29" s="609"/>
      <c r="P29" s="609"/>
      <c r="Q29" s="609"/>
      <c r="R29" s="609"/>
      <c r="S29" s="609"/>
      <c r="T29" s="609"/>
      <c r="U29" s="609"/>
      <c r="V29" s="609"/>
      <c r="W29" s="609"/>
      <c r="X29" s="609"/>
      <c r="Y29" s="609"/>
      <c r="Z29" s="609"/>
      <c r="AA29" s="609"/>
      <c r="AB29" s="609"/>
      <c r="AC29" s="609"/>
      <c r="AD29" s="609"/>
      <c r="AE29" s="609"/>
      <c r="AF29" s="609"/>
      <c r="AG29" s="609"/>
      <c r="AH29" s="600"/>
    </row>
    <row r="30" spans="2:34">
      <c r="B30" s="600"/>
      <c r="C30" s="609"/>
      <c r="D30" s="609"/>
      <c r="E30" s="609"/>
      <c r="F30" s="609"/>
      <c r="G30" s="609"/>
      <c r="H30" s="609"/>
      <c r="I30" s="609"/>
      <c r="J30" s="609"/>
      <c r="K30" s="609"/>
      <c r="L30" s="609"/>
      <c r="M30" s="609"/>
      <c r="N30" s="609"/>
      <c r="O30" s="609"/>
      <c r="P30" s="609"/>
      <c r="Q30" s="609"/>
      <c r="R30" s="609"/>
      <c r="S30" s="609"/>
      <c r="T30" s="609"/>
      <c r="U30" s="609"/>
      <c r="V30" s="609"/>
      <c r="W30" s="609"/>
      <c r="X30" s="609"/>
      <c r="Y30" s="609"/>
      <c r="Z30" s="609"/>
      <c r="AA30" s="609"/>
      <c r="AB30" s="609"/>
      <c r="AC30" s="609"/>
      <c r="AD30" s="609"/>
      <c r="AE30" s="609"/>
      <c r="AF30" s="609"/>
      <c r="AG30" s="609"/>
      <c r="AH30" s="600"/>
    </row>
    <row r="31" spans="2:34">
      <c r="B31" s="600"/>
      <c r="C31" s="609"/>
      <c r="D31" s="609"/>
      <c r="E31" s="609"/>
      <c r="F31" s="609"/>
      <c r="G31" s="609"/>
      <c r="H31" s="609"/>
      <c r="I31" s="609"/>
      <c r="J31" s="609"/>
      <c r="K31" s="609"/>
      <c r="L31" s="609"/>
      <c r="M31" s="609"/>
      <c r="N31" s="609"/>
      <c r="O31" s="609"/>
      <c r="P31" s="609"/>
      <c r="Q31" s="609"/>
      <c r="R31" s="609"/>
      <c r="S31" s="609"/>
      <c r="T31" s="609"/>
      <c r="U31" s="609"/>
      <c r="V31" s="609"/>
      <c r="W31" s="609"/>
      <c r="X31" s="609"/>
      <c r="Y31" s="609"/>
      <c r="Z31" s="609"/>
      <c r="AA31" s="609"/>
      <c r="AB31" s="609"/>
      <c r="AC31" s="609"/>
      <c r="AD31" s="609"/>
      <c r="AE31" s="609"/>
      <c r="AF31" s="609"/>
      <c r="AG31" s="609"/>
      <c r="AH31" s="600"/>
    </row>
    <row r="32" spans="2:34">
      <c r="B32" s="600"/>
      <c r="C32" s="609"/>
      <c r="D32" s="609"/>
      <c r="E32" s="609"/>
      <c r="F32" s="609"/>
      <c r="G32" s="609"/>
      <c r="H32" s="609"/>
      <c r="I32" s="609"/>
      <c r="J32" s="609"/>
      <c r="K32" s="609"/>
      <c r="L32" s="609"/>
      <c r="M32" s="609"/>
      <c r="N32" s="609"/>
      <c r="O32" s="609"/>
      <c r="P32" s="609"/>
      <c r="Q32" s="609"/>
      <c r="R32" s="609"/>
      <c r="S32" s="609"/>
      <c r="T32" s="609"/>
      <c r="U32" s="609"/>
      <c r="V32" s="609"/>
      <c r="W32" s="609"/>
      <c r="X32" s="609"/>
      <c r="Y32" s="609"/>
      <c r="Z32" s="609"/>
      <c r="AA32" s="609"/>
      <c r="AB32" s="609"/>
      <c r="AC32" s="609"/>
      <c r="AD32" s="609"/>
      <c r="AE32" s="609"/>
      <c r="AF32" s="609"/>
      <c r="AG32" s="609"/>
      <c r="AH32" s="600"/>
    </row>
    <row r="33" spans="2:34">
      <c r="B33" s="600"/>
      <c r="C33" s="609"/>
      <c r="D33" s="609"/>
      <c r="E33" s="609"/>
      <c r="F33" s="609"/>
      <c r="G33" s="609"/>
      <c r="H33" s="609"/>
      <c r="I33" s="609"/>
      <c r="J33" s="609"/>
      <c r="K33" s="609"/>
      <c r="L33" s="609"/>
      <c r="M33" s="609"/>
      <c r="N33" s="609"/>
      <c r="O33" s="609"/>
      <c r="P33" s="609"/>
      <c r="Q33" s="609"/>
      <c r="R33" s="609"/>
      <c r="S33" s="609"/>
      <c r="T33" s="609"/>
      <c r="U33" s="609"/>
      <c r="V33" s="609"/>
      <c r="W33" s="609"/>
      <c r="X33" s="609"/>
      <c r="Y33" s="609"/>
      <c r="Z33" s="609"/>
      <c r="AA33" s="609"/>
      <c r="AB33" s="609"/>
      <c r="AC33" s="609"/>
      <c r="AD33" s="609"/>
      <c r="AE33" s="609"/>
      <c r="AF33" s="609"/>
      <c r="AG33" s="609"/>
      <c r="AH33" s="600"/>
    </row>
    <row r="34" spans="2:34">
      <c r="B34" s="600"/>
      <c r="C34" s="609"/>
      <c r="D34" s="609"/>
      <c r="E34" s="609"/>
      <c r="F34" s="609"/>
      <c r="G34" s="609"/>
      <c r="H34" s="609"/>
      <c r="I34" s="609"/>
      <c r="J34" s="609"/>
      <c r="K34" s="609"/>
      <c r="L34" s="609"/>
      <c r="M34" s="609"/>
      <c r="N34" s="609"/>
      <c r="O34" s="609"/>
      <c r="P34" s="609"/>
      <c r="Q34" s="609"/>
      <c r="R34" s="609"/>
      <c r="S34" s="609"/>
      <c r="T34" s="609"/>
      <c r="U34" s="609"/>
      <c r="V34" s="609"/>
      <c r="W34" s="609"/>
      <c r="X34" s="609"/>
      <c r="Y34" s="609"/>
      <c r="Z34" s="609"/>
      <c r="AA34" s="609"/>
      <c r="AB34" s="609"/>
      <c r="AC34" s="609"/>
      <c r="AD34" s="609"/>
      <c r="AE34" s="609"/>
      <c r="AF34" s="609"/>
      <c r="AG34" s="609"/>
      <c r="AH34" s="600"/>
    </row>
    <row r="35" spans="2:34">
      <c r="B35" s="600"/>
      <c r="C35" s="609"/>
      <c r="D35" s="609"/>
      <c r="E35" s="609"/>
      <c r="F35" s="609"/>
      <c r="G35" s="609"/>
      <c r="H35" s="609"/>
      <c r="I35" s="609"/>
      <c r="J35" s="609"/>
      <c r="K35" s="609"/>
      <c r="L35" s="609"/>
      <c r="M35" s="609"/>
      <c r="N35" s="609"/>
      <c r="O35" s="609"/>
      <c r="P35" s="609"/>
      <c r="Q35" s="609"/>
      <c r="R35" s="609"/>
      <c r="S35" s="609"/>
      <c r="T35" s="609"/>
      <c r="U35" s="609"/>
      <c r="V35" s="609"/>
      <c r="W35" s="609"/>
      <c r="X35" s="609"/>
      <c r="Y35" s="609"/>
      <c r="Z35" s="609"/>
      <c r="AA35" s="609"/>
      <c r="AB35" s="609"/>
      <c r="AC35" s="609"/>
      <c r="AD35" s="609"/>
      <c r="AE35" s="609"/>
      <c r="AF35" s="609"/>
      <c r="AG35" s="609"/>
      <c r="AH35" s="600"/>
    </row>
    <row r="36" spans="2:34">
      <c r="B36" s="600"/>
      <c r="C36" s="609"/>
      <c r="D36" s="609"/>
      <c r="E36" s="609"/>
      <c r="F36" s="609"/>
      <c r="G36" s="609"/>
      <c r="H36" s="609"/>
      <c r="I36" s="609"/>
      <c r="J36" s="609"/>
      <c r="K36" s="609"/>
      <c r="L36" s="609"/>
      <c r="M36" s="609"/>
      <c r="N36" s="609"/>
      <c r="O36" s="609"/>
      <c r="P36" s="609"/>
      <c r="Q36" s="609"/>
      <c r="R36" s="609"/>
      <c r="S36" s="609"/>
      <c r="T36" s="609"/>
      <c r="U36" s="609"/>
      <c r="V36" s="609"/>
      <c r="W36" s="609"/>
      <c r="X36" s="609"/>
      <c r="Y36" s="609"/>
      <c r="Z36" s="609"/>
      <c r="AA36" s="609"/>
      <c r="AB36" s="609"/>
      <c r="AC36" s="609"/>
      <c r="AD36" s="609"/>
      <c r="AE36" s="609"/>
      <c r="AF36" s="609"/>
      <c r="AG36" s="609"/>
      <c r="AH36" s="600"/>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26"/>
  <sheetViews>
    <sheetView workbookViewId="0">
      <selection activeCell="M5" sqref="M5"/>
    </sheetView>
  </sheetViews>
  <sheetFormatPr baseColWidth="10" defaultRowHeight="14.4"/>
  <cols>
    <col min="2" max="2" width="39.5546875" customWidth="1"/>
    <col min="3" max="3" width="19" customWidth="1"/>
    <col min="4" max="89" width="8.33203125" customWidth="1"/>
  </cols>
  <sheetData>
    <row r="1" spans="1:49" ht="15.6">
      <c r="A1" s="83" t="s">
        <v>229</v>
      </c>
    </row>
    <row r="3" spans="1:49" ht="15" thickBot="1"/>
    <row r="4" spans="1:49" ht="15" thickBot="1">
      <c r="B4" s="674"/>
      <c r="C4" s="675"/>
      <c r="D4" s="160">
        <v>2006</v>
      </c>
      <c r="E4" s="161">
        <v>2007</v>
      </c>
      <c r="F4" s="161">
        <v>2008</v>
      </c>
      <c r="G4" s="161">
        <v>2009</v>
      </c>
      <c r="H4" s="161">
        <v>2010</v>
      </c>
      <c r="I4" s="161">
        <v>2011</v>
      </c>
      <c r="J4" s="161">
        <v>2012</v>
      </c>
      <c r="K4" s="161">
        <v>2013</v>
      </c>
      <c r="L4" s="161">
        <v>2014</v>
      </c>
      <c r="M4" s="162">
        <v>2015</v>
      </c>
    </row>
    <row r="5" spans="1:49" ht="36">
      <c r="B5" s="671" t="s">
        <v>161</v>
      </c>
      <c r="C5" s="168" t="s">
        <v>162</v>
      </c>
      <c r="D5" s="414">
        <v>0.499</v>
      </c>
      <c r="E5" s="415">
        <v>0.50700000000000001</v>
      </c>
      <c r="F5" s="415">
        <v>0.55700000000000005</v>
      </c>
      <c r="G5" s="415">
        <v>0.58499999999999996</v>
      </c>
      <c r="H5" s="415">
        <v>0.621</v>
      </c>
      <c r="I5" s="415">
        <v>0.65400000000000003</v>
      </c>
      <c r="J5" s="415">
        <v>0.68600000000000005</v>
      </c>
      <c r="K5" s="415">
        <v>0.71799999999999997</v>
      </c>
      <c r="L5" s="415">
        <v>0.74299999999999999</v>
      </c>
      <c r="M5" s="416">
        <v>0.74299999999999999</v>
      </c>
    </row>
    <row r="6" spans="1:49">
      <c r="B6" s="672"/>
      <c r="C6" s="169" t="s">
        <v>160</v>
      </c>
      <c r="D6" s="417">
        <v>1</v>
      </c>
      <c r="E6" s="171">
        <v>1.0149999999999999</v>
      </c>
      <c r="F6" s="171">
        <v>1.0349999999999999</v>
      </c>
      <c r="G6" s="171">
        <v>1.0840000000000001</v>
      </c>
      <c r="H6" s="171">
        <v>1.0680000000000001</v>
      </c>
      <c r="I6" s="171">
        <v>1.141</v>
      </c>
      <c r="J6" s="171">
        <v>1.216</v>
      </c>
      <c r="K6" s="171">
        <v>1.2609999999999999</v>
      </c>
      <c r="L6" s="171">
        <v>1.2609999999999999</v>
      </c>
      <c r="M6" s="418">
        <v>1.2609999999999999</v>
      </c>
    </row>
    <row r="7" spans="1:49" ht="15" thickBot="1">
      <c r="B7" s="673"/>
      <c r="C7" s="170" t="s">
        <v>163</v>
      </c>
      <c r="D7" s="419">
        <v>0.33</v>
      </c>
      <c r="E7" s="420">
        <v>0.39500000000000002</v>
      </c>
      <c r="F7" s="420">
        <v>0.5</v>
      </c>
      <c r="G7" s="420">
        <v>0.60099999999999998</v>
      </c>
      <c r="H7" s="420">
        <v>0.621</v>
      </c>
      <c r="I7" s="420">
        <v>0.65400000000000003</v>
      </c>
      <c r="J7" s="420">
        <v>0.68600000000000005</v>
      </c>
      <c r="K7" s="420">
        <v>0.74299999999999999</v>
      </c>
      <c r="L7" s="420">
        <v>0.74299999999999999</v>
      </c>
      <c r="M7" s="421">
        <v>0.74299999999999999</v>
      </c>
    </row>
    <row r="8" spans="1:49" ht="15" thickBot="1"/>
    <row r="9" spans="1:49" ht="15" thickBot="1">
      <c r="B9" s="674"/>
      <c r="C9" s="675"/>
      <c r="D9" s="160">
        <v>2015</v>
      </c>
      <c r="E9" s="161">
        <v>2016</v>
      </c>
      <c r="F9" s="161">
        <v>2017</v>
      </c>
      <c r="G9" s="161">
        <v>2018</v>
      </c>
      <c r="H9" s="161">
        <v>2019</v>
      </c>
      <c r="I9" s="161">
        <v>2020</v>
      </c>
      <c r="J9" s="161">
        <v>2021</v>
      </c>
      <c r="K9" s="161">
        <v>2022</v>
      </c>
      <c r="L9" s="161">
        <v>2023</v>
      </c>
      <c r="M9" s="161">
        <v>2024</v>
      </c>
      <c r="N9" s="161">
        <v>2025</v>
      </c>
      <c r="O9" s="161">
        <v>2026</v>
      </c>
      <c r="P9" s="161">
        <v>2027</v>
      </c>
      <c r="Q9" s="161">
        <v>2028</v>
      </c>
      <c r="R9" s="161">
        <v>2029</v>
      </c>
      <c r="S9" s="161">
        <v>2030</v>
      </c>
      <c r="T9" s="161">
        <v>2031</v>
      </c>
      <c r="U9" s="161">
        <v>2032</v>
      </c>
      <c r="V9" s="161">
        <v>2033</v>
      </c>
      <c r="W9" s="161">
        <v>2034</v>
      </c>
      <c r="X9" s="161">
        <v>2035</v>
      </c>
      <c r="Y9" s="161">
        <v>2036</v>
      </c>
      <c r="Z9" s="161">
        <v>2037</v>
      </c>
      <c r="AA9" s="161">
        <v>2038</v>
      </c>
      <c r="AB9" s="161">
        <v>2039</v>
      </c>
      <c r="AC9" s="161">
        <v>2040</v>
      </c>
      <c r="AD9" s="161">
        <v>2041</v>
      </c>
      <c r="AE9" s="161">
        <v>2042</v>
      </c>
      <c r="AF9" s="161">
        <v>2043</v>
      </c>
      <c r="AG9" s="161">
        <v>2044</v>
      </c>
      <c r="AH9" s="161">
        <v>2045</v>
      </c>
      <c r="AI9" s="161">
        <v>2046</v>
      </c>
      <c r="AJ9" s="161">
        <v>2047</v>
      </c>
      <c r="AK9" s="161">
        <v>2048</v>
      </c>
      <c r="AL9" s="161">
        <v>2049</v>
      </c>
      <c r="AM9" s="161">
        <v>2050</v>
      </c>
      <c r="AN9" s="161">
        <v>2051</v>
      </c>
      <c r="AO9" s="161">
        <v>2052</v>
      </c>
      <c r="AP9" s="161">
        <v>2053</v>
      </c>
      <c r="AQ9" s="161">
        <v>2054</v>
      </c>
      <c r="AR9" s="161">
        <v>2055</v>
      </c>
      <c r="AS9" s="161">
        <v>2056</v>
      </c>
      <c r="AT9" s="161">
        <v>2057</v>
      </c>
      <c r="AU9" s="161">
        <v>2058</v>
      </c>
      <c r="AV9" s="161">
        <v>2059</v>
      </c>
      <c r="AW9" s="162">
        <v>2060</v>
      </c>
    </row>
    <row r="10" spans="1:49">
      <c r="B10" s="671" t="s">
        <v>164</v>
      </c>
      <c r="C10" s="163" t="s">
        <v>166</v>
      </c>
      <c r="D10" s="414">
        <v>0.311</v>
      </c>
      <c r="E10" s="415">
        <v>0.312</v>
      </c>
      <c r="F10" s="415">
        <v>0.312</v>
      </c>
      <c r="G10" s="415">
        <v>0.311</v>
      </c>
      <c r="H10" s="415">
        <v>0.309</v>
      </c>
      <c r="I10" s="415">
        <v>0.308</v>
      </c>
      <c r="J10" s="415">
        <v>0.30499999999999999</v>
      </c>
      <c r="K10" s="415">
        <v>0.30399999999999999</v>
      </c>
      <c r="L10" s="415">
        <v>0.30299999999999999</v>
      </c>
      <c r="M10" s="415">
        <v>0.30199999999999999</v>
      </c>
      <c r="N10" s="415">
        <v>0.30099999999999999</v>
      </c>
      <c r="O10" s="415">
        <v>0.3</v>
      </c>
      <c r="P10" s="415">
        <v>0.29899999999999999</v>
      </c>
      <c r="Q10" s="415">
        <v>0.29799999999999999</v>
      </c>
      <c r="R10" s="415">
        <v>0.29799999999999999</v>
      </c>
      <c r="S10" s="415">
        <v>0.29799999999999999</v>
      </c>
      <c r="T10" s="415">
        <v>0.29799999999999999</v>
      </c>
      <c r="U10" s="415">
        <v>0.29799999999999999</v>
      </c>
      <c r="V10" s="415">
        <v>0.29699999999999999</v>
      </c>
      <c r="W10" s="415">
        <v>0.29699999999999999</v>
      </c>
      <c r="X10" s="415">
        <v>0.29699999999999999</v>
      </c>
      <c r="Y10" s="415">
        <v>0.29699999999999999</v>
      </c>
      <c r="Z10" s="415">
        <v>0.29599999999999999</v>
      </c>
      <c r="AA10" s="415">
        <v>0.29599999999999999</v>
      </c>
      <c r="AB10" s="415">
        <v>0.29599999999999999</v>
      </c>
      <c r="AC10" s="415">
        <v>0.29599999999999999</v>
      </c>
      <c r="AD10" s="415">
        <v>0.29599999999999999</v>
      </c>
      <c r="AE10" s="415">
        <v>0.29499999999999998</v>
      </c>
      <c r="AF10" s="415">
        <v>0.29499999999999998</v>
      </c>
      <c r="AG10" s="415">
        <v>0.29499999999999998</v>
      </c>
      <c r="AH10" s="415">
        <v>0.29499999999999998</v>
      </c>
      <c r="AI10" s="415">
        <v>0.29499999999999998</v>
      </c>
      <c r="AJ10" s="415">
        <v>0.29499999999999998</v>
      </c>
      <c r="AK10" s="415">
        <v>0.29499999999999998</v>
      </c>
      <c r="AL10" s="415">
        <v>0.29399999999999998</v>
      </c>
      <c r="AM10" s="415">
        <v>0.29399999999999998</v>
      </c>
      <c r="AN10" s="415">
        <v>0.29399999999999998</v>
      </c>
      <c r="AO10" s="415">
        <v>0.29399999999999998</v>
      </c>
      <c r="AP10" s="415">
        <v>0.29399999999999998</v>
      </c>
      <c r="AQ10" s="415">
        <v>0.29399999999999998</v>
      </c>
      <c r="AR10" s="415">
        <v>0.29399999999999998</v>
      </c>
      <c r="AS10" s="415">
        <v>0.29299999999999998</v>
      </c>
      <c r="AT10" s="415">
        <v>0.29299999999999998</v>
      </c>
      <c r="AU10" s="415">
        <v>0.29299999999999998</v>
      </c>
      <c r="AV10" s="415">
        <v>0.29299999999999998</v>
      </c>
      <c r="AW10" s="416">
        <v>0.29299999999999998</v>
      </c>
    </row>
    <row r="11" spans="1:49">
      <c r="B11" s="672"/>
      <c r="C11" s="167" t="s">
        <v>167</v>
      </c>
      <c r="D11" s="417">
        <v>0.311</v>
      </c>
      <c r="E11" s="171">
        <v>0.312</v>
      </c>
      <c r="F11" s="171">
        <v>0.312</v>
      </c>
      <c r="G11" s="171">
        <v>0.311</v>
      </c>
      <c r="H11" s="171">
        <v>0.309</v>
      </c>
      <c r="I11" s="171">
        <v>0.308</v>
      </c>
      <c r="J11" s="171">
        <v>0.30499999999999999</v>
      </c>
      <c r="K11" s="171">
        <v>0.30399999999999999</v>
      </c>
      <c r="L11" s="171">
        <v>0.30299999999999999</v>
      </c>
      <c r="M11" s="171">
        <v>0.30099999999999999</v>
      </c>
      <c r="N11" s="171">
        <v>0.3</v>
      </c>
      <c r="O11" s="171">
        <v>0.29899999999999999</v>
      </c>
      <c r="P11" s="171">
        <v>0.29899999999999999</v>
      </c>
      <c r="Q11" s="171">
        <v>0.29799999999999999</v>
      </c>
      <c r="R11" s="171">
        <v>0.29799999999999999</v>
      </c>
      <c r="S11" s="171">
        <v>0.29799999999999999</v>
      </c>
      <c r="T11" s="171">
        <v>0.29799999999999999</v>
      </c>
      <c r="U11" s="171">
        <v>0.29799999999999999</v>
      </c>
      <c r="V11" s="171">
        <v>0.29699999999999999</v>
      </c>
      <c r="W11" s="171">
        <v>0.29699999999999999</v>
      </c>
      <c r="X11" s="171">
        <v>0.29699999999999999</v>
      </c>
      <c r="Y11" s="171">
        <v>0.29699999999999999</v>
      </c>
      <c r="Z11" s="171">
        <v>0.29699999999999999</v>
      </c>
      <c r="AA11" s="171">
        <v>0.29599999999999999</v>
      </c>
      <c r="AB11" s="171">
        <v>0.29599999999999999</v>
      </c>
      <c r="AC11" s="171">
        <v>0.29599999999999999</v>
      </c>
      <c r="AD11" s="171">
        <v>0.29599999999999999</v>
      </c>
      <c r="AE11" s="171">
        <v>0.29599999999999999</v>
      </c>
      <c r="AF11" s="171">
        <v>0.29499999999999998</v>
      </c>
      <c r="AG11" s="171">
        <v>0.29499999999999998</v>
      </c>
      <c r="AH11" s="171">
        <v>0.29499999999999998</v>
      </c>
      <c r="AI11" s="171">
        <v>0.29499999999999998</v>
      </c>
      <c r="AJ11" s="171">
        <v>0.29499999999999998</v>
      </c>
      <c r="AK11" s="171">
        <v>0.29499999999999998</v>
      </c>
      <c r="AL11" s="171">
        <v>0.29499999999999998</v>
      </c>
      <c r="AM11" s="171">
        <v>0.29399999999999998</v>
      </c>
      <c r="AN11" s="171">
        <v>0.29399999999999998</v>
      </c>
      <c r="AO11" s="171">
        <v>0.29399999999999998</v>
      </c>
      <c r="AP11" s="171">
        <v>0.29399999999999998</v>
      </c>
      <c r="AQ11" s="171">
        <v>0.29399999999999998</v>
      </c>
      <c r="AR11" s="171">
        <v>0.29399999999999998</v>
      </c>
      <c r="AS11" s="171">
        <v>0.29399999999999998</v>
      </c>
      <c r="AT11" s="171">
        <v>0.29299999999999998</v>
      </c>
      <c r="AU11" s="171">
        <v>0.29299999999999998</v>
      </c>
      <c r="AV11" s="171">
        <v>0.29299999999999998</v>
      </c>
      <c r="AW11" s="418">
        <v>0.29299999999999998</v>
      </c>
    </row>
    <row r="12" spans="1:49">
      <c r="B12" s="672"/>
      <c r="C12" s="167" t="s">
        <v>168</v>
      </c>
      <c r="D12" s="417">
        <v>0.311</v>
      </c>
      <c r="E12" s="171">
        <v>0.312</v>
      </c>
      <c r="F12" s="171">
        <v>0.312</v>
      </c>
      <c r="G12" s="171">
        <v>0.311</v>
      </c>
      <c r="H12" s="171">
        <v>0.309</v>
      </c>
      <c r="I12" s="171">
        <v>0.308</v>
      </c>
      <c r="J12" s="171">
        <v>0.307</v>
      </c>
      <c r="K12" s="171">
        <v>0.30599999999999999</v>
      </c>
      <c r="L12" s="171">
        <v>0.30499999999999999</v>
      </c>
      <c r="M12" s="171">
        <v>0.30399999999999999</v>
      </c>
      <c r="N12" s="171">
        <v>0.30299999999999999</v>
      </c>
      <c r="O12" s="171">
        <v>0.30199999999999999</v>
      </c>
      <c r="P12" s="171">
        <v>0.30099999999999999</v>
      </c>
      <c r="Q12" s="171">
        <v>0.30099999999999999</v>
      </c>
      <c r="R12" s="171">
        <v>0.3</v>
      </c>
      <c r="S12" s="171">
        <v>0.3</v>
      </c>
      <c r="T12" s="171">
        <v>0.29899999999999999</v>
      </c>
      <c r="U12" s="171">
        <v>0.29899999999999999</v>
      </c>
      <c r="V12" s="171">
        <v>0.29899999999999999</v>
      </c>
      <c r="W12" s="171">
        <v>0.29899999999999999</v>
      </c>
      <c r="X12" s="171">
        <v>0.29899999999999999</v>
      </c>
      <c r="Y12" s="171">
        <v>0.29899999999999999</v>
      </c>
      <c r="Z12" s="171">
        <v>0.29799999999999999</v>
      </c>
      <c r="AA12" s="171">
        <v>0.29799999999999999</v>
      </c>
      <c r="AB12" s="171">
        <v>0.29799999999999999</v>
      </c>
      <c r="AC12" s="171">
        <v>0.29799999999999999</v>
      </c>
      <c r="AD12" s="171">
        <v>0.29799999999999999</v>
      </c>
      <c r="AE12" s="171">
        <v>0.29699999999999999</v>
      </c>
      <c r="AF12" s="171">
        <v>0.29699999999999999</v>
      </c>
      <c r="AG12" s="171">
        <v>0.29699999999999999</v>
      </c>
      <c r="AH12" s="171">
        <v>0.29699999999999999</v>
      </c>
      <c r="AI12" s="171">
        <v>0.29699999999999999</v>
      </c>
      <c r="AJ12" s="171">
        <v>0.29699999999999999</v>
      </c>
      <c r="AK12" s="171">
        <v>0.29699999999999999</v>
      </c>
      <c r="AL12" s="171">
        <v>0.29699999999999999</v>
      </c>
      <c r="AM12" s="171">
        <v>0.29699999999999999</v>
      </c>
      <c r="AN12" s="171">
        <v>0.29599999999999999</v>
      </c>
      <c r="AO12" s="171">
        <v>0.29599999999999999</v>
      </c>
      <c r="AP12" s="171">
        <v>0.29599999999999999</v>
      </c>
      <c r="AQ12" s="171">
        <v>0.29599999999999999</v>
      </c>
      <c r="AR12" s="171">
        <v>0.29599999999999999</v>
      </c>
      <c r="AS12" s="171">
        <v>0.29599999999999999</v>
      </c>
      <c r="AT12" s="171">
        <v>0.29599999999999999</v>
      </c>
      <c r="AU12" s="171">
        <v>0.29599999999999999</v>
      </c>
      <c r="AV12" s="171">
        <v>0.29599999999999999</v>
      </c>
      <c r="AW12" s="418">
        <v>0.29499999999999998</v>
      </c>
    </row>
    <row r="13" spans="1:49">
      <c r="B13" s="672"/>
      <c r="C13" s="167" t="s">
        <v>169</v>
      </c>
      <c r="D13" s="417">
        <v>0.311</v>
      </c>
      <c r="E13" s="171">
        <v>0.312</v>
      </c>
      <c r="F13" s="171">
        <v>0.312</v>
      </c>
      <c r="G13" s="171">
        <v>0.311</v>
      </c>
      <c r="H13" s="171">
        <v>0.309</v>
      </c>
      <c r="I13" s="171">
        <v>0.308</v>
      </c>
      <c r="J13" s="171">
        <v>0.30599999999999999</v>
      </c>
      <c r="K13" s="171">
        <v>0.30499999999999999</v>
      </c>
      <c r="L13" s="171">
        <v>0.30399999999999999</v>
      </c>
      <c r="M13" s="171">
        <v>0.30299999999999999</v>
      </c>
      <c r="N13" s="171">
        <v>0.30199999999999999</v>
      </c>
      <c r="O13" s="171">
        <v>0.30199999999999999</v>
      </c>
      <c r="P13" s="171">
        <v>0.30199999999999999</v>
      </c>
      <c r="Q13" s="171">
        <v>0.30099999999999999</v>
      </c>
      <c r="R13" s="171">
        <v>0.30099999999999999</v>
      </c>
      <c r="S13" s="171">
        <v>0.30099999999999999</v>
      </c>
      <c r="T13" s="171">
        <v>0.30099999999999999</v>
      </c>
      <c r="U13" s="171">
        <v>0.30099999999999999</v>
      </c>
      <c r="V13" s="171">
        <v>0.30099999999999999</v>
      </c>
      <c r="W13" s="171">
        <v>0.30099999999999999</v>
      </c>
      <c r="X13" s="171">
        <v>0.30099999999999999</v>
      </c>
      <c r="Y13" s="171">
        <v>0.3</v>
      </c>
      <c r="Z13" s="171">
        <v>0.3</v>
      </c>
      <c r="AA13" s="171">
        <v>0.3</v>
      </c>
      <c r="AB13" s="171">
        <v>0.3</v>
      </c>
      <c r="AC13" s="171">
        <v>0.3</v>
      </c>
      <c r="AD13" s="171">
        <v>0.29899999999999999</v>
      </c>
      <c r="AE13" s="171">
        <v>0.29899999999999999</v>
      </c>
      <c r="AF13" s="171">
        <v>0.29899999999999999</v>
      </c>
      <c r="AG13" s="171">
        <v>0.29899999999999999</v>
      </c>
      <c r="AH13" s="171">
        <v>0.29899999999999999</v>
      </c>
      <c r="AI13" s="171">
        <v>0.29899999999999999</v>
      </c>
      <c r="AJ13" s="171">
        <v>0.29899999999999999</v>
      </c>
      <c r="AK13" s="171">
        <v>0.29899999999999999</v>
      </c>
      <c r="AL13" s="171">
        <v>0.29899999999999999</v>
      </c>
      <c r="AM13" s="171">
        <v>0.29799999999999999</v>
      </c>
      <c r="AN13" s="171">
        <v>0.29799999999999999</v>
      </c>
      <c r="AO13" s="171">
        <v>0.29799999999999999</v>
      </c>
      <c r="AP13" s="171">
        <v>0.29799999999999999</v>
      </c>
      <c r="AQ13" s="171">
        <v>0.29799999999999999</v>
      </c>
      <c r="AR13" s="171">
        <v>0.29799999999999999</v>
      </c>
      <c r="AS13" s="171">
        <v>0.29799999999999999</v>
      </c>
      <c r="AT13" s="171">
        <v>0.29799999999999999</v>
      </c>
      <c r="AU13" s="171">
        <v>0.29799999999999999</v>
      </c>
      <c r="AV13" s="171">
        <v>0.29699999999999999</v>
      </c>
      <c r="AW13" s="418">
        <v>0.29699999999999999</v>
      </c>
    </row>
    <row r="14" spans="1:49">
      <c r="B14" s="672"/>
      <c r="C14" s="167" t="s">
        <v>170</v>
      </c>
      <c r="D14" s="417">
        <v>0.311</v>
      </c>
      <c r="E14" s="171">
        <v>0.312</v>
      </c>
      <c r="F14" s="171">
        <v>0.312</v>
      </c>
      <c r="G14" s="171">
        <v>0.311</v>
      </c>
      <c r="H14" s="171">
        <v>0.309</v>
      </c>
      <c r="I14" s="171">
        <v>0.308</v>
      </c>
      <c r="J14" s="171">
        <v>0.30599999999999999</v>
      </c>
      <c r="K14" s="171">
        <v>0.30499999999999999</v>
      </c>
      <c r="L14" s="171">
        <v>0.30399999999999999</v>
      </c>
      <c r="M14" s="171">
        <v>0.30299999999999999</v>
      </c>
      <c r="N14" s="171">
        <v>0.30199999999999999</v>
      </c>
      <c r="O14" s="171">
        <v>0.30199999999999999</v>
      </c>
      <c r="P14" s="171">
        <v>0.30199999999999999</v>
      </c>
      <c r="Q14" s="171">
        <v>0.30199999999999999</v>
      </c>
      <c r="R14" s="171">
        <v>0.30199999999999999</v>
      </c>
      <c r="S14" s="171">
        <v>0.30199999999999999</v>
      </c>
      <c r="T14" s="171">
        <v>0.30099999999999999</v>
      </c>
      <c r="U14" s="171">
        <v>0.30099999999999999</v>
      </c>
      <c r="V14" s="171">
        <v>0.30099999999999999</v>
      </c>
      <c r="W14" s="171">
        <v>0.30099999999999999</v>
      </c>
      <c r="X14" s="171">
        <v>0.30099999999999999</v>
      </c>
      <c r="Y14" s="171">
        <v>0.30099999999999999</v>
      </c>
      <c r="Z14" s="171">
        <v>0.30099999999999999</v>
      </c>
      <c r="AA14" s="171">
        <v>0.30099999999999999</v>
      </c>
      <c r="AB14" s="171">
        <v>0.3</v>
      </c>
      <c r="AC14" s="171">
        <v>0.3</v>
      </c>
      <c r="AD14" s="171">
        <v>0.3</v>
      </c>
      <c r="AE14" s="171">
        <v>0.3</v>
      </c>
      <c r="AF14" s="171">
        <v>0.3</v>
      </c>
      <c r="AG14" s="171">
        <v>0.3</v>
      </c>
      <c r="AH14" s="171">
        <v>0.3</v>
      </c>
      <c r="AI14" s="171">
        <v>0.3</v>
      </c>
      <c r="AJ14" s="171">
        <v>0.3</v>
      </c>
      <c r="AK14" s="171">
        <v>0.3</v>
      </c>
      <c r="AL14" s="171">
        <v>0.3</v>
      </c>
      <c r="AM14" s="171">
        <v>0.3</v>
      </c>
      <c r="AN14" s="171">
        <v>0.29899999999999999</v>
      </c>
      <c r="AO14" s="171">
        <v>0.29899999999999999</v>
      </c>
      <c r="AP14" s="171">
        <v>0.29899999999999999</v>
      </c>
      <c r="AQ14" s="171">
        <v>0.29899999999999999</v>
      </c>
      <c r="AR14" s="171">
        <v>0.29899999999999999</v>
      </c>
      <c r="AS14" s="171">
        <v>0.29899999999999999</v>
      </c>
      <c r="AT14" s="171">
        <v>0.29899999999999999</v>
      </c>
      <c r="AU14" s="171">
        <v>0.29899999999999999</v>
      </c>
      <c r="AV14" s="171">
        <v>0.29899999999999999</v>
      </c>
      <c r="AW14" s="418">
        <v>0.29899999999999999</v>
      </c>
    </row>
    <row r="15" spans="1:49">
      <c r="B15" s="672"/>
      <c r="C15" s="166" t="s">
        <v>171</v>
      </c>
      <c r="D15" s="417">
        <v>0.312</v>
      </c>
      <c r="E15" s="171">
        <v>0.313</v>
      </c>
      <c r="F15" s="171">
        <v>0.313</v>
      </c>
      <c r="G15" s="171">
        <v>0.313</v>
      </c>
      <c r="H15" s="171">
        <v>0.312</v>
      </c>
      <c r="I15" s="171">
        <v>0.311</v>
      </c>
      <c r="J15" s="171">
        <v>0.308</v>
      </c>
      <c r="K15" s="171">
        <v>0.307</v>
      </c>
      <c r="L15" s="171">
        <v>0.30499999999999999</v>
      </c>
      <c r="M15" s="171">
        <v>0.30299999999999999</v>
      </c>
      <c r="N15" s="171">
        <v>0.30099999999999999</v>
      </c>
      <c r="O15" s="171">
        <v>0.3</v>
      </c>
      <c r="P15" s="171">
        <v>0.29899999999999999</v>
      </c>
      <c r="Q15" s="171">
        <v>0.29799999999999999</v>
      </c>
      <c r="R15" s="171">
        <v>0.29699999999999999</v>
      </c>
      <c r="S15" s="171">
        <v>0.29599999999999999</v>
      </c>
      <c r="T15" s="171">
        <v>0.29499999999999998</v>
      </c>
      <c r="U15" s="171">
        <v>0.29499999999999998</v>
      </c>
      <c r="V15" s="171">
        <v>0.29399999999999998</v>
      </c>
      <c r="W15" s="171">
        <v>0.29299999999999998</v>
      </c>
      <c r="X15" s="171">
        <v>0.29199999999999998</v>
      </c>
      <c r="Y15" s="171">
        <v>0.29199999999999998</v>
      </c>
      <c r="Z15" s="171">
        <v>0.29099999999999998</v>
      </c>
      <c r="AA15" s="171">
        <v>0.28999999999999998</v>
      </c>
      <c r="AB15" s="171">
        <v>0.28899999999999998</v>
      </c>
      <c r="AC15" s="171">
        <v>0.28899999999999998</v>
      </c>
      <c r="AD15" s="171">
        <v>0.28799999999999998</v>
      </c>
      <c r="AE15" s="171">
        <v>0.28699999999999998</v>
      </c>
      <c r="AF15" s="171">
        <v>0.28699999999999998</v>
      </c>
      <c r="AG15" s="171">
        <v>0.28599999999999998</v>
      </c>
      <c r="AH15" s="171">
        <v>0.28599999999999998</v>
      </c>
      <c r="AI15" s="171">
        <v>0.28499999999999998</v>
      </c>
      <c r="AJ15" s="171">
        <v>0.28399999999999997</v>
      </c>
      <c r="AK15" s="171">
        <v>0.28399999999999997</v>
      </c>
      <c r="AL15" s="171">
        <v>0.28299999999999997</v>
      </c>
      <c r="AM15" s="171">
        <v>0.28299999999999997</v>
      </c>
      <c r="AN15" s="171">
        <v>0.28199999999999997</v>
      </c>
      <c r="AO15" s="171">
        <v>0.28199999999999997</v>
      </c>
      <c r="AP15" s="171">
        <v>0.28100000000000003</v>
      </c>
      <c r="AQ15" s="171">
        <v>0.28100000000000003</v>
      </c>
      <c r="AR15" s="171">
        <v>0.28000000000000003</v>
      </c>
      <c r="AS15" s="171">
        <v>0.28000000000000003</v>
      </c>
      <c r="AT15" s="171">
        <v>0.27900000000000003</v>
      </c>
      <c r="AU15" s="171">
        <v>0.27900000000000003</v>
      </c>
      <c r="AV15" s="171">
        <v>0.27900000000000003</v>
      </c>
      <c r="AW15" s="418">
        <v>0.27800000000000002</v>
      </c>
    </row>
    <row r="16" spans="1:49">
      <c r="B16" s="672"/>
      <c r="C16" s="166" t="s">
        <v>172</v>
      </c>
      <c r="D16" s="417">
        <v>0.312</v>
      </c>
      <c r="E16" s="171">
        <v>0.313</v>
      </c>
      <c r="F16" s="171">
        <v>0.313</v>
      </c>
      <c r="G16" s="171">
        <v>0.313</v>
      </c>
      <c r="H16" s="171">
        <v>0.311</v>
      </c>
      <c r="I16" s="171">
        <v>0.31</v>
      </c>
      <c r="J16" s="171">
        <v>0.308</v>
      </c>
      <c r="K16" s="171">
        <v>0.30599999999999999</v>
      </c>
      <c r="L16" s="171">
        <v>0.30499999999999999</v>
      </c>
      <c r="M16" s="171">
        <v>0.30299999999999999</v>
      </c>
      <c r="N16" s="171">
        <v>0.30099999999999999</v>
      </c>
      <c r="O16" s="171">
        <v>0.3</v>
      </c>
      <c r="P16" s="171">
        <v>0.29899999999999999</v>
      </c>
      <c r="Q16" s="171">
        <v>0.29799999999999999</v>
      </c>
      <c r="R16" s="171">
        <v>0.29699999999999999</v>
      </c>
      <c r="S16" s="171">
        <v>0.29599999999999999</v>
      </c>
      <c r="T16" s="171">
        <v>0.29599999999999999</v>
      </c>
      <c r="U16" s="171">
        <v>0.29499999999999998</v>
      </c>
      <c r="V16" s="171">
        <v>0.29399999999999998</v>
      </c>
      <c r="W16" s="171">
        <v>0.29399999999999998</v>
      </c>
      <c r="X16" s="171">
        <v>0.29299999999999998</v>
      </c>
      <c r="Y16" s="171">
        <v>0.29199999999999998</v>
      </c>
      <c r="Z16" s="171">
        <v>0.29199999999999998</v>
      </c>
      <c r="AA16" s="171">
        <v>0.29099999999999998</v>
      </c>
      <c r="AB16" s="171">
        <v>0.29099999999999998</v>
      </c>
      <c r="AC16" s="171">
        <v>0.28999999999999998</v>
      </c>
      <c r="AD16" s="171">
        <v>0.28899999999999998</v>
      </c>
      <c r="AE16" s="171">
        <v>0.28899999999999998</v>
      </c>
      <c r="AF16" s="171">
        <v>0.28799999999999998</v>
      </c>
      <c r="AG16" s="171">
        <v>0.28799999999999998</v>
      </c>
      <c r="AH16" s="171">
        <v>0.28699999999999998</v>
      </c>
      <c r="AI16" s="171">
        <v>0.28699999999999998</v>
      </c>
      <c r="AJ16" s="171">
        <v>0.28599999999999998</v>
      </c>
      <c r="AK16" s="171">
        <v>0.28599999999999998</v>
      </c>
      <c r="AL16" s="171">
        <v>0.28499999999999998</v>
      </c>
      <c r="AM16" s="171">
        <v>0.28399999999999997</v>
      </c>
      <c r="AN16" s="171">
        <v>0.28399999999999997</v>
      </c>
      <c r="AO16" s="171">
        <v>0.28299999999999997</v>
      </c>
      <c r="AP16" s="171">
        <v>0.28299999999999997</v>
      </c>
      <c r="AQ16" s="171">
        <v>0.28299999999999997</v>
      </c>
      <c r="AR16" s="171">
        <v>0.28199999999999997</v>
      </c>
      <c r="AS16" s="171">
        <v>0.28199999999999997</v>
      </c>
      <c r="AT16" s="171">
        <v>0.28100000000000003</v>
      </c>
      <c r="AU16" s="171">
        <v>0.28100000000000003</v>
      </c>
      <c r="AV16" s="171">
        <v>0.28100000000000003</v>
      </c>
      <c r="AW16" s="418">
        <v>0.28000000000000003</v>
      </c>
    </row>
    <row r="17" spans="2:49">
      <c r="B17" s="672"/>
      <c r="C17" s="166" t="s">
        <v>173</v>
      </c>
      <c r="D17" s="417">
        <v>0.312</v>
      </c>
      <c r="E17" s="171">
        <v>0.313</v>
      </c>
      <c r="F17" s="171">
        <v>0.313</v>
      </c>
      <c r="G17" s="171">
        <v>0.313</v>
      </c>
      <c r="H17" s="171">
        <v>0.312</v>
      </c>
      <c r="I17" s="171">
        <v>0.311</v>
      </c>
      <c r="J17" s="171">
        <v>0.309</v>
      </c>
      <c r="K17" s="171">
        <v>0.308</v>
      </c>
      <c r="L17" s="171">
        <v>0.307</v>
      </c>
      <c r="M17" s="171">
        <v>0.30499999999999999</v>
      </c>
      <c r="N17" s="171">
        <v>0.30399999999999999</v>
      </c>
      <c r="O17" s="171">
        <v>0.30299999999999999</v>
      </c>
      <c r="P17" s="171">
        <v>0.30199999999999999</v>
      </c>
      <c r="Q17" s="171">
        <v>0.30099999999999999</v>
      </c>
      <c r="R17" s="171">
        <v>0.3</v>
      </c>
      <c r="S17" s="171">
        <v>0.29899999999999999</v>
      </c>
      <c r="T17" s="171">
        <v>0.29799999999999999</v>
      </c>
      <c r="U17" s="171">
        <v>0.29799999999999999</v>
      </c>
      <c r="V17" s="171">
        <v>0.29699999999999999</v>
      </c>
      <c r="W17" s="171">
        <v>0.29699999999999999</v>
      </c>
      <c r="X17" s="171">
        <v>0.29599999999999999</v>
      </c>
      <c r="Y17" s="171">
        <v>0.29499999999999998</v>
      </c>
      <c r="Z17" s="171">
        <v>0.29499999999999998</v>
      </c>
      <c r="AA17" s="171">
        <v>0.29499999999999998</v>
      </c>
      <c r="AB17" s="171">
        <v>0.29399999999999998</v>
      </c>
      <c r="AC17" s="171">
        <v>0.29299999999999998</v>
      </c>
      <c r="AD17" s="171">
        <v>0.29299999999999998</v>
      </c>
      <c r="AE17" s="171">
        <v>0.29299999999999998</v>
      </c>
      <c r="AF17" s="171">
        <v>0.29199999999999998</v>
      </c>
      <c r="AG17" s="171">
        <v>0.29199999999999998</v>
      </c>
      <c r="AH17" s="171">
        <v>0.29099999999999998</v>
      </c>
      <c r="AI17" s="171">
        <v>0.29099999999999998</v>
      </c>
      <c r="AJ17" s="171">
        <v>0.28999999999999998</v>
      </c>
      <c r="AK17" s="171">
        <v>0.28999999999999998</v>
      </c>
      <c r="AL17" s="171">
        <v>0.28899999999999998</v>
      </c>
      <c r="AM17" s="171">
        <v>0.28899999999999998</v>
      </c>
      <c r="AN17" s="171">
        <v>0.28799999999999998</v>
      </c>
      <c r="AO17" s="171">
        <v>0.28799999999999998</v>
      </c>
      <c r="AP17" s="171">
        <v>0.28799999999999998</v>
      </c>
      <c r="AQ17" s="171">
        <v>0.28699999999999998</v>
      </c>
      <c r="AR17" s="171">
        <v>0.28699999999999998</v>
      </c>
      <c r="AS17" s="171">
        <v>0.28699999999999998</v>
      </c>
      <c r="AT17" s="171">
        <v>0.28599999999999998</v>
      </c>
      <c r="AU17" s="171">
        <v>0.28599999999999998</v>
      </c>
      <c r="AV17" s="171">
        <v>0.28599999999999998</v>
      </c>
      <c r="AW17" s="418">
        <v>0.28599999999999998</v>
      </c>
    </row>
    <row r="18" spans="2:49">
      <c r="B18" s="672"/>
      <c r="C18" s="164" t="s">
        <v>174</v>
      </c>
      <c r="D18" s="417">
        <v>0.312</v>
      </c>
      <c r="E18" s="171">
        <v>0.313</v>
      </c>
      <c r="F18" s="171">
        <v>0.313</v>
      </c>
      <c r="G18" s="171">
        <v>0.313</v>
      </c>
      <c r="H18" s="171">
        <v>0.312</v>
      </c>
      <c r="I18" s="171">
        <v>0.311</v>
      </c>
      <c r="J18" s="171">
        <v>0.308</v>
      </c>
      <c r="K18" s="171">
        <v>0.307</v>
      </c>
      <c r="L18" s="171">
        <v>0.30499999999999999</v>
      </c>
      <c r="M18" s="171">
        <v>0.30399999999999999</v>
      </c>
      <c r="N18" s="171">
        <v>0.30299999999999999</v>
      </c>
      <c r="O18" s="171">
        <v>0.30299999999999999</v>
      </c>
      <c r="P18" s="171">
        <v>0.30199999999999999</v>
      </c>
      <c r="Q18" s="171">
        <v>0.30199999999999999</v>
      </c>
      <c r="R18" s="171">
        <v>0.30099999999999999</v>
      </c>
      <c r="S18" s="171">
        <v>0.30099999999999999</v>
      </c>
      <c r="T18" s="171">
        <v>0.3</v>
      </c>
      <c r="U18" s="171">
        <v>0.3</v>
      </c>
      <c r="V18" s="171">
        <v>0.3</v>
      </c>
      <c r="W18" s="171">
        <v>0.29899999999999999</v>
      </c>
      <c r="X18" s="171">
        <v>0.29899999999999999</v>
      </c>
      <c r="Y18" s="171">
        <v>0.29799999999999999</v>
      </c>
      <c r="Z18" s="171">
        <v>0.29799999999999999</v>
      </c>
      <c r="AA18" s="171">
        <v>0.29699999999999999</v>
      </c>
      <c r="AB18" s="171">
        <v>0.29699999999999999</v>
      </c>
      <c r="AC18" s="171">
        <v>0.29599999999999999</v>
      </c>
      <c r="AD18" s="171">
        <v>0.29599999999999999</v>
      </c>
      <c r="AE18" s="171">
        <v>0.29599999999999999</v>
      </c>
      <c r="AF18" s="171">
        <v>0.29499999999999998</v>
      </c>
      <c r="AG18" s="171">
        <v>0.29499999999999998</v>
      </c>
      <c r="AH18" s="171">
        <v>0.29499999999999998</v>
      </c>
      <c r="AI18" s="171">
        <v>0.29399999999999998</v>
      </c>
      <c r="AJ18" s="171">
        <v>0.29399999999999998</v>
      </c>
      <c r="AK18" s="171">
        <v>0.29299999999999998</v>
      </c>
      <c r="AL18" s="171">
        <v>0.29299999999999998</v>
      </c>
      <c r="AM18" s="171">
        <v>0.29199999999999998</v>
      </c>
      <c r="AN18" s="171">
        <v>0.29199999999999998</v>
      </c>
      <c r="AO18" s="171">
        <v>0.29199999999999998</v>
      </c>
      <c r="AP18" s="171">
        <v>0.29099999999999998</v>
      </c>
      <c r="AQ18" s="171">
        <v>0.29099999999999998</v>
      </c>
      <c r="AR18" s="171">
        <v>0.29099999999999998</v>
      </c>
      <c r="AS18" s="171">
        <v>0.28999999999999998</v>
      </c>
      <c r="AT18" s="171">
        <v>0.28999999999999998</v>
      </c>
      <c r="AU18" s="171">
        <v>0.28999999999999998</v>
      </c>
      <c r="AV18" s="171">
        <v>0.28999999999999998</v>
      </c>
      <c r="AW18" s="418">
        <v>0.28999999999999998</v>
      </c>
    </row>
    <row r="19" spans="2:49" ht="15" thickBot="1">
      <c r="B19" s="673"/>
      <c r="C19" s="165" t="s">
        <v>175</v>
      </c>
      <c r="D19" s="419">
        <v>0.312</v>
      </c>
      <c r="E19" s="420">
        <v>0.313</v>
      </c>
      <c r="F19" s="420">
        <v>0.313</v>
      </c>
      <c r="G19" s="420">
        <v>0.313</v>
      </c>
      <c r="H19" s="420">
        <v>0.312</v>
      </c>
      <c r="I19" s="420">
        <v>0.311</v>
      </c>
      <c r="J19" s="420">
        <v>0.309</v>
      </c>
      <c r="K19" s="420">
        <v>0.308</v>
      </c>
      <c r="L19" s="420">
        <v>0.30599999999999999</v>
      </c>
      <c r="M19" s="420">
        <v>0.30499999999999999</v>
      </c>
      <c r="N19" s="420">
        <v>0.30499999999999999</v>
      </c>
      <c r="O19" s="420">
        <v>0.30399999999999999</v>
      </c>
      <c r="P19" s="420">
        <v>0.30399999999999999</v>
      </c>
      <c r="Q19" s="420">
        <v>0.30299999999999999</v>
      </c>
      <c r="R19" s="420">
        <v>0.30299999999999999</v>
      </c>
      <c r="S19" s="420">
        <v>0.30299999999999999</v>
      </c>
      <c r="T19" s="420">
        <v>0.30199999999999999</v>
      </c>
      <c r="U19" s="420">
        <v>0.30199999999999999</v>
      </c>
      <c r="V19" s="420">
        <v>0.30199999999999999</v>
      </c>
      <c r="W19" s="420">
        <v>0.30199999999999999</v>
      </c>
      <c r="X19" s="420">
        <v>0.30099999999999999</v>
      </c>
      <c r="Y19" s="420">
        <v>0.30099999999999999</v>
      </c>
      <c r="Z19" s="420">
        <v>0.30099999999999999</v>
      </c>
      <c r="AA19" s="420">
        <v>0.3</v>
      </c>
      <c r="AB19" s="420">
        <v>0.3</v>
      </c>
      <c r="AC19" s="420">
        <v>0.3</v>
      </c>
      <c r="AD19" s="420">
        <v>0.29899999999999999</v>
      </c>
      <c r="AE19" s="420">
        <v>0.29899999999999999</v>
      </c>
      <c r="AF19" s="420">
        <v>0.29899999999999999</v>
      </c>
      <c r="AG19" s="420">
        <v>0.29899999999999999</v>
      </c>
      <c r="AH19" s="420">
        <v>0.29799999999999999</v>
      </c>
      <c r="AI19" s="420">
        <v>0.29799999999999999</v>
      </c>
      <c r="AJ19" s="420">
        <v>0.29799999999999999</v>
      </c>
      <c r="AK19" s="420">
        <v>0.29699999999999999</v>
      </c>
      <c r="AL19" s="420">
        <v>0.29699999999999999</v>
      </c>
      <c r="AM19" s="420">
        <v>0.29699999999999999</v>
      </c>
      <c r="AN19" s="420">
        <v>0.29699999999999999</v>
      </c>
      <c r="AO19" s="420">
        <v>0.29599999999999999</v>
      </c>
      <c r="AP19" s="420">
        <v>0.29599999999999999</v>
      </c>
      <c r="AQ19" s="420">
        <v>0.29599999999999999</v>
      </c>
      <c r="AR19" s="420">
        <v>0.29599999999999999</v>
      </c>
      <c r="AS19" s="420">
        <v>0.29599999999999999</v>
      </c>
      <c r="AT19" s="420">
        <v>0.29499999999999998</v>
      </c>
      <c r="AU19" s="420">
        <v>0.29499999999999998</v>
      </c>
      <c r="AV19" s="420">
        <v>0.29499999999999998</v>
      </c>
      <c r="AW19" s="421">
        <v>0.29499999999999998</v>
      </c>
    </row>
    <row r="21" spans="2:49">
      <c r="AW21" s="172"/>
    </row>
    <row r="22" spans="2:49">
      <c r="AW22" s="172"/>
    </row>
    <row r="23" spans="2:49">
      <c r="AW23" s="172"/>
    </row>
    <row r="24" spans="2:49">
      <c r="AW24" s="172"/>
    </row>
    <row r="25" spans="2:49">
      <c r="AW25" s="172"/>
    </row>
    <row r="26" spans="2:49" ht="36.75" customHeight="1">
      <c r="C26" s="669" t="s">
        <v>165</v>
      </c>
      <c r="D26" s="670"/>
      <c r="E26" s="670"/>
      <c r="F26" s="670"/>
      <c r="G26" s="669" t="s">
        <v>230</v>
      </c>
      <c r="H26" s="670"/>
      <c r="I26" s="670"/>
      <c r="J26" s="670"/>
      <c r="K26" s="670"/>
    </row>
  </sheetData>
  <mergeCells count="6">
    <mergeCell ref="G26:K26"/>
    <mergeCell ref="B5:B7"/>
    <mergeCell ref="B4:C4"/>
    <mergeCell ref="B9:C9"/>
    <mergeCell ref="B10:B19"/>
    <mergeCell ref="C26:F2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49"/>
  <sheetViews>
    <sheetView topLeftCell="A16" workbookViewId="0">
      <selection activeCell="B33" sqref="B33"/>
    </sheetView>
  </sheetViews>
  <sheetFormatPr baseColWidth="10" defaultColWidth="11.44140625" defaultRowHeight="13.8"/>
  <cols>
    <col min="1" max="1" width="11.44140625" style="2"/>
    <col min="2" max="2" width="17.5546875" style="2" customWidth="1"/>
    <col min="3" max="3" width="27.5546875" style="2" customWidth="1"/>
    <col min="4" max="16384" width="11.44140625" style="2"/>
  </cols>
  <sheetData>
    <row r="1" spans="1:64" ht="15.6">
      <c r="A1" s="83" t="s">
        <v>231</v>
      </c>
    </row>
    <row r="2" spans="1:64" ht="15.6">
      <c r="B2" s="1"/>
    </row>
    <row r="3" spans="1:64" customFormat="1" ht="15" thickBot="1">
      <c r="C3" s="29"/>
    </row>
    <row r="4" spans="1:64" customFormat="1" ht="15" thickBot="1">
      <c r="B4" s="19"/>
      <c r="C4" s="87"/>
      <c r="D4" s="292">
        <v>2000</v>
      </c>
      <c r="E4" s="293">
        <v>2001</v>
      </c>
      <c r="F4" s="293">
        <v>2002</v>
      </c>
      <c r="G4" s="293">
        <v>2003</v>
      </c>
      <c r="H4" s="293">
        <v>2004</v>
      </c>
      <c r="I4" s="293">
        <v>2005</v>
      </c>
      <c r="J4" s="293">
        <v>2006</v>
      </c>
      <c r="K4" s="293">
        <v>2007</v>
      </c>
      <c r="L4" s="293">
        <v>2008</v>
      </c>
      <c r="M4" s="293">
        <v>2009</v>
      </c>
      <c r="N4" s="293">
        <v>2010</v>
      </c>
      <c r="O4" s="293">
        <v>2011</v>
      </c>
      <c r="P4" s="293">
        <v>2012</v>
      </c>
      <c r="Q4" s="293">
        <v>2013</v>
      </c>
      <c r="R4" s="293">
        <v>2014</v>
      </c>
      <c r="S4" s="293">
        <v>2015</v>
      </c>
      <c r="T4" s="293">
        <v>2016</v>
      </c>
      <c r="U4" s="293">
        <v>2017</v>
      </c>
      <c r="V4" s="293">
        <v>2018</v>
      </c>
      <c r="W4" s="293">
        <v>2019</v>
      </c>
      <c r="X4" s="293">
        <v>2020</v>
      </c>
      <c r="Y4" s="293">
        <v>2021</v>
      </c>
      <c r="Z4" s="293">
        <v>2022</v>
      </c>
      <c r="AA4" s="293">
        <v>2023</v>
      </c>
      <c r="AB4" s="293">
        <v>2024</v>
      </c>
      <c r="AC4" s="293">
        <v>2025</v>
      </c>
      <c r="AD4" s="293">
        <v>2026</v>
      </c>
      <c r="AE4" s="293">
        <v>2027</v>
      </c>
      <c r="AF4" s="293">
        <v>2028</v>
      </c>
      <c r="AG4" s="293">
        <v>2029</v>
      </c>
      <c r="AH4" s="293">
        <v>2030</v>
      </c>
      <c r="AI4" s="293">
        <v>2031</v>
      </c>
      <c r="AJ4" s="293">
        <v>2032</v>
      </c>
      <c r="AK4" s="293">
        <v>2033</v>
      </c>
      <c r="AL4" s="293">
        <v>2034</v>
      </c>
      <c r="AM4" s="293">
        <v>2035</v>
      </c>
      <c r="AN4" s="293">
        <v>2036</v>
      </c>
      <c r="AO4" s="293">
        <v>2037</v>
      </c>
      <c r="AP4" s="293">
        <v>2038</v>
      </c>
      <c r="AQ4" s="293">
        <v>2039</v>
      </c>
      <c r="AR4" s="293">
        <v>2040</v>
      </c>
      <c r="AS4" s="293">
        <v>2041</v>
      </c>
      <c r="AT4" s="293">
        <v>2042</v>
      </c>
      <c r="AU4" s="293">
        <v>2043</v>
      </c>
      <c r="AV4" s="293">
        <v>2044</v>
      </c>
      <c r="AW4" s="293">
        <v>2045</v>
      </c>
      <c r="AX4" s="293">
        <v>2046</v>
      </c>
      <c r="AY4" s="293">
        <v>2047</v>
      </c>
      <c r="AZ4" s="293">
        <v>2048</v>
      </c>
      <c r="BA4" s="293">
        <v>2049</v>
      </c>
      <c r="BB4" s="293">
        <v>2050</v>
      </c>
      <c r="BC4" s="293">
        <v>2051</v>
      </c>
      <c r="BD4" s="293">
        <v>2052</v>
      </c>
      <c r="BE4" s="293">
        <v>2053</v>
      </c>
      <c r="BF4" s="293">
        <v>2054</v>
      </c>
      <c r="BG4" s="293">
        <v>2055</v>
      </c>
      <c r="BH4" s="293">
        <v>2056</v>
      </c>
      <c r="BI4" s="293">
        <v>2057</v>
      </c>
      <c r="BJ4" s="293">
        <v>2058</v>
      </c>
      <c r="BK4" s="293">
        <v>2059</v>
      </c>
      <c r="BL4" s="293">
        <v>2060</v>
      </c>
    </row>
    <row r="5" spans="1:64" customFormat="1" ht="15" customHeight="1">
      <c r="B5" s="666" t="s">
        <v>71</v>
      </c>
      <c r="C5" s="84" t="s">
        <v>66</v>
      </c>
      <c r="D5" s="294"/>
      <c r="E5" s="295"/>
      <c r="F5" s="295">
        <v>0.11899999999999999</v>
      </c>
      <c r="G5" s="295">
        <v>0.122</v>
      </c>
      <c r="H5" s="295">
        <v>0.123</v>
      </c>
      <c r="I5" s="295">
        <v>0.121</v>
      </c>
      <c r="J5" s="295">
        <v>0.122</v>
      </c>
      <c r="K5" s="295">
        <v>0.123</v>
      </c>
      <c r="L5" s="295">
        <v>0.123</v>
      </c>
      <c r="M5" s="295">
        <v>0.128</v>
      </c>
      <c r="N5" s="295">
        <v>0.126</v>
      </c>
      <c r="O5" s="295">
        <v>0.128</v>
      </c>
      <c r="P5" s="295">
        <v>0.13200000000000001</v>
      </c>
      <c r="Q5" s="295">
        <v>0.13600000000000001</v>
      </c>
      <c r="R5" s="295"/>
      <c r="S5" s="295"/>
      <c r="T5" s="295"/>
      <c r="U5" s="295"/>
      <c r="V5" s="295"/>
      <c r="W5" s="295"/>
      <c r="X5" s="295"/>
      <c r="Y5" s="295"/>
      <c r="Z5" s="295"/>
      <c r="AA5" s="295"/>
      <c r="AB5" s="295"/>
      <c r="AC5" s="295"/>
      <c r="AD5" s="295"/>
      <c r="AE5" s="295"/>
      <c r="AF5" s="295"/>
      <c r="AG5" s="295"/>
      <c r="AH5" s="295"/>
      <c r="AI5" s="295"/>
      <c r="AJ5" s="295"/>
      <c r="AK5" s="295"/>
      <c r="AL5" s="295"/>
      <c r="AM5" s="295"/>
      <c r="AN5" s="295"/>
      <c r="AO5" s="295"/>
      <c r="AP5" s="295"/>
      <c r="AQ5" s="295"/>
      <c r="AR5" s="295"/>
      <c r="AS5" s="295"/>
      <c r="AT5" s="295"/>
      <c r="AU5" s="295"/>
      <c r="AV5" s="295"/>
      <c r="AW5" s="295"/>
      <c r="AX5" s="295"/>
      <c r="AY5" s="295"/>
      <c r="AZ5" s="295"/>
      <c r="BA5" s="295"/>
      <c r="BB5" s="295"/>
      <c r="BC5" s="295"/>
      <c r="BD5" s="295"/>
      <c r="BE5" s="295"/>
      <c r="BF5" s="295"/>
      <c r="BG5" s="295"/>
      <c r="BH5" s="295"/>
      <c r="BI5" s="295"/>
      <c r="BJ5" s="295"/>
      <c r="BK5" s="295"/>
      <c r="BL5" s="295"/>
    </row>
    <row r="6" spans="1:64" customFormat="1" ht="14.4">
      <c r="B6" s="667"/>
      <c r="C6" s="85" t="s">
        <v>54</v>
      </c>
      <c r="D6" s="296"/>
      <c r="E6" s="297"/>
      <c r="F6" s="297"/>
      <c r="G6" s="297"/>
      <c r="H6" s="297"/>
      <c r="I6" s="297"/>
      <c r="J6" s="297"/>
      <c r="K6" s="297"/>
      <c r="L6" s="297"/>
      <c r="M6" s="297"/>
      <c r="N6" s="297"/>
      <c r="O6" s="297"/>
      <c r="P6" s="297"/>
      <c r="Q6" s="297"/>
      <c r="R6" s="297">
        <v>0.13800000000000001</v>
      </c>
      <c r="S6" s="297">
        <v>0.13800000000000001</v>
      </c>
      <c r="T6" s="297">
        <v>0.13900000000000001</v>
      </c>
      <c r="U6" s="297">
        <v>0.13800000000000001</v>
      </c>
      <c r="V6" s="297">
        <v>0.13800000000000001</v>
      </c>
      <c r="W6" s="297">
        <v>0.13600000000000001</v>
      </c>
      <c r="X6" s="297">
        <v>0.13600000000000001</v>
      </c>
      <c r="Y6" s="297">
        <v>0.13500000000000001</v>
      </c>
      <c r="Z6" s="297">
        <v>0.13400000000000001</v>
      </c>
      <c r="AA6" s="297">
        <v>0.13400000000000001</v>
      </c>
      <c r="AB6" s="297">
        <v>0.13300000000000001</v>
      </c>
      <c r="AC6" s="297">
        <v>0.13300000000000001</v>
      </c>
      <c r="AD6" s="297">
        <v>0.13200000000000001</v>
      </c>
      <c r="AE6" s="297">
        <v>0.13200000000000001</v>
      </c>
      <c r="AF6" s="297">
        <v>0.13200000000000001</v>
      </c>
      <c r="AG6" s="297">
        <v>0.13200000000000001</v>
      </c>
      <c r="AH6" s="297">
        <v>0.13200000000000001</v>
      </c>
      <c r="AI6" s="297">
        <v>0.13100000000000001</v>
      </c>
      <c r="AJ6" s="297">
        <v>0.13100000000000001</v>
      </c>
      <c r="AK6" s="297">
        <v>0.13100000000000001</v>
      </c>
      <c r="AL6" s="297">
        <v>0.13100000000000001</v>
      </c>
      <c r="AM6" s="297">
        <v>0.13100000000000001</v>
      </c>
      <c r="AN6" s="297">
        <v>0.13100000000000001</v>
      </c>
      <c r="AO6" s="297">
        <v>0.13100000000000001</v>
      </c>
      <c r="AP6" s="297">
        <v>0.13100000000000001</v>
      </c>
      <c r="AQ6" s="297">
        <v>0.13100000000000001</v>
      </c>
      <c r="AR6" s="297">
        <v>0.13100000000000001</v>
      </c>
      <c r="AS6" s="297">
        <v>0.13</v>
      </c>
      <c r="AT6" s="297">
        <v>0.13</v>
      </c>
      <c r="AU6" s="297">
        <v>0.13</v>
      </c>
      <c r="AV6" s="297">
        <v>0.13</v>
      </c>
      <c r="AW6" s="297">
        <v>0.13</v>
      </c>
      <c r="AX6" s="297">
        <v>0.13</v>
      </c>
      <c r="AY6" s="297">
        <v>0.13</v>
      </c>
      <c r="AZ6" s="297">
        <v>0.13</v>
      </c>
      <c r="BA6" s="297">
        <v>0.13</v>
      </c>
      <c r="BB6" s="297">
        <v>0.13</v>
      </c>
      <c r="BC6" s="297">
        <v>0.13</v>
      </c>
      <c r="BD6" s="297">
        <v>0.13</v>
      </c>
      <c r="BE6" s="297">
        <v>0.13</v>
      </c>
      <c r="BF6" s="297">
        <v>0.13</v>
      </c>
      <c r="BG6" s="297">
        <v>0.13</v>
      </c>
      <c r="BH6" s="297">
        <v>0.13</v>
      </c>
      <c r="BI6" s="297">
        <v>0.129</v>
      </c>
      <c r="BJ6" s="297">
        <v>0.129</v>
      </c>
      <c r="BK6" s="297">
        <v>0.129</v>
      </c>
      <c r="BL6" s="297">
        <v>0.129</v>
      </c>
    </row>
    <row r="7" spans="1:64" customFormat="1" ht="14.4">
      <c r="B7" s="667"/>
      <c r="C7" s="85" t="s">
        <v>89</v>
      </c>
      <c r="D7" s="296"/>
      <c r="E7" s="297"/>
      <c r="F7" s="297"/>
      <c r="G7" s="297"/>
      <c r="H7" s="297"/>
      <c r="I7" s="297"/>
      <c r="J7" s="297"/>
      <c r="K7" s="297"/>
      <c r="L7" s="297"/>
      <c r="M7" s="297"/>
      <c r="N7" s="297"/>
      <c r="O7" s="297"/>
      <c r="P7" s="297"/>
      <c r="Q7" s="297"/>
      <c r="R7" s="297">
        <v>0.13800000000000001</v>
      </c>
      <c r="S7" s="297">
        <v>0.13800000000000001</v>
      </c>
      <c r="T7" s="297">
        <v>0.13900000000000001</v>
      </c>
      <c r="U7" s="297">
        <v>0.13800000000000001</v>
      </c>
      <c r="V7" s="297">
        <v>0.13800000000000001</v>
      </c>
      <c r="W7" s="297">
        <v>0.13600000000000001</v>
      </c>
      <c r="X7" s="297">
        <v>0.13600000000000001</v>
      </c>
      <c r="Y7" s="297">
        <v>0.13500000000000001</v>
      </c>
      <c r="Z7" s="297">
        <v>0.13400000000000001</v>
      </c>
      <c r="AA7" s="297">
        <v>0.13400000000000001</v>
      </c>
      <c r="AB7" s="297">
        <v>0.13300000000000001</v>
      </c>
      <c r="AC7" s="297">
        <v>0.13300000000000001</v>
      </c>
      <c r="AD7" s="297">
        <v>0.13200000000000001</v>
      </c>
      <c r="AE7" s="297">
        <v>0.13200000000000001</v>
      </c>
      <c r="AF7" s="297">
        <v>0.13200000000000001</v>
      </c>
      <c r="AG7" s="297">
        <v>0.13200000000000001</v>
      </c>
      <c r="AH7" s="297">
        <v>0.13200000000000001</v>
      </c>
      <c r="AI7" s="297">
        <v>0.13100000000000001</v>
      </c>
      <c r="AJ7" s="297">
        <v>0.13100000000000001</v>
      </c>
      <c r="AK7" s="297">
        <v>0.13100000000000001</v>
      </c>
      <c r="AL7" s="297">
        <v>0.13100000000000001</v>
      </c>
      <c r="AM7" s="297">
        <v>0.13100000000000001</v>
      </c>
      <c r="AN7" s="297">
        <v>0.13100000000000001</v>
      </c>
      <c r="AO7" s="297">
        <v>0.13100000000000001</v>
      </c>
      <c r="AP7" s="297">
        <v>0.13100000000000001</v>
      </c>
      <c r="AQ7" s="297">
        <v>0.13100000000000001</v>
      </c>
      <c r="AR7" s="297">
        <v>0.13100000000000001</v>
      </c>
      <c r="AS7" s="297">
        <v>0.13100000000000001</v>
      </c>
      <c r="AT7" s="297">
        <v>0.13</v>
      </c>
      <c r="AU7" s="297">
        <v>0.13</v>
      </c>
      <c r="AV7" s="297">
        <v>0.13</v>
      </c>
      <c r="AW7" s="297">
        <v>0.13</v>
      </c>
      <c r="AX7" s="297">
        <v>0.13</v>
      </c>
      <c r="AY7" s="297">
        <v>0.13</v>
      </c>
      <c r="AZ7" s="297">
        <v>0.13</v>
      </c>
      <c r="BA7" s="297">
        <v>0.13</v>
      </c>
      <c r="BB7" s="297">
        <v>0.13</v>
      </c>
      <c r="BC7" s="297">
        <v>0.13</v>
      </c>
      <c r="BD7" s="297">
        <v>0.13</v>
      </c>
      <c r="BE7" s="297">
        <v>0.13</v>
      </c>
      <c r="BF7" s="297">
        <v>0.13</v>
      </c>
      <c r="BG7" s="297">
        <v>0.13</v>
      </c>
      <c r="BH7" s="297">
        <v>0.13</v>
      </c>
      <c r="BI7" s="297">
        <v>0.13</v>
      </c>
      <c r="BJ7" s="297">
        <v>0.13</v>
      </c>
      <c r="BK7" s="297">
        <v>0.129</v>
      </c>
      <c r="BL7" s="297">
        <v>0.129</v>
      </c>
    </row>
    <row r="8" spans="1:64" customFormat="1" ht="14.4">
      <c r="B8" s="667"/>
      <c r="C8" s="85" t="s">
        <v>55</v>
      </c>
      <c r="D8" s="296"/>
      <c r="E8" s="297"/>
      <c r="F8" s="297"/>
      <c r="G8" s="297"/>
      <c r="H8" s="297"/>
      <c r="I8" s="297"/>
      <c r="J8" s="297"/>
      <c r="K8" s="297"/>
      <c r="L8" s="297"/>
      <c r="M8" s="297"/>
      <c r="N8" s="297"/>
      <c r="O8" s="297"/>
      <c r="P8" s="297"/>
      <c r="Q8" s="297"/>
      <c r="R8" s="297">
        <v>0.13800000000000001</v>
      </c>
      <c r="S8" s="297">
        <v>0.13800000000000001</v>
      </c>
      <c r="T8" s="297">
        <v>0.13900000000000001</v>
      </c>
      <c r="U8" s="297">
        <v>0.13800000000000001</v>
      </c>
      <c r="V8" s="297">
        <v>0.13800000000000001</v>
      </c>
      <c r="W8" s="297">
        <v>0.13600000000000001</v>
      </c>
      <c r="X8" s="297">
        <v>0.13600000000000001</v>
      </c>
      <c r="Y8" s="297">
        <v>0.13500000000000001</v>
      </c>
      <c r="Z8" s="297">
        <v>0.13500000000000001</v>
      </c>
      <c r="AA8" s="297">
        <v>0.13500000000000001</v>
      </c>
      <c r="AB8" s="297">
        <v>0.13400000000000001</v>
      </c>
      <c r="AC8" s="297">
        <v>0.13400000000000001</v>
      </c>
      <c r="AD8" s="297">
        <v>0.13300000000000001</v>
      </c>
      <c r="AE8" s="297">
        <v>0.13300000000000001</v>
      </c>
      <c r="AF8" s="297">
        <v>0.13300000000000001</v>
      </c>
      <c r="AG8" s="297">
        <v>0.13300000000000001</v>
      </c>
      <c r="AH8" s="297">
        <v>0.13200000000000001</v>
      </c>
      <c r="AI8" s="297">
        <v>0.13200000000000001</v>
      </c>
      <c r="AJ8" s="297">
        <v>0.13200000000000001</v>
      </c>
      <c r="AK8" s="297">
        <v>0.13200000000000001</v>
      </c>
      <c r="AL8" s="297">
        <v>0.13200000000000001</v>
      </c>
      <c r="AM8" s="297">
        <v>0.13200000000000001</v>
      </c>
      <c r="AN8" s="297">
        <v>0.13200000000000001</v>
      </c>
      <c r="AO8" s="297">
        <v>0.13200000000000001</v>
      </c>
      <c r="AP8" s="297">
        <v>0.13200000000000001</v>
      </c>
      <c r="AQ8" s="297">
        <v>0.13200000000000001</v>
      </c>
      <c r="AR8" s="297">
        <v>0.13100000000000001</v>
      </c>
      <c r="AS8" s="297">
        <v>0.13100000000000001</v>
      </c>
      <c r="AT8" s="297">
        <v>0.13100000000000001</v>
      </c>
      <c r="AU8" s="297">
        <v>0.13100000000000001</v>
      </c>
      <c r="AV8" s="297">
        <v>0.13100000000000001</v>
      </c>
      <c r="AW8" s="297">
        <v>0.13100000000000001</v>
      </c>
      <c r="AX8" s="297">
        <v>0.13100000000000001</v>
      </c>
      <c r="AY8" s="297">
        <v>0.13100000000000001</v>
      </c>
      <c r="AZ8" s="297">
        <v>0.13100000000000001</v>
      </c>
      <c r="BA8" s="297">
        <v>0.13100000000000001</v>
      </c>
      <c r="BB8" s="297">
        <v>0.13100000000000001</v>
      </c>
      <c r="BC8" s="297">
        <v>0.13100000000000001</v>
      </c>
      <c r="BD8" s="297">
        <v>0.13100000000000001</v>
      </c>
      <c r="BE8" s="297">
        <v>0.13100000000000001</v>
      </c>
      <c r="BF8" s="297">
        <v>0.13100000000000001</v>
      </c>
      <c r="BG8" s="297">
        <v>0.13100000000000001</v>
      </c>
      <c r="BH8" s="297">
        <v>0.13100000000000001</v>
      </c>
      <c r="BI8" s="297">
        <v>0.13100000000000001</v>
      </c>
      <c r="BJ8" s="297">
        <v>0.13100000000000001</v>
      </c>
      <c r="BK8" s="297">
        <v>0.13</v>
      </c>
      <c r="BL8" s="297">
        <v>0.13</v>
      </c>
    </row>
    <row r="9" spans="1:64" customFormat="1" ht="14.4">
      <c r="B9" s="667"/>
      <c r="C9" s="85" t="s">
        <v>56</v>
      </c>
      <c r="D9" s="296"/>
      <c r="E9" s="297"/>
      <c r="F9" s="297"/>
      <c r="G9" s="297"/>
      <c r="H9" s="297"/>
      <c r="I9" s="297"/>
      <c r="J9" s="297"/>
      <c r="K9" s="297"/>
      <c r="L9" s="297"/>
      <c r="M9" s="297"/>
      <c r="N9" s="297"/>
      <c r="O9" s="297"/>
      <c r="P9" s="297"/>
      <c r="Q9" s="297"/>
      <c r="R9" s="297">
        <v>0.13800000000000001</v>
      </c>
      <c r="S9" s="297">
        <v>0.13800000000000001</v>
      </c>
      <c r="T9" s="297">
        <v>0.13900000000000001</v>
      </c>
      <c r="U9" s="297">
        <v>0.13800000000000001</v>
      </c>
      <c r="V9" s="297">
        <v>0.13800000000000001</v>
      </c>
      <c r="W9" s="297">
        <v>0.13600000000000001</v>
      </c>
      <c r="X9" s="297">
        <v>0.13600000000000001</v>
      </c>
      <c r="Y9" s="297">
        <v>0.13500000000000001</v>
      </c>
      <c r="Z9" s="297">
        <v>0.13500000000000001</v>
      </c>
      <c r="AA9" s="297">
        <v>0.13400000000000001</v>
      </c>
      <c r="AB9" s="297">
        <v>0.13400000000000001</v>
      </c>
      <c r="AC9" s="297">
        <v>0.13300000000000001</v>
      </c>
      <c r="AD9" s="297">
        <v>0.13300000000000001</v>
      </c>
      <c r="AE9" s="297">
        <v>0.13300000000000001</v>
      </c>
      <c r="AF9" s="297">
        <v>0.13300000000000001</v>
      </c>
      <c r="AG9" s="297">
        <v>0.13300000000000001</v>
      </c>
      <c r="AH9" s="297">
        <v>0.13300000000000001</v>
      </c>
      <c r="AI9" s="297">
        <v>0.13300000000000001</v>
      </c>
      <c r="AJ9" s="297">
        <v>0.13300000000000001</v>
      </c>
      <c r="AK9" s="297">
        <v>0.13300000000000001</v>
      </c>
      <c r="AL9" s="297">
        <v>0.13300000000000001</v>
      </c>
      <c r="AM9" s="297">
        <v>0.13300000000000001</v>
      </c>
      <c r="AN9" s="297">
        <v>0.13300000000000001</v>
      </c>
      <c r="AO9" s="297">
        <v>0.13300000000000001</v>
      </c>
      <c r="AP9" s="297">
        <v>0.13200000000000001</v>
      </c>
      <c r="AQ9" s="297">
        <v>0.13200000000000001</v>
      </c>
      <c r="AR9" s="297">
        <v>0.13200000000000001</v>
      </c>
      <c r="AS9" s="297">
        <v>0.13200000000000001</v>
      </c>
      <c r="AT9" s="297">
        <v>0.13200000000000001</v>
      </c>
      <c r="AU9" s="297">
        <v>0.13200000000000001</v>
      </c>
      <c r="AV9" s="297">
        <v>0.13200000000000001</v>
      </c>
      <c r="AW9" s="297">
        <v>0.13200000000000001</v>
      </c>
      <c r="AX9" s="297">
        <v>0.13200000000000001</v>
      </c>
      <c r="AY9" s="297">
        <v>0.13200000000000001</v>
      </c>
      <c r="AZ9" s="297">
        <v>0.13200000000000001</v>
      </c>
      <c r="BA9" s="297">
        <v>0.13200000000000001</v>
      </c>
      <c r="BB9" s="297">
        <v>0.13200000000000001</v>
      </c>
      <c r="BC9" s="297">
        <v>0.13200000000000001</v>
      </c>
      <c r="BD9" s="297">
        <v>0.13200000000000001</v>
      </c>
      <c r="BE9" s="297">
        <v>0.13200000000000001</v>
      </c>
      <c r="BF9" s="297">
        <v>0.13200000000000001</v>
      </c>
      <c r="BG9" s="297">
        <v>0.13200000000000001</v>
      </c>
      <c r="BH9" s="297">
        <v>0.13100000000000001</v>
      </c>
      <c r="BI9" s="297">
        <v>0.13100000000000001</v>
      </c>
      <c r="BJ9" s="297">
        <v>0.13100000000000001</v>
      </c>
      <c r="BK9" s="297">
        <v>0.13100000000000001</v>
      </c>
      <c r="BL9" s="297">
        <v>0.13100000000000001</v>
      </c>
    </row>
    <row r="10" spans="1:64" customFormat="1" ht="15" thickBot="1">
      <c r="B10" s="668"/>
      <c r="C10" s="86" t="s">
        <v>57</v>
      </c>
      <c r="D10" s="299"/>
      <c r="E10" s="300"/>
      <c r="F10" s="300"/>
      <c r="G10" s="300"/>
      <c r="H10" s="300"/>
      <c r="I10" s="300"/>
      <c r="J10" s="300"/>
      <c r="K10" s="300"/>
      <c r="L10" s="300"/>
      <c r="M10" s="300"/>
      <c r="N10" s="300"/>
      <c r="O10" s="300"/>
      <c r="P10" s="300"/>
      <c r="Q10" s="300"/>
      <c r="R10" s="300">
        <v>0.13800000000000001</v>
      </c>
      <c r="S10" s="300">
        <v>0.13800000000000001</v>
      </c>
      <c r="T10" s="300">
        <v>0.13900000000000001</v>
      </c>
      <c r="U10" s="300">
        <v>0.13800000000000001</v>
      </c>
      <c r="V10" s="300">
        <v>0.13800000000000001</v>
      </c>
      <c r="W10" s="300">
        <v>0.13600000000000001</v>
      </c>
      <c r="X10" s="300">
        <v>0.13600000000000001</v>
      </c>
      <c r="Y10" s="300">
        <v>0.13500000000000001</v>
      </c>
      <c r="Z10" s="300">
        <v>0.13500000000000001</v>
      </c>
      <c r="AA10" s="300">
        <v>0.13400000000000001</v>
      </c>
      <c r="AB10" s="300">
        <v>0.13400000000000001</v>
      </c>
      <c r="AC10" s="300">
        <v>0.13400000000000001</v>
      </c>
      <c r="AD10" s="300">
        <v>0.13300000000000001</v>
      </c>
      <c r="AE10" s="300">
        <v>0.13300000000000001</v>
      </c>
      <c r="AF10" s="300">
        <v>0.13300000000000001</v>
      </c>
      <c r="AG10" s="300">
        <v>0.13300000000000001</v>
      </c>
      <c r="AH10" s="300">
        <v>0.13300000000000001</v>
      </c>
      <c r="AI10" s="300">
        <v>0.13300000000000001</v>
      </c>
      <c r="AJ10" s="300">
        <v>0.13300000000000001</v>
      </c>
      <c r="AK10" s="300">
        <v>0.13300000000000001</v>
      </c>
      <c r="AL10" s="300">
        <v>0.13300000000000001</v>
      </c>
      <c r="AM10" s="300">
        <v>0.13300000000000001</v>
      </c>
      <c r="AN10" s="300">
        <v>0.13300000000000001</v>
      </c>
      <c r="AO10" s="300">
        <v>0.13300000000000001</v>
      </c>
      <c r="AP10" s="300">
        <v>0.13300000000000001</v>
      </c>
      <c r="AQ10" s="300">
        <v>0.13300000000000001</v>
      </c>
      <c r="AR10" s="300">
        <v>0.13300000000000001</v>
      </c>
      <c r="AS10" s="300">
        <v>0.13300000000000001</v>
      </c>
      <c r="AT10" s="300">
        <v>0.13300000000000001</v>
      </c>
      <c r="AU10" s="300">
        <v>0.13300000000000001</v>
      </c>
      <c r="AV10" s="300">
        <v>0.13200000000000001</v>
      </c>
      <c r="AW10" s="300">
        <v>0.13200000000000001</v>
      </c>
      <c r="AX10" s="300">
        <v>0.13200000000000001</v>
      </c>
      <c r="AY10" s="300">
        <v>0.13200000000000001</v>
      </c>
      <c r="AZ10" s="300">
        <v>0.13200000000000001</v>
      </c>
      <c r="BA10" s="300">
        <v>0.13200000000000001</v>
      </c>
      <c r="BB10" s="300">
        <v>0.13200000000000001</v>
      </c>
      <c r="BC10" s="300">
        <v>0.13200000000000001</v>
      </c>
      <c r="BD10" s="300">
        <v>0.13200000000000001</v>
      </c>
      <c r="BE10" s="300">
        <v>0.13200000000000001</v>
      </c>
      <c r="BF10" s="300">
        <v>0.13200000000000001</v>
      </c>
      <c r="BG10" s="300">
        <v>0.13200000000000001</v>
      </c>
      <c r="BH10" s="300">
        <v>0.13200000000000001</v>
      </c>
      <c r="BI10" s="300">
        <v>0.13200000000000001</v>
      </c>
      <c r="BJ10" s="300">
        <v>0.13200000000000001</v>
      </c>
      <c r="BK10" s="300">
        <v>0.13200000000000001</v>
      </c>
      <c r="BL10" s="300">
        <v>0.13200000000000001</v>
      </c>
    </row>
    <row r="11" spans="1:64" customFormat="1" ht="15" customHeight="1">
      <c r="B11" s="666" t="s">
        <v>72</v>
      </c>
      <c r="C11" s="84" t="s">
        <v>66</v>
      </c>
      <c r="D11" s="294"/>
      <c r="E11" s="295"/>
      <c r="F11" s="295">
        <v>0.11600000000000001</v>
      </c>
      <c r="G11" s="295">
        <v>0.11700000000000001</v>
      </c>
      <c r="H11" s="295">
        <v>0.12</v>
      </c>
      <c r="I11" s="295">
        <v>0.12</v>
      </c>
      <c r="J11" s="295">
        <v>0.121</v>
      </c>
      <c r="K11" s="295">
        <v>0.122</v>
      </c>
      <c r="L11" s="295">
        <v>0.124</v>
      </c>
      <c r="M11" s="295">
        <v>0.13200000000000001</v>
      </c>
      <c r="N11" s="295">
        <v>0.13300000000000001</v>
      </c>
      <c r="O11" s="295">
        <v>0.13500000000000001</v>
      </c>
      <c r="P11" s="295">
        <v>0.13800000000000001</v>
      </c>
      <c r="Q11" s="295">
        <v>0.14000000000000001</v>
      </c>
      <c r="R11" s="295"/>
      <c r="S11" s="295"/>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5"/>
      <c r="AQ11" s="295"/>
      <c r="AR11" s="295"/>
      <c r="AS11" s="295"/>
      <c r="AT11" s="295"/>
      <c r="AU11" s="295"/>
      <c r="AV11" s="295"/>
      <c r="AW11" s="295"/>
      <c r="AX11" s="295"/>
      <c r="AY11" s="295"/>
      <c r="AZ11" s="295"/>
      <c r="BA11" s="295"/>
      <c r="BB11" s="295"/>
      <c r="BC11" s="295"/>
      <c r="BD11" s="295"/>
      <c r="BE11" s="295"/>
      <c r="BF11" s="295"/>
      <c r="BG11" s="295"/>
      <c r="BH11" s="295"/>
      <c r="BI11" s="295"/>
      <c r="BJ11" s="295"/>
      <c r="BK11" s="295"/>
      <c r="BL11" s="295"/>
    </row>
    <row r="12" spans="1:64" customFormat="1" ht="14.4">
      <c r="B12" s="667"/>
      <c r="C12" s="85" t="s">
        <v>54</v>
      </c>
      <c r="D12" s="296"/>
      <c r="E12" s="297"/>
      <c r="F12" s="297"/>
      <c r="G12" s="297"/>
      <c r="H12" s="297"/>
      <c r="I12" s="297"/>
      <c r="J12" s="297"/>
      <c r="K12" s="297"/>
      <c r="L12" s="297"/>
      <c r="M12" s="297"/>
      <c r="N12" s="297"/>
      <c r="O12" s="297"/>
      <c r="P12" s="297"/>
      <c r="Q12" s="297"/>
      <c r="R12" s="297">
        <v>0.14199999999999999</v>
      </c>
      <c r="S12" s="297">
        <v>0.14199999999999999</v>
      </c>
      <c r="T12" s="297">
        <v>0.14199999999999999</v>
      </c>
      <c r="U12" s="297">
        <v>0.14199999999999999</v>
      </c>
      <c r="V12" s="297">
        <v>0.14199999999999999</v>
      </c>
      <c r="W12" s="297">
        <v>0.14099999999999999</v>
      </c>
      <c r="X12" s="297">
        <v>0.14000000000000001</v>
      </c>
      <c r="Y12" s="297">
        <v>0.13800000000000001</v>
      </c>
      <c r="Z12" s="297">
        <v>0.13700000000000001</v>
      </c>
      <c r="AA12" s="297">
        <v>0.13500000000000001</v>
      </c>
      <c r="AB12" s="297">
        <v>0.13300000000000001</v>
      </c>
      <c r="AC12" s="297">
        <v>0.13200000000000001</v>
      </c>
      <c r="AD12" s="297">
        <v>0.13100000000000001</v>
      </c>
      <c r="AE12" s="297">
        <v>0.13</v>
      </c>
      <c r="AF12" s="297">
        <v>0.129</v>
      </c>
      <c r="AG12" s="297">
        <v>0.128</v>
      </c>
      <c r="AH12" s="297">
        <v>0.128</v>
      </c>
      <c r="AI12" s="297">
        <v>0.127</v>
      </c>
      <c r="AJ12" s="297">
        <v>0.127</v>
      </c>
      <c r="AK12" s="297">
        <v>0.126</v>
      </c>
      <c r="AL12" s="297">
        <v>0.126</v>
      </c>
      <c r="AM12" s="297">
        <v>0.125</v>
      </c>
      <c r="AN12" s="297">
        <v>0.124</v>
      </c>
      <c r="AO12" s="297">
        <v>0.123</v>
      </c>
      <c r="AP12" s="297">
        <v>0.122</v>
      </c>
      <c r="AQ12" s="297">
        <v>0.121</v>
      </c>
      <c r="AR12" s="297">
        <v>0.121</v>
      </c>
      <c r="AS12" s="297">
        <v>0.12</v>
      </c>
      <c r="AT12" s="297">
        <v>0.11899999999999999</v>
      </c>
      <c r="AU12" s="297">
        <v>0.11899999999999999</v>
      </c>
      <c r="AV12" s="297">
        <v>0.11799999999999999</v>
      </c>
      <c r="AW12" s="297">
        <v>0.11799999999999999</v>
      </c>
      <c r="AX12" s="297">
        <v>0.11700000000000001</v>
      </c>
      <c r="AY12" s="297">
        <v>0.11700000000000001</v>
      </c>
      <c r="AZ12" s="297">
        <v>0.11600000000000001</v>
      </c>
      <c r="BA12" s="297">
        <v>0.11600000000000001</v>
      </c>
      <c r="BB12" s="297">
        <v>0.115</v>
      </c>
      <c r="BC12" s="297">
        <v>0.115</v>
      </c>
      <c r="BD12" s="297">
        <v>0.114</v>
      </c>
      <c r="BE12" s="297">
        <v>0.114</v>
      </c>
      <c r="BF12" s="297">
        <v>0.113</v>
      </c>
      <c r="BG12" s="297">
        <v>0.113</v>
      </c>
      <c r="BH12" s="297">
        <v>0.113</v>
      </c>
      <c r="BI12" s="297">
        <v>0.112</v>
      </c>
      <c r="BJ12" s="297">
        <v>0.112</v>
      </c>
      <c r="BK12" s="297">
        <v>0.112</v>
      </c>
      <c r="BL12" s="297">
        <v>0.112</v>
      </c>
    </row>
    <row r="13" spans="1:64" customFormat="1" ht="14.4">
      <c r="B13" s="667"/>
      <c r="C13" s="85" t="s">
        <v>89</v>
      </c>
      <c r="D13" s="296"/>
      <c r="E13" s="297"/>
      <c r="F13" s="297"/>
      <c r="G13" s="297"/>
      <c r="H13" s="297"/>
      <c r="I13" s="297"/>
      <c r="J13" s="297"/>
      <c r="K13" s="297"/>
      <c r="L13" s="297"/>
      <c r="M13" s="297"/>
      <c r="N13" s="297"/>
      <c r="O13" s="297"/>
      <c r="P13" s="297"/>
      <c r="Q13" s="297"/>
      <c r="R13" s="297">
        <v>0.14199999999999999</v>
      </c>
      <c r="S13" s="297">
        <v>0.14199999999999999</v>
      </c>
      <c r="T13" s="297">
        <v>0.14199999999999999</v>
      </c>
      <c r="U13" s="297">
        <v>0.14199999999999999</v>
      </c>
      <c r="V13" s="297">
        <v>0.14199999999999999</v>
      </c>
      <c r="W13" s="297">
        <v>0.14099999999999999</v>
      </c>
      <c r="X13" s="297">
        <v>0.14000000000000001</v>
      </c>
      <c r="Y13" s="297">
        <v>0.13800000000000001</v>
      </c>
      <c r="Z13" s="297">
        <v>0.13700000000000001</v>
      </c>
      <c r="AA13" s="297">
        <v>0.13500000000000001</v>
      </c>
      <c r="AB13" s="297">
        <v>0.13400000000000001</v>
      </c>
      <c r="AC13" s="297">
        <v>0.13200000000000001</v>
      </c>
      <c r="AD13" s="297">
        <v>0.13100000000000001</v>
      </c>
      <c r="AE13" s="297">
        <v>0.13</v>
      </c>
      <c r="AF13" s="297">
        <v>0.13</v>
      </c>
      <c r="AG13" s="297">
        <v>0.129</v>
      </c>
      <c r="AH13" s="297">
        <v>0.129</v>
      </c>
      <c r="AI13" s="297">
        <v>0.129</v>
      </c>
      <c r="AJ13" s="297">
        <v>0.129</v>
      </c>
      <c r="AK13" s="297">
        <v>0.128</v>
      </c>
      <c r="AL13" s="297">
        <v>0.128</v>
      </c>
      <c r="AM13" s="297">
        <v>0.128</v>
      </c>
      <c r="AN13" s="297">
        <v>0.127</v>
      </c>
      <c r="AO13" s="297">
        <v>0.126</v>
      </c>
      <c r="AP13" s="297">
        <v>0.126</v>
      </c>
      <c r="AQ13" s="297">
        <v>0.125</v>
      </c>
      <c r="AR13" s="297">
        <v>0.124</v>
      </c>
      <c r="AS13" s="297">
        <v>0.123</v>
      </c>
      <c r="AT13" s="297">
        <v>0.123</v>
      </c>
      <c r="AU13" s="297">
        <v>0.123</v>
      </c>
      <c r="AV13" s="297">
        <v>0.122</v>
      </c>
      <c r="AW13" s="297">
        <v>0.122</v>
      </c>
      <c r="AX13" s="297">
        <v>0.122</v>
      </c>
      <c r="AY13" s="297">
        <v>0.121</v>
      </c>
      <c r="AZ13" s="297">
        <v>0.121</v>
      </c>
      <c r="BA13" s="297">
        <v>0.12</v>
      </c>
      <c r="BB13" s="297">
        <v>0.12</v>
      </c>
      <c r="BC13" s="297">
        <v>0.12</v>
      </c>
      <c r="BD13" s="297">
        <v>0.11899999999999999</v>
      </c>
      <c r="BE13" s="297">
        <v>0.11899999999999999</v>
      </c>
      <c r="BF13" s="297">
        <v>0.11899999999999999</v>
      </c>
      <c r="BG13" s="297">
        <v>0.11799999999999999</v>
      </c>
      <c r="BH13" s="297">
        <v>0.11799999999999999</v>
      </c>
      <c r="BI13" s="297">
        <v>0.11799999999999999</v>
      </c>
      <c r="BJ13" s="297">
        <v>0.11799999999999999</v>
      </c>
      <c r="BK13" s="297">
        <v>0.11799999999999999</v>
      </c>
      <c r="BL13" s="297">
        <v>0.11700000000000001</v>
      </c>
    </row>
    <row r="14" spans="1:64" customFormat="1" ht="14.4">
      <c r="B14" s="667"/>
      <c r="C14" s="85" t="s">
        <v>55</v>
      </c>
      <c r="D14" s="296"/>
      <c r="E14" s="297"/>
      <c r="F14" s="297"/>
      <c r="G14" s="297"/>
      <c r="H14" s="297"/>
      <c r="I14" s="297"/>
      <c r="J14" s="297"/>
      <c r="K14" s="297"/>
      <c r="L14" s="297"/>
      <c r="M14" s="297"/>
      <c r="N14" s="297"/>
      <c r="O14" s="297"/>
      <c r="P14" s="297"/>
      <c r="Q14" s="297"/>
      <c r="R14" s="297">
        <v>0.14199999999999999</v>
      </c>
      <c r="S14" s="297">
        <v>0.14199999999999999</v>
      </c>
      <c r="T14" s="297">
        <v>0.14199999999999999</v>
      </c>
      <c r="U14" s="297">
        <v>0.14199999999999999</v>
      </c>
      <c r="V14" s="297">
        <v>0.14199999999999999</v>
      </c>
      <c r="W14" s="297">
        <v>0.14099999999999999</v>
      </c>
      <c r="X14" s="297">
        <v>0.14000000000000001</v>
      </c>
      <c r="Y14" s="297">
        <v>0.13900000000000001</v>
      </c>
      <c r="Z14" s="297">
        <v>0.13800000000000001</v>
      </c>
      <c r="AA14" s="297">
        <v>0.13700000000000001</v>
      </c>
      <c r="AB14" s="297">
        <v>0.13500000000000001</v>
      </c>
      <c r="AC14" s="297">
        <v>0.13500000000000001</v>
      </c>
      <c r="AD14" s="297">
        <v>0.13400000000000001</v>
      </c>
      <c r="AE14" s="297">
        <v>0.13400000000000001</v>
      </c>
      <c r="AF14" s="297">
        <v>0.13300000000000001</v>
      </c>
      <c r="AG14" s="297">
        <v>0.13300000000000001</v>
      </c>
      <c r="AH14" s="297">
        <v>0.13200000000000001</v>
      </c>
      <c r="AI14" s="297">
        <v>0.13200000000000001</v>
      </c>
      <c r="AJ14" s="297">
        <v>0.13200000000000001</v>
      </c>
      <c r="AK14" s="297">
        <v>0.13200000000000001</v>
      </c>
      <c r="AL14" s="297">
        <v>0.13200000000000001</v>
      </c>
      <c r="AM14" s="297">
        <v>0.13200000000000001</v>
      </c>
      <c r="AN14" s="297">
        <v>0.13100000000000001</v>
      </c>
      <c r="AO14" s="297">
        <v>0.13100000000000001</v>
      </c>
      <c r="AP14" s="297">
        <v>0.13100000000000001</v>
      </c>
      <c r="AQ14" s="297">
        <v>0.13</v>
      </c>
      <c r="AR14" s="297">
        <v>0.13</v>
      </c>
      <c r="AS14" s="297">
        <v>0.129</v>
      </c>
      <c r="AT14" s="297">
        <v>0.129</v>
      </c>
      <c r="AU14" s="297">
        <v>0.129</v>
      </c>
      <c r="AV14" s="297">
        <v>0.129</v>
      </c>
      <c r="AW14" s="297">
        <v>0.129</v>
      </c>
      <c r="AX14" s="297">
        <v>0.129</v>
      </c>
      <c r="AY14" s="297">
        <v>0.128</v>
      </c>
      <c r="AZ14" s="297">
        <v>0.128</v>
      </c>
      <c r="BA14" s="297">
        <v>0.128</v>
      </c>
      <c r="BB14" s="297">
        <v>0.128</v>
      </c>
      <c r="BC14" s="297">
        <v>0.128</v>
      </c>
      <c r="BD14" s="297">
        <v>0.128</v>
      </c>
      <c r="BE14" s="297">
        <v>0.128</v>
      </c>
      <c r="BF14" s="297">
        <v>0.127</v>
      </c>
      <c r="BG14" s="297">
        <v>0.127</v>
      </c>
      <c r="BH14" s="297">
        <v>0.127</v>
      </c>
      <c r="BI14" s="297">
        <v>0.127</v>
      </c>
      <c r="BJ14" s="297">
        <v>0.127</v>
      </c>
      <c r="BK14" s="297">
        <v>0.127</v>
      </c>
      <c r="BL14" s="297">
        <v>0.127</v>
      </c>
    </row>
    <row r="15" spans="1:64" customFormat="1" ht="14.4">
      <c r="B15" s="667"/>
      <c r="C15" s="85" t="s">
        <v>56</v>
      </c>
      <c r="D15" s="296"/>
      <c r="E15" s="297"/>
      <c r="F15" s="297"/>
      <c r="G15" s="297"/>
      <c r="H15" s="297"/>
      <c r="I15" s="297"/>
      <c r="J15" s="297"/>
      <c r="K15" s="297"/>
      <c r="L15" s="297"/>
      <c r="M15" s="297"/>
      <c r="N15" s="297"/>
      <c r="O15" s="297"/>
      <c r="P15" s="297"/>
      <c r="Q15" s="297"/>
      <c r="R15" s="297">
        <v>0.14199999999999999</v>
      </c>
      <c r="S15" s="297">
        <v>0.14199999999999999</v>
      </c>
      <c r="T15" s="297">
        <v>0.14199999999999999</v>
      </c>
      <c r="U15" s="297">
        <v>0.14199999999999999</v>
      </c>
      <c r="V15" s="297">
        <v>0.14199999999999999</v>
      </c>
      <c r="W15" s="297">
        <v>0.14099999999999999</v>
      </c>
      <c r="X15" s="297">
        <v>0.14000000000000001</v>
      </c>
      <c r="Y15" s="297">
        <v>0.13900000000000001</v>
      </c>
      <c r="Z15" s="297">
        <v>0.13700000000000001</v>
      </c>
      <c r="AA15" s="297">
        <v>0.13600000000000001</v>
      </c>
      <c r="AB15" s="297">
        <v>0.13500000000000001</v>
      </c>
      <c r="AC15" s="297">
        <v>0.13500000000000001</v>
      </c>
      <c r="AD15" s="297">
        <v>0.13500000000000001</v>
      </c>
      <c r="AE15" s="297">
        <v>0.13600000000000001</v>
      </c>
      <c r="AF15" s="297">
        <v>0.13600000000000001</v>
      </c>
      <c r="AG15" s="297">
        <v>0.13600000000000001</v>
      </c>
      <c r="AH15" s="297">
        <v>0.13600000000000001</v>
      </c>
      <c r="AI15" s="297">
        <v>0.13700000000000001</v>
      </c>
      <c r="AJ15" s="297">
        <v>0.13700000000000001</v>
      </c>
      <c r="AK15" s="297">
        <v>0.13700000000000001</v>
      </c>
      <c r="AL15" s="297">
        <v>0.13800000000000001</v>
      </c>
      <c r="AM15" s="297">
        <v>0.13800000000000001</v>
      </c>
      <c r="AN15" s="297">
        <v>0.13800000000000001</v>
      </c>
      <c r="AO15" s="297">
        <v>0.13800000000000001</v>
      </c>
      <c r="AP15" s="297">
        <v>0.13700000000000001</v>
      </c>
      <c r="AQ15" s="297">
        <v>0.13700000000000001</v>
      </c>
      <c r="AR15" s="297">
        <v>0.13700000000000001</v>
      </c>
      <c r="AS15" s="297">
        <v>0.13600000000000001</v>
      </c>
      <c r="AT15" s="297">
        <v>0.13600000000000001</v>
      </c>
      <c r="AU15" s="297">
        <v>0.13600000000000001</v>
      </c>
      <c r="AV15" s="297">
        <v>0.13700000000000001</v>
      </c>
      <c r="AW15" s="297">
        <v>0.13700000000000001</v>
      </c>
      <c r="AX15" s="297">
        <v>0.13700000000000001</v>
      </c>
      <c r="AY15" s="297">
        <v>0.13700000000000001</v>
      </c>
      <c r="AZ15" s="297">
        <v>0.13600000000000001</v>
      </c>
      <c r="BA15" s="297">
        <v>0.13600000000000001</v>
      </c>
      <c r="BB15" s="297">
        <v>0.13600000000000001</v>
      </c>
      <c r="BC15" s="297">
        <v>0.13600000000000001</v>
      </c>
      <c r="BD15" s="297">
        <v>0.13600000000000001</v>
      </c>
      <c r="BE15" s="297">
        <v>0.13600000000000001</v>
      </c>
      <c r="BF15" s="297">
        <v>0.13600000000000001</v>
      </c>
      <c r="BG15" s="297">
        <v>0.13600000000000001</v>
      </c>
      <c r="BH15" s="297">
        <v>0.13600000000000001</v>
      </c>
      <c r="BI15" s="297">
        <v>0.13600000000000001</v>
      </c>
      <c r="BJ15" s="297">
        <v>0.13600000000000001</v>
      </c>
      <c r="BK15" s="297">
        <v>0.13600000000000001</v>
      </c>
      <c r="BL15" s="297">
        <v>0.13600000000000001</v>
      </c>
    </row>
    <row r="16" spans="1:64" customFormat="1" ht="15" thickBot="1">
      <c r="B16" s="668"/>
      <c r="C16" s="86" t="s">
        <v>57</v>
      </c>
      <c r="D16" s="299"/>
      <c r="E16" s="300"/>
      <c r="F16" s="300"/>
      <c r="G16" s="300"/>
      <c r="H16" s="300"/>
      <c r="I16" s="300"/>
      <c r="J16" s="300"/>
      <c r="K16" s="300"/>
      <c r="L16" s="300"/>
      <c r="M16" s="300"/>
      <c r="N16" s="300"/>
      <c r="O16" s="300"/>
      <c r="P16" s="300"/>
      <c r="Q16" s="300"/>
      <c r="R16" s="300">
        <v>0.14199999999999999</v>
      </c>
      <c r="S16" s="300">
        <v>0.14199999999999999</v>
      </c>
      <c r="T16" s="300">
        <v>0.14199999999999999</v>
      </c>
      <c r="U16" s="300">
        <v>0.14199999999999999</v>
      </c>
      <c r="V16" s="300">
        <v>0.14199999999999999</v>
      </c>
      <c r="W16" s="300">
        <v>0.14099999999999999</v>
      </c>
      <c r="X16" s="300">
        <v>0.14099999999999999</v>
      </c>
      <c r="Y16" s="300">
        <v>0.13900000000000001</v>
      </c>
      <c r="Z16" s="300">
        <v>0.13800000000000001</v>
      </c>
      <c r="AA16" s="300">
        <v>0.13700000000000001</v>
      </c>
      <c r="AB16" s="300">
        <v>0.13600000000000001</v>
      </c>
      <c r="AC16" s="300">
        <v>0.13700000000000001</v>
      </c>
      <c r="AD16" s="300">
        <v>0.13800000000000001</v>
      </c>
      <c r="AE16" s="300">
        <v>0.13800000000000001</v>
      </c>
      <c r="AF16" s="300">
        <v>0.13900000000000001</v>
      </c>
      <c r="AG16" s="300">
        <v>0.14000000000000001</v>
      </c>
      <c r="AH16" s="300">
        <v>0.14000000000000001</v>
      </c>
      <c r="AI16" s="300">
        <v>0.14099999999999999</v>
      </c>
      <c r="AJ16" s="300">
        <v>0.14199999999999999</v>
      </c>
      <c r="AK16" s="300">
        <v>0.14199999999999999</v>
      </c>
      <c r="AL16" s="300">
        <v>0.14299999999999999</v>
      </c>
      <c r="AM16" s="300">
        <v>0.14399999999999999</v>
      </c>
      <c r="AN16" s="300">
        <v>0.14399999999999999</v>
      </c>
      <c r="AO16" s="300">
        <v>0.14399999999999999</v>
      </c>
      <c r="AP16" s="300">
        <v>0.14399999999999999</v>
      </c>
      <c r="AQ16" s="300">
        <v>0.14399999999999999</v>
      </c>
      <c r="AR16" s="300">
        <v>0.14399999999999999</v>
      </c>
      <c r="AS16" s="300">
        <v>0.14399999999999999</v>
      </c>
      <c r="AT16" s="300">
        <v>0.14399999999999999</v>
      </c>
      <c r="AU16" s="300">
        <v>0.14499999999999999</v>
      </c>
      <c r="AV16" s="300">
        <v>0.14499999999999999</v>
      </c>
      <c r="AW16" s="300">
        <v>0.14499999999999999</v>
      </c>
      <c r="AX16" s="300">
        <v>0.14599999999999999</v>
      </c>
      <c r="AY16" s="300">
        <v>0.14599999999999999</v>
      </c>
      <c r="AZ16" s="300">
        <v>0.14599999999999999</v>
      </c>
      <c r="BA16" s="300">
        <v>0.14599999999999999</v>
      </c>
      <c r="BB16" s="300">
        <v>0.14599999999999999</v>
      </c>
      <c r="BC16" s="300">
        <v>0.14699999999999999</v>
      </c>
      <c r="BD16" s="300">
        <v>0.14699999999999999</v>
      </c>
      <c r="BE16" s="300">
        <v>0.14699999999999999</v>
      </c>
      <c r="BF16" s="300">
        <v>0.14699999999999999</v>
      </c>
      <c r="BG16" s="300">
        <v>0.14699999999999999</v>
      </c>
      <c r="BH16" s="300">
        <v>0.14699999999999999</v>
      </c>
      <c r="BI16" s="300">
        <v>0.14699999999999999</v>
      </c>
      <c r="BJ16" s="300">
        <v>0.14699999999999999</v>
      </c>
      <c r="BK16" s="300">
        <v>0.14699999999999999</v>
      </c>
      <c r="BL16" s="300">
        <v>0.14799999999999999</v>
      </c>
    </row>
    <row r="17" spans="2:17">
      <c r="B17" s="3"/>
      <c r="D17" s="4"/>
      <c r="E17" s="4"/>
      <c r="F17" s="4"/>
      <c r="G17" s="4"/>
      <c r="H17" s="4"/>
      <c r="I17" s="4"/>
      <c r="J17" s="4"/>
      <c r="K17" s="4"/>
      <c r="L17" s="4"/>
      <c r="M17" s="4"/>
      <c r="N17" s="4"/>
    </row>
    <row r="18" spans="2:17">
      <c r="B18" s="3"/>
      <c r="D18" s="4"/>
      <c r="E18" s="4"/>
      <c r="F18" s="4"/>
      <c r="G18" s="4"/>
      <c r="H18" s="4"/>
      <c r="I18" s="4"/>
      <c r="J18" s="4"/>
      <c r="K18" s="4"/>
      <c r="L18" s="4"/>
      <c r="M18" s="4"/>
      <c r="N18" s="4"/>
    </row>
    <row r="19" spans="2:17">
      <c r="B19" s="3"/>
      <c r="D19" s="4"/>
      <c r="E19" s="4"/>
      <c r="F19" s="4"/>
      <c r="G19" s="4"/>
      <c r="H19" s="4"/>
      <c r="I19" s="4"/>
      <c r="J19" s="4"/>
      <c r="K19" s="4"/>
      <c r="L19" s="4"/>
      <c r="M19" s="4"/>
      <c r="N19" s="4"/>
      <c r="Q19" s="223"/>
    </row>
    <row r="20" spans="2:17">
      <c r="B20" s="3"/>
      <c r="D20" s="4"/>
      <c r="E20" s="4"/>
      <c r="F20" s="4"/>
      <c r="G20" s="4"/>
      <c r="H20" s="4"/>
      <c r="I20" s="4"/>
      <c r="J20" s="4"/>
      <c r="K20" s="4"/>
      <c r="L20" s="4"/>
      <c r="M20" s="4"/>
      <c r="N20" s="4"/>
      <c r="Q20" s="223"/>
    </row>
    <row r="21" spans="2:17">
      <c r="B21" s="3"/>
      <c r="D21" s="4"/>
      <c r="E21" s="4"/>
      <c r="F21" s="4"/>
      <c r="G21" s="4"/>
      <c r="H21" s="4"/>
      <c r="I21" s="4"/>
      <c r="J21" s="4"/>
      <c r="K21" s="4"/>
      <c r="L21" s="4"/>
      <c r="M21" s="4"/>
      <c r="N21" s="4"/>
    </row>
    <row r="22" spans="2:17">
      <c r="B22" s="3"/>
      <c r="D22" s="4"/>
      <c r="E22" s="4"/>
      <c r="F22" s="4"/>
      <c r="G22" s="4"/>
      <c r="H22" s="4"/>
      <c r="I22" s="4"/>
      <c r="J22" s="4"/>
      <c r="K22" s="4"/>
      <c r="L22" s="4"/>
      <c r="M22" s="4"/>
      <c r="N22" s="4"/>
    </row>
    <row r="24" spans="2:17" ht="15.6">
      <c r="D24" s="679" t="s">
        <v>46</v>
      </c>
      <c r="E24" s="679"/>
      <c r="F24" s="679"/>
      <c r="G24" s="679"/>
      <c r="H24" s="679" t="s">
        <v>47</v>
      </c>
      <c r="I24" s="679"/>
      <c r="J24" s="679"/>
      <c r="K24" s="679"/>
    </row>
    <row r="38" spans="2:64" ht="18" customHeight="1"/>
    <row r="41" spans="2:64" ht="15.6">
      <c r="B41" s="98" t="s">
        <v>250</v>
      </c>
    </row>
    <row r="42" spans="2:64" ht="14.4" thickBot="1"/>
    <row r="43" spans="2:64" ht="14.4" thickBot="1">
      <c r="B43" s="370"/>
      <c r="C43" s="371"/>
      <c r="D43" s="370">
        <v>2000</v>
      </c>
      <c r="E43" s="372">
        <v>2001</v>
      </c>
      <c r="F43" s="372">
        <v>2002</v>
      </c>
      <c r="G43" s="372">
        <v>2003</v>
      </c>
      <c r="H43" s="372">
        <v>2004</v>
      </c>
      <c r="I43" s="372">
        <v>2005</v>
      </c>
      <c r="J43" s="372">
        <v>2006</v>
      </c>
      <c r="K43" s="372">
        <v>2007</v>
      </c>
      <c r="L43" s="372">
        <v>2008</v>
      </c>
      <c r="M43" s="372">
        <v>2009</v>
      </c>
      <c r="N43" s="372">
        <v>2010</v>
      </c>
      <c r="O43" s="372">
        <v>2011</v>
      </c>
      <c r="P43" s="372">
        <v>2012</v>
      </c>
      <c r="Q43" s="372">
        <v>2013</v>
      </c>
      <c r="R43" s="372">
        <v>2014</v>
      </c>
      <c r="S43" s="372">
        <v>2015</v>
      </c>
      <c r="T43" s="372">
        <v>2016</v>
      </c>
      <c r="U43" s="372">
        <v>2017</v>
      </c>
      <c r="V43" s="372">
        <v>2018</v>
      </c>
      <c r="W43" s="372">
        <v>2019</v>
      </c>
      <c r="X43" s="372">
        <v>2020</v>
      </c>
      <c r="Y43" s="372">
        <v>2021</v>
      </c>
      <c r="Z43" s="372">
        <v>2022</v>
      </c>
      <c r="AA43" s="372">
        <v>2023</v>
      </c>
      <c r="AB43" s="372">
        <v>2024</v>
      </c>
      <c r="AC43" s="372">
        <v>2025</v>
      </c>
      <c r="AD43" s="372">
        <v>2026</v>
      </c>
      <c r="AE43" s="372">
        <v>2027</v>
      </c>
      <c r="AF43" s="372">
        <v>2028</v>
      </c>
      <c r="AG43" s="372">
        <v>2029</v>
      </c>
      <c r="AH43" s="372">
        <v>2030</v>
      </c>
      <c r="AI43" s="372">
        <v>2031</v>
      </c>
      <c r="AJ43" s="372">
        <v>2032</v>
      </c>
      <c r="AK43" s="372">
        <v>2033</v>
      </c>
      <c r="AL43" s="372">
        <v>2034</v>
      </c>
      <c r="AM43" s="372">
        <v>2035</v>
      </c>
      <c r="AN43" s="372">
        <v>2036</v>
      </c>
      <c r="AO43" s="372">
        <v>2037</v>
      </c>
      <c r="AP43" s="372">
        <v>2038</v>
      </c>
      <c r="AQ43" s="372">
        <v>2039</v>
      </c>
      <c r="AR43" s="372">
        <v>2040</v>
      </c>
      <c r="AS43" s="372">
        <v>2041</v>
      </c>
      <c r="AT43" s="372">
        <v>2042</v>
      </c>
      <c r="AU43" s="372">
        <v>2043</v>
      </c>
      <c r="AV43" s="372">
        <v>2044</v>
      </c>
      <c r="AW43" s="372">
        <v>2045</v>
      </c>
      <c r="AX43" s="372">
        <v>2046</v>
      </c>
      <c r="AY43" s="372">
        <v>2047</v>
      </c>
      <c r="AZ43" s="372">
        <v>2048</v>
      </c>
      <c r="BA43" s="372">
        <v>2049</v>
      </c>
      <c r="BB43" s="372">
        <v>2050</v>
      </c>
      <c r="BC43" s="372">
        <v>2051</v>
      </c>
      <c r="BD43" s="372">
        <v>2052</v>
      </c>
      <c r="BE43" s="372">
        <v>2053</v>
      </c>
      <c r="BF43" s="372">
        <v>2054</v>
      </c>
      <c r="BG43" s="372">
        <v>2055</v>
      </c>
      <c r="BH43" s="372">
        <v>2056</v>
      </c>
      <c r="BI43" s="372">
        <v>2057</v>
      </c>
      <c r="BJ43" s="372">
        <v>2058</v>
      </c>
      <c r="BK43" s="372">
        <v>2059</v>
      </c>
      <c r="BL43" s="372">
        <v>2060</v>
      </c>
    </row>
    <row r="44" spans="2:64" ht="15.75" customHeight="1">
      <c r="B44" s="676" t="s">
        <v>71</v>
      </c>
      <c r="C44" s="384" t="s">
        <v>217</v>
      </c>
      <c r="D44" s="375"/>
      <c r="E44" s="376"/>
      <c r="F44" s="376"/>
      <c r="G44" s="376"/>
      <c r="H44" s="376"/>
      <c r="I44" s="376"/>
      <c r="J44" s="376"/>
      <c r="K44" s="376"/>
      <c r="L44" s="376"/>
      <c r="M44" s="376"/>
      <c r="N44" s="376"/>
      <c r="O44" s="376"/>
      <c r="P44" s="376"/>
      <c r="Q44" s="376"/>
      <c r="R44" s="376">
        <v>0.13800000000000001</v>
      </c>
      <c r="S44" s="376">
        <v>0.13800000000000001</v>
      </c>
      <c r="T44" s="376">
        <v>0.13900000000000001</v>
      </c>
      <c r="U44" s="376">
        <v>0.13800000000000001</v>
      </c>
      <c r="V44" s="376">
        <v>0.13800000000000001</v>
      </c>
      <c r="W44" s="376">
        <v>0.13600000000000001</v>
      </c>
      <c r="X44" s="376">
        <v>0.13700000000000001</v>
      </c>
      <c r="Y44" s="376">
        <v>0.13600000000000001</v>
      </c>
      <c r="Z44" s="376">
        <v>0.13600000000000001</v>
      </c>
      <c r="AA44" s="376">
        <v>0.13500000000000001</v>
      </c>
      <c r="AB44" s="376">
        <v>0.13500000000000001</v>
      </c>
      <c r="AC44" s="376">
        <v>0.13400000000000001</v>
      </c>
      <c r="AD44" s="376">
        <v>0.13400000000000001</v>
      </c>
      <c r="AE44" s="376">
        <v>0.13400000000000001</v>
      </c>
      <c r="AF44" s="376">
        <v>0.13400000000000001</v>
      </c>
      <c r="AG44" s="376">
        <v>0.13400000000000001</v>
      </c>
      <c r="AH44" s="376">
        <v>0.13400000000000001</v>
      </c>
      <c r="AI44" s="376">
        <v>0.13400000000000001</v>
      </c>
      <c r="AJ44" s="376">
        <v>0.13300000000000001</v>
      </c>
      <c r="AK44" s="376">
        <v>0.13300000000000001</v>
      </c>
      <c r="AL44" s="376">
        <v>0.13300000000000001</v>
      </c>
      <c r="AM44" s="376">
        <v>0.13300000000000001</v>
      </c>
      <c r="AN44" s="376">
        <v>0.13300000000000001</v>
      </c>
      <c r="AO44" s="376">
        <v>0.13300000000000001</v>
      </c>
      <c r="AP44" s="376">
        <v>0.13300000000000001</v>
      </c>
      <c r="AQ44" s="376">
        <v>0.13300000000000001</v>
      </c>
      <c r="AR44" s="376">
        <v>0.13300000000000001</v>
      </c>
      <c r="AS44" s="376">
        <v>0.13200000000000001</v>
      </c>
      <c r="AT44" s="376">
        <v>0.13200000000000001</v>
      </c>
      <c r="AU44" s="376">
        <v>0.13200000000000001</v>
      </c>
      <c r="AV44" s="376">
        <v>0.13200000000000001</v>
      </c>
      <c r="AW44" s="376">
        <v>0.13200000000000001</v>
      </c>
      <c r="AX44" s="376">
        <v>0.13200000000000001</v>
      </c>
      <c r="AY44" s="376">
        <v>0.13200000000000001</v>
      </c>
      <c r="AZ44" s="376">
        <v>0.13200000000000001</v>
      </c>
      <c r="BA44" s="376">
        <v>0.13200000000000001</v>
      </c>
      <c r="BB44" s="376">
        <v>0.13200000000000001</v>
      </c>
      <c r="BC44" s="376">
        <v>0.13200000000000001</v>
      </c>
      <c r="BD44" s="376">
        <v>0.13200000000000001</v>
      </c>
      <c r="BE44" s="376">
        <v>0.13200000000000001</v>
      </c>
      <c r="BF44" s="376">
        <v>0.13200000000000001</v>
      </c>
      <c r="BG44" s="376">
        <v>0.13100000000000001</v>
      </c>
      <c r="BH44" s="376">
        <v>0.13100000000000001</v>
      </c>
      <c r="BI44" s="376">
        <v>0.13100000000000001</v>
      </c>
      <c r="BJ44" s="376">
        <v>0.13100000000000001</v>
      </c>
      <c r="BK44" s="376">
        <v>0.13100000000000001</v>
      </c>
      <c r="BL44" s="376">
        <v>0.13100000000000001</v>
      </c>
    </row>
    <row r="45" spans="2:64">
      <c r="B45" s="677"/>
      <c r="C45" s="385" t="s">
        <v>218</v>
      </c>
      <c r="D45" s="379"/>
      <c r="E45" s="321"/>
      <c r="F45" s="321"/>
      <c r="G45" s="321"/>
      <c r="H45" s="321"/>
      <c r="I45" s="321"/>
      <c r="J45" s="321"/>
      <c r="K45" s="321"/>
      <c r="L45" s="321"/>
      <c r="M45" s="321"/>
      <c r="N45" s="321"/>
      <c r="O45" s="321"/>
      <c r="P45" s="321"/>
      <c r="Q45" s="321"/>
      <c r="R45" s="321">
        <v>0.13800000000000001</v>
      </c>
      <c r="S45" s="321">
        <v>0.13800000000000001</v>
      </c>
      <c r="T45" s="321">
        <v>0.13900000000000001</v>
      </c>
      <c r="U45" s="321">
        <v>0.13800000000000001</v>
      </c>
      <c r="V45" s="321">
        <v>0.13800000000000001</v>
      </c>
      <c r="W45" s="321">
        <v>0.13600000000000001</v>
      </c>
      <c r="X45" s="321">
        <v>0.13700000000000001</v>
      </c>
      <c r="Y45" s="321">
        <v>0.13600000000000001</v>
      </c>
      <c r="Z45" s="321">
        <v>0.13600000000000001</v>
      </c>
      <c r="AA45" s="321">
        <v>0.13600000000000001</v>
      </c>
      <c r="AB45" s="321">
        <v>0.13500000000000001</v>
      </c>
      <c r="AC45" s="321">
        <v>0.13500000000000001</v>
      </c>
      <c r="AD45" s="321">
        <v>0.13400000000000001</v>
      </c>
      <c r="AE45" s="321">
        <v>0.13400000000000001</v>
      </c>
      <c r="AF45" s="321">
        <v>0.13400000000000001</v>
      </c>
      <c r="AG45" s="321">
        <v>0.13400000000000001</v>
      </c>
      <c r="AH45" s="321">
        <v>0.13400000000000001</v>
      </c>
      <c r="AI45" s="321">
        <v>0.13400000000000001</v>
      </c>
      <c r="AJ45" s="321">
        <v>0.13400000000000001</v>
      </c>
      <c r="AK45" s="321">
        <v>0.13400000000000001</v>
      </c>
      <c r="AL45" s="321">
        <v>0.13400000000000001</v>
      </c>
      <c r="AM45" s="321">
        <v>0.13400000000000001</v>
      </c>
      <c r="AN45" s="321">
        <v>0.13400000000000001</v>
      </c>
      <c r="AO45" s="321">
        <v>0.13400000000000001</v>
      </c>
      <c r="AP45" s="321">
        <v>0.13300000000000001</v>
      </c>
      <c r="AQ45" s="321">
        <v>0.13300000000000001</v>
      </c>
      <c r="AR45" s="321">
        <v>0.13300000000000001</v>
      </c>
      <c r="AS45" s="321">
        <v>0.13300000000000001</v>
      </c>
      <c r="AT45" s="321">
        <v>0.13300000000000001</v>
      </c>
      <c r="AU45" s="321">
        <v>0.13300000000000001</v>
      </c>
      <c r="AV45" s="321">
        <v>0.13300000000000001</v>
      </c>
      <c r="AW45" s="321">
        <v>0.13300000000000001</v>
      </c>
      <c r="AX45" s="321">
        <v>0.13300000000000001</v>
      </c>
      <c r="AY45" s="321">
        <v>0.13300000000000001</v>
      </c>
      <c r="AZ45" s="321">
        <v>0.13300000000000001</v>
      </c>
      <c r="BA45" s="321">
        <v>0.13300000000000001</v>
      </c>
      <c r="BB45" s="321">
        <v>0.13300000000000001</v>
      </c>
      <c r="BC45" s="321">
        <v>0.13300000000000001</v>
      </c>
      <c r="BD45" s="321">
        <v>0.13300000000000001</v>
      </c>
      <c r="BE45" s="321">
        <v>0.13300000000000001</v>
      </c>
      <c r="BF45" s="321">
        <v>0.13200000000000001</v>
      </c>
      <c r="BG45" s="321">
        <v>0.13200000000000001</v>
      </c>
      <c r="BH45" s="321">
        <v>0.13200000000000001</v>
      </c>
      <c r="BI45" s="321">
        <v>0.13200000000000001</v>
      </c>
      <c r="BJ45" s="321">
        <v>0.13200000000000001</v>
      </c>
      <c r="BK45" s="321">
        <v>0.13200000000000001</v>
      </c>
      <c r="BL45" s="321">
        <v>0.13200000000000001</v>
      </c>
    </row>
    <row r="46" spans="2:64" ht="14.4" thickBot="1">
      <c r="B46" s="678"/>
      <c r="C46" s="386" t="s">
        <v>219</v>
      </c>
      <c r="D46" s="382"/>
      <c r="E46" s="323"/>
      <c r="F46" s="323"/>
      <c r="G46" s="323"/>
      <c r="H46" s="323"/>
      <c r="I46" s="323"/>
      <c r="J46" s="323"/>
      <c r="K46" s="323"/>
      <c r="L46" s="323"/>
      <c r="M46" s="323"/>
      <c r="N46" s="323"/>
      <c r="O46" s="323"/>
      <c r="P46" s="323"/>
      <c r="Q46" s="323"/>
      <c r="R46" s="323">
        <v>0.13800000000000001</v>
      </c>
      <c r="S46" s="323">
        <v>0.13800000000000001</v>
      </c>
      <c r="T46" s="323">
        <v>0.13900000000000001</v>
      </c>
      <c r="U46" s="323">
        <v>0.13800000000000001</v>
      </c>
      <c r="V46" s="323">
        <v>0.13800000000000001</v>
      </c>
      <c r="W46" s="323">
        <v>0.13600000000000001</v>
      </c>
      <c r="X46" s="323">
        <v>0.13700000000000001</v>
      </c>
      <c r="Y46" s="323">
        <v>0.13600000000000001</v>
      </c>
      <c r="Z46" s="323">
        <v>0.13600000000000001</v>
      </c>
      <c r="AA46" s="323">
        <v>0.13600000000000001</v>
      </c>
      <c r="AB46" s="323">
        <v>0.13500000000000001</v>
      </c>
      <c r="AC46" s="323">
        <v>0.13500000000000001</v>
      </c>
      <c r="AD46" s="323">
        <v>0.13500000000000001</v>
      </c>
      <c r="AE46" s="323">
        <v>0.13500000000000001</v>
      </c>
      <c r="AF46" s="323">
        <v>0.13400000000000001</v>
      </c>
      <c r="AG46" s="323">
        <v>0.13400000000000001</v>
      </c>
      <c r="AH46" s="323">
        <v>0.13400000000000001</v>
      </c>
      <c r="AI46" s="323">
        <v>0.13400000000000001</v>
      </c>
      <c r="AJ46" s="323">
        <v>0.13400000000000001</v>
      </c>
      <c r="AK46" s="323">
        <v>0.13400000000000001</v>
      </c>
      <c r="AL46" s="323">
        <v>0.13400000000000001</v>
      </c>
      <c r="AM46" s="323">
        <v>0.13400000000000001</v>
      </c>
      <c r="AN46" s="323">
        <v>0.13400000000000001</v>
      </c>
      <c r="AO46" s="323">
        <v>0.13400000000000001</v>
      </c>
      <c r="AP46" s="323">
        <v>0.13400000000000001</v>
      </c>
      <c r="AQ46" s="323">
        <v>0.13400000000000001</v>
      </c>
      <c r="AR46" s="323">
        <v>0.13400000000000001</v>
      </c>
      <c r="AS46" s="323">
        <v>0.13400000000000001</v>
      </c>
      <c r="AT46" s="323">
        <v>0.13400000000000001</v>
      </c>
      <c r="AU46" s="323">
        <v>0.13400000000000001</v>
      </c>
      <c r="AV46" s="323">
        <v>0.13400000000000001</v>
      </c>
      <c r="AW46" s="323">
        <v>0.13400000000000001</v>
      </c>
      <c r="AX46" s="323">
        <v>0.13400000000000001</v>
      </c>
      <c r="AY46" s="323">
        <v>0.13400000000000001</v>
      </c>
      <c r="AZ46" s="323">
        <v>0.13400000000000001</v>
      </c>
      <c r="BA46" s="323">
        <v>0.13300000000000001</v>
      </c>
      <c r="BB46" s="323">
        <v>0.13300000000000001</v>
      </c>
      <c r="BC46" s="323">
        <v>0.13300000000000001</v>
      </c>
      <c r="BD46" s="323">
        <v>0.13300000000000001</v>
      </c>
      <c r="BE46" s="323">
        <v>0.13300000000000001</v>
      </c>
      <c r="BF46" s="323">
        <v>0.13300000000000001</v>
      </c>
      <c r="BG46" s="323">
        <v>0.13300000000000001</v>
      </c>
      <c r="BH46" s="323">
        <v>0.13300000000000001</v>
      </c>
      <c r="BI46" s="323">
        <v>0.13300000000000001</v>
      </c>
      <c r="BJ46" s="323">
        <v>0.13300000000000001</v>
      </c>
      <c r="BK46" s="323">
        <v>0.13300000000000001</v>
      </c>
      <c r="BL46" s="323">
        <v>0.13300000000000001</v>
      </c>
    </row>
    <row r="47" spans="2:64" ht="15.75" customHeight="1">
      <c r="B47" s="676" t="s">
        <v>72</v>
      </c>
      <c r="C47" s="384" t="s">
        <v>217</v>
      </c>
      <c r="D47" s="375"/>
      <c r="E47" s="376"/>
      <c r="F47" s="376"/>
      <c r="G47" s="376"/>
      <c r="H47" s="376"/>
      <c r="I47" s="376"/>
      <c r="J47" s="376"/>
      <c r="K47" s="376"/>
      <c r="L47" s="376"/>
      <c r="M47" s="376"/>
      <c r="N47" s="376"/>
      <c r="O47" s="376"/>
      <c r="P47" s="376"/>
      <c r="Q47" s="376"/>
      <c r="R47" s="376">
        <v>0.14199999999999999</v>
      </c>
      <c r="S47" s="376">
        <v>0.14199999999999999</v>
      </c>
      <c r="T47" s="376">
        <v>0.14199999999999999</v>
      </c>
      <c r="U47" s="376">
        <v>0.14199999999999999</v>
      </c>
      <c r="V47" s="376">
        <v>0.14199999999999999</v>
      </c>
      <c r="W47" s="376">
        <v>0.14099999999999999</v>
      </c>
      <c r="X47" s="376">
        <v>0.14199999999999999</v>
      </c>
      <c r="Y47" s="376">
        <v>0.14099999999999999</v>
      </c>
      <c r="Z47" s="376">
        <v>0.14099999999999999</v>
      </c>
      <c r="AA47" s="376">
        <v>0.14000000000000001</v>
      </c>
      <c r="AB47" s="376">
        <v>0.13900000000000001</v>
      </c>
      <c r="AC47" s="376">
        <v>0.13800000000000001</v>
      </c>
      <c r="AD47" s="376">
        <v>0.13800000000000001</v>
      </c>
      <c r="AE47" s="376">
        <v>0.13700000000000001</v>
      </c>
      <c r="AF47" s="376">
        <v>0.13700000000000001</v>
      </c>
      <c r="AG47" s="376">
        <v>0.13600000000000001</v>
      </c>
      <c r="AH47" s="376">
        <v>0.13500000000000001</v>
      </c>
      <c r="AI47" s="376">
        <v>0.13500000000000001</v>
      </c>
      <c r="AJ47" s="376">
        <v>0.13400000000000001</v>
      </c>
      <c r="AK47" s="376">
        <v>0.13400000000000001</v>
      </c>
      <c r="AL47" s="376">
        <v>0.13300000000000001</v>
      </c>
      <c r="AM47" s="376">
        <v>0.13200000000000001</v>
      </c>
      <c r="AN47" s="376">
        <v>0.13100000000000001</v>
      </c>
      <c r="AO47" s="376">
        <v>0.13100000000000001</v>
      </c>
      <c r="AP47" s="376">
        <v>0.129</v>
      </c>
      <c r="AQ47" s="376">
        <v>0.128</v>
      </c>
      <c r="AR47" s="376">
        <v>0.127</v>
      </c>
      <c r="AS47" s="376">
        <v>0.127</v>
      </c>
      <c r="AT47" s="376">
        <v>0.126</v>
      </c>
      <c r="AU47" s="376">
        <v>0.125</v>
      </c>
      <c r="AV47" s="376">
        <v>0.125</v>
      </c>
      <c r="AW47" s="376">
        <v>0.124</v>
      </c>
      <c r="AX47" s="376">
        <v>0.123</v>
      </c>
      <c r="AY47" s="376">
        <v>0.123</v>
      </c>
      <c r="AZ47" s="376">
        <v>0.122</v>
      </c>
      <c r="BA47" s="376">
        <v>0.122</v>
      </c>
      <c r="BB47" s="376">
        <v>0.121</v>
      </c>
      <c r="BC47" s="376">
        <v>0.121</v>
      </c>
      <c r="BD47" s="376">
        <v>0.12</v>
      </c>
      <c r="BE47" s="376">
        <v>0.12</v>
      </c>
      <c r="BF47" s="376">
        <v>0.11899999999999999</v>
      </c>
      <c r="BG47" s="376">
        <v>0.11899999999999999</v>
      </c>
      <c r="BH47" s="376">
        <v>0.11799999999999999</v>
      </c>
      <c r="BI47" s="376">
        <v>0.11799999999999999</v>
      </c>
      <c r="BJ47" s="376">
        <v>0.11700000000000001</v>
      </c>
      <c r="BK47" s="376">
        <v>0.11700000000000001</v>
      </c>
      <c r="BL47" s="376">
        <v>0.11700000000000001</v>
      </c>
    </row>
    <row r="48" spans="2:64">
      <c r="B48" s="677"/>
      <c r="C48" s="385" t="s">
        <v>218</v>
      </c>
      <c r="D48" s="379"/>
      <c r="E48" s="321"/>
      <c r="F48" s="321"/>
      <c r="G48" s="321"/>
      <c r="H48" s="321"/>
      <c r="I48" s="321"/>
      <c r="J48" s="321"/>
      <c r="K48" s="321"/>
      <c r="L48" s="321"/>
      <c r="M48" s="321"/>
      <c r="N48" s="321"/>
      <c r="O48" s="321"/>
      <c r="P48" s="321"/>
      <c r="Q48" s="321"/>
      <c r="R48" s="321">
        <v>0.14199999999999999</v>
      </c>
      <c r="S48" s="321">
        <v>0.14199999999999999</v>
      </c>
      <c r="T48" s="321">
        <v>0.14199999999999999</v>
      </c>
      <c r="U48" s="321">
        <v>0.14199999999999999</v>
      </c>
      <c r="V48" s="321">
        <v>0.14199999999999999</v>
      </c>
      <c r="W48" s="321">
        <v>0.14099999999999999</v>
      </c>
      <c r="X48" s="321">
        <v>0.14099999999999999</v>
      </c>
      <c r="Y48" s="321">
        <v>0.14099999999999999</v>
      </c>
      <c r="Z48" s="321">
        <v>0.14099999999999999</v>
      </c>
      <c r="AA48" s="321">
        <v>0.14000000000000001</v>
      </c>
      <c r="AB48" s="321">
        <v>0.13900000000000001</v>
      </c>
      <c r="AC48" s="321">
        <v>0.13900000000000001</v>
      </c>
      <c r="AD48" s="321">
        <v>0.13900000000000001</v>
      </c>
      <c r="AE48" s="321">
        <v>0.13900000000000001</v>
      </c>
      <c r="AF48" s="321">
        <v>0.13900000000000001</v>
      </c>
      <c r="AG48" s="321">
        <v>0.13900000000000001</v>
      </c>
      <c r="AH48" s="321">
        <v>0.13900000000000001</v>
      </c>
      <c r="AI48" s="321">
        <v>0.13900000000000001</v>
      </c>
      <c r="AJ48" s="321">
        <v>0.13900000000000001</v>
      </c>
      <c r="AK48" s="321">
        <v>0.13900000000000001</v>
      </c>
      <c r="AL48" s="321">
        <v>0.13900000000000001</v>
      </c>
      <c r="AM48" s="321">
        <v>0.13900000000000001</v>
      </c>
      <c r="AN48" s="321">
        <v>0.13900000000000001</v>
      </c>
      <c r="AO48" s="321">
        <v>0.13800000000000001</v>
      </c>
      <c r="AP48" s="321">
        <v>0.13800000000000001</v>
      </c>
      <c r="AQ48" s="321">
        <v>0.13700000000000001</v>
      </c>
      <c r="AR48" s="321">
        <v>0.13700000000000001</v>
      </c>
      <c r="AS48" s="321">
        <v>0.13600000000000001</v>
      </c>
      <c r="AT48" s="321">
        <v>0.13600000000000001</v>
      </c>
      <c r="AU48" s="321">
        <v>0.13600000000000001</v>
      </c>
      <c r="AV48" s="321">
        <v>0.13600000000000001</v>
      </c>
      <c r="AW48" s="321">
        <v>0.13500000000000001</v>
      </c>
      <c r="AX48" s="321">
        <v>0.13500000000000001</v>
      </c>
      <c r="AY48" s="321">
        <v>0.13500000000000001</v>
      </c>
      <c r="AZ48" s="321">
        <v>0.13500000000000001</v>
      </c>
      <c r="BA48" s="321">
        <v>0.13400000000000001</v>
      </c>
      <c r="BB48" s="321">
        <v>0.13400000000000001</v>
      </c>
      <c r="BC48" s="321">
        <v>0.13400000000000001</v>
      </c>
      <c r="BD48" s="321">
        <v>0.13400000000000001</v>
      </c>
      <c r="BE48" s="321">
        <v>0.13400000000000001</v>
      </c>
      <c r="BF48" s="321">
        <v>0.13300000000000001</v>
      </c>
      <c r="BG48" s="321">
        <v>0.13300000000000001</v>
      </c>
      <c r="BH48" s="321">
        <v>0.13300000000000001</v>
      </c>
      <c r="BI48" s="321">
        <v>0.13300000000000001</v>
      </c>
      <c r="BJ48" s="321">
        <v>0.13300000000000001</v>
      </c>
      <c r="BK48" s="321">
        <v>0.13300000000000001</v>
      </c>
      <c r="BL48" s="321">
        <v>0.13300000000000001</v>
      </c>
    </row>
    <row r="49" spans="2:64" ht="14.4" thickBot="1">
      <c r="B49" s="678"/>
      <c r="C49" s="386" t="s">
        <v>219</v>
      </c>
      <c r="D49" s="382"/>
      <c r="E49" s="323"/>
      <c r="F49" s="323"/>
      <c r="G49" s="323"/>
      <c r="H49" s="323"/>
      <c r="I49" s="323"/>
      <c r="J49" s="323"/>
      <c r="K49" s="323"/>
      <c r="L49" s="323"/>
      <c r="M49" s="323"/>
      <c r="N49" s="323"/>
      <c r="O49" s="323"/>
      <c r="P49" s="323"/>
      <c r="Q49" s="323"/>
      <c r="R49" s="323">
        <v>0.14199999999999999</v>
      </c>
      <c r="S49" s="323">
        <v>0.14199999999999999</v>
      </c>
      <c r="T49" s="323">
        <v>0.14199999999999999</v>
      </c>
      <c r="U49" s="323">
        <v>0.14199999999999999</v>
      </c>
      <c r="V49" s="323">
        <v>0.14199999999999999</v>
      </c>
      <c r="W49" s="323">
        <v>0.14099999999999999</v>
      </c>
      <c r="X49" s="323">
        <v>0.14199999999999999</v>
      </c>
      <c r="Y49" s="323">
        <v>0.14099999999999999</v>
      </c>
      <c r="Z49" s="323">
        <v>0.14099999999999999</v>
      </c>
      <c r="AA49" s="323">
        <v>0.14099999999999999</v>
      </c>
      <c r="AB49" s="323">
        <v>0.14099999999999999</v>
      </c>
      <c r="AC49" s="323">
        <v>0.14199999999999999</v>
      </c>
      <c r="AD49" s="323">
        <v>0.14199999999999999</v>
      </c>
      <c r="AE49" s="323">
        <v>0.14299999999999999</v>
      </c>
      <c r="AF49" s="323">
        <v>0.14299999999999999</v>
      </c>
      <c r="AG49" s="323">
        <v>0.14399999999999999</v>
      </c>
      <c r="AH49" s="323">
        <v>0.14499999999999999</v>
      </c>
      <c r="AI49" s="323">
        <v>0.14499999999999999</v>
      </c>
      <c r="AJ49" s="323">
        <v>0.14599999999999999</v>
      </c>
      <c r="AK49" s="323">
        <v>0.14699999999999999</v>
      </c>
      <c r="AL49" s="323">
        <v>0.14799999999999999</v>
      </c>
      <c r="AM49" s="323">
        <v>0.14799999999999999</v>
      </c>
      <c r="AN49" s="323">
        <v>0.14799999999999999</v>
      </c>
      <c r="AO49" s="323">
        <v>0.14899999999999999</v>
      </c>
      <c r="AP49" s="323">
        <v>0.14799999999999999</v>
      </c>
      <c r="AQ49" s="323">
        <v>0.14799999999999999</v>
      </c>
      <c r="AR49" s="323">
        <v>0.14799999999999999</v>
      </c>
      <c r="AS49" s="323">
        <v>0.14899999999999999</v>
      </c>
      <c r="AT49" s="323">
        <v>0.14899999999999999</v>
      </c>
      <c r="AU49" s="323">
        <v>0.14899999999999999</v>
      </c>
      <c r="AV49" s="323">
        <v>0.14899999999999999</v>
      </c>
      <c r="AW49" s="323">
        <v>0.15</v>
      </c>
      <c r="AX49" s="323">
        <v>0.15</v>
      </c>
      <c r="AY49" s="323">
        <v>0.15</v>
      </c>
      <c r="AZ49" s="323">
        <v>0.15</v>
      </c>
      <c r="BA49" s="323">
        <v>0.15</v>
      </c>
      <c r="BB49" s="323">
        <v>0.15</v>
      </c>
      <c r="BC49" s="323">
        <v>0.151</v>
      </c>
      <c r="BD49" s="323">
        <v>0.151</v>
      </c>
      <c r="BE49" s="323">
        <v>0.151</v>
      </c>
      <c r="BF49" s="323">
        <v>0.151</v>
      </c>
      <c r="BG49" s="323">
        <v>0.151</v>
      </c>
      <c r="BH49" s="323">
        <v>0.151</v>
      </c>
      <c r="BI49" s="323">
        <v>0.151</v>
      </c>
      <c r="BJ49" s="323">
        <v>0.151</v>
      </c>
      <c r="BK49" s="323">
        <v>0.151</v>
      </c>
      <c r="BL49" s="323">
        <v>0.151</v>
      </c>
    </row>
  </sheetData>
  <mergeCells count="6">
    <mergeCell ref="B47:B49"/>
    <mergeCell ref="D24:G24"/>
    <mergeCell ref="H24:K24"/>
    <mergeCell ref="B5:B10"/>
    <mergeCell ref="B11:B16"/>
    <mergeCell ref="B44:B46"/>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P15"/>
  <sheetViews>
    <sheetView workbookViewId="0">
      <selection activeCell="R32" sqref="R32"/>
    </sheetView>
  </sheetViews>
  <sheetFormatPr baseColWidth="10" defaultColWidth="11.44140625" defaultRowHeight="13.8"/>
  <cols>
    <col min="1" max="1" width="11.5546875" style="2" customWidth="1"/>
    <col min="2" max="2" width="23" style="5" customWidth="1"/>
    <col min="3" max="3" width="27.88671875" style="5" customWidth="1"/>
    <col min="4" max="4" width="6.109375" style="5" customWidth="1"/>
    <col min="5" max="68" width="6.88671875" style="5" customWidth="1"/>
    <col min="69" max="16384" width="11.44140625" style="2"/>
  </cols>
  <sheetData>
    <row r="1" spans="1:68" ht="15.6">
      <c r="A1" s="83" t="s">
        <v>75</v>
      </c>
    </row>
    <row r="2" spans="1:68">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row>
    <row r="3" spans="1:68" ht="14.4" thickBot="1">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row>
    <row r="4" spans="1:68" ht="16.2" thickBot="1">
      <c r="B4" s="302"/>
      <c r="C4" s="303"/>
      <c r="D4" s="304">
        <v>2002</v>
      </c>
      <c r="E4" s="305">
        <v>2003</v>
      </c>
      <c r="F4" s="305">
        <v>2004</v>
      </c>
      <c r="G4" s="305">
        <v>2005</v>
      </c>
      <c r="H4" s="305">
        <v>2006</v>
      </c>
      <c r="I4" s="305">
        <v>2007</v>
      </c>
      <c r="J4" s="305">
        <v>2008</v>
      </c>
      <c r="K4" s="305">
        <v>2009</v>
      </c>
      <c r="L4" s="305">
        <v>2010</v>
      </c>
      <c r="M4" s="305">
        <v>2011</v>
      </c>
      <c r="N4" s="305">
        <v>2012</v>
      </c>
      <c r="O4" s="305">
        <v>2013</v>
      </c>
      <c r="P4" s="306">
        <v>2014</v>
      </c>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row>
    <row r="5" spans="1:68" ht="15" customHeight="1">
      <c r="B5" s="680" t="s">
        <v>36</v>
      </c>
      <c r="C5" s="307" t="s">
        <v>22</v>
      </c>
      <c r="D5" s="411">
        <v>3.0000000000000001E-3</v>
      </c>
      <c r="E5" s="412">
        <v>4.0000000000000001E-3</v>
      </c>
      <c r="F5" s="412">
        <v>3.0000000000000001E-3</v>
      </c>
      <c r="G5" s="412">
        <v>1E-3</v>
      </c>
      <c r="H5" s="412">
        <v>2E-3</v>
      </c>
      <c r="I5" s="412">
        <v>1E-3</v>
      </c>
      <c r="J5" s="412">
        <v>0</v>
      </c>
      <c r="K5" s="412">
        <v>-5.0000000000000001E-3</v>
      </c>
      <c r="L5" s="412">
        <v>-7.0000000000000001E-3</v>
      </c>
      <c r="M5" s="412">
        <v>-6.0000000000000001E-3</v>
      </c>
      <c r="N5" s="412">
        <v>-5.0000000000000001E-3</v>
      </c>
      <c r="O5" s="412">
        <v>-4.0000000000000001E-3</v>
      </c>
      <c r="P5" s="413"/>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row>
    <row r="6" spans="1:68">
      <c r="B6" s="681"/>
      <c r="C6" s="308" t="s">
        <v>33</v>
      </c>
      <c r="D6" s="309">
        <v>1E-3</v>
      </c>
      <c r="E6" s="310">
        <v>0</v>
      </c>
      <c r="F6" s="310">
        <v>0</v>
      </c>
      <c r="G6" s="310">
        <v>-1E-3</v>
      </c>
      <c r="H6" s="310">
        <v>-1E-3</v>
      </c>
      <c r="I6" s="310">
        <v>-2E-3</v>
      </c>
      <c r="J6" s="310">
        <v>-3.0000000000000001E-3</v>
      </c>
      <c r="K6" s="310">
        <v>-4.0000000000000001E-3</v>
      </c>
      <c r="L6" s="310">
        <v>-4.0000000000000001E-3</v>
      </c>
      <c r="M6" s="310">
        <v>-3.0000000000000001E-3</v>
      </c>
      <c r="N6" s="310">
        <v>-2E-3</v>
      </c>
      <c r="O6" s="310">
        <v>-2E-3</v>
      </c>
      <c r="P6" s="311">
        <v>-1E-3</v>
      </c>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row>
    <row r="7" spans="1:68">
      <c r="B7" s="681"/>
      <c r="C7" s="308" t="s">
        <v>34</v>
      </c>
      <c r="D7" s="309">
        <v>3.0000000000000001E-3</v>
      </c>
      <c r="E7" s="310">
        <v>4.0000000000000001E-3</v>
      </c>
      <c r="F7" s="310">
        <v>2E-3</v>
      </c>
      <c r="G7" s="310">
        <v>3.0000000000000001E-3</v>
      </c>
      <c r="H7" s="310">
        <v>3.0000000000000001E-3</v>
      </c>
      <c r="I7" s="310">
        <v>2E-3</v>
      </c>
      <c r="J7" s="310">
        <v>1E-3</v>
      </c>
      <c r="K7" s="310">
        <v>0</v>
      </c>
      <c r="L7" s="310">
        <v>-1E-3</v>
      </c>
      <c r="M7" s="310">
        <v>-2E-3</v>
      </c>
      <c r="N7" s="310">
        <v>-2E-3</v>
      </c>
      <c r="O7" s="310">
        <v>-2E-3</v>
      </c>
      <c r="P7" s="31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row>
    <row r="8" spans="1:68">
      <c r="B8" s="681"/>
      <c r="C8" s="308" t="s">
        <v>32</v>
      </c>
      <c r="D8" s="309">
        <v>0</v>
      </c>
      <c r="E8" s="310">
        <v>0</v>
      </c>
      <c r="F8" s="310">
        <v>0</v>
      </c>
      <c r="G8" s="310">
        <v>0</v>
      </c>
      <c r="H8" s="310">
        <v>0</v>
      </c>
      <c r="I8" s="310">
        <v>0</v>
      </c>
      <c r="J8" s="310">
        <v>0</v>
      </c>
      <c r="K8" s="310">
        <v>0</v>
      </c>
      <c r="L8" s="310">
        <v>0</v>
      </c>
      <c r="M8" s="310">
        <v>0</v>
      </c>
      <c r="N8" s="310">
        <v>0</v>
      </c>
      <c r="O8" s="310">
        <v>0</v>
      </c>
      <c r="P8" s="311">
        <v>0</v>
      </c>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row>
    <row r="9" spans="1:68">
      <c r="B9" s="681"/>
      <c r="C9" s="308" t="s">
        <v>37</v>
      </c>
      <c r="D9" s="309">
        <v>0</v>
      </c>
      <c r="E9" s="310">
        <v>0</v>
      </c>
      <c r="F9" s="310">
        <v>1E-3</v>
      </c>
      <c r="G9" s="310">
        <v>1E-3</v>
      </c>
      <c r="H9" s="310">
        <v>1E-3</v>
      </c>
      <c r="I9" s="310">
        <v>1E-3</v>
      </c>
      <c r="J9" s="310">
        <v>0</v>
      </c>
      <c r="K9" s="310">
        <v>0</v>
      </c>
      <c r="L9" s="310">
        <v>0</v>
      </c>
      <c r="M9" s="310">
        <v>0</v>
      </c>
      <c r="N9" s="310">
        <v>0</v>
      </c>
      <c r="O9" s="310">
        <v>1E-3</v>
      </c>
      <c r="P9" s="31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row>
    <row r="10" spans="1:68">
      <c r="B10" s="681"/>
      <c r="C10" s="313" t="s">
        <v>30</v>
      </c>
      <c r="D10" s="314">
        <v>0</v>
      </c>
      <c r="E10" s="315">
        <v>0</v>
      </c>
      <c r="F10" s="315">
        <v>0</v>
      </c>
      <c r="G10" s="315">
        <v>0</v>
      </c>
      <c r="H10" s="315">
        <v>0</v>
      </c>
      <c r="I10" s="315">
        <v>0</v>
      </c>
      <c r="J10" s="315">
        <v>0</v>
      </c>
      <c r="K10" s="315">
        <v>0</v>
      </c>
      <c r="L10" s="315">
        <v>0</v>
      </c>
      <c r="M10" s="315">
        <v>0</v>
      </c>
      <c r="N10" s="315">
        <v>0</v>
      </c>
      <c r="O10" s="315">
        <v>0</v>
      </c>
      <c r="P10" s="316">
        <v>0</v>
      </c>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row>
    <row r="11" spans="1:68" ht="14.4" thickBot="1">
      <c r="B11" s="682"/>
      <c r="C11" s="317" t="s">
        <v>31</v>
      </c>
      <c r="D11" s="318">
        <v>-1E-3</v>
      </c>
      <c r="E11" s="319">
        <v>-1E-3</v>
      </c>
      <c r="F11" s="319">
        <v>0</v>
      </c>
      <c r="G11" s="319">
        <v>-1E-3</v>
      </c>
      <c r="H11" s="319">
        <v>-1E-3</v>
      </c>
      <c r="I11" s="319">
        <v>0</v>
      </c>
      <c r="J11" s="319">
        <v>0</v>
      </c>
      <c r="K11" s="319">
        <v>-2E-3</v>
      </c>
      <c r="L11" s="319">
        <v>-2E-3</v>
      </c>
      <c r="M11" s="319">
        <v>-2E-3</v>
      </c>
      <c r="N11" s="319">
        <v>-2E-3</v>
      </c>
      <c r="O11" s="319">
        <v>-1E-3</v>
      </c>
      <c r="P11" s="320">
        <v>-2E-3</v>
      </c>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row>
    <row r="12" spans="1:68">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row>
    <row r="13" spans="1:68">
      <c r="A13" s="6"/>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row>
    <row r="14" spans="1:68">
      <c r="A14" s="7"/>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row>
    <row r="15" spans="1:68">
      <c r="A15" s="7"/>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row>
  </sheetData>
  <mergeCells count="1">
    <mergeCell ref="B5:B1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L39"/>
  <sheetViews>
    <sheetView workbookViewId="0">
      <selection activeCell="C28" sqref="C28"/>
    </sheetView>
  </sheetViews>
  <sheetFormatPr baseColWidth="10" defaultColWidth="11.44140625" defaultRowHeight="13.8"/>
  <cols>
    <col min="1" max="1" width="11.44140625" style="2"/>
    <col min="2" max="2" width="17.5546875" style="2" customWidth="1"/>
    <col min="3" max="3" width="27.5546875" style="2" customWidth="1"/>
    <col min="4" max="16384" width="11.44140625" style="2"/>
  </cols>
  <sheetData>
    <row r="1" spans="1:64" ht="15.6">
      <c r="A1" s="83" t="s">
        <v>214</v>
      </c>
    </row>
    <row r="2" spans="1:64" ht="15.6">
      <c r="B2" s="1"/>
    </row>
    <row r="3" spans="1:64" customFormat="1" ht="15" thickBot="1">
      <c r="C3" s="29"/>
    </row>
    <row r="4" spans="1:64" customFormat="1" ht="15" thickBot="1">
      <c r="B4" s="19"/>
      <c r="C4" s="87"/>
      <c r="D4" s="428">
        <v>2000</v>
      </c>
      <c r="E4" s="429">
        <v>2001</v>
      </c>
      <c r="F4" s="429">
        <v>2002</v>
      </c>
      <c r="G4" s="429">
        <v>2003</v>
      </c>
      <c r="H4" s="429">
        <v>2004</v>
      </c>
      <c r="I4" s="429">
        <v>2005</v>
      </c>
      <c r="J4" s="429">
        <v>2006</v>
      </c>
      <c r="K4" s="429">
        <v>2007</v>
      </c>
      <c r="L4" s="429">
        <v>2008</v>
      </c>
      <c r="M4" s="429">
        <v>2009</v>
      </c>
      <c r="N4" s="429">
        <v>2010</v>
      </c>
      <c r="O4" s="429">
        <v>2011</v>
      </c>
      <c r="P4" s="429">
        <v>2012</v>
      </c>
      <c r="Q4" s="429">
        <v>2013</v>
      </c>
      <c r="R4" s="429">
        <v>2014</v>
      </c>
      <c r="S4" s="429">
        <v>2015</v>
      </c>
      <c r="T4" s="429">
        <v>2016</v>
      </c>
      <c r="U4" s="429">
        <v>2017</v>
      </c>
      <c r="V4" s="429">
        <v>2018</v>
      </c>
      <c r="W4" s="429">
        <v>2019</v>
      </c>
      <c r="X4" s="429">
        <v>2020</v>
      </c>
      <c r="Y4" s="429">
        <v>2021</v>
      </c>
      <c r="Z4" s="429">
        <v>2022</v>
      </c>
      <c r="AA4" s="429">
        <v>2023</v>
      </c>
      <c r="AB4" s="429">
        <v>2024</v>
      </c>
      <c r="AC4" s="429">
        <v>2025</v>
      </c>
      <c r="AD4" s="429">
        <v>2026</v>
      </c>
      <c r="AE4" s="429">
        <v>2027</v>
      </c>
      <c r="AF4" s="429">
        <v>2028</v>
      </c>
      <c r="AG4" s="429">
        <v>2029</v>
      </c>
      <c r="AH4" s="429">
        <v>2030</v>
      </c>
      <c r="AI4" s="429">
        <v>2031</v>
      </c>
      <c r="AJ4" s="429">
        <v>2032</v>
      </c>
      <c r="AK4" s="429">
        <v>2033</v>
      </c>
      <c r="AL4" s="429">
        <v>2034</v>
      </c>
      <c r="AM4" s="429">
        <v>2035</v>
      </c>
      <c r="AN4" s="429">
        <v>2036</v>
      </c>
      <c r="AO4" s="429">
        <v>2037</v>
      </c>
      <c r="AP4" s="429">
        <v>2038</v>
      </c>
      <c r="AQ4" s="429">
        <v>2039</v>
      </c>
      <c r="AR4" s="429">
        <v>2040</v>
      </c>
      <c r="AS4" s="429">
        <v>2041</v>
      </c>
      <c r="AT4" s="429">
        <v>2042</v>
      </c>
      <c r="AU4" s="429">
        <v>2043</v>
      </c>
      <c r="AV4" s="429">
        <v>2044</v>
      </c>
      <c r="AW4" s="429">
        <v>2045</v>
      </c>
      <c r="AX4" s="429">
        <v>2046</v>
      </c>
      <c r="AY4" s="429">
        <v>2047</v>
      </c>
      <c r="AZ4" s="429">
        <v>2048</v>
      </c>
      <c r="BA4" s="429">
        <v>2049</v>
      </c>
      <c r="BB4" s="429">
        <v>2050</v>
      </c>
      <c r="BC4" s="429">
        <v>2051</v>
      </c>
      <c r="BD4" s="429">
        <v>2052</v>
      </c>
      <c r="BE4" s="429">
        <v>2053</v>
      </c>
      <c r="BF4" s="429">
        <v>2054</v>
      </c>
      <c r="BG4" s="429">
        <v>2055</v>
      </c>
      <c r="BH4" s="429">
        <v>2056</v>
      </c>
      <c r="BI4" s="429">
        <v>2057</v>
      </c>
      <c r="BJ4" s="429">
        <v>2058</v>
      </c>
      <c r="BK4" s="429">
        <v>2059</v>
      </c>
      <c r="BL4" s="430">
        <v>2060</v>
      </c>
    </row>
    <row r="5" spans="1:64" customFormat="1" ht="15" customHeight="1">
      <c r="B5" s="666" t="s">
        <v>73</v>
      </c>
      <c r="C5" s="84" t="s">
        <v>66</v>
      </c>
      <c r="D5" s="431"/>
      <c r="E5" s="432"/>
      <c r="F5" s="432">
        <v>3.0000000000000001E-3</v>
      </c>
      <c r="G5" s="432">
        <v>4.0000000000000001E-3</v>
      </c>
      <c r="H5" s="432">
        <v>3.0000000000000001E-3</v>
      </c>
      <c r="I5" s="432">
        <v>1E-3</v>
      </c>
      <c r="J5" s="432">
        <v>2E-3</v>
      </c>
      <c r="K5" s="432">
        <v>1E-3</v>
      </c>
      <c r="L5" s="432">
        <v>0</v>
      </c>
      <c r="M5" s="432">
        <v>-5.0000000000000001E-3</v>
      </c>
      <c r="N5" s="432">
        <v>-7.0000000000000001E-3</v>
      </c>
      <c r="O5" s="432">
        <v>-6.0000000000000001E-3</v>
      </c>
      <c r="P5" s="432">
        <v>-5.0000000000000001E-3</v>
      </c>
      <c r="Q5" s="432">
        <v>-4.0000000000000001E-3</v>
      </c>
      <c r="R5" s="432"/>
      <c r="S5" s="432"/>
      <c r="T5" s="432"/>
      <c r="U5" s="432"/>
      <c r="V5" s="432"/>
      <c r="W5" s="432"/>
      <c r="X5" s="432"/>
      <c r="Y5" s="432"/>
      <c r="Z5" s="432"/>
      <c r="AA5" s="432"/>
      <c r="AB5" s="432"/>
      <c r="AC5" s="432"/>
      <c r="AD5" s="432"/>
      <c r="AE5" s="432"/>
      <c r="AF5" s="432"/>
      <c r="AG5" s="432"/>
      <c r="AH5" s="432"/>
      <c r="AI5" s="432"/>
      <c r="AJ5" s="432"/>
      <c r="AK5" s="432"/>
      <c r="AL5" s="432"/>
      <c r="AM5" s="432"/>
      <c r="AN5" s="432"/>
      <c r="AO5" s="432"/>
      <c r="AP5" s="432"/>
      <c r="AQ5" s="432"/>
      <c r="AR5" s="432"/>
      <c r="AS5" s="432"/>
      <c r="AT5" s="432"/>
      <c r="AU5" s="432"/>
      <c r="AV5" s="432"/>
      <c r="AW5" s="432"/>
      <c r="AX5" s="432"/>
      <c r="AY5" s="432"/>
      <c r="AZ5" s="432"/>
      <c r="BA5" s="432"/>
      <c r="BB5" s="432"/>
      <c r="BC5" s="432"/>
      <c r="BD5" s="432"/>
      <c r="BE5" s="432"/>
      <c r="BF5" s="432"/>
      <c r="BG5" s="432"/>
      <c r="BH5" s="432"/>
      <c r="BI5" s="432"/>
      <c r="BJ5" s="432"/>
      <c r="BK5" s="432"/>
      <c r="BL5" s="433"/>
    </row>
    <row r="6" spans="1:64" customFormat="1" ht="14.4">
      <c r="B6" s="667"/>
      <c r="C6" s="85" t="s">
        <v>54</v>
      </c>
      <c r="D6" s="296"/>
      <c r="E6" s="297"/>
      <c r="F6" s="297"/>
      <c r="G6" s="297"/>
      <c r="H6" s="297"/>
      <c r="I6" s="297"/>
      <c r="J6" s="297"/>
      <c r="K6" s="297"/>
      <c r="L6" s="297"/>
      <c r="M6" s="297"/>
      <c r="N6" s="297"/>
      <c r="O6" s="297"/>
      <c r="P6" s="297"/>
      <c r="Q6" s="297"/>
      <c r="R6" s="297">
        <v>-4.0000000000000001E-3</v>
      </c>
      <c r="S6" s="297">
        <v>-4.0000000000000001E-3</v>
      </c>
      <c r="T6" s="297">
        <v>-3.0000000000000001E-3</v>
      </c>
      <c r="U6" s="297">
        <v>-3.0000000000000001E-3</v>
      </c>
      <c r="V6" s="297">
        <v>-4.0000000000000001E-3</v>
      </c>
      <c r="W6" s="297">
        <v>-5.0000000000000001E-3</v>
      </c>
      <c r="X6" s="297">
        <v>-4.0000000000000001E-3</v>
      </c>
      <c r="Y6" s="297">
        <v>-3.0000000000000001E-3</v>
      </c>
      <c r="Z6" s="297">
        <v>-2E-3</v>
      </c>
      <c r="AA6" s="297">
        <v>-1E-3</v>
      </c>
      <c r="AB6" s="297">
        <v>0</v>
      </c>
      <c r="AC6" s="297">
        <v>1E-3</v>
      </c>
      <c r="AD6" s="297">
        <v>1E-3</v>
      </c>
      <c r="AE6" s="297">
        <v>2E-3</v>
      </c>
      <c r="AF6" s="297">
        <v>3.0000000000000001E-3</v>
      </c>
      <c r="AG6" s="297">
        <v>3.0000000000000001E-3</v>
      </c>
      <c r="AH6" s="297">
        <v>4.0000000000000001E-3</v>
      </c>
      <c r="AI6" s="297">
        <v>4.0000000000000001E-3</v>
      </c>
      <c r="AJ6" s="297">
        <v>5.0000000000000001E-3</v>
      </c>
      <c r="AK6" s="297">
        <v>5.0000000000000001E-3</v>
      </c>
      <c r="AL6" s="297">
        <v>6.0000000000000001E-3</v>
      </c>
      <c r="AM6" s="297">
        <v>6.0000000000000001E-3</v>
      </c>
      <c r="AN6" s="297">
        <v>7.0000000000000001E-3</v>
      </c>
      <c r="AO6" s="297">
        <v>7.0000000000000001E-3</v>
      </c>
      <c r="AP6" s="297">
        <v>8.0000000000000002E-3</v>
      </c>
      <c r="AQ6" s="297">
        <v>8.9999999999999993E-3</v>
      </c>
      <c r="AR6" s="297">
        <v>0.01</v>
      </c>
      <c r="AS6" s="297">
        <v>1.0999999999999999E-2</v>
      </c>
      <c r="AT6" s="297">
        <v>1.0999999999999999E-2</v>
      </c>
      <c r="AU6" s="297">
        <v>1.2E-2</v>
      </c>
      <c r="AV6" s="297">
        <v>1.2E-2</v>
      </c>
      <c r="AW6" s="297">
        <v>1.2999999999999999E-2</v>
      </c>
      <c r="AX6" s="297">
        <v>1.2999999999999999E-2</v>
      </c>
      <c r="AY6" s="297">
        <v>1.4E-2</v>
      </c>
      <c r="AZ6" s="297">
        <v>1.4E-2</v>
      </c>
      <c r="BA6" s="297">
        <v>1.4E-2</v>
      </c>
      <c r="BB6" s="297">
        <v>1.4999999999999999E-2</v>
      </c>
      <c r="BC6" s="297">
        <v>1.4999999999999999E-2</v>
      </c>
      <c r="BD6" s="297">
        <v>1.4999999999999999E-2</v>
      </c>
      <c r="BE6" s="297">
        <v>1.6E-2</v>
      </c>
      <c r="BF6" s="297">
        <v>1.6E-2</v>
      </c>
      <c r="BG6" s="297">
        <v>1.7000000000000001E-2</v>
      </c>
      <c r="BH6" s="297">
        <v>1.7000000000000001E-2</v>
      </c>
      <c r="BI6" s="297">
        <v>1.7000000000000001E-2</v>
      </c>
      <c r="BJ6" s="297">
        <v>1.7000000000000001E-2</v>
      </c>
      <c r="BK6" s="297">
        <v>1.7000000000000001E-2</v>
      </c>
      <c r="BL6" s="298">
        <v>1.7999999999999999E-2</v>
      </c>
    </row>
    <row r="7" spans="1:64" customFormat="1" ht="14.4">
      <c r="B7" s="667"/>
      <c r="C7" s="85" t="s">
        <v>89</v>
      </c>
      <c r="D7" s="296"/>
      <c r="E7" s="297"/>
      <c r="F7" s="297"/>
      <c r="G7" s="297"/>
      <c r="H7" s="297"/>
      <c r="I7" s="297"/>
      <c r="J7" s="297"/>
      <c r="K7" s="297"/>
      <c r="L7" s="297"/>
      <c r="M7" s="297"/>
      <c r="N7" s="297"/>
      <c r="O7" s="297"/>
      <c r="P7" s="297"/>
      <c r="Q7" s="297"/>
      <c r="R7" s="297">
        <v>-4.0000000000000001E-3</v>
      </c>
      <c r="S7" s="297">
        <v>-4.0000000000000001E-3</v>
      </c>
      <c r="T7" s="297">
        <v>-3.0000000000000001E-3</v>
      </c>
      <c r="U7" s="297">
        <v>-3.0000000000000001E-3</v>
      </c>
      <c r="V7" s="297">
        <v>-4.0000000000000001E-3</v>
      </c>
      <c r="W7" s="297">
        <v>-5.0000000000000001E-3</v>
      </c>
      <c r="X7" s="297">
        <v>-4.0000000000000001E-3</v>
      </c>
      <c r="Y7" s="297">
        <v>-4.0000000000000001E-3</v>
      </c>
      <c r="Z7" s="297">
        <v>-3.0000000000000001E-3</v>
      </c>
      <c r="AA7" s="297">
        <v>-1E-3</v>
      </c>
      <c r="AB7" s="297">
        <v>0</v>
      </c>
      <c r="AC7" s="297">
        <v>0</v>
      </c>
      <c r="AD7" s="297">
        <v>1E-3</v>
      </c>
      <c r="AE7" s="297">
        <v>2E-3</v>
      </c>
      <c r="AF7" s="297">
        <v>2E-3</v>
      </c>
      <c r="AG7" s="297">
        <v>2E-3</v>
      </c>
      <c r="AH7" s="297">
        <v>2E-3</v>
      </c>
      <c r="AI7" s="297">
        <v>3.0000000000000001E-3</v>
      </c>
      <c r="AJ7" s="297">
        <v>3.0000000000000001E-3</v>
      </c>
      <c r="AK7" s="297">
        <v>3.0000000000000001E-3</v>
      </c>
      <c r="AL7" s="297">
        <v>3.0000000000000001E-3</v>
      </c>
      <c r="AM7" s="297">
        <v>4.0000000000000001E-3</v>
      </c>
      <c r="AN7" s="297">
        <v>4.0000000000000001E-3</v>
      </c>
      <c r="AO7" s="297">
        <v>5.0000000000000001E-3</v>
      </c>
      <c r="AP7" s="297">
        <v>5.0000000000000001E-3</v>
      </c>
      <c r="AQ7" s="297">
        <v>6.0000000000000001E-3</v>
      </c>
      <c r="AR7" s="297">
        <v>7.0000000000000001E-3</v>
      </c>
      <c r="AS7" s="297">
        <v>7.0000000000000001E-3</v>
      </c>
      <c r="AT7" s="297">
        <v>8.0000000000000002E-3</v>
      </c>
      <c r="AU7" s="297">
        <v>8.0000000000000002E-3</v>
      </c>
      <c r="AV7" s="297">
        <v>8.0000000000000002E-3</v>
      </c>
      <c r="AW7" s="297">
        <v>8.0000000000000002E-3</v>
      </c>
      <c r="AX7" s="297">
        <v>8.9999999999999993E-3</v>
      </c>
      <c r="AY7" s="297">
        <v>8.9999999999999993E-3</v>
      </c>
      <c r="AZ7" s="297">
        <v>8.9999999999999993E-3</v>
      </c>
      <c r="BA7" s="297">
        <v>0.01</v>
      </c>
      <c r="BB7" s="297">
        <v>0.01</v>
      </c>
      <c r="BC7" s="297">
        <v>0.01</v>
      </c>
      <c r="BD7" s="297">
        <v>0.01</v>
      </c>
      <c r="BE7" s="297">
        <v>1.0999999999999999E-2</v>
      </c>
      <c r="BF7" s="297">
        <v>1.0999999999999999E-2</v>
      </c>
      <c r="BG7" s="297">
        <v>1.0999999999999999E-2</v>
      </c>
      <c r="BH7" s="297">
        <v>1.2E-2</v>
      </c>
      <c r="BI7" s="297">
        <v>1.2E-2</v>
      </c>
      <c r="BJ7" s="297">
        <v>1.2E-2</v>
      </c>
      <c r="BK7" s="297">
        <v>1.2E-2</v>
      </c>
      <c r="BL7" s="298">
        <v>1.2E-2</v>
      </c>
    </row>
    <row r="8" spans="1:64" customFormat="1" ht="14.4">
      <c r="B8" s="667"/>
      <c r="C8" s="85" t="s">
        <v>55</v>
      </c>
      <c r="D8" s="296"/>
      <c r="E8" s="297"/>
      <c r="F8" s="297"/>
      <c r="G8" s="297"/>
      <c r="H8" s="297"/>
      <c r="I8" s="297"/>
      <c r="J8" s="297"/>
      <c r="K8" s="297"/>
      <c r="L8" s="297"/>
      <c r="M8" s="297"/>
      <c r="N8" s="297"/>
      <c r="O8" s="297"/>
      <c r="P8" s="297"/>
      <c r="Q8" s="297"/>
      <c r="R8" s="297">
        <v>-4.0000000000000001E-3</v>
      </c>
      <c r="S8" s="297">
        <v>-4.0000000000000001E-3</v>
      </c>
      <c r="T8" s="297">
        <v>-3.0000000000000001E-3</v>
      </c>
      <c r="U8" s="297">
        <v>-3.0000000000000001E-3</v>
      </c>
      <c r="V8" s="297">
        <v>-4.0000000000000001E-3</v>
      </c>
      <c r="W8" s="297">
        <v>-5.0000000000000001E-3</v>
      </c>
      <c r="X8" s="297">
        <v>-4.0000000000000001E-3</v>
      </c>
      <c r="Y8" s="297">
        <v>-3.0000000000000001E-3</v>
      </c>
      <c r="Z8" s="297">
        <v>-3.0000000000000001E-3</v>
      </c>
      <c r="AA8" s="297">
        <v>-2E-3</v>
      </c>
      <c r="AB8" s="297">
        <v>-1E-3</v>
      </c>
      <c r="AC8" s="297">
        <v>-1E-3</v>
      </c>
      <c r="AD8" s="297">
        <v>-1E-3</v>
      </c>
      <c r="AE8" s="297">
        <v>-1E-3</v>
      </c>
      <c r="AF8" s="297">
        <v>0</v>
      </c>
      <c r="AG8" s="297">
        <v>0</v>
      </c>
      <c r="AH8" s="297">
        <v>0</v>
      </c>
      <c r="AI8" s="297">
        <v>1E-3</v>
      </c>
      <c r="AJ8" s="297">
        <v>0</v>
      </c>
      <c r="AK8" s="297">
        <v>0</v>
      </c>
      <c r="AL8" s="297">
        <v>0</v>
      </c>
      <c r="AM8" s="297">
        <v>0</v>
      </c>
      <c r="AN8" s="297">
        <v>0</v>
      </c>
      <c r="AO8" s="297">
        <v>1E-3</v>
      </c>
      <c r="AP8" s="297">
        <v>1E-3</v>
      </c>
      <c r="AQ8" s="297">
        <v>1E-3</v>
      </c>
      <c r="AR8" s="297">
        <v>2E-3</v>
      </c>
      <c r="AS8" s="297">
        <v>2E-3</v>
      </c>
      <c r="AT8" s="297">
        <v>2E-3</v>
      </c>
      <c r="AU8" s="297">
        <v>2E-3</v>
      </c>
      <c r="AV8" s="297">
        <v>2E-3</v>
      </c>
      <c r="AW8" s="297">
        <v>2E-3</v>
      </c>
      <c r="AX8" s="297">
        <v>3.0000000000000001E-3</v>
      </c>
      <c r="AY8" s="297">
        <v>3.0000000000000001E-3</v>
      </c>
      <c r="AZ8" s="297">
        <v>3.0000000000000001E-3</v>
      </c>
      <c r="BA8" s="297">
        <v>3.0000000000000001E-3</v>
      </c>
      <c r="BB8" s="297">
        <v>3.0000000000000001E-3</v>
      </c>
      <c r="BC8" s="297">
        <v>3.0000000000000001E-3</v>
      </c>
      <c r="BD8" s="297">
        <v>3.0000000000000001E-3</v>
      </c>
      <c r="BE8" s="297">
        <v>3.0000000000000001E-3</v>
      </c>
      <c r="BF8" s="297">
        <v>3.0000000000000001E-3</v>
      </c>
      <c r="BG8" s="297">
        <v>4.0000000000000001E-3</v>
      </c>
      <c r="BH8" s="297">
        <v>4.0000000000000001E-3</v>
      </c>
      <c r="BI8" s="297">
        <v>4.0000000000000001E-3</v>
      </c>
      <c r="BJ8" s="297">
        <v>4.0000000000000001E-3</v>
      </c>
      <c r="BK8" s="297">
        <v>4.0000000000000001E-3</v>
      </c>
      <c r="BL8" s="298">
        <v>4.0000000000000001E-3</v>
      </c>
    </row>
    <row r="9" spans="1:64" customFormat="1" ht="14.4">
      <c r="B9" s="667"/>
      <c r="C9" s="85" t="s">
        <v>56</v>
      </c>
      <c r="D9" s="296"/>
      <c r="E9" s="297"/>
      <c r="F9" s="297"/>
      <c r="G9" s="297"/>
      <c r="H9" s="297"/>
      <c r="I9" s="297"/>
      <c r="J9" s="297"/>
      <c r="K9" s="297"/>
      <c r="L9" s="297"/>
      <c r="M9" s="297"/>
      <c r="N9" s="297"/>
      <c r="O9" s="297"/>
      <c r="P9" s="297"/>
      <c r="Q9" s="297"/>
      <c r="R9" s="297">
        <v>-4.0000000000000001E-3</v>
      </c>
      <c r="S9" s="297">
        <v>-4.0000000000000001E-3</v>
      </c>
      <c r="T9" s="297">
        <v>-3.0000000000000001E-3</v>
      </c>
      <c r="U9" s="297">
        <v>-3.0000000000000001E-3</v>
      </c>
      <c r="V9" s="297">
        <v>-4.0000000000000001E-3</v>
      </c>
      <c r="W9" s="297">
        <v>-5.0000000000000001E-3</v>
      </c>
      <c r="X9" s="297">
        <v>-4.0000000000000001E-3</v>
      </c>
      <c r="Y9" s="297">
        <v>-4.0000000000000001E-3</v>
      </c>
      <c r="Z9" s="297">
        <v>-3.0000000000000001E-3</v>
      </c>
      <c r="AA9" s="297">
        <v>-2E-3</v>
      </c>
      <c r="AB9" s="297">
        <v>-1E-3</v>
      </c>
      <c r="AC9" s="297">
        <v>-2E-3</v>
      </c>
      <c r="AD9" s="297">
        <v>-2E-3</v>
      </c>
      <c r="AE9" s="297">
        <v>-2E-3</v>
      </c>
      <c r="AF9" s="297">
        <v>-3.0000000000000001E-3</v>
      </c>
      <c r="AG9" s="297">
        <v>-3.0000000000000001E-3</v>
      </c>
      <c r="AH9" s="297">
        <v>-3.0000000000000001E-3</v>
      </c>
      <c r="AI9" s="297">
        <v>-4.0000000000000001E-3</v>
      </c>
      <c r="AJ9" s="297">
        <v>-4.0000000000000001E-3</v>
      </c>
      <c r="AK9" s="297">
        <v>-5.0000000000000001E-3</v>
      </c>
      <c r="AL9" s="297">
        <v>-5.0000000000000001E-3</v>
      </c>
      <c r="AM9" s="297">
        <v>-5.0000000000000001E-3</v>
      </c>
      <c r="AN9" s="297">
        <v>-5.0000000000000001E-3</v>
      </c>
      <c r="AO9" s="297">
        <v>-5.0000000000000001E-3</v>
      </c>
      <c r="AP9" s="297">
        <v>-5.0000000000000001E-3</v>
      </c>
      <c r="AQ9" s="297">
        <v>-5.0000000000000001E-3</v>
      </c>
      <c r="AR9" s="297">
        <v>-4.0000000000000001E-3</v>
      </c>
      <c r="AS9" s="297">
        <v>-4.0000000000000001E-3</v>
      </c>
      <c r="AT9" s="297">
        <v>-4.0000000000000001E-3</v>
      </c>
      <c r="AU9" s="297">
        <v>-4.0000000000000001E-3</v>
      </c>
      <c r="AV9" s="297">
        <v>-4.0000000000000001E-3</v>
      </c>
      <c r="AW9" s="297">
        <v>-4.0000000000000001E-3</v>
      </c>
      <c r="AX9" s="297">
        <v>-5.0000000000000001E-3</v>
      </c>
      <c r="AY9" s="297">
        <v>-5.0000000000000001E-3</v>
      </c>
      <c r="AZ9" s="297">
        <v>-5.0000000000000001E-3</v>
      </c>
      <c r="BA9" s="297">
        <v>-4.0000000000000001E-3</v>
      </c>
      <c r="BB9" s="297">
        <v>-5.0000000000000001E-3</v>
      </c>
      <c r="BC9" s="297">
        <v>-5.0000000000000001E-3</v>
      </c>
      <c r="BD9" s="297">
        <v>-5.0000000000000001E-3</v>
      </c>
      <c r="BE9" s="297">
        <v>-5.0000000000000001E-3</v>
      </c>
      <c r="BF9" s="297">
        <v>-5.0000000000000001E-3</v>
      </c>
      <c r="BG9" s="297">
        <v>-4.0000000000000001E-3</v>
      </c>
      <c r="BH9" s="297">
        <v>-4.0000000000000001E-3</v>
      </c>
      <c r="BI9" s="297">
        <v>-4.0000000000000001E-3</v>
      </c>
      <c r="BJ9" s="297">
        <v>-4.0000000000000001E-3</v>
      </c>
      <c r="BK9" s="297">
        <v>-5.0000000000000001E-3</v>
      </c>
      <c r="BL9" s="298">
        <v>-5.0000000000000001E-3</v>
      </c>
    </row>
    <row r="10" spans="1:64" customFormat="1" ht="15" thickBot="1">
      <c r="B10" s="668"/>
      <c r="C10" s="86" t="s">
        <v>57</v>
      </c>
      <c r="D10" s="299"/>
      <c r="E10" s="300"/>
      <c r="F10" s="300"/>
      <c r="G10" s="300"/>
      <c r="H10" s="300"/>
      <c r="I10" s="300"/>
      <c r="J10" s="300"/>
      <c r="K10" s="300"/>
      <c r="L10" s="300"/>
      <c r="M10" s="300"/>
      <c r="N10" s="300"/>
      <c r="O10" s="300"/>
      <c r="P10" s="300"/>
      <c r="Q10" s="300"/>
      <c r="R10" s="300">
        <v>-4.0000000000000001E-3</v>
      </c>
      <c r="S10" s="300">
        <v>-4.0000000000000001E-3</v>
      </c>
      <c r="T10" s="300">
        <v>-3.0000000000000001E-3</v>
      </c>
      <c r="U10" s="300">
        <v>-3.0000000000000001E-3</v>
      </c>
      <c r="V10" s="300">
        <v>-4.0000000000000001E-3</v>
      </c>
      <c r="W10" s="300">
        <v>-5.0000000000000001E-3</v>
      </c>
      <c r="X10" s="300">
        <v>-5.0000000000000001E-3</v>
      </c>
      <c r="Y10" s="300">
        <v>-4.0000000000000001E-3</v>
      </c>
      <c r="Z10" s="300">
        <v>-3.0000000000000001E-3</v>
      </c>
      <c r="AA10" s="300">
        <v>-3.0000000000000001E-3</v>
      </c>
      <c r="AB10" s="300">
        <v>-3.0000000000000001E-3</v>
      </c>
      <c r="AC10" s="300">
        <v>-3.0000000000000001E-3</v>
      </c>
      <c r="AD10" s="300">
        <v>-4.0000000000000001E-3</v>
      </c>
      <c r="AE10" s="300">
        <v>-5.0000000000000001E-3</v>
      </c>
      <c r="AF10" s="300">
        <v>-6.0000000000000001E-3</v>
      </c>
      <c r="AG10" s="300">
        <v>-6.0000000000000001E-3</v>
      </c>
      <c r="AH10" s="300">
        <v>-7.0000000000000001E-3</v>
      </c>
      <c r="AI10" s="300">
        <v>-8.0000000000000002E-3</v>
      </c>
      <c r="AJ10" s="300">
        <v>-8.9999999999999993E-3</v>
      </c>
      <c r="AK10" s="300">
        <v>-8.9999999999999993E-3</v>
      </c>
      <c r="AL10" s="300">
        <v>-0.01</v>
      </c>
      <c r="AM10" s="300">
        <v>-1.0999999999999999E-2</v>
      </c>
      <c r="AN10" s="300">
        <v>-1.0999999999999999E-2</v>
      </c>
      <c r="AO10" s="300">
        <v>-1.0999999999999999E-2</v>
      </c>
      <c r="AP10" s="300">
        <v>-1.0999999999999999E-2</v>
      </c>
      <c r="AQ10" s="300">
        <v>-1.0999999999999999E-2</v>
      </c>
      <c r="AR10" s="300">
        <v>-1.0999999999999999E-2</v>
      </c>
      <c r="AS10" s="300">
        <v>-1.2E-2</v>
      </c>
      <c r="AT10" s="300">
        <v>-1.2E-2</v>
      </c>
      <c r="AU10" s="300">
        <v>-1.2E-2</v>
      </c>
      <c r="AV10" s="300">
        <v>-1.2999999999999999E-2</v>
      </c>
      <c r="AW10" s="300">
        <v>-1.2999999999999999E-2</v>
      </c>
      <c r="AX10" s="300">
        <v>-1.2999999999999999E-2</v>
      </c>
      <c r="AY10" s="300">
        <v>-1.2999999999999999E-2</v>
      </c>
      <c r="AZ10" s="300">
        <v>-1.4E-2</v>
      </c>
      <c r="BA10" s="300">
        <v>-1.4E-2</v>
      </c>
      <c r="BB10" s="300">
        <v>-1.4E-2</v>
      </c>
      <c r="BC10" s="300">
        <v>-1.4E-2</v>
      </c>
      <c r="BD10" s="300">
        <v>-1.4E-2</v>
      </c>
      <c r="BE10" s="300">
        <v>-1.4999999999999999E-2</v>
      </c>
      <c r="BF10" s="300">
        <v>-1.4999999999999999E-2</v>
      </c>
      <c r="BG10" s="300">
        <v>-1.4999999999999999E-2</v>
      </c>
      <c r="BH10" s="300">
        <v>-1.4999999999999999E-2</v>
      </c>
      <c r="BI10" s="300">
        <v>-1.4999999999999999E-2</v>
      </c>
      <c r="BJ10" s="300">
        <v>-1.4999999999999999E-2</v>
      </c>
      <c r="BK10" s="300">
        <v>-1.4999999999999999E-2</v>
      </c>
      <c r="BL10" s="301">
        <v>-1.6E-2</v>
      </c>
    </row>
    <row r="11" spans="1:64">
      <c r="B11" s="3"/>
      <c r="D11" s="4"/>
      <c r="E11" s="4"/>
      <c r="F11" s="4"/>
      <c r="G11" s="4"/>
      <c r="H11" s="4"/>
      <c r="I11" s="4"/>
      <c r="J11" s="4"/>
      <c r="K11" s="4"/>
      <c r="L11" s="4"/>
      <c r="M11" s="4"/>
      <c r="N11" s="4"/>
    </row>
    <row r="12" spans="1:64">
      <c r="B12" s="3"/>
      <c r="D12" s="4"/>
      <c r="E12" s="4"/>
      <c r="F12" s="4"/>
      <c r="G12" s="4"/>
      <c r="H12" s="4"/>
      <c r="I12" s="4"/>
      <c r="J12" s="4"/>
      <c r="K12" s="4"/>
      <c r="L12" s="4"/>
      <c r="M12" s="4"/>
      <c r="N12" s="4"/>
    </row>
    <row r="13" spans="1:64">
      <c r="B13" s="3"/>
      <c r="D13" s="4"/>
      <c r="E13" s="4"/>
      <c r="F13" s="4"/>
      <c r="G13" s="4"/>
      <c r="H13" s="4"/>
      <c r="I13" s="4"/>
      <c r="J13" s="4"/>
      <c r="K13" s="4"/>
      <c r="L13" s="4"/>
      <c r="M13" s="4"/>
      <c r="N13" s="4"/>
    </row>
    <row r="14" spans="1:64">
      <c r="B14" s="3"/>
      <c r="D14" s="4"/>
      <c r="E14" s="4"/>
      <c r="F14" s="4"/>
      <c r="G14" s="4"/>
      <c r="H14" s="4"/>
      <c r="I14" s="4"/>
      <c r="J14" s="4"/>
      <c r="K14" s="4"/>
      <c r="L14" s="4"/>
      <c r="M14" s="4"/>
      <c r="N14" s="4"/>
    </row>
    <row r="15" spans="1:64">
      <c r="B15" s="3"/>
      <c r="D15" s="4"/>
      <c r="E15" s="4"/>
      <c r="F15" s="4"/>
      <c r="G15" s="4"/>
      <c r="H15" s="4"/>
      <c r="I15" s="4"/>
      <c r="J15" s="4"/>
      <c r="K15" s="4"/>
      <c r="L15" s="4"/>
      <c r="M15" s="4"/>
      <c r="N15" s="4"/>
    </row>
    <row r="16" spans="1:64">
      <c r="B16" s="3"/>
      <c r="D16" s="4"/>
      <c r="E16" s="4"/>
      <c r="F16" s="4"/>
      <c r="G16" s="4"/>
      <c r="H16" s="4"/>
      <c r="I16" s="4"/>
      <c r="J16" s="4"/>
      <c r="K16" s="4"/>
      <c r="L16" s="4"/>
      <c r="M16" s="4"/>
      <c r="N16" s="4"/>
    </row>
    <row r="19" spans="4:11" ht="15.6">
      <c r="D19" s="679" t="s">
        <v>73</v>
      </c>
      <c r="E19" s="679"/>
      <c r="F19" s="679"/>
      <c r="G19" s="679"/>
      <c r="H19" s="679"/>
      <c r="I19" s="679"/>
      <c r="J19" s="679"/>
      <c r="K19" s="679"/>
    </row>
    <row r="33" spans="2:64" ht="18" customHeight="1"/>
    <row r="34" spans="2:64" ht="15.6">
      <c r="B34" s="98" t="s">
        <v>251</v>
      </c>
    </row>
    <row r="35" spans="2:64" ht="14.4" thickBot="1"/>
    <row r="36" spans="2:64" customFormat="1" ht="15" thickBot="1">
      <c r="B36" s="370"/>
      <c r="C36" s="371"/>
      <c r="D36" s="422">
        <v>2000</v>
      </c>
      <c r="E36" s="423">
        <v>2001</v>
      </c>
      <c r="F36" s="423">
        <v>2002</v>
      </c>
      <c r="G36" s="423">
        <v>2003</v>
      </c>
      <c r="H36" s="423">
        <v>2004</v>
      </c>
      <c r="I36" s="423">
        <v>2005</v>
      </c>
      <c r="J36" s="423">
        <v>2006</v>
      </c>
      <c r="K36" s="423">
        <v>2007</v>
      </c>
      <c r="L36" s="423">
        <v>2008</v>
      </c>
      <c r="M36" s="423">
        <v>2009</v>
      </c>
      <c r="N36" s="423">
        <v>2010</v>
      </c>
      <c r="O36" s="423">
        <v>2011</v>
      </c>
      <c r="P36" s="423">
        <v>2012</v>
      </c>
      <c r="Q36" s="423">
        <v>2013</v>
      </c>
      <c r="R36" s="423">
        <v>2014</v>
      </c>
      <c r="S36" s="423">
        <v>2015</v>
      </c>
      <c r="T36" s="423">
        <v>2016</v>
      </c>
      <c r="U36" s="423">
        <v>2017</v>
      </c>
      <c r="V36" s="423">
        <v>2018</v>
      </c>
      <c r="W36" s="423">
        <v>2019</v>
      </c>
      <c r="X36" s="423">
        <v>2020</v>
      </c>
      <c r="Y36" s="423">
        <v>2021</v>
      </c>
      <c r="Z36" s="423">
        <v>2022</v>
      </c>
      <c r="AA36" s="423">
        <v>2023</v>
      </c>
      <c r="AB36" s="423">
        <v>2024</v>
      </c>
      <c r="AC36" s="423">
        <v>2025</v>
      </c>
      <c r="AD36" s="423">
        <v>2026</v>
      </c>
      <c r="AE36" s="423">
        <v>2027</v>
      </c>
      <c r="AF36" s="423">
        <v>2028</v>
      </c>
      <c r="AG36" s="423">
        <v>2029</v>
      </c>
      <c r="AH36" s="423">
        <v>2030</v>
      </c>
      <c r="AI36" s="423">
        <v>2031</v>
      </c>
      <c r="AJ36" s="423">
        <v>2032</v>
      </c>
      <c r="AK36" s="423">
        <v>2033</v>
      </c>
      <c r="AL36" s="423">
        <v>2034</v>
      </c>
      <c r="AM36" s="423">
        <v>2035</v>
      </c>
      <c r="AN36" s="423">
        <v>2036</v>
      </c>
      <c r="AO36" s="423">
        <v>2037</v>
      </c>
      <c r="AP36" s="423">
        <v>2038</v>
      </c>
      <c r="AQ36" s="423">
        <v>2039</v>
      </c>
      <c r="AR36" s="423">
        <v>2040</v>
      </c>
      <c r="AS36" s="423">
        <v>2041</v>
      </c>
      <c r="AT36" s="423">
        <v>2042</v>
      </c>
      <c r="AU36" s="423">
        <v>2043</v>
      </c>
      <c r="AV36" s="423">
        <v>2044</v>
      </c>
      <c r="AW36" s="423">
        <v>2045</v>
      </c>
      <c r="AX36" s="423">
        <v>2046</v>
      </c>
      <c r="AY36" s="423">
        <v>2047</v>
      </c>
      <c r="AZ36" s="423">
        <v>2048</v>
      </c>
      <c r="BA36" s="423">
        <v>2049</v>
      </c>
      <c r="BB36" s="423">
        <v>2050</v>
      </c>
      <c r="BC36" s="423">
        <v>2051</v>
      </c>
      <c r="BD36" s="423">
        <v>2052</v>
      </c>
      <c r="BE36" s="423">
        <v>2053</v>
      </c>
      <c r="BF36" s="423">
        <v>2054</v>
      </c>
      <c r="BG36" s="423">
        <v>2055</v>
      </c>
      <c r="BH36" s="423">
        <v>2056</v>
      </c>
      <c r="BI36" s="423">
        <v>2057</v>
      </c>
      <c r="BJ36" s="423">
        <v>2058</v>
      </c>
      <c r="BK36" s="423">
        <v>2059</v>
      </c>
      <c r="BL36" s="424">
        <v>2060</v>
      </c>
    </row>
    <row r="37" spans="2:64" customFormat="1" ht="14.4">
      <c r="B37" s="663" t="s">
        <v>73</v>
      </c>
      <c r="C37" s="384" t="s">
        <v>217</v>
      </c>
      <c r="D37" s="425"/>
      <c r="E37" s="426"/>
      <c r="F37" s="426"/>
      <c r="G37" s="426"/>
      <c r="H37" s="426"/>
      <c r="I37" s="426"/>
      <c r="J37" s="426"/>
      <c r="K37" s="426"/>
      <c r="L37" s="426"/>
      <c r="M37" s="426"/>
      <c r="N37" s="426"/>
      <c r="O37" s="426"/>
      <c r="P37" s="426"/>
      <c r="Q37" s="426"/>
      <c r="R37" s="426">
        <v>-4.0000000000000001E-3</v>
      </c>
      <c r="S37" s="426">
        <v>-4.0000000000000001E-3</v>
      </c>
      <c r="T37" s="426">
        <v>-3.0000000000000001E-3</v>
      </c>
      <c r="U37" s="426">
        <v>-3.0000000000000001E-3</v>
      </c>
      <c r="V37" s="426">
        <v>-4.0000000000000001E-3</v>
      </c>
      <c r="W37" s="426">
        <v>-5.0000000000000001E-3</v>
      </c>
      <c r="X37" s="426">
        <v>-5.0000000000000001E-3</v>
      </c>
      <c r="Y37" s="426">
        <v>-5.0000000000000001E-3</v>
      </c>
      <c r="Z37" s="426">
        <v>-5.0000000000000001E-3</v>
      </c>
      <c r="AA37" s="426">
        <v>-4.0000000000000001E-3</v>
      </c>
      <c r="AB37" s="426">
        <v>-4.0000000000000001E-3</v>
      </c>
      <c r="AC37" s="426">
        <v>-4.0000000000000001E-3</v>
      </c>
      <c r="AD37" s="426">
        <v>-4.0000000000000001E-3</v>
      </c>
      <c r="AE37" s="426">
        <v>-3.0000000000000001E-3</v>
      </c>
      <c r="AF37" s="426">
        <v>-3.0000000000000001E-3</v>
      </c>
      <c r="AG37" s="426">
        <v>-2E-3</v>
      </c>
      <c r="AH37" s="426">
        <v>-2E-3</v>
      </c>
      <c r="AI37" s="426">
        <v>-1E-3</v>
      </c>
      <c r="AJ37" s="426">
        <v>-1E-3</v>
      </c>
      <c r="AK37" s="426">
        <v>0</v>
      </c>
      <c r="AL37" s="426">
        <v>0</v>
      </c>
      <c r="AM37" s="426">
        <v>1E-3</v>
      </c>
      <c r="AN37" s="426">
        <v>2E-3</v>
      </c>
      <c r="AO37" s="426">
        <v>2E-3</v>
      </c>
      <c r="AP37" s="426">
        <v>3.0000000000000001E-3</v>
      </c>
      <c r="AQ37" s="426">
        <v>4.0000000000000001E-3</v>
      </c>
      <c r="AR37" s="426">
        <v>5.0000000000000001E-3</v>
      </c>
      <c r="AS37" s="426">
        <v>6.0000000000000001E-3</v>
      </c>
      <c r="AT37" s="426">
        <v>7.0000000000000001E-3</v>
      </c>
      <c r="AU37" s="426">
        <v>7.0000000000000001E-3</v>
      </c>
      <c r="AV37" s="426">
        <v>8.0000000000000002E-3</v>
      </c>
      <c r="AW37" s="426">
        <v>8.0000000000000002E-3</v>
      </c>
      <c r="AX37" s="426">
        <v>8.9999999999999993E-3</v>
      </c>
      <c r="AY37" s="426">
        <v>8.9999999999999993E-3</v>
      </c>
      <c r="AZ37" s="426">
        <v>0.01</v>
      </c>
      <c r="BA37" s="426">
        <v>0.01</v>
      </c>
      <c r="BB37" s="426">
        <v>1.0999999999999999E-2</v>
      </c>
      <c r="BC37" s="426">
        <v>1.0999999999999999E-2</v>
      </c>
      <c r="BD37" s="426">
        <v>1.2E-2</v>
      </c>
      <c r="BE37" s="426">
        <v>1.2E-2</v>
      </c>
      <c r="BF37" s="426">
        <v>1.2E-2</v>
      </c>
      <c r="BG37" s="426">
        <v>1.2999999999999999E-2</v>
      </c>
      <c r="BH37" s="426">
        <v>1.2999999999999999E-2</v>
      </c>
      <c r="BI37" s="426">
        <v>1.4E-2</v>
      </c>
      <c r="BJ37" s="426">
        <v>1.4E-2</v>
      </c>
      <c r="BK37" s="426">
        <v>1.4E-2</v>
      </c>
      <c r="BL37" s="427">
        <v>1.4E-2</v>
      </c>
    </row>
    <row r="38" spans="2:64" customFormat="1" ht="14.4">
      <c r="B38" s="664"/>
      <c r="C38" s="385" t="s">
        <v>218</v>
      </c>
      <c r="D38" s="379"/>
      <c r="E38" s="321"/>
      <c r="F38" s="321"/>
      <c r="G38" s="321"/>
      <c r="H38" s="321"/>
      <c r="I38" s="321"/>
      <c r="J38" s="321"/>
      <c r="K38" s="321"/>
      <c r="L38" s="321"/>
      <c r="M38" s="321"/>
      <c r="N38" s="321"/>
      <c r="O38" s="321"/>
      <c r="P38" s="321"/>
      <c r="Q38" s="321"/>
      <c r="R38" s="321">
        <v>-4.0000000000000001E-3</v>
      </c>
      <c r="S38" s="321">
        <v>-4.0000000000000001E-3</v>
      </c>
      <c r="T38" s="321">
        <v>-3.0000000000000001E-3</v>
      </c>
      <c r="U38" s="321">
        <v>-3.0000000000000001E-3</v>
      </c>
      <c r="V38" s="321">
        <v>-4.0000000000000001E-3</v>
      </c>
      <c r="W38" s="321">
        <v>-5.0000000000000001E-3</v>
      </c>
      <c r="X38" s="321">
        <v>-5.0000000000000001E-3</v>
      </c>
      <c r="Y38" s="321">
        <v>-5.0000000000000001E-3</v>
      </c>
      <c r="Z38" s="321">
        <v>-5.0000000000000001E-3</v>
      </c>
      <c r="AA38" s="321">
        <v>-5.0000000000000001E-3</v>
      </c>
      <c r="AB38" s="321">
        <v>-4.0000000000000001E-3</v>
      </c>
      <c r="AC38" s="321">
        <v>-4.0000000000000001E-3</v>
      </c>
      <c r="AD38" s="321">
        <v>-5.0000000000000001E-3</v>
      </c>
      <c r="AE38" s="321">
        <v>-5.0000000000000001E-3</v>
      </c>
      <c r="AF38" s="321">
        <v>-5.0000000000000001E-3</v>
      </c>
      <c r="AG38" s="321">
        <v>-5.0000000000000001E-3</v>
      </c>
      <c r="AH38" s="321">
        <v>-5.0000000000000001E-3</v>
      </c>
      <c r="AI38" s="321">
        <v>-5.0000000000000001E-3</v>
      </c>
      <c r="AJ38" s="321">
        <v>-5.0000000000000001E-3</v>
      </c>
      <c r="AK38" s="321">
        <v>-5.0000000000000001E-3</v>
      </c>
      <c r="AL38" s="321">
        <v>-5.0000000000000001E-3</v>
      </c>
      <c r="AM38" s="321">
        <v>-5.0000000000000001E-3</v>
      </c>
      <c r="AN38" s="321">
        <v>-5.0000000000000001E-3</v>
      </c>
      <c r="AO38" s="321">
        <v>-5.0000000000000001E-3</v>
      </c>
      <c r="AP38" s="321">
        <v>-4.0000000000000001E-3</v>
      </c>
      <c r="AQ38" s="321">
        <v>-4.0000000000000001E-3</v>
      </c>
      <c r="AR38" s="321">
        <v>-3.0000000000000001E-3</v>
      </c>
      <c r="AS38" s="321">
        <v>-3.0000000000000001E-3</v>
      </c>
      <c r="AT38" s="321">
        <v>-3.0000000000000001E-3</v>
      </c>
      <c r="AU38" s="321">
        <v>-3.0000000000000001E-3</v>
      </c>
      <c r="AV38" s="321">
        <v>-3.0000000000000001E-3</v>
      </c>
      <c r="AW38" s="321">
        <v>-2E-3</v>
      </c>
      <c r="AX38" s="321">
        <v>-2E-3</v>
      </c>
      <c r="AY38" s="321">
        <v>-2E-3</v>
      </c>
      <c r="AZ38" s="321">
        <v>-2E-3</v>
      </c>
      <c r="BA38" s="321">
        <v>-2E-3</v>
      </c>
      <c r="BB38" s="321">
        <v>-2E-3</v>
      </c>
      <c r="BC38" s="321">
        <v>-1E-3</v>
      </c>
      <c r="BD38" s="321">
        <v>-1E-3</v>
      </c>
      <c r="BE38" s="321">
        <v>-1E-3</v>
      </c>
      <c r="BF38" s="321">
        <v>-1E-3</v>
      </c>
      <c r="BG38" s="321">
        <v>-1E-3</v>
      </c>
      <c r="BH38" s="321">
        <v>-1E-3</v>
      </c>
      <c r="BI38" s="321">
        <v>0</v>
      </c>
      <c r="BJ38" s="321">
        <v>0</v>
      </c>
      <c r="BK38" s="321">
        <v>0</v>
      </c>
      <c r="BL38" s="322">
        <v>0</v>
      </c>
    </row>
    <row r="39" spans="2:64" customFormat="1" ht="15" thickBot="1">
      <c r="B39" s="665"/>
      <c r="C39" s="386" t="s">
        <v>219</v>
      </c>
      <c r="D39" s="382"/>
      <c r="E39" s="323"/>
      <c r="F39" s="323"/>
      <c r="G39" s="323"/>
      <c r="H39" s="323"/>
      <c r="I39" s="323"/>
      <c r="J39" s="323"/>
      <c r="K39" s="323"/>
      <c r="L39" s="323"/>
      <c r="M39" s="323"/>
      <c r="N39" s="323"/>
      <c r="O39" s="323"/>
      <c r="P39" s="323"/>
      <c r="Q39" s="323"/>
      <c r="R39" s="323">
        <v>-4.0000000000000001E-3</v>
      </c>
      <c r="S39" s="323">
        <v>-4.0000000000000001E-3</v>
      </c>
      <c r="T39" s="323">
        <v>-3.0000000000000001E-3</v>
      </c>
      <c r="U39" s="323">
        <v>-3.0000000000000001E-3</v>
      </c>
      <c r="V39" s="323">
        <v>-4.0000000000000001E-3</v>
      </c>
      <c r="W39" s="323">
        <v>-5.0000000000000001E-3</v>
      </c>
      <c r="X39" s="323">
        <v>-5.0000000000000001E-3</v>
      </c>
      <c r="Y39" s="323">
        <v>-5.0000000000000001E-3</v>
      </c>
      <c r="Z39" s="323">
        <v>-5.0000000000000001E-3</v>
      </c>
      <c r="AA39" s="323">
        <v>-6.0000000000000001E-3</v>
      </c>
      <c r="AB39" s="323">
        <v>-6.0000000000000001E-3</v>
      </c>
      <c r="AC39" s="323">
        <v>-7.0000000000000001E-3</v>
      </c>
      <c r="AD39" s="323">
        <v>-8.0000000000000002E-3</v>
      </c>
      <c r="AE39" s="323">
        <v>-8.0000000000000002E-3</v>
      </c>
      <c r="AF39" s="323">
        <v>-8.9999999999999993E-3</v>
      </c>
      <c r="AG39" s="323">
        <v>-0.01</v>
      </c>
      <c r="AH39" s="323">
        <v>-0.01</v>
      </c>
      <c r="AI39" s="323">
        <v>-1.0999999999999999E-2</v>
      </c>
      <c r="AJ39" s="323">
        <v>-1.2E-2</v>
      </c>
      <c r="AK39" s="323">
        <v>-1.2999999999999999E-2</v>
      </c>
      <c r="AL39" s="323">
        <v>-1.2999999999999999E-2</v>
      </c>
      <c r="AM39" s="323">
        <v>-1.4E-2</v>
      </c>
      <c r="AN39" s="323">
        <v>-1.4E-2</v>
      </c>
      <c r="AO39" s="323">
        <v>-1.4999999999999999E-2</v>
      </c>
      <c r="AP39" s="323">
        <v>-1.4999999999999999E-2</v>
      </c>
      <c r="AQ39" s="323">
        <v>-1.4999999999999999E-2</v>
      </c>
      <c r="AR39" s="323">
        <v>-1.4999999999999999E-2</v>
      </c>
      <c r="AS39" s="323">
        <v>-1.4999999999999999E-2</v>
      </c>
      <c r="AT39" s="323">
        <v>-1.4999999999999999E-2</v>
      </c>
      <c r="AU39" s="323">
        <v>-1.4999999999999999E-2</v>
      </c>
      <c r="AV39" s="323">
        <v>-1.6E-2</v>
      </c>
      <c r="AW39" s="323">
        <v>-1.6E-2</v>
      </c>
      <c r="AX39" s="323">
        <v>-1.6E-2</v>
      </c>
      <c r="AY39" s="323">
        <v>-1.7000000000000001E-2</v>
      </c>
      <c r="AZ39" s="323">
        <v>-1.7000000000000001E-2</v>
      </c>
      <c r="BA39" s="323">
        <v>-1.7000000000000001E-2</v>
      </c>
      <c r="BB39" s="323">
        <v>-1.7000000000000001E-2</v>
      </c>
      <c r="BC39" s="323">
        <v>-1.7000000000000001E-2</v>
      </c>
      <c r="BD39" s="323">
        <v>-1.7000000000000001E-2</v>
      </c>
      <c r="BE39" s="323">
        <v>-1.7999999999999999E-2</v>
      </c>
      <c r="BF39" s="323">
        <v>-1.7999999999999999E-2</v>
      </c>
      <c r="BG39" s="323">
        <v>-1.7999999999999999E-2</v>
      </c>
      <c r="BH39" s="323">
        <v>-1.7999999999999999E-2</v>
      </c>
      <c r="BI39" s="323">
        <v>-1.7999999999999999E-2</v>
      </c>
      <c r="BJ39" s="323">
        <v>-1.7999999999999999E-2</v>
      </c>
      <c r="BK39" s="323">
        <v>-1.7999999999999999E-2</v>
      </c>
      <c r="BL39" s="324">
        <v>-1.7999999999999999E-2</v>
      </c>
    </row>
  </sheetData>
  <mergeCells count="4">
    <mergeCell ref="D19:G19"/>
    <mergeCell ref="H19:K19"/>
    <mergeCell ref="B5:B10"/>
    <mergeCell ref="B37:B39"/>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39"/>
  <sheetViews>
    <sheetView workbookViewId="0">
      <selection activeCell="AO37" sqref="AO37"/>
    </sheetView>
  </sheetViews>
  <sheetFormatPr baseColWidth="10" defaultColWidth="11.44140625" defaultRowHeight="13.8"/>
  <cols>
    <col min="1" max="1" width="11.44140625" style="2"/>
    <col min="2" max="2" width="17.5546875" style="2" customWidth="1"/>
    <col min="3" max="3" width="27.5546875" style="2" customWidth="1"/>
    <col min="4" max="16384" width="11.44140625" style="2"/>
  </cols>
  <sheetData>
    <row r="1" spans="1:64" ht="15.6">
      <c r="A1" s="83" t="s">
        <v>254</v>
      </c>
    </row>
    <row r="2" spans="1:64" ht="15.6">
      <c r="B2" s="1"/>
    </row>
    <row r="3" spans="1:64" customFormat="1" ht="15" thickBot="1">
      <c r="C3" s="29"/>
    </row>
    <row r="4" spans="1:64" customFormat="1" ht="15" thickBot="1">
      <c r="B4" s="363"/>
      <c r="C4" s="364"/>
      <c r="D4" s="428">
        <v>2000</v>
      </c>
      <c r="E4" s="429">
        <v>2001</v>
      </c>
      <c r="F4" s="429">
        <v>2002</v>
      </c>
      <c r="G4" s="429">
        <v>2003</v>
      </c>
      <c r="H4" s="429">
        <v>2004</v>
      </c>
      <c r="I4" s="429">
        <v>2005</v>
      </c>
      <c r="J4" s="429">
        <v>2006</v>
      </c>
      <c r="K4" s="429">
        <v>2007</v>
      </c>
      <c r="L4" s="429">
        <v>2008</v>
      </c>
      <c r="M4" s="429">
        <v>2009</v>
      </c>
      <c r="N4" s="429">
        <v>2010</v>
      </c>
      <c r="O4" s="429">
        <v>2011</v>
      </c>
      <c r="P4" s="429">
        <v>2012</v>
      </c>
      <c r="Q4" s="429">
        <v>2013</v>
      </c>
      <c r="R4" s="429">
        <v>2014</v>
      </c>
      <c r="S4" s="429">
        <v>2015</v>
      </c>
      <c r="T4" s="429">
        <v>2016</v>
      </c>
      <c r="U4" s="429">
        <v>2017</v>
      </c>
      <c r="V4" s="429">
        <v>2018</v>
      </c>
      <c r="W4" s="429">
        <v>2019</v>
      </c>
      <c r="X4" s="429">
        <v>2020</v>
      </c>
      <c r="Y4" s="429">
        <v>2021</v>
      </c>
      <c r="Z4" s="429">
        <v>2022</v>
      </c>
      <c r="AA4" s="429">
        <v>2023</v>
      </c>
      <c r="AB4" s="429">
        <v>2024</v>
      </c>
      <c r="AC4" s="429">
        <v>2025</v>
      </c>
      <c r="AD4" s="429">
        <v>2026</v>
      </c>
      <c r="AE4" s="429">
        <v>2027</v>
      </c>
      <c r="AF4" s="429">
        <v>2028</v>
      </c>
      <c r="AG4" s="429">
        <v>2029</v>
      </c>
      <c r="AH4" s="429">
        <v>2030</v>
      </c>
      <c r="AI4" s="429">
        <v>2031</v>
      </c>
      <c r="AJ4" s="429">
        <v>2032</v>
      </c>
      <c r="AK4" s="429">
        <v>2033</v>
      </c>
      <c r="AL4" s="429">
        <v>2034</v>
      </c>
      <c r="AM4" s="429">
        <v>2035</v>
      </c>
      <c r="AN4" s="429">
        <v>2036</v>
      </c>
      <c r="AO4" s="429">
        <v>2037</v>
      </c>
      <c r="AP4" s="429">
        <v>2038</v>
      </c>
      <c r="AQ4" s="429">
        <v>2039</v>
      </c>
      <c r="AR4" s="429">
        <v>2040</v>
      </c>
      <c r="AS4" s="429">
        <v>2041</v>
      </c>
      <c r="AT4" s="429">
        <v>2042</v>
      </c>
      <c r="AU4" s="429">
        <v>2043</v>
      </c>
      <c r="AV4" s="429">
        <v>2044</v>
      </c>
      <c r="AW4" s="429">
        <v>2045</v>
      </c>
      <c r="AX4" s="429">
        <v>2046</v>
      </c>
      <c r="AY4" s="429">
        <v>2047</v>
      </c>
      <c r="AZ4" s="429">
        <v>2048</v>
      </c>
      <c r="BA4" s="429">
        <v>2049</v>
      </c>
      <c r="BB4" s="429">
        <v>2050</v>
      </c>
      <c r="BC4" s="429">
        <v>2051</v>
      </c>
      <c r="BD4" s="429">
        <v>2052</v>
      </c>
      <c r="BE4" s="429">
        <v>2053</v>
      </c>
      <c r="BF4" s="429">
        <v>2054</v>
      </c>
      <c r="BG4" s="429">
        <v>2055</v>
      </c>
      <c r="BH4" s="429">
        <v>2056</v>
      </c>
      <c r="BI4" s="429">
        <v>2057</v>
      </c>
      <c r="BJ4" s="429">
        <v>2058</v>
      </c>
      <c r="BK4" s="429">
        <v>2059</v>
      </c>
      <c r="BL4" s="430">
        <v>2060</v>
      </c>
    </row>
    <row r="5" spans="1:64" customFormat="1" ht="15" customHeight="1">
      <c r="B5" s="666" t="s">
        <v>74</v>
      </c>
      <c r="C5" s="84" t="s">
        <v>66</v>
      </c>
      <c r="D5" s="431"/>
      <c r="E5" s="432"/>
      <c r="F5" s="432">
        <v>3.0000000000000001E-3</v>
      </c>
      <c r="G5" s="432">
        <v>4.0000000000000001E-3</v>
      </c>
      <c r="H5" s="432">
        <v>3.0000000000000001E-3</v>
      </c>
      <c r="I5" s="432">
        <v>1E-3</v>
      </c>
      <c r="J5" s="432">
        <v>2E-3</v>
      </c>
      <c r="K5" s="432">
        <v>1E-3</v>
      </c>
      <c r="L5" s="432">
        <v>0</v>
      </c>
      <c r="M5" s="432">
        <v>-5.0000000000000001E-3</v>
      </c>
      <c r="N5" s="432">
        <v>-7.0000000000000001E-3</v>
      </c>
      <c r="O5" s="432">
        <v>-6.0000000000000001E-3</v>
      </c>
      <c r="P5" s="432">
        <v>-5.0000000000000001E-3</v>
      </c>
      <c r="Q5" s="432">
        <v>-4.0000000000000001E-3</v>
      </c>
      <c r="R5" s="432"/>
      <c r="S5" s="432"/>
      <c r="T5" s="432"/>
      <c r="U5" s="432"/>
      <c r="V5" s="432"/>
      <c r="W5" s="432"/>
      <c r="X5" s="432"/>
      <c r="Y5" s="432"/>
      <c r="Z5" s="432"/>
      <c r="AA5" s="432"/>
      <c r="AB5" s="432"/>
      <c r="AC5" s="432"/>
      <c r="AD5" s="432"/>
      <c r="AE5" s="432"/>
      <c r="AF5" s="432"/>
      <c r="AG5" s="432"/>
      <c r="AH5" s="432"/>
      <c r="AI5" s="432"/>
      <c r="AJ5" s="432"/>
      <c r="AK5" s="432"/>
      <c r="AL5" s="432"/>
      <c r="AM5" s="432"/>
      <c r="AN5" s="432"/>
      <c r="AO5" s="432"/>
      <c r="AP5" s="432"/>
      <c r="AQ5" s="432"/>
      <c r="AR5" s="432"/>
      <c r="AS5" s="432"/>
      <c r="AT5" s="432"/>
      <c r="AU5" s="432"/>
      <c r="AV5" s="432"/>
      <c r="AW5" s="432"/>
      <c r="AX5" s="432"/>
      <c r="AY5" s="432"/>
      <c r="AZ5" s="432"/>
      <c r="BA5" s="432"/>
      <c r="BB5" s="432"/>
      <c r="BC5" s="432"/>
      <c r="BD5" s="432"/>
      <c r="BE5" s="432"/>
      <c r="BF5" s="432"/>
      <c r="BG5" s="432"/>
      <c r="BH5" s="432"/>
      <c r="BI5" s="432"/>
      <c r="BJ5" s="432"/>
      <c r="BK5" s="432"/>
      <c r="BL5" s="433"/>
    </row>
    <row r="6" spans="1:64" customFormat="1" ht="14.4">
      <c r="B6" s="667"/>
      <c r="C6" s="85" t="s">
        <v>54</v>
      </c>
      <c r="D6" s="296"/>
      <c r="E6" s="297"/>
      <c r="F6" s="297"/>
      <c r="G6" s="297"/>
      <c r="H6" s="297"/>
      <c r="I6" s="297"/>
      <c r="J6" s="297"/>
      <c r="K6" s="297"/>
      <c r="L6" s="297"/>
      <c r="M6" s="297"/>
      <c r="N6" s="297"/>
      <c r="O6" s="297"/>
      <c r="P6" s="297"/>
      <c r="Q6" s="297"/>
      <c r="R6" s="297">
        <v>-4.0000000000000001E-3</v>
      </c>
      <c r="S6" s="297">
        <v>-4.0000000000000001E-3</v>
      </c>
      <c r="T6" s="297">
        <v>-3.0000000000000001E-3</v>
      </c>
      <c r="U6" s="297">
        <v>-3.0000000000000001E-3</v>
      </c>
      <c r="V6" s="297">
        <v>-4.0000000000000001E-3</v>
      </c>
      <c r="W6" s="297">
        <v>-4.0000000000000001E-3</v>
      </c>
      <c r="X6" s="297">
        <v>-3.0000000000000001E-3</v>
      </c>
      <c r="Y6" s="297">
        <v>-2E-3</v>
      </c>
      <c r="Z6" s="297">
        <v>-1E-3</v>
      </c>
      <c r="AA6" s="297">
        <v>0</v>
      </c>
      <c r="AB6" s="297">
        <v>0</v>
      </c>
      <c r="AC6" s="297">
        <v>1E-3</v>
      </c>
      <c r="AD6" s="297">
        <v>2E-3</v>
      </c>
      <c r="AE6" s="297">
        <v>2E-3</v>
      </c>
      <c r="AF6" s="297">
        <v>3.0000000000000001E-3</v>
      </c>
      <c r="AG6" s="297">
        <v>3.0000000000000001E-3</v>
      </c>
      <c r="AH6" s="297">
        <v>3.0000000000000001E-3</v>
      </c>
      <c r="AI6" s="297">
        <v>3.0000000000000001E-3</v>
      </c>
      <c r="AJ6" s="297">
        <v>3.0000000000000001E-3</v>
      </c>
      <c r="AK6" s="297">
        <v>3.0000000000000001E-3</v>
      </c>
      <c r="AL6" s="297">
        <v>4.0000000000000001E-3</v>
      </c>
      <c r="AM6" s="297">
        <v>4.0000000000000001E-3</v>
      </c>
      <c r="AN6" s="297">
        <v>4.0000000000000001E-3</v>
      </c>
      <c r="AO6" s="297">
        <v>5.0000000000000001E-3</v>
      </c>
      <c r="AP6" s="297">
        <v>6.0000000000000001E-3</v>
      </c>
      <c r="AQ6" s="297">
        <v>6.0000000000000001E-3</v>
      </c>
      <c r="AR6" s="297">
        <v>7.0000000000000001E-3</v>
      </c>
      <c r="AS6" s="297">
        <v>7.0000000000000001E-3</v>
      </c>
      <c r="AT6" s="297">
        <v>8.0000000000000002E-3</v>
      </c>
      <c r="AU6" s="297">
        <v>8.0000000000000002E-3</v>
      </c>
      <c r="AV6" s="297">
        <v>8.0000000000000002E-3</v>
      </c>
      <c r="AW6" s="297">
        <v>8.9999999999999993E-3</v>
      </c>
      <c r="AX6" s="297">
        <v>8.9999999999999993E-3</v>
      </c>
      <c r="AY6" s="297">
        <v>8.9999999999999993E-3</v>
      </c>
      <c r="AZ6" s="297">
        <v>8.9999999999999993E-3</v>
      </c>
      <c r="BA6" s="297">
        <v>0.01</v>
      </c>
      <c r="BB6" s="297">
        <v>0.01</v>
      </c>
      <c r="BC6" s="297">
        <v>0.01</v>
      </c>
      <c r="BD6" s="297">
        <v>0.01</v>
      </c>
      <c r="BE6" s="297">
        <v>0.01</v>
      </c>
      <c r="BF6" s="297">
        <v>0.01</v>
      </c>
      <c r="BG6" s="297">
        <v>1.0999999999999999E-2</v>
      </c>
      <c r="BH6" s="297">
        <v>1.0999999999999999E-2</v>
      </c>
      <c r="BI6" s="297">
        <v>1.0999999999999999E-2</v>
      </c>
      <c r="BJ6" s="297">
        <v>1.0999999999999999E-2</v>
      </c>
      <c r="BK6" s="297">
        <v>1.0999999999999999E-2</v>
      </c>
      <c r="BL6" s="298">
        <v>1.0999999999999999E-2</v>
      </c>
    </row>
    <row r="7" spans="1:64" customFormat="1" ht="14.4">
      <c r="B7" s="667"/>
      <c r="C7" s="85" t="s">
        <v>89</v>
      </c>
      <c r="D7" s="296"/>
      <c r="E7" s="297"/>
      <c r="F7" s="297"/>
      <c r="G7" s="297"/>
      <c r="H7" s="297"/>
      <c r="I7" s="297"/>
      <c r="J7" s="297"/>
      <c r="K7" s="297"/>
      <c r="L7" s="297"/>
      <c r="M7" s="297"/>
      <c r="N7" s="297"/>
      <c r="O7" s="297"/>
      <c r="P7" s="297"/>
      <c r="Q7" s="297"/>
      <c r="R7" s="297">
        <v>-4.0000000000000001E-3</v>
      </c>
      <c r="S7" s="297">
        <v>-4.0000000000000001E-3</v>
      </c>
      <c r="T7" s="297">
        <v>-3.0000000000000001E-3</v>
      </c>
      <c r="U7" s="297">
        <v>-3.0000000000000001E-3</v>
      </c>
      <c r="V7" s="297">
        <v>-4.0000000000000001E-3</v>
      </c>
      <c r="W7" s="297">
        <v>-4.0000000000000001E-3</v>
      </c>
      <c r="X7" s="297">
        <v>-3.0000000000000001E-3</v>
      </c>
      <c r="Y7" s="297">
        <v>-3.0000000000000001E-3</v>
      </c>
      <c r="Z7" s="297">
        <v>-2E-3</v>
      </c>
      <c r="AA7" s="297">
        <v>-1E-3</v>
      </c>
      <c r="AB7" s="297">
        <v>0</v>
      </c>
      <c r="AC7" s="297">
        <v>1E-3</v>
      </c>
      <c r="AD7" s="297">
        <v>1E-3</v>
      </c>
      <c r="AE7" s="297">
        <v>2E-3</v>
      </c>
      <c r="AF7" s="297">
        <v>2E-3</v>
      </c>
      <c r="AG7" s="297">
        <v>2E-3</v>
      </c>
      <c r="AH7" s="297">
        <v>2E-3</v>
      </c>
      <c r="AI7" s="297">
        <v>2E-3</v>
      </c>
      <c r="AJ7" s="297">
        <v>2E-3</v>
      </c>
      <c r="AK7" s="297">
        <v>2E-3</v>
      </c>
      <c r="AL7" s="297">
        <v>2E-3</v>
      </c>
      <c r="AM7" s="297">
        <v>2E-3</v>
      </c>
      <c r="AN7" s="297">
        <v>2E-3</v>
      </c>
      <c r="AO7" s="297">
        <v>2E-3</v>
      </c>
      <c r="AP7" s="297">
        <v>3.0000000000000001E-3</v>
      </c>
      <c r="AQ7" s="297">
        <v>4.0000000000000001E-3</v>
      </c>
      <c r="AR7" s="297">
        <v>4.0000000000000001E-3</v>
      </c>
      <c r="AS7" s="297">
        <v>4.0000000000000001E-3</v>
      </c>
      <c r="AT7" s="297">
        <v>5.0000000000000001E-3</v>
      </c>
      <c r="AU7" s="297">
        <v>5.0000000000000001E-3</v>
      </c>
      <c r="AV7" s="297">
        <v>5.0000000000000001E-3</v>
      </c>
      <c r="AW7" s="297">
        <v>5.0000000000000001E-3</v>
      </c>
      <c r="AX7" s="297">
        <v>5.0000000000000001E-3</v>
      </c>
      <c r="AY7" s="297">
        <v>5.0000000000000001E-3</v>
      </c>
      <c r="AZ7" s="297">
        <v>5.0000000000000001E-3</v>
      </c>
      <c r="BA7" s="297">
        <v>6.0000000000000001E-3</v>
      </c>
      <c r="BB7" s="297">
        <v>6.0000000000000001E-3</v>
      </c>
      <c r="BC7" s="297">
        <v>6.0000000000000001E-3</v>
      </c>
      <c r="BD7" s="297">
        <v>6.0000000000000001E-3</v>
      </c>
      <c r="BE7" s="297">
        <v>6.0000000000000001E-3</v>
      </c>
      <c r="BF7" s="297">
        <v>6.0000000000000001E-3</v>
      </c>
      <c r="BG7" s="297">
        <v>6.0000000000000001E-3</v>
      </c>
      <c r="BH7" s="297">
        <v>6.0000000000000001E-3</v>
      </c>
      <c r="BI7" s="297">
        <v>6.0000000000000001E-3</v>
      </c>
      <c r="BJ7" s="297">
        <v>6.0000000000000001E-3</v>
      </c>
      <c r="BK7" s="297">
        <v>6.0000000000000001E-3</v>
      </c>
      <c r="BL7" s="298">
        <v>6.0000000000000001E-3</v>
      </c>
    </row>
    <row r="8" spans="1:64" customFormat="1" ht="14.4">
      <c r="B8" s="667"/>
      <c r="C8" s="85" t="s">
        <v>55</v>
      </c>
      <c r="D8" s="296"/>
      <c r="E8" s="297"/>
      <c r="F8" s="297"/>
      <c r="G8" s="297"/>
      <c r="H8" s="297"/>
      <c r="I8" s="297"/>
      <c r="J8" s="297"/>
      <c r="K8" s="297"/>
      <c r="L8" s="297"/>
      <c r="M8" s="297"/>
      <c r="N8" s="297"/>
      <c r="O8" s="297"/>
      <c r="P8" s="297"/>
      <c r="Q8" s="297"/>
      <c r="R8" s="297">
        <v>-4.0000000000000001E-3</v>
      </c>
      <c r="S8" s="297">
        <v>-4.0000000000000001E-3</v>
      </c>
      <c r="T8" s="297">
        <v>-3.0000000000000001E-3</v>
      </c>
      <c r="U8" s="297">
        <v>-3.0000000000000001E-3</v>
      </c>
      <c r="V8" s="297">
        <v>-4.0000000000000001E-3</v>
      </c>
      <c r="W8" s="297">
        <v>-4.0000000000000001E-3</v>
      </c>
      <c r="X8" s="297">
        <v>-3.0000000000000001E-3</v>
      </c>
      <c r="Y8" s="297">
        <v>-2E-3</v>
      </c>
      <c r="Z8" s="297">
        <v>-2E-3</v>
      </c>
      <c r="AA8" s="297">
        <v>-1E-3</v>
      </c>
      <c r="AB8" s="297">
        <v>-1E-3</v>
      </c>
      <c r="AC8" s="297">
        <v>-1E-3</v>
      </c>
      <c r="AD8" s="297">
        <v>-1E-3</v>
      </c>
      <c r="AE8" s="297">
        <v>0</v>
      </c>
      <c r="AF8" s="297">
        <v>0</v>
      </c>
      <c r="AG8" s="297">
        <v>0</v>
      </c>
      <c r="AH8" s="297">
        <v>0</v>
      </c>
      <c r="AI8" s="297">
        <v>0</v>
      </c>
      <c r="AJ8" s="297">
        <v>0</v>
      </c>
      <c r="AK8" s="297">
        <v>-1E-3</v>
      </c>
      <c r="AL8" s="297">
        <v>-1E-3</v>
      </c>
      <c r="AM8" s="297">
        <v>-1E-3</v>
      </c>
      <c r="AN8" s="297">
        <v>-1E-3</v>
      </c>
      <c r="AO8" s="297">
        <v>-1E-3</v>
      </c>
      <c r="AP8" s="297">
        <v>-1E-3</v>
      </c>
      <c r="AQ8" s="297">
        <v>0</v>
      </c>
      <c r="AR8" s="297">
        <v>0</v>
      </c>
      <c r="AS8" s="297">
        <v>0</v>
      </c>
      <c r="AT8" s="297">
        <v>0</v>
      </c>
      <c r="AU8" s="297">
        <v>0</v>
      </c>
      <c r="AV8" s="297">
        <v>0</v>
      </c>
      <c r="AW8" s="297">
        <v>0</v>
      </c>
      <c r="AX8" s="297">
        <v>0</v>
      </c>
      <c r="AY8" s="297">
        <v>0</v>
      </c>
      <c r="AZ8" s="297">
        <v>0</v>
      </c>
      <c r="BA8" s="297">
        <v>0</v>
      </c>
      <c r="BB8" s="297">
        <v>0</v>
      </c>
      <c r="BC8" s="297">
        <v>0</v>
      </c>
      <c r="BD8" s="297">
        <v>0</v>
      </c>
      <c r="BE8" s="297">
        <v>-1E-3</v>
      </c>
      <c r="BF8" s="297">
        <v>-1E-3</v>
      </c>
      <c r="BG8" s="297">
        <v>0</v>
      </c>
      <c r="BH8" s="297">
        <v>0</v>
      </c>
      <c r="BI8" s="297">
        <v>0</v>
      </c>
      <c r="BJ8" s="297">
        <v>-1E-3</v>
      </c>
      <c r="BK8" s="297">
        <v>-1E-3</v>
      </c>
      <c r="BL8" s="298">
        <v>-1E-3</v>
      </c>
    </row>
    <row r="9" spans="1:64" customFormat="1" ht="14.4">
      <c r="B9" s="667"/>
      <c r="C9" s="85" t="s">
        <v>56</v>
      </c>
      <c r="D9" s="296"/>
      <c r="E9" s="297"/>
      <c r="F9" s="297"/>
      <c r="G9" s="297"/>
      <c r="H9" s="297"/>
      <c r="I9" s="297"/>
      <c r="J9" s="297"/>
      <c r="K9" s="297"/>
      <c r="L9" s="297"/>
      <c r="M9" s="297"/>
      <c r="N9" s="297"/>
      <c r="O9" s="297"/>
      <c r="P9" s="297"/>
      <c r="Q9" s="297"/>
      <c r="R9" s="297">
        <v>-4.0000000000000001E-3</v>
      </c>
      <c r="S9" s="297">
        <v>-4.0000000000000001E-3</v>
      </c>
      <c r="T9" s="297">
        <v>-3.0000000000000001E-3</v>
      </c>
      <c r="U9" s="297">
        <v>-3.0000000000000001E-3</v>
      </c>
      <c r="V9" s="297">
        <v>-4.0000000000000001E-3</v>
      </c>
      <c r="W9" s="297">
        <v>-4.0000000000000001E-3</v>
      </c>
      <c r="X9" s="297">
        <v>-3.0000000000000001E-3</v>
      </c>
      <c r="Y9" s="297">
        <v>-3.0000000000000001E-3</v>
      </c>
      <c r="Z9" s="297">
        <v>-2E-3</v>
      </c>
      <c r="AA9" s="297">
        <v>-1E-3</v>
      </c>
      <c r="AB9" s="297">
        <v>-1E-3</v>
      </c>
      <c r="AC9" s="297">
        <v>-1E-3</v>
      </c>
      <c r="AD9" s="297">
        <v>-2E-3</v>
      </c>
      <c r="AE9" s="297">
        <v>-2E-3</v>
      </c>
      <c r="AF9" s="297">
        <v>-3.0000000000000001E-3</v>
      </c>
      <c r="AG9" s="297">
        <v>-3.0000000000000001E-3</v>
      </c>
      <c r="AH9" s="297">
        <v>-4.0000000000000001E-3</v>
      </c>
      <c r="AI9" s="297">
        <v>-4.0000000000000001E-3</v>
      </c>
      <c r="AJ9" s="297">
        <v>-5.0000000000000001E-3</v>
      </c>
      <c r="AK9" s="297">
        <v>-5.0000000000000001E-3</v>
      </c>
      <c r="AL9" s="297">
        <v>-6.0000000000000001E-3</v>
      </c>
      <c r="AM9" s="297">
        <v>-6.0000000000000001E-3</v>
      </c>
      <c r="AN9" s="297">
        <v>-6.0000000000000001E-3</v>
      </c>
      <c r="AO9" s="297">
        <v>-6.0000000000000001E-3</v>
      </c>
      <c r="AP9" s="297">
        <v>-6.0000000000000001E-3</v>
      </c>
      <c r="AQ9" s="297">
        <v>-6.0000000000000001E-3</v>
      </c>
      <c r="AR9" s="297">
        <v>-6.0000000000000001E-3</v>
      </c>
      <c r="AS9" s="297">
        <v>-6.0000000000000001E-3</v>
      </c>
      <c r="AT9" s="297">
        <v>-6.0000000000000001E-3</v>
      </c>
      <c r="AU9" s="297">
        <v>-6.0000000000000001E-3</v>
      </c>
      <c r="AV9" s="297">
        <v>-6.0000000000000001E-3</v>
      </c>
      <c r="AW9" s="297">
        <v>-6.0000000000000001E-3</v>
      </c>
      <c r="AX9" s="297">
        <v>-7.0000000000000001E-3</v>
      </c>
      <c r="AY9" s="297">
        <v>-7.0000000000000001E-3</v>
      </c>
      <c r="AZ9" s="297">
        <v>-7.0000000000000001E-3</v>
      </c>
      <c r="BA9" s="297">
        <v>-7.0000000000000001E-3</v>
      </c>
      <c r="BB9" s="297">
        <v>-7.0000000000000001E-3</v>
      </c>
      <c r="BC9" s="297">
        <v>-7.0000000000000001E-3</v>
      </c>
      <c r="BD9" s="297">
        <v>-7.0000000000000001E-3</v>
      </c>
      <c r="BE9" s="297">
        <v>-8.0000000000000002E-3</v>
      </c>
      <c r="BF9" s="297">
        <v>-8.0000000000000002E-3</v>
      </c>
      <c r="BG9" s="297">
        <v>-8.0000000000000002E-3</v>
      </c>
      <c r="BH9" s="297">
        <v>-8.0000000000000002E-3</v>
      </c>
      <c r="BI9" s="297">
        <v>-8.0000000000000002E-3</v>
      </c>
      <c r="BJ9" s="297">
        <v>-8.0000000000000002E-3</v>
      </c>
      <c r="BK9" s="297">
        <v>-8.0000000000000002E-3</v>
      </c>
      <c r="BL9" s="298">
        <v>-8.0000000000000002E-3</v>
      </c>
    </row>
    <row r="10" spans="1:64" customFormat="1" ht="15" thickBot="1">
      <c r="B10" s="668"/>
      <c r="C10" s="86" t="s">
        <v>57</v>
      </c>
      <c r="D10" s="299"/>
      <c r="E10" s="300"/>
      <c r="F10" s="300"/>
      <c r="G10" s="300"/>
      <c r="H10" s="300"/>
      <c r="I10" s="300"/>
      <c r="J10" s="300"/>
      <c r="K10" s="300"/>
      <c r="L10" s="300"/>
      <c r="M10" s="300"/>
      <c r="N10" s="300"/>
      <c r="O10" s="300"/>
      <c r="P10" s="300"/>
      <c r="Q10" s="300"/>
      <c r="R10" s="300">
        <v>-4.0000000000000001E-3</v>
      </c>
      <c r="S10" s="300">
        <v>-4.0000000000000001E-3</v>
      </c>
      <c r="T10" s="300">
        <v>-3.0000000000000001E-3</v>
      </c>
      <c r="U10" s="300">
        <v>-3.0000000000000001E-3</v>
      </c>
      <c r="V10" s="300">
        <v>-4.0000000000000001E-3</v>
      </c>
      <c r="W10" s="300">
        <v>-4.0000000000000001E-3</v>
      </c>
      <c r="X10" s="300">
        <v>-3.0000000000000001E-3</v>
      </c>
      <c r="Y10" s="300">
        <v>-3.0000000000000001E-3</v>
      </c>
      <c r="Z10" s="300">
        <v>-2E-3</v>
      </c>
      <c r="AA10" s="300">
        <v>-2E-3</v>
      </c>
      <c r="AB10" s="300">
        <v>-2E-3</v>
      </c>
      <c r="AC10" s="300">
        <v>-3.0000000000000001E-3</v>
      </c>
      <c r="AD10" s="300">
        <v>-3.0000000000000001E-3</v>
      </c>
      <c r="AE10" s="300">
        <v>-4.0000000000000001E-3</v>
      </c>
      <c r="AF10" s="300">
        <v>-5.0000000000000001E-3</v>
      </c>
      <c r="AG10" s="300">
        <v>-6.0000000000000001E-3</v>
      </c>
      <c r="AH10" s="300">
        <v>-7.0000000000000001E-3</v>
      </c>
      <c r="AI10" s="300">
        <v>-7.0000000000000001E-3</v>
      </c>
      <c r="AJ10" s="300">
        <v>-8.0000000000000002E-3</v>
      </c>
      <c r="AK10" s="300">
        <v>-8.9999999999999993E-3</v>
      </c>
      <c r="AL10" s="300">
        <v>-0.01</v>
      </c>
      <c r="AM10" s="300">
        <v>-1.0999999999999999E-2</v>
      </c>
      <c r="AN10" s="300">
        <v>-1.0999999999999999E-2</v>
      </c>
      <c r="AO10" s="300">
        <v>-1.0999999999999999E-2</v>
      </c>
      <c r="AP10" s="300">
        <v>-1.0999999999999999E-2</v>
      </c>
      <c r="AQ10" s="300">
        <v>-1.0999999999999999E-2</v>
      </c>
      <c r="AR10" s="300">
        <v>-1.2E-2</v>
      </c>
      <c r="AS10" s="300">
        <v>-1.2E-2</v>
      </c>
      <c r="AT10" s="300">
        <v>-1.2E-2</v>
      </c>
      <c r="AU10" s="300">
        <v>-1.2999999999999999E-2</v>
      </c>
      <c r="AV10" s="300">
        <v>-1.2999999999999999E-2</v>
      </c>
      <c r="AW10" s="300">
        <v>-1.4E-2</v>
      </c>
      <c r="AX10" s="300">
        <v>-1.4E-2</v>
      </c>
      <c r="AY10" s="300">
        <v>-1.4E-2</v>
      </c>
      <c r="AZ10" s="300">
        <v>-1.4999999999999999E-2</v>
      </c>
      <c r="BA10" s="300">
        <v>-1.4999999999999999E-2</v>
      </c>
      <c r="BB10" s="300">
        <v>-1.4999999999999999E-2</v>
      </c>
      <c r="BC10" s="300">
        <v>-1.6E-2</v>
      </c>
      <c r="BD10" s="300">
        <v>-1.6E-2</v>
      </c>
      <c r="BE10" s="300">
        <v>-1.6E-2</v>
      </c>
      <c r="BF10" s="300">
        <v>-1.6E-2</v>
      </c>
      <c r="BG10" s="300">
        <v>-1.6E-2</v>
      </c>
      <c r="BH10" s="300">
        <v>-1.6E-2</v>
      </c>
      <c r="BI10" s="300">
        <v>-1.7000000000000001E-2</v>
      </c>
      <c r="BJ10" s="300">
        <v>-1.7000000000000001E-2</v>
      </c>
      <c r="BK10" s="300">
        <v>-1.7000000000000001E-2</v>
      </c>
      <c r="BL10" s="301">
        <v>-1.7000000000000001E-2</v>
      </c>
    </row>
    <row r="11" spans="1:64">
      <c r="B11" s="3"/>
      <c r="D11" s="4"/>
      <c r="E11" s="4"/>
      <c r="F11" s="4"/>
      <c r="G11" s="4"/>
      <c r="H11" s="4"/>
      <c r="I11" s="4"/>
      <c r="J11" s="4"/>
      <c r="K11" s="4"/>
      <c r="L11" s="4"/>
      <c r="M11" s="4"/>
      <c r="N11" s="4"/>
    </row>
    <row r="12" spans="1:64">
      <c r="B12" s="3"/>
      <c r="D12" s="4"/>
      <c r="E12" s="4"/>
      <c r="F12" s="4"/>
      <c r="G12" s="4"/>
      <c r="H12" s="4"/>
      <c r="I12" s="4"/>
      <c r="J12" s="4"/>
      <c r="K12" s="4"/>
      <c r="L12" s="4"/>
      <c r="M12" s="4"/>
      <c r="N12" s="4"/>
    </row>
    <row r="13" spans="1:64">
      <c r="B13" s="3"/>
      <c r="D13" s="4"/>
      <c r="E13" s="4"/>
      <c r="F13" s="4"/>
      <c r="G13" s="4"/>
      <c r="H13" s="4"/>
      <c r="I13" s="4"/>
      <c r="J13" s="4"/>
      <c r="K13" s="4"/>
      <c r="L13" s="4"/>
      <c r="M13" s="4"/>
      <c r="N13" s="4"/>
    </row>
    <row r="14" spans="1:64">
      <c r="B14" s="3"/>
      <c r="D14" s="4"/>
      <c r="E14" s="4"/>
      <c r="F14" s="4"/>
      <c r="G14" s="4"/>
      <c r="H14" s="4"/>
      <c r="I14" s="4"/>
      <c r="J14" s="4"/>
      <c r="K14" s="4"/>
      <c r="L14" s="4"/>
      <c r="M14" s="4"/>
      <c r="N14" s="4"/>
    </row>
    <row r="15" spans="1:64">
      <c r="B15" s="3"/>
      <c r="D15" s="4"/>
      <c r="E15" s="4"/>
      <c r="F15" s="4"/>
      <c r="G15" s="4"/>
      <c r="H15" s="4"/>
      <c r="I15" s="4"/>
      <c r="J15" s="4"/>
      <c r="K15" s="4"/>
      <c r="L15" s="4"/>
      <c r="M15" s="4"/>
      <c r="N15" s="4"/>
    </row>
    <row r="16" spans="1:64">
      <c r="B16" s="3"/>
      <c r="D16" s="4"/>
      <c r="E16" s="4"/>
      <c r="F16" s="4"/>
      <c r="G16" s="4"/>
      <c r="H16" s="4"/>
      <c r="I16" s="4"/>
      <c r="J16" s="4"/>
      <c r="K16" s="4"/>
      <c r="L16" s="4"/>
      <c r="M16" s="4"/>
      <c r="N16" s="4"/>
    </row>
    <row r="19" spans="4:7" ht="15.6">
      <c r="D19" s="679" t="s">
        <v>74</v>
      </c>
      <c r="E19" s="679"/>
      <c r="F19" s="679"/>
      <c r="G19" s="679"/>
    </row>
    <row r="33" spans="2:64" ht="18" customHeight="1"/>
    <row r="34" spans="2:64" ht="15.6">
      <c r="B34" s="98" t="s">
        <v>221</v>
      </c>
    </row>
    <row r="35" spans="2:64" ht="14.4" thickBot="1"/>
    <row r="36" spans="2:64" customFormat="1" ht="15" thickBot="1">
      <c r="B36" s="370"/>
      <c r="C36" s="371"/>
      <c r="D36" s="422">
        <v>2000</v>
      </c>
      <c r="E36" s="423">
        <v>2001</v>
      </c>
      <c r="F36" s="423">
        <v>2002</v>
      </c>
      <c r="G36" s="423">
        <v>2003</v>
      </c>
      <c r="H36" s="423">
        <v>2004</v>
      </c>
      <c r="I36" s="423">
        <v>2005</v>
      </c>
      <c r="J36" s="423">
        <v>2006</v>
      </c>
      <c r="K36" s="423">
        <v>2007</v>
      </c>
      <c r="L36" s="423">
        <v>2008</v>
      </c>
      <c r="M36" s="423">
        <v>2009</v>
      </c>
      <c r="N36" s="423">
        <v>2010</v>
      </c>
      <c r="O36" s="423">
        <v>2011</v>
      </c>
      <c r="P36" s="423">
        <v>2012</v>
      </c>
      <c r="Q36" s="423">
        <v>2013</v>
      </c>
      <c r="R36" s="423">
        <v>2014</v>
      </c>
      <c r="S36" s="423">
        <v>2015</v>
      </c>
      <c r="T36" s="423">
        <v>2016</v>
      </c>
      <c r="U36" s="423">
        <v>2017</v>
      </c>
      <c r="V36" s="423">
        <v>2018</v>
      </c>
      <c r="W36" s="423">
        <v>2019</v>
      </c>
      <c r="X36" s="423">
        <v>2020</v>
      </c>
      <c r="Y36" s="423">
        <v>2021</v>
      </c>
      <c r="Z36" s="423">
        <v>2022</v>
      </c>
      <c r="AA36" s="423">
        <v>2023</v>
      </c>
      <c r="AB36" s="423">
        <v>2024</v>
      </c>
      <c r="AC36" s="423">
        <v>2025</v>
      </c>
      <c r="AD36" s="423">
        <v>2026</v>
      </c>
      <c r="AE36" s="423">
        <v>2027</v>
      </c>
      <c r="AF36" s="423">
        <v>2028</v>
      </c>
      <c r="AG36" s="423">
        <v>2029</v>
      </c>
      <c r="AH36" s="423">
        <v>2030</v>
      </c>
      <c r="AI36" s="423">
        <v>2031</v>
      </c>
      <c r="AJ36" s="423">
        <v>2032</v>
      </c>
      <c r="AK36" s="423">
        <v>2033</v>
      </c>
      <c r="AL36" s="423">
        <v>2034</v>
      </c>
      <c r="AM36" s="423">
        <v>2035</v>
      </c>
      <c r="AN36" s="423">
        <v>2036</v>
      </c>
      <c r="AO36" s="423">
        <v>2037</v>
      </c>
      <c r="AP36" s="423">
        <v>2038</v>
      </c>
      <c r="AQ36" s="423">
        <v>2039</v>
      </c>
      <c r="AR36" s="423">
        <v>2040</v>
      </c>
      <c r="AS36" s="423">
        <v>2041</v>
      </c>
      <c r="AT36" s="423">
        <v>2042</v>
      </c>
      <c r="AU36" s="423">
        <v>2043</v>
      </c>
      <c r="AV36" s="423">
        <v>2044</v>
      </c>
      <c r="AW36" s="423">
        <v>2045</v>
      </c>
      <c r="AX36" s="423">
        <v>2046</v>
      </c>
      <c r="AY36" s="423">
        <v>2047</v>
      </c>
      <c r="AZ36" s="423">
        <v>2048</v>
      </c>
      <c r="BA36" s="423">
        <v>2049</v>
      </c>
      <c r="BB36" s="423">
        <v>2050</v>
      </c>
      <c r="BC36" s="423">
        <v>2051</v>
      </c>
      <c r="BD36" s="423">
        <v>2052</v>
      </c>
      <c r="BE36" s="423">
        <v>2053</v>
      </c>
      <c r="BF36" s="423">
        <v>2054</v>
      </c>
      <c r="BG36" s="423">
        <v>2055</v>
      </c>
      <c r="BH36" s="423">
        <v>2056</v>
      </c>
      <c r="BI36" s="423">
        <v>2057</v>
      </c>
      <c r="BJ36" s="423">
        <v>2058</v>
      </c>
      <c r="BK36" s="423">
        <v>2059</v>
      </c>
      <c r="BL36" s="424">
        <v>2060</v>
      </c>
    </row>
    <row r="37" spans="2:64" customFormat="1" ht="14.4">
      <c r="B37" s="663" t="s">
        <v>73</v>
      </c>
      <c r="C37" s="384" t="s">
        <v>217</v>
      </c>
      <c r="D37" s="425"/>
      <c r="E37" s="426"/>
      <c r="F37" s="426"/>
      <c r="G37" s="426"/>
      <c r="H37" s="426"/>
      <c r="I37" s="426"/>
      <c r="J37" s="426"/>
      <c r="K37" s="426"/>
      <c r="L37" s="426"/>
      <c r="M37" s="426"/>
      <c r="N37" s="426"/>
      <c r="O37" s="426"/>
      <c r="P37" s="426"/>
      <c r="Q37" s="426"/>
      <c r="R37" s="426">
        <v>-4.0000000000000001E-3</v>
      </c>
      <c r="S37" s="426">
        <v>-4.0000000000000001E-3</v>
      </c>
      <c r="T37" s="426">
        <v>-3.0000000000000001E-3</v>
      </c>
      <c r="U37" s="426">
        <v>-3.0000000000000001E-3</v>
      </c>
      <c r="V37" s="426">
        <v>-4.0000000000000001E-3</v>
      </c>
      <c r="W37" s="426">
        <v>-4.0000000000000001E-3</v>
      </c>
      <c r="X37" s="426">
        <v>-4.0000000000000001E-3</v>
      </c>
      <c r="Y37" s="426">
        <v>-4.0000000000000001E-3</v>
      </c>
      <c r="Z37" s="426">
        <v>-4.0000000000000001E-3</v>
      </c>
      <c r="AA37" s="426">
        <v>-4.0000000000000001E-3</v>
      </c>
      <c r="AB37" s="426">
        <v>-3.0000000000000001E-3</v>
      </c>
      <c r="AC37" s="426">
        <v>-3.0000000000000001E-3</v>
      </c>
      <c r="AD37" s="426">
        <v>-3.0000000000000001E-3</v>
      </c>
      <c r="AE37" s="426">
        <v>-3.0000000000000001E-3</v>
      </c>
      <c r="AF37" s="426">
        <v>-3.0000000000000001E-3</v>
      </c>
      <c r="AG37" s="426">
        <v>-3.0000000000000001E-3</v>
      </c>
      <c r="AH37" s="426">
        <v>-2E-3</v>
      </c>
      <c r="AI37" s="426">
        <v>-2E-3</v>
      </c>
      <c r="AJ37" s="426">
        <v>-2E-3</v>
      </c>
      <c r="AK37" s="426">
        <v>-2E-3</v>
      </c>
      <c r="AL37" s="426">
        <v>-2E-3</v>
      </c>
      <c r="AM37" s="426">
        <v>-1E-3</v>
      </c>
      <c r="AN37" s="426">
        <v>-1E-3</v>
      </c>
      <c r="AO37" s="426">
        <v>0</v>
      </c>
      <c r="AP37" s="426">
        <v>1E-3</v>
      </c>
      <c r="AQ37" s="426">
        <v>1E-3</v>
      </c>
      <c r="AR37" s="426">
        <v>2E-3</v>
      </c>
      <c r="AS37" s="426">
        <v>2E-3</v>
      </c>
      <c r="AT37" s="426">
        <v>3.0000000000000001E-3</v>
      </c>
      <c r="AU37" s="426">
        <v>3.0000000000000001E-3</v>
      </c>
      <c r="AV37" s="426">
        <v>4.0000000000000001E-3</v>
      </c>
      <c r="AW37" s="426">
        <v>4.0000000000000001E-3</v>
      </c>
      <c r="AX37" s="426">
        <v>4.0000000000000001E-3</v>
      </c>
      <c r="AY37" s="426">
        <v>5.0000000000000001E-3</v>
      </c>
      <c r="AZ37" s="426">
        <v>5.0000000000000001E-3</v>
      </c>
      <c r="BA37" s="426">
        <v>5.0000000000000001E-3</v>
      </c>
      <c r="BB37" s="426">
        <v>5.0000000000000001E-3</v>
      </c>
      <c r="BC37" s="426">
        <v>6.0000000000000001E-3</v>
      </c>
      <c r="BD37" s="426">
        <v>6.0000000000000001E-3</v>
      </c>
      <c r="BE37" s="426">
        <v>6.0000000000000001E-3</v>
      </c>
      <c r="BF37" s="426">
        <v>6.0000000000000001E-3</v>
      </c>
      <c r="BG37" s="426">
        <v>7.0000000000000001E-3</v>
      </c>
      <c r="BH37" s="426">
        <v>7.0000000000000001E-3</v>
      </c>
      <c r="BI37" s="426">
        <v>7.0000000000000001E-3</v>
      </c>
      <c r="BJ37" s="426">
        <v>7.0000000000000001E-3</v>
      </c>
      <c r="BK37" s="426">
        <v>7.0000000000000001E-3</v>
      </c>
      <c r="BL37" s="427">
        <v>7.0000000000000001E-3</v>
      </c>
    </row>
    <row r="38" spans="2:64" customFormat="1" ht="14.4">
      <c r="B38" s="664"/>
      <c r="C38" s="385" t="s">
        <v>218</v>
      </c>
      <c r="D38" s="379"/>
      <c r="E38" s="321"/>
      <c r="F38" s="321"/>
      <c r="G38" s="321"/>
      <c r="H38" s="321"/>
      <c r="I38" s="321"/>
      <c r="J38" s="321"/>
      <c r="K38" s="321"/>
      <c r="L38" s="321"/>
      <c r="M38" s="321"/>
      <c r="N38" s="321"/>
      <c r="O38" s="321"/>
      <c r="P38" s="321"/>
      <c r="Q38" s="321"/>
      <c r="R38" s="321">
        <v>-4.0000000000000001E-3</v>
      </c>
      <c r="S38" s="321">
        <v>-4.0000000000000001E-3</v>
      </c>
      <c r="T38" s="321">
        <v>-3.0000000000000001E-3</v>
      </c>
      <c r="U38" s="321">
        <v>-3.0000000000000001E-3</v>
      </c>
      <c r="V38" s="321">
        <v>-4.0000000000000001E-3</v>
      </c>
      <c r="W38" s="321">
        <v>-4.0000000000000001E-3</v>
      </c>
      <c r="X38" s="321">
        <v>-4.0000000000000001E-3</v>
      </c>
      <c r="Y38" s="321">
        <v>-4.0000000000000001E-3</v>
      </c>
      <c r="Z38" s="321">
        <v>-4.0000000000000001E-3</v>
      </c>
      <c r="AA38" s="321">
        <v>-4.0000000000000001E-3</v>
      </c>
      <c r="AB38" s="321">
        <v>-4.0000000000000001E-3</v>
      </c>
      <c r="AC38" s="321">
        <v>-4.0000000000000001E-3</v>
      </c>
      <c r="AD38" s="321">
        <v>-4.0000000000000001E-3</v>
      </c>
      <c r="AE38" s="321">
        <v>-5.0000000000000001E-3</v>
      </c>
      <c r="AF38" s="321">
        <v>-5.0000000000000001E-3</v>
      </c>
      <c r="AG38" s="321">
        <v>-5.0000000000000001E-3</v>
      </c>
      <c r="AH38" s="321">
        <v>-5.0000000000000001E-3</v>
      </c>
      <c r="AI38" s="321">
        <v>-6.0000000000000001E-3</v>
      </c>
      <c r="AJ38" s="321">
        <v>-6.0000000000000001E-3</v>
      </c>
      <c r="AK38" s="321">
        <v>-6.0000000000000001E-3</v>
      </c>
      <c r="AL38" s="321">
        <v>-7.0000000000000001E-3</v>
      </c>
      <c r="AM38" s="321">
        <v>-7.0000000000000001E-3</v>
      </c>
      <c r="AN38" s="321">
        <v>-7.0000000000000001E-3</v>
      </c>
      <c r="AO38" s="321">
        <v>-6.0000000000000001E-3</v>
      </c>
      <c r="AP38" s="321">
        <v>-6.0000000000000001E-3</v>
      </c>
      <c r="AQ38" s="321">
        <v>-6.0000000000000001E-3</v>
      </c>
      <c r="AR38" s="321">
        <v>-5.0000000000000001E-3</v>
      </c>
      <c r="AS38" s="321">
        <v>-5.0000000000000001E-3</v>
      </c>
      <c r="AT38" s="321">
        <v>-5.0000000000000001E-3</v>
      </c>
      <c r="AU38" s="321">
        <v>-5.0000000000000001E-3</v>
      </c>
      <c r="AV38" s="321">
        <v>-5.0000000000000001E-3</v>
      </c>
      <c r="AW38" s="321">
        <v>-5.0000000000000001E-3</v>
      </c>
      <c r="AX38" s="321">
        <v>-5.0000000000000001E-3</v>
      </c>
      <c r="AY38" s="321">
        <v>-5.0000000000000001E-3</v>
      </c>
      <c r="AZ38" s="321">
        <v>-5.0000000000000001E-3</v>
      </c>
      <c r="BA38" s="321">
        <v>-5.0000000000000001E-3</v>
      </c>
      <c r="BB38" s="321">
        <v>-5.0000000000000001E-3</v>
      </c>
      <c r="BC38" s="321">
        <v>-5.0000000000000001E-3</v>
      </c>
      <c r="BD38" s="321">
        <v>-5.0000000000000001E-3</v>
      </c>
      <c r="BE38" s="321">
        <v>-5.0000000000000001E-3</v>
      </c>
      <c r="BF38" s="321">
        <v>-5.0000000000000001E-3</v>
      </c>
      <c r="BG38" s="321">
        <v>-5.0000000000000001E-3</v>
      </c>
      <c r="BH38" s="321">
        <v>-5.0000000000000001E-3</v>
      </c>
      <c r="BI38" s="321">
        <v>-5.0000000000000001E-3</v>
      </c>
      <c r="BJ38" s="321">
        <v>-5.0000000000000001E-3</v>
      </c>
      <c r="BK38" s="321">
        <v>-5.0000000000000001E-3</v>
      </c>
      <c r="BL38" s="322">
        <v>-5.0000000000000001E-3</v>
      </c>
    </row>
    <row r="39" spans="2:64" customFormat="1" ht="15" thickBot="1">
      <c r="B39" s="665"/>
      <c r="C39" s="386" t="s">
        <v>219</v>
      </c>
      <c r="D39" s="382"/>
      <c r="E39" s="323"/>
      <c r="F39" s="323"/>
      <c r="G39" s="323"/>
      <c r="H39" s="323"/>
      <c r="I39" s="323"/>
      <c r="J39" s="323"/>
      <c r="K39" s="323"/>
      <c r="L39" s="323"/>
      <c r="M39" s="323"/>
      <c r="N39" s="323"/>
      <c r="O39" s="323"/>
      <c r="P39" s="323"/>
      <c r="Q39" s="323"/>
      <c r="R39" s="323">
        <v>-4.0000000000000001E-3</v>
      </c>
      <c r="S39" s="323">
        <v>-4.0000000000000001E-3</v>
      </c>
      <c r="T39" s="323">
        <v>-3.0000000000000001E-3</v>
      </c>
      <c r="U39" s="323">
        <v>-3.0000000000000001E-3</v>
      </c>
      <c r="V39" s="323">
        <v>-4.0000000000000001E-3</v>
      </c>
      <c r="W39" s="323">
        <v>-4.0000000000000001E-3</v>
      </c>
      <c r="X39" s="323">
        <v>-4.0000000000000001E-3</v>
      </c>
      <c r="Y39" s="323">
        <v>-4.0000000000000001E-3</v>
      </c>
      <c r="Z39" s="323">
        <v>-4.0000000000000001E-3</v>
      </c>
      <c r="AA39" s="323">
        <v>-5.0000000000000001E-3</v>
      </c>
      <c r="AB39" s="323">
        <v>-5.0000000000000001E-3</v>
      </c>
      <c r="AC39" s="323">
        <v>-6.0000000000000001E-3</v>
      </c>
      <c r="AD39" s="323">
        <v>-7.0000000000000001E-3</v>
      </c>
      <c r="AE39" s="323">
        <v>-8.0000000000000002E-3</v>
      </c>
      <c r="AF39" s="323">
        <v>-8.0000000000000002E-3</v>
      </c>
      <c r="AG39" s="323">
        <v>-8.9999999999999993E-3</v>
      </c>
      <c r="AH39" s="323">
        <v>-0.01</v>
      </c>
      <c r="AI39" s="323">
        <v>-1.0999999999999999E-2</v>
      </c>
      <c r="AJ39" s="323">
        <v>-1.2E-2</v>
      </c>
      <c r="AK39" s="323">
        <v>-1.2999999999999999E-2</v>
      </c>
      <c r="AL39" s="323">
        <v>-1.2999999999999999E-2</v>
      </c>
      <c r="AM39" s="323">
        <v>-1.4E-2</v>
      </c>
      <c r="AN39" s="323">
        <v>-1.4E-2</v>
      </c>
      <c r="AO39" s="323">
        <v>-1.4999999999999999E-2</v>
      </c>
      <c r="AP39" s="323">
        <v>-1.4999999999999999E-2</v>
      </c>
      <c r="AQ39" s="323">
        <v>-1.4999999999999999E-2</v>
      </c>
      <c r="AR39" s="323">
        <v>-1.4999999999999999E-2</v>
      </c>
      <c r="AS39" s="323">
        <v>-1.4999999999999999E-2</v>
      </c>
      <c r="AT39" s="323">
        <v>-1.6E-2</v>
      </c>
      <c r="AU39" s="323">
        <v>-1.6E-2</v>
      </c>
      <c r="AV39" s="323">
        <v>-1.6E-2</v>
      </c>
      <c r="AW39" s="323">
        <v>-1.7000000000000001E-2</v>
      </c>
      <c r="AX39" s="323">
        <v>-1.7000000000000001E-2</v>
      </c>
      <c r="AY39" s="323">
        <v>-1.7000000000000001E-2</v>
      </c>
      <c r="AZ39" s="323">
        <v>-1.7999999999999999E-2</v>
      </c>
      <c r="BA39" s="323">
        <v>-1.7999999999999999E-2</v>
      </c>
      <c r="BB39" s="323">
        <v>-1.7999999999999999E-2</v>
      </c>
      <c r="BC39" s="323">
        <v>-1.9E-2</v>
      </c>
      <c r="BD39" s="323">
        <v>-1.9E-2</v>
      </c>
      <c r="BE39" s="323">
        <v>-1.9E-2</v>
      </c>
      <c r="BF39" s="323">
        <v>-1.9E-2</v>
      </c>
      <c r="BG39" s="323">
        <v>-1.9E-2</v>
      </c>
      <c r="BH39" s="323">
        <v>-1.9E-2</v>
      </c>
      <c r="BI39" s="323">
        <v>-0.02</v>
      </c>
      <c r="BJ39" s="323">
        <v>-0.02</v>
      </c>
      <c r="BK39" s="323">
        <v>-0.02</v>
      </c>
      <c r="BL39" s="324">
        <v>-0.02</v>
      </c>
    </row>
  </sheetData>
  <mergeCells count="3">
    <mergeCell ref="B5:B10"/>
    <mergeCell ref="D19:G19"/>
    <mergeCell ref="B37:B39"/>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
  <sheetViews>
    <sheetView workbookViewId="0">
      <selection activeCell="H13" sqref="H13"/>
    </sheetView>
  </sheetViews>
  <sheetFormatPr baseColWidth="10" defaultRowHeight="14.4"/>
  <cols>
    <col min="2" max="2" width="41.109375" customWidth="1"/>
  </cols>
  <sheetData>
    <row r="1" spans="1:8" ht="15.6">
      <c r="A1" s="83" t="s">
        <v>213</v>
      </c>
    </row>
    <row r="4" spans="1:8" ht="15" thickBot="1"/>
    <row r="5" spans="1:8" s="93" customFormat="1" ht="30" customHeight="1">
      <c r="B5" s="689" t="s">
        <v>76</v>
      </c>
      <c r="C5" s="683" t="s">
        <v>201</v>
      </c>
      <c r="D5" s="684"/>
      <c r="E5" s="685"/>
      <c r="F5" s="686" t="s">
        <v>202</v>
      </c>
      <c r="G5" s="687"/>
      <c r="H5" s="688"/>
    </row>
    <row r="6" spans="1:8" s="93" customFormat="1" ht="84.6" thickBot="1">
      <c r="B6" s="690"/>
      <c r="C6" s="356" t="s">
        <v>85</v>
      </c>
      <c r="D6" s="357" t="s">
        <v>86</v>
      </c>
      <c r="E6" s="358" t="s">
        <v>87</v>
      </c>
      <c r="F6" s="359" t="s">
        <v>85</v>
      </c>
      <c r="G6" s="360" t="s">
        <v>86</v>
      </c>
      <c r="H6" s="361" t="s">
        <v>87</v>
      </c>
    </row>
    <row r="7" spans="1:8">
      <c r="B7" s="353" t="s">
        <v>77</v>
      </c>
      <c r="C7" s="329">
        <v>2E-3</v>
      </c>
      <c r="D7" s="330">
        <v>4.0000000000000001E-3</v>
      </c>
      <c r="E7" s="331">
        <v>1.4E-2</v>
      </c>
      <c r="F7" s="332">
        <v>1E-3</v>
      </c>
      <c r="G7" s="333">
        <v>3.0000000000000001E-3</v>
      </c>
      <c r="H7" s="334">
        <v>1.0999999999999999E-2</v>
      </c>
    </row>
    <row r="8" spans="1:8">
      <c r="B8" s="354" t="s">
        <v>78</v>
      </c>
      <c r="C8" s="335">
        <v>1E-3</v>
      </c>
      <c r="D8" s="336">
        <v>1E-3</v>
      </c>
      <c r="E8" s="337">
        <v>5.0000000000000001E-3</v>
      </c>
      <c r="F8" s="338">
        <v>0</v>
      </c>
      <c r="G8" s="339">
        <v>1E-3</v>
      </c>
      <c r="H8" s="340">
        <v>2E-3</v>
      </c>
    </row>
    <row r="9" spans="1:8">
      <c r="B9" s="354" t="s">
        <v>79</v>
      </c>
      <c r="C9" s="341">
        <v>-1E-3</v>
      </c>
      <c r="D9" s="342">
        <v>-3.0000000000000001E-3</v>
      </c>
      <c r="E9" s="343">
        <v>-8.9999999999999993E-3</v>
      </c>
      <c r="F9" s="344">
        <v>-1E-3</v>
      </c>
      <c r="G9" s="345">
        <v>-3.0000000000000001E-3</v>
      </c>
      <c r="H9" s="346">
        <v>-0.01</v>
      </c>
    </row>
    <row r="10" spans="1:8">
      <c r="B10" s="354" t="s">
        <v>80</v>
      </c>
      <c r="C10" s="341">
        <v>-4.0000000000000001E-3</v>
      </c>
      <c r="D10" s="342">
        <v>-8.0000000000000002E-3</v>
      </c>
      <c r="E10" s="343">
        <v>-2.7E-2</v>
      </c>
      <c r="F10" s="344">
        <v>-4.0000000000000001E-3</v>
      </c>
      <c r="G10" s="345">
        <v>-8.0000000000000002E-3</v>
      </c>
      <c r="H10" s="346">
        <v>-2.7E-2</v>
      </c>
    </row>
    <row r="11" spans="1:8">
      <c r="B11" s="354" t="s">
        <v>81</v>
      </c>
      <c r="C11" s="341">
        <v>-7.0000000000000001E-3</v>
      </c>
      <c r="D11" s="342">
        <v>-1.4999999999999999E-2</v>
      </c>
      <c r="E11" s="343">
        <v>-4.7E-2</v>
      </c>
      <c r="F11" s="344">
        <v>-6.0000000000000001E-3</v>
      </c>
      <c r="G11" s="345">
        <v>-1.2999999999999999E-2</v>
      </c>
      <c r="H11" s="346">
        <v>-4.2999999999999997E-2</v>
      </c>
    </row>
    <row r="12" spans="1:8">
      <c r="B12" s="354" t="s">
        <v>82</v>
      </c>
      <c r="C12" s="341">
        <v>-2E-3</v>
      </c>
      <c r="D12" s="342">
        <v>-4.0000000000000001E-3</v>
      </c>
      <c r="E12" s="343">
        <v>-1.4E-2</v>
      </c>
      <c r="F12" s="344">
        <v>-2E-3</v>
      </c>
      <c r="G12" s="345">
        <v>-6.0000000000000001E-3</v>
      </c>
      <c r="H12" s="346">
        <v>-1.7999999999999999E-2</v>
      </c>
    </row>
    <row r="13" spans="1:8">
      <c r="B13" s="354" t="s">
        <v>83</v>
      </c>
      <c r="C13" s="341">
        <v>-5.0000000000000001E-3</v>
      </c>
      <c r="D13" s="342">
        <v>-0.01</v>
      </c>
      <c r="E13" s="343">
        <v>-3.4000000000000002E-2</v>
      </c>
      <c r="F13" s="344">
        <v>-5.0000000000000001E-3</v>
      </c>
      <c r="G13" s="345">
        <v>-1.0999999999999999E-2</v>
      </c>
      <c r="H13" s="346">
        <v>-3.5000000000000003E-2</v>
      </c>
    </row>
    <row r="14" spans="1:8" ht="15" thickBot="1">
      <c r="B14" s="355" t="s">
        <v>84</v>
      </c>
      <c r="C14" s="347">
        <v>-8.9999999999999993E-3</v>
      </c>
      <c r="D14" s="348">
        <v>-0.02</v>
      </c>
      <c r="E14" s="349">
        <v>-6.3E-2</v>
      </c>
      <c r="F14" s="350">
        <v>-8.0000000000000002E-3</v>
      </c>
      <c r="G14" s="351">
        <v>-1.9E-2</v>
      </c>
      <c r="H14" s="352">
        <v>-5.8999999999999997E-2</v>
      </c>
    </row>
  </sheetData>
  <mergeCells count="3">
    <mergeCell ref="C5:E5"/>
    <mergeCell ref="F5:H5"/>
    <mergeCell ref="B5:B6"/>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4"/>
  <sheetViews>
    <sheetView topLeftCell="A22" workbookViewId="0">
      <selection activeCell="D43" sqref="D43"/>
    </sheetView>
  </sheetViews>
  <sheetFormatPr baseColWidth="10" defaultRowHeight="14.4"/>
  <cols>
    <col min="2" max="2" width="53.6640625" customWidth="1"/>
    <col min="3" max="13" width="7.5546875" customWidth="1"/>
  </cols>
  <sheetData>
    <row r="1" spans="1:13" ht="15.6">
      <c r="A1" s="83" t="s">
        <v>232</v>
      </c>
    </row>
    <row r="2" spans="1:13" ht="15" thickBot="1"/>
    <row r="3" spans="1:13" ht="29.25" customHeight="1" thickTop="1">
      <c r="B3" s="696"/>
      <c r="C3" s="697"/>
      <c r="D3" s="698" t="s">
        <v>253</v>
      </c>
      <c r="E3" s="699"/>
      <c r="F3" s="699"/>
      <c r="G3" s="699"/>
      <c r="H3" s="700"/>
      <c r="I3" s="701"/>
      <c r="J3" s="701"/>
      <c r="K3" s="701"/>
      <c r="L3" s="701"/>
      <c r="M3" s="701"/>
    </row>
    <row r="4" spans="1:13" ht="15" thickBot="1">
      <c r="B4" s="691" t="s">
        <v>88</v>
      </c>
      <c r="C4" s="692"/>
      <c r="D4" s="614" t="s">
        <v>54</v>
      </c>
      <c r="E4" s="615" t="s">
        <v>89</v>
      </c>
      <c r="F4" s="615" t="s">
        <v>55</v>
      </c>
      <c r="G4" s="615" t="s">
        <v>56</v>
      </c>
      <c r="H4" s="616" t="s">
        <v>57</v>
      </c>
      <c r="I4" s="94"/>
      <c r="J4" s="94"/>
      <c r="K4" s="94"/>
      <c r="L4" s="94"/>
      <c r="M4" s="94"/>
    </row>
    <row r="5" spans="1:13" ht="40.799999999999997" thickTop="1" thickBot="1">
      <c r="B5" s="617" t="s">
        <v>90</v>
      </c>
      <c r="C5" s="618" t="s">
        <v>91</v>
      </c>
      <c r="D5" s="619">
        <v>7.3999999999999996E-2</v>
      </c>
      <c r="E5" s="620">
        <v>7.4999999999999997E-2</v>
      </c>
      <c r="F5" s="620">
        <v>7.5999999999999998E-2</v>
      </c>
      <c r="G5" s="620">
        <v>8.2000000000000003E-2</v>
      </c>
      <c r="H5" s="621">
        <v>8.3000000000000004E-2</v>
      </c>
      <c r="I5" s="95"/>
      <c r="J5" s="95"/>
      <c r="K5" s="95"/>
      <c r="L5" s="95"/>
      <c r="M5" s="95"/>
    </row>
    <row r="6" spans="1:13" ht="15" thickTop="1">
      <c r="B6" s="622" t="s">
        <v>92</v>
      </c>
      <c r="C6" s="693" t="s">
        <v>93</v>
      </c>
      <c r="D6" s="623"/>
      <c r="E6" s="624"/>
      <c r="F6" s="624"/>
      <c r="G6" s="624"/>
      <c r="H6" s="625"/>
      <c r="I6" s="96"/>
      <c r="J6" s="96"/>
      <c r="K6" s="96"/>
      <c r="L6" s="96"/>
      <c r="M6" s="96"/>
    </row>
    <row r="7" spans="1:13">
      <c r="B7" s="626" t="s">
        <v>94</v>
      </c>
      <c r="C7" s="694"/>
      <c r="D7" s="627">
        <v>36</v>
      </c>
      <c r="E7" s="628">
        <v>36</v>
      </c>
      <c r="F7" s="628">
        <v>36</v>
      </c>
      <c r="G7" s="628">
        <v>34</v>
      </c>
      <c r="H7" s="629">
        <v>34</v>
      </c>
      <c r="I7" s="97"/>
      <c r="J7" s="97"/>
      <c r="K7" s="97"/>
      <c r="L7" s="97"/>
      <c r="M7" s="97"/>
    </row>
    <row r="8" spans="1:13">
      <c r="B8" s="630" t="s">
        <v>95</v>
      </c>
      <c r="C8" s="694"/>
      <c r="D8" s="631">
        <v>18</v>
      </c>
      <c r="E8" s="632">
        <v>18</v>
      </c>
      <c r="F8" s="632">
        <v>19</v>
      </c>
      <c r="G8" s="632">
        <v>19</v>
      </c>
      <c r="H8" s="633">
        <v>19</v>
      </c>
      <c r="I8" s="96"/>
      <c r="J8" s="96"/>
      <c r="K8" s="96"/>
      <c r="L8" s="96"/>
      <c r="M8" s="96"/>
    </row>
    <row r="9" spans="1:13">
      <c r="B9" s="630" t="s">
        <v>96</v>
      </c>
      <c r="C9" s="694"/>
      <c r="D9" s="631">
        <v>69</v>
      </c>
      <c r="E9" s="632">
        <v>61</v>
      </c>
      <c r="F9" s="632">
        <v>49</v>
      </c>
      <c r="G9" s="632">
        <v>41</v>
      </c>
      <c r="H9" s="633">
        <v>28</v>
      </c>
      <c r="I9" s="96"/>
      <c r="J9" s="96"/>
      <c r="K9" s="96"/>
      <c r="L9" s="96"/>
      <c r="M9" s="96"/>
    </row>
    <row r="10" spans="1:13" ht="15" thickBot="1">
      <c r="B10" s="634" t="s">
        <v>97</v>
      </c>
      <c r="C10" s="694"/>
      <c r="D10" s="635">
        <v>0</v>
      </c>
      <c r="E10" s="636">
        <v>0</v>
      </c>
      <c r="F10" s="636">
        <v>0</v>
      </c>
      <c r="G10" s="636">
        <v>6</v>
      </c>
      <c r="H10" s="637">
        <v>19</v>
      </c>
      <c r="I10" s="96"/>
      <c r="J10" s="96"/>
      <c r="K10" s="96"/>
      <c r="L10" s="96"/>
      <c r="M10" s="96"/>
    </row>
    <row r="11" spans="1:13" ht="15.6" thickTop="1" thickBot="1">
      <c r="B11" s="638" t="s">
        <v>98</v>
      </c>
      <c r="C11" s="702"/>
      <c r="D11" s="639">
        <v>24</v>
      </c>
      <c r="E11" s="640">
        <v>16</v>
      </c>
      <c r="F11" s="640">
        <v>5</v>
      </c>
      <c r="G11" s="640">
        <v>0</v>
      </c>
      <c r="H11" s="641">
        <v>0</v>
      </c>
      <c r="I11" s="96"/>
      <c r="J11" s="96"/>
      <c r="K11" s="96"/>
      <c r="L11" s="96"/>
      <c r="M11" s="96"/>
    </row>
    <row r="12" spans="1:13" ht="15" thickTop="1"/>
    <row r="33" spans="2:8">
      <c r="B33" s="387" t="s">
        <v>99</v>
      </c>
      <c r="C33" s="155"/>
      <c r="D33" s="155"/>
      <c r="E33" s="155"/>
      <c r="F33" s="155"/>
      <c r="G33" s="155"/>
      <c r="H33" s="155"/>
    </row>
    <row r="34" spans="2:8" ht="15" thickBot="1">
      <c r="B34" s="155"/>
      <c r="C34" s="155"/>
      <c r="D34" s="155"/>
      <c r="E34" s="155"/>
      <c r="F34" s="155"/>
      <c r="G34" s="155"/>
      <c r="H34" s="155"/>
    </row>
    <row r="35" spans="2:8" ht="33" customHeight="1" thickTop="1">
      <c r="B35" s="696"/>
      <c r="C35" s="697"/>
      <c r="D35" s="703" t="s">
        <v>252</v>
      </c>
      <c r="E35" s="704"/>
      <c r="F35" s="704"/>
      <c r="G35" s="704"/>
      <c r="H35" s="705"/>
    </row>
    <row r="36" spans="2:8" ht="15" thickBot="1">
      <c r="B36" s="691" t="s">
        <v>88</v>
      </c>
      <c r="C36" s="692"/>
      <c r="D36" s="614" t="s">
        <v>54</v>
      </c>
      <c r="E36" s="615" t="s">
        <v>89</v>
      </c>
      <c r="F36" s="615" t="s">
        <v>55</v>
      </c>
      <c r="G36" s="615" t="s">
        <v>56</v>
      </c>
      <c r="H36" s="616" t="s">
        <v>57</v>
      </c>
    </row>
    <row r="37" spans="2:8" ht="40.799999999999997" thickTop="1" thickBot="1">
      <c r="B37" s="617" t="s">
        <v>90</v>
      </c>
      <c r="C37" s="618" t="s">
        <v>91</v>
      </c>
      <c r="D37" s="619">
        <v>0.04</v>
      </c>
      <c r="E37" s="620">
        <v>4.1000000000000002E-2</v>
      </c>
      <c r="F37" s="620">
        <v>4.2000000000000003E-2</v>
      </c>
      <c r="G37" s="620">
        <v>4.5999999999999999E-2</v>
      </c>
      <c r="H37" s="621">
        <v>4.7E-2</v>
      </c>
    </row>
    <row r="38" spans="2:8" ht="15" thickTop="1">
      <c r="B38" s="622" t="s">
        <v>92</v>
      </c>
      <c r="C38" s="693" t="s">
        <v>93</v>
      </c>
      <c r="D38" s="623"/>
      <c r="E38" s="624"/>
      <c r="F38" s="624"/>
      <c r="G38" s="624"/>
      <c r="H38" s="625"/>
    </row>
    <row r="39" spans="2:8">
      <c r="B39" s="626" t="s">
        <v>94</v>
      </c>
      <c r="C39" s="694"/>
      <c r="D39" s="627">
        <v>50</v>
      </c>
      <c r="E39" s="628">
        <v>50</v>
      </c>
      <c r="F39" s="628">
        <v>50</v>
      </c>
      <c r="G39" s="628">
        <v>46</v>
      </c>
      <c r="H39" s="629">
        <v>46</v>
      </c>
    </row>
    <row r="40" spans="2:8">
      <c r="B40" s="630" t="s">
        <v>95</v>
      </c>
      <c r="C40" s="694"/>
      <c r="D40" s="631">
        <v>-16</v>
      </c>
      <c r="E40" s="632">
        <v>-16</v>
      </c>
      <c r="F40" s="632">
        <v>-14</v>
      </c>
      <c r="G40" s="632">
        <v>-11</v>
      </c>
      <c r="H40" s="633">
        <v>-10</v>
      </c>
    </row>
    <row r="41" spans="2:8">
      <c r="B41" s="630" t="s">
        <v>96</v>
      </c>
      <c r="C41" s="694"/>
      <c r="D41" s="631">
        <v>91</v>
      </c>
      <c r="E41" s="632">
        <v>82</v>
      </c>
      <c r="F41" s="632">
        <v>68</v>
      </c>
      <c r="G41" s="632">
        <v>55</v>
      </c>
      <c r="H41" s="633">
        <v>40</v>
      </c>
    </row>
    <row r="42" spans="2:8" ht="15" thickBot="1">
      <c r="B42" s="634" t="s">
        <v>97</v>
      </c>
      <c r="C42" s="694"/>
      <c r="D42" s="635">
        <v>0</v>
      </c>
      <c r="E42" s="636">
        <v>0</v>
      </c>
      <c r="F42" s="636">
        <v>0</v>
      </c>
      <c r="G42" s="636">
        <v>9</v>
      </c>
      <c r="H42" s="637">
        <v>24</v>
      </c>
    </row>
    <row r="43" spans="2:8" ht="15.6" thickTop="1" thickBot="1">
      <c r="B43" s="638" t="s">
        <v>98</v>
      </c>
      <c r="C43" s="695"/>
      <c r="D43" s="639">
        <v>25</v>
      </c>
      <c r="E43" s="640">
        <v>16</v>
      </c>
      <c r="F43" s="640">
        <v>4</v>
      </c>
      <c r="G43" s="640">
        <v>0</v>
      </c>
      <c r="H43" s="641">
        <v>0</v>
      </c>
    </row>
    <row r="44" spans="2:8" ht="15" thickTop="1"/>
  </sheetData>
  <mergeCells count="9">
    <mergeCell ref="B36:C36"/>
    <mergeCell ref="C38:C43"/>
    <mergeCell ref="B3:C3"/>
    <mergeCell ref="D3:H3"/>
    <mergeCell ref="I3:M3"/>
    <mergeCell ref="B4:C4"/>
    <mergeCell ref="C6:C11"/>
    <mergeCell ref="B35:C35"/>
    <mergeCell ref="D35:H3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W114"/>
  <sheetViews>
    <sheetView topLeftCell="A88" workbookViewId="0">
      <selection activeCell="V53" sqref="V53"/>
    </sheetView>
  </sheetViews>
  <sheetFormatPr baseColWidth="10" defaultRowHeight="14.4"/>
  <cols>
    <col min="1" max="1" width="6.6640625" customWidth="1"/>
    <col min="2" max="2" width="35.33203125" customWidth="1"/>
    <col min="3" max="3" width="10.6640625" style="29" customWidth="1"/>
    <col min="4" max="52" width="5.6640625" customWidth="1"/>
    <col min="53" max="64" width="5.5546875" customWidth="1"/>
  </cols>
  <sheetData>
    <row r="1" spans="1:49" ht="15.6">
      <c r="A1" s="98" t="s">
        <v>233</v>
      </c>
    </row>
    <row r="2" spans="1:49" ht="15" thickBot="1"/>
    <row r="3" spans="1:49" ht="15" thickBot="1">
      <c r="B3" s="661"/>
      <c r="C3" s="662"/>
      <c r="D3" s="274">
        <v>2015</v>
      </c>
      <c r="E3" s="274">
        <v>2016</v>
      </c>
      <c r="F3" s="274">
        <v>2017</v>
      </c>
      <c r="G3" s="274">
        <v>2018</v>
      </c>
      <c r="H3" s="274">
        <v>2019</v>
      </c>
      <c r="I3" s="274">
        <v>2020</v>
      </c>
      <c r="J3" s="274">
        <v>2021</v>
      </c>
      <c r="K3" s="274">
        <v>2022</v>
      </c>
      <c r="L3" s="274">
        <v>2023</v>
      </c>
      <c r="M3" s="274">
        <v>2024</v>
      </c>
      <c r="N3" s="274">
        <v>2025</v>
      </c>
      <c r="O3" s="274">
        <v>2026</v>
      </c>
      <c r="P3" s="274">
        <v>2027</v>
      </c>
      <c r="Q3" s="274">
        <v>2028</v>
      </c>
      <c r="R3" s="274">
        <v>2029</v>
      </c>
      <c r="S3" s="274">
        <v>2030</v>
      </c>
      <c r="T3" s="274">
        <v>2031</v>
      </c>
      <c r="U3" s="274">
        <v>2032</v>
      </c>
      <c r="V3" s="274">
        <v>2033</v>
      </c>
      <c r="W3" s="274">
        <v>2034</v>
      </c>
      <c r="X3" s="274">
        <v>2035</v>
      </c>
      <c r="Y3" s="274">
        <v>2036</v>
      </c>
      <c r="Z3" s="274">
        <v>2037</v>
      </c>
      <c r="AA3" s="274">
        <v>2038</v>
      </c>
      <c r="AB3" s="274">
        <v>2039</v>
      </c>
      <c r="AC3" s="274">
        <v>2040</v>
      </c>
      <c r="AD3" s="274">
        <v>2041</v>
      </c>
      <c r="AE3" s="274">
        <v>2042</v>
      </c>
      <c r="AF3" s="274">
        <v>2043</v>
      </c>
      <c r="AG3" s="274">
        <v>2044</v>
      </c>
      <c r="AH3" s="274">
        <v>2045</v>
      </c>
      <c r="AI3" s="274">
        <v>2046</v>
      </c>
      <c r="AJ3" s="274">
        <v>2047</v>
      </c>
      <c r="AK3" s="274">
        <v>2048</v>
      </c>
      <c r="AL3" s="274">
        <v>2049</v>
      </c>
      <c r="AM3" s="274">
        <v>2050</v>
      </c>
      <c r="AN3" s="274">
        <v>2051</v>
      </c>
      <c r="AO3" s="274">
        <v>2052</v>
      </c>
      <c r="AP3" s="274">
        <v>2053</v>
      </c>
      <c r="AQ3" s="274">
        <v>2054</v>
      </c>
      <c r="AR3" s="274">
        <v>2055</v>
      </c>
      <c r="AS3" s="274">
        <v>2056</v>
      </c>
      <c r="AT3" s="274">
        <v>2057</v>
      </c>
      <c r="AU3" s="274">
        <v>2058</v>
      </c>
      <c r="AV3" s="274">
        <v>2059</v>
      </c>
      <c r="AW3" s="275">
        <v>2060</v>
      </c>
    </row>
    <row r="4" spans="1:49" s="99" customFormat="1" ht="21" customHeight="1">
      <c r="A4" s="708" t="s">
        <v>189</v>
      </c>
      <c r="B4" s="715" t="s">
        <v>184</v>
      </c>
      <c r="C4" s="100" t="s">
        <v>54</v>
      </c>
      <c r="D4" s="321">
        <v>0.501</v>
      </c>
      <c r="E4" s="321">
        <v>0.5</v>
      </c>
      <c r="F4" s="321">
        <v>0.499</v>
      </c>
      <c r="G4" s="321">
        <v>0.496</v>
      </c>
      <c r="H4" s="321">
        <v>0.48899999999999999</v>
      </c>
      <c r="I4" s="321">
        <v>0.48899999999999999</v>
      </c>
      <c r="J4" s="321">
        <v>0.48699999999999999</v>
      </c>
      <c r="K4" s="321">
        <v>0.48599999999999999</v>
      </c>
      <c r="L4" s="321">
        <v>0.48399999999999999</v>
      </c>
      <c r="M4" s="321">
        <v>0.48199999999999998</v>
      </c>
      <c r="N4" s="321">
        <v>0.47899999999999998</v>
      </c>
      <c r="O4" s="321">
        <v>0.47499999999999998</v>
      </c>
      <c r="P4" s="321">
        <v>0.47199999999999998</v>
      </c>
      <c r="Q4" s="321">
        <v>0.46700000000000003</v>
      </c>
      <c r="R4" s="321">
        <v>0.46300000000000002</v>
      </c>
      <c r="S4" s="321">
        <v>0.45800000000000002</v>
      </c>
      <c r="T4" s="321">
        <v>0.45400000000000001</v>
      </c>
      <c r="U4" s="321">
        <v>0.44900000000000001</v>
      </c>
      <c r="V4" s="321">
        <v>0.44500000000000001</v>
      </c>
      <c r="W4" s="321">
        <v>0.441</v>
      </c>
      <c r="X4" s="321">
        <v>0.438</v>
      </c>
      <c r="Y4" s="321">
        <v>0.435</v>
      </c>
      <c r="Z4" s="321">
        <v>0.433</v>
      </c>
      <c r="AA4" s="321">
        <v>0.432</v>
      </c>
      <c r="AB4" s="321">
        <v>0.43</v>
      </c>
      <c r="AC4" s="321">
        <v>0.42899999999999999</v>
      </c>
      <c r="AD4" s="321">
        <v>0.42799999999999999</v>
      </c>
      <c r="AE4" s="321">
        <v>0.42599999999999999</v>
      </c>
      <c r="AF4" s="321">
        <v>0.42299999999999999</v>
      </c>
      <c r="AG4" s="321">
        <v>0.42099999999999999</v>
      </c>
      <c r="AH4" s="321">
        <v>0.41899999999999998</v>
      </c>
      <c r="AI4" s="321">
        <v>0.41699999999999998</v>
      </c>
      <c r="AJ4" s="321">
        <v>0.41499999999999998</v>
      </c>
      <c r="AK4" s="321">
        <v>0.41399999999999998</v>
      </c>
      <c r="AL4" s="321">
        <v>0.41199999999999998</v>
      </c>
      <c r="AM4" s="321">
        <v>0.41099999999999998</v>
      </c>
      <c r="AN4" s="321">
        <v>0.41</v>
      </c>
      <c r="AO4" s="321">
        <v>0.40899999999999997</v>
      </c>
      <c r="AP4" s="321">
        <v>0.40799999999999997</v>
      </c>
      <c r="AQ4" s="321">
        <v>0.40699999999999997</v>
      </c>
      <c r="AR4" s="321">
        <v>0.40699999999999997</v>
      </c>
      <c r="AS4" s="321">
        <v>0.40699999999999997</v>
      </c>
      <c r="AT4" s="321">
        <v>0.40699999999999997</v>
      </c>
      <c r="AU4" s="321">
        <v>0.40699999999999997</v>
      </c>
      <c r="AV4" s="321">
        <v>0.40699999999999997</v>
      </c>
      <c r="AW4" s="322">
        <v>0.40699999999999997</v>
      </c>
    </row>
    <row r="5" spans="1:49" s="99" customFormat="1" ht="21" customHeight="1">
      <c r="A5" s="709"/>
      <c r="B5" s="715"/>
      <c r="C5" s="100" t="s">
        <v>89</v>
      </c>
      <c r="D5" s="321">
        <v>0.501</v>
      </c>
      <c r="E5" s="321">
        <v>0.5</v>
      </c>
      <c r="F5" s="321">
        <v>0.499</v>
      </c>
      <c r="G5" s="321">
        <v>0.496</v>
      </c>
      <c r="H5" s="321">
        <v>0.48899999999999999</v>
      </c>
      <c r="I5" s="321">
        <v>0.48899999999999999</v>
      </c>
      <c r="J5" s="321">
        <v>0.48699999999999999</v>
      </c>
      <c r="K5" s="321">
        <v>0.48599999999999999</v>
      </c>
      <c r="L5" s="321">
        <v>0.48399999999999999</v>
      </c>
      <c r="M5" s="321">
        <v>0.48099999999999998</v>
      </c>
      <c r="N5" s="321">
        <v>0.47899999999999998</v>
      </c>
      <c r="O5" s="321">
        <v>0.47499999999999998</v>
      </c>
      <c r="P5" s="321">
        <v>0.47199999999999998</v>
      </c>
      <c r="Q5" s="321">
        <v>0.46700000000000003</v>
      </c>
      <c r="R5" s="321">
        <v>0.46300000000000002</v>
      </c>
      <c r="S5" s="321">
        <v>0.45800000000000002</v>
      </c>
      <c r="T5" s="321">
        <v>0.45400000000000001</v>
      </c>
      <c r="U5" s="321">
        <v>0.44900000000000001</v>
      </c>
      <c r="V5" s="321">
        <v>0.44500000000000001</v>
      </c>
      <c r="W5" s="321">
        <v>0.441</v>
      </c>
      <c r="X5" s="321">
        <v>0.438</v>
      </c>
      <c r="Y5" s="321">
        <v>0.435</v>
      </c>
      <c r="Z5" s="321">
        <v>0.433</v>
      </c>
      <c r="AA5" s="321">
        <v>0.432</v>
      </c>
      <c r="AB5" s="321">
        <v>0.43099999999999999</v>
      </c>
      <c r="AC5" s="321">
        <v>0.42899999999999999</v>
      </c>
      <c r="AD5" s="321">
        <v>0.42799999999999999</v>
      </c>
      <c r="AE5" s="321">
        <v>0.42599999999999999</v>
      </c>
      <c r="AF5" s="321">
        <v>0.42299999999999999</v>
      </c>
      <c r="AG5" s="321">
        <v>0.42099999999999999</v>
      </c>
      <c r="AH5" s="321">
        <v>0.41899999999999998</v>
      </c>
      <c r="AI5" s="321">
        <v>0.41699999999999998</v>
      </c>
      <c r="AJ5" s="321">
        <v>0.41499999999999998</v>
      </c>
      <c r="AK5" s="321">
        <v>0.41399999999999998</v>
      </c>
      <c r="AL5" s="321">
        <v>0.41199999999999998</v>
      </c>
      <c r="AM5" s="321">
        <v>0.41099999999999998</v>
      </c>
      <c r="AN5" s="321">
        <v>0.41</v>
      </c>
      <c r="AO5" s="321">
        <v>0.40899999999999997</v>
      </c>
      <c r="AP5" s="321">
        <v>0.40799999999999997</v>
      </c>
      <c r="AQ5" s="321">
        <v>0.40699999999999997</v>
      </c>
      <c r="AR5" s="321">
        <v>0.40699999999999997</v>
      </c>
      <c r="AS5" s="321">
        <v>0.40699999999999997</v>
      </c>
      <c r="AT5" s="321">
        <v>0.40699999999999997</v>
      </c>
      <c r="AU5" s="321">
        <v>0.40699999999999997</v>
      </c>
      <c r="AV5" s="321">
        <v>0.40699999999999997</v>
      </c>
      <c r="AW5" s="322">
        <v>0.40699999999999997</v>
      </c>
    </row>
    <row r="6" spans="1:49" s="99" customFormat="1" ht="21" customHeight="1">
      <c r="A6" s="709"/>
      <c r="B6" s="715"/>
      <c r="C6" s="100" t="s">
        <v>55</v>
      </c>
      <c r="D6" s="321">
        <v>0.501</v>
      </c>
      <c r="E6" s="321">
        <v>0.5</v>
      </c>
      <c r="F6" s="321">
        <v>0.499</v>
      </c>
      <c r="G6" s="321">
        <v>0.496</v>
      </c>
      <c r="H6" s="321">
        <v>0.48899999999999999</v>
      </c>
      <c r="I6" s="321">
        <v>0.48799999999999999</v>
      </c>
      <c r="J6" s="321">
        <v>0.48699999999999999</v>
      </c>
      <c r="K6" s="321">
        <v>0.48599999999999999</v>
      </c>
      <c r="L6" s="321">
        <v>0.48399999999999999</v>
      </c>
      <c r="M6" s="321">
        <v>0.48</v>
      </c>
      <c r="N6" s="321">
        <v>0.47699999999999998</v>
      </c>
      <c r="O6" s="321">
        <v>0.47199999999999998</v>
      </c>
      <c r="P6" s="321">
        <v>0.46899999999999997</v>
      </c>
      <c r="Q6" s="321">
        <v>0.46500000000000002</v>
      </c>
      <c r="R6" s="321">
        <v>0.46200000000000002</v>
      </c>
      <c r="S6" s="321">
        <v>0.45900000000000002</v>
      </c>
      <c r="T6" s="321">
        <v>0.45600000000000002</v>
      </c>
      <c r="U6" s="321">
        <v>0.45200000000000001</v>
      </c>
      <c r="V6" s="321">
        <v>0.44700000000000001</v>
      </c>
      <c r="W6" s="321">
        <v>0.443</v>
      </c>
      <c r="X6" s="321">
        <v>0.44</v>
      </c>
      <c r="Y6" s="321">
        <v>0.438</v>
      </c>
      <c r="Z6" s="321">
        <v>0.436</v>
      </c>
      <c r="AA6" s="321">
        <v>0.434</v>
      </c>
      <c r="AB6" s="321">
        <v>0.433</v>
      </c>
      <c r="AC6" s="321">
        <v>0.432</v>
      </c>
      <c r="AD6" s="321">
        <v>0.43</v>
      </c>
      <c r="AE6" s="321">
        <v>0.42799999999999999</v>
      </c>
      <c r="AF6" s="321">
        <v>0.42599999999999999</v>
      </c>
      <c r="AG6" s="321">
        <v>0.42299999999999999</v>
      </c>
      <c r="AH6" s="321">
        <v>0.42099999999999999</v>
      </c>
      <c r="AI6" s="321">
        <v>0.42</v>
      </c>
      <c r="AJ6" s="321">
        <v>0.41799999999999998</v>
      </c>
      <c r="AK6" s="321">
        <v>0.41599999999999998</v>
      </c>
      <c r="AL6" s="321">
        <v>0.41499999999999998</v>
      </c>
      <c r="AM6" s="321">
        <v>0.41299999999999998</v>
      </c>
      <c r="AN6" s="321">
        <v>0.41199999999999998</v>
      </c>
      <c r="AO6" s="321">
        <v>0.41099999999999998</v>
      </c>
      <c r="AP6" s="321">
        <v>0.41</v>
      </c>
      <c r="AQ6" s="321">
        <v>0.41</v>
      </c>
      <c r="AR6" s="321">
        <v>0.41</v>
      </c>
      <c r="AS6" s="321">
        <v>0.41</v>
      </c>
      <c r="AT6" s="321">
        <v>0.40899999999999997</v>
      </c>
      <c r="AU6" s="321">
        <v>0.40899999999999997</v>
      </c>
      <c r="AV6" s="321">
        <v>0.40899999999999997</v>
      </c>
      <c r="AW6" s="322">
        <v>0.40899999999999997</v>
      </c>
    </row>
    <row r="7" spans="1:49" s="99" customFormat="1" ht="21" customHeight="1">
      <c r="A7" s="709"/>
      <c r="B7" s="715"/>
      <c r="C7" s="100" t="s">
        <v>56</v>
      </c>
      <c r="D7" s="321">
        <v>0.501</v>
      </c>
      <c r="E7" s="321">
        <v>0.5</v>
      </c>
      <c r="F7" s="321">
        <v>0.499</v>
      </c>
      <c r="G7" s="321">
        <v>0.496</v>
      </c>
      <c r="H7" s="321">
        <v>0.48899999999999999</v>
      </c>
      <c r="I7" s="321">
        <v>0.48799999999999999</v>
      </c>
      <c r="J7" s="321">
        <v>0.48599999999999999</v>
      </c>
      <c r="K7" s="321">
        <v>0.48599999999999999</v>
      </c>
      <c r="L7" s="321">
        <v>0.48199999999999998</v>
      </c>
      <c r="M7" s="321">
        <v>0.48</v>
      </c>
      <c r="N7" s="321">
        <v>0.47499999999999998</v>
      </c>
      <c r="O7" s="321">
        <v>0.47</v>
      </c>
      <c r="P7" s="321">
        <v>0.46500000000000002</v>
      </c>
      <c r="Q7" s="321">
        <v>0.46</v>
      </c>
      <c r="R7" s="321">
        <v>0.45500000000000002</v>
      </c>
      <c r="S7" s="321">
        <v>0.45100000000000001</v>
      </c>
      <c r="T7" s="321">
        <v>0.44700000000000001</v>
      </c>
      <c r="U7" s="321">
        <v>0.442</v>
      </c>
      <c r="V7" s="321">
        <v>0.438</v>
      </c>
      <c r="W7" s="321">
        <v>0.434</v>
      </c>
      <c r="X7" s="321">
        <v>0.43099999999999999</v>
      </c>
      <c r="Y7" s="321">
        <v>0.42899999999999999</v>
      </c>
      <c r="Z7" s="321">
        <v>0.42699999999999999</v>
      </c>
      <c r="AA7" s="321">
        <v>0.42499999999999999</v>
      </c>
      <c r="AB7" s="321">
        <v>0.42399999999999999</v>
      </c>
      <c r="AC7" s="321">
        <v>0.42199999999999999</v>
      </c>
      <c r="AD7" s="321">
        <v>0.42099999999999999</v>
      </c>
      <c r="AE7" s="321">
        <v>0.41899999999999998</v>
      </c>
      <c r="AF7" s="321">
        <v>0.41699999999999998</v>
      </c>
      <c r="AG7" s="321">
        <v>0.41399999999999998</v>
      </c>
      <c r="AH7" s="321">
        <v>0.41199999999999998</v>
      </c>
      <c r="AI7" s="321">
        <v>0.41099999999999998</v>
      </c>
      <c r="AJ7" s="321">
        <v>0.40899999999999997</v>
      </c>
      <c r="AK7" s="321">
        <v>0.40699999999999997</v>
      </c>
      <c r="AL7" s="321">
        <v>0.40500000000000003</v>
      </c>
      <c r="AM7" s="321">
        <v>0.40400000000000003</v>
      </c>
      <c r="AN7" s="321">
        <v>0.40300000000000002</v>
      </c>
      <c r="AO7" s="321">
        <v>0.40200000000000002</v>
      </c>
      <c r="AP7" s="321">
        <v>0.40100000000000002</v>
      </c>
      <c r="AQ7" s="321">
        <v>0.4</v>
      </c>
      <c r="AR7" s="321">
        <v>0.4</v>
      </c>
      <c r="AS7" s="321">
        <v>0.4</v>
      </c>
      <c r="AT7" s="321">
        <v>0.4</v>
      </c>
      <c r="AU7" s="321">
        <v>0.39900000000000002</v>
      </c>
      <c r="AV7" s="321">
        <v>0.39900000000000002</v>
      </c>
      <c r="AW7" s="322">
        <v>0.39900000000000002</v>
      </c>
    </row>
    <row r="8" spans="1:49" s="99" customFormat="1" ht="21" customHeight="1" thickBot="1">
      <c r="A8" s="709"/>
      <c r="B8" s="716"/>
      <c r="C8" s="101" t="s">
        <v>57</v>
      </c>
      <c r="D8" s="323">
        <v>0.501</v>
      </c>
      <c r="E8" s="323">
        <v>0.5</v>
      </c>
      <c r="F8" s="323">
        <v>0.499</v>
      </c>
      <c r="G8" s="323">
        <v>0.496</v>
      </c>
      <c r="H8" s="323">
        <v>0.48899999999999999</v>
      </c>
      <c r="I8" s="323">
        <v>0.48899999999999999</v>
      </c>
      <c r="J8" s="323">
        <v>0.48599999999999999</v>
      </c>
      <c r="K8" s="323">
        <v>0.48599999999999999</v>
      </c>
      <c r="L8" s="323">
        <v>0.48299999999999998</v>
      </c>
      <c r="M8" s="323">
        <v>0.48</v>
      </c>
      <c r="N8" s="323">
        <v>0.47499999999999998</v>
      </c>
      <c r="O8" s="323">
        <v>0.47</v>
      </c>
      <c r="P8" s="323">
        <v>0.46500000000000002</v>
      </c>
      <c r="Q8" s="323">
        <v>0.46</v>
      </c>
      <c r="R8" s="323">
        <v>0.45600000000000002</v>
      </c>
      <c r="S8" s="323">
        <v>0.45200000000000001</v>
      </c>
      <c r="T8" s="323">
        <v>0.44700000000000001</v>
      </c>
      <c r="U8" s="323">
        <v>0.443</v>
      </c>
      <c r="V8" s="323">
        <v>0.439</v>
      </c>
      <c r="W8" s="323">
        <v>0.435</v>
      </c>
      <c r="X8" s="323">
        <v>0.432</v>
      </c>
      <c r="Y8" s="323">
        <v>0.42899999999999999</v>
      </c>
      <c r="Z8" s="323">
        <v>0.42699999999999999</v>
      </c>
      <c r="AA8" s="323">
        <v>0.42599999999999999</v>
      </c>
      <c r="AB8" s="323">
        <v>0.42499999999999999</v>
      </c>
      <c r="AC8" s="323">
        <v>0.42299999999999999</v>
      </c>
      <c r="AD8" s="323">
        <v>0.42199999999999999</v>
      </c>
      <c r="AE8" s="323">
        <v>0.42</v>
      </c>
      <c r="AF8" s="323">
        <v>0.41699999999999998</v>
      </c>
      <c r="AG8" s="323">
        <v>0.41499999999999998</v>
      </c>
      <c r="AH8" s="323">
        <v>0.41299999999999998</v>
      </c>
      <c r="AI8" s="323">
        <v>0.41099999999999998</v>
      </c>
      <c r="AJ8" s="323">
        <v>0.40899999999999997</v>
      </c>
      <c r="AK8" s="323">
        <v>0.40799999999999997</v>
      </c>
      <c r="AL8" s="323">
        <v>0.40600000000000003</v>
      </c>
      <c r="AM8" s="323">
        <v>0.40500000000000003</v>
      </c>
      <c r="AN8" s="323">
        <v>0.40400000000000003</v>
      </c>
      <c r="AO8" s="323">
        <v>0.40300000000000002</v>
      </c>
      <c r="AP8" s="323">
        <v>0.40200000000000002</v>
      </c>
      <c r="AQ8" s="323">
        <v>0.40100000000000002</v>
      </c>
      <c r="AR8" s="323">
        <v>0.40100000000000002</v>
      </c>
      <c r="AS8" s="323">
        <v>0.40100000000000002</v>
      </c>
      <c r="AT8" s="323">
        <v>0.40100000000000002</v>
      </c>
      <c r="AU8" s="323">
        <v>0.4</v>
      </c>
      <c r="AV8" s="323">
        <v>0.4</v>
      </c>
      <c r="AW8" s="324">
        <v>0.4</v>
      </c>
    </row>
    <row r="9" spans="1:49" s="99" customFormat="1" ht="21" customHeight="1">
      <c r="A9" s="709"/>
      <c r="B9" s="715" t="s">
        <v>100</v>
      </c>
      <c r="C9" s="100" t="s">
        <v>54</v>
      </c>
      <c r="D9" s="321">
        <v>0.32</v>
      </c>
      <c r="E9" s="321">
        <v>0.31900000000000001</v>
      </c>
      <c r="F9" s="321">
        <v>0.31900000000000001</v>
      </c>
      <c r="G9" s="321">
        <v>0.32100000000000001</v>
      </c>
      <c r="H9" s="321">
        <v>0.32</v>
      </c>
      <c r="I9" s="321">
        <v>0.318</v>
      </c>
      <c r="J9" s="321">
        <v>0.313</v>
      </c>
      <c r="K9" s="321">
        <v>0.309</v>
      </c>
      <c r="L9" s="321">
        <v>0.30599999999999999</v>
      </c>
      <c r="M9" s="321">
        <v>0.30199999999999999</v>
      </c>
      <c r="N9" s="321">
        <v>0.29899999999999999</v>
      </c>
      <c r="O9" s="321">
        <v>0.29599999999999999</v>
      </c>
      <c r="P9" s="321">
        <v>0.29299999999999998</v>
      </c>
      <c r="Q9" s="321">
        <v>0.29199999999999998</v>
      </c>
      <c r="R9" s="321">
        <v>0.28999999999999998</v>
      </c>
      <c r="S9" s="321">
        <v>0.28899999999999998</v>
      </c>
      <c r="T9" s="321">
        <v>0.28799999999999998</v>
      </c>
      <c r="U9" s="321">
        <v>0.28699999999999998</v>
      </c>
      <c r="V9" s="321">
        <v>0.28599999999999998</v>
      </c>
      <c r="W9" s="321">
        <v>0.28499999999999998</v>
      </c>
      <c r="X9" s="321">
        <v>0.28299999999999997</v>
      </c>
      <c r="Y9" s="321">
        <v>0.28100000000000003</v>
      </c>
      <c r="Z9" s="321">
        <v>0.28000000000000003</v>
      </c>
      <c r="AA9" s="321">
        <v>0.27700000000000002</v>
      </c>
      <c r="AB9" s="321">
        <v>0.27500000000000002</v>
      </c>
      <c r="AC9" s="321">
        <v>0.27300000000000002</v>
      </c>
      <c r="AD9" s="321">
        <v>0.27100000000000002</v>
      </c>
      <c r="AE9" s="321">
        <v>0.27</v>
      </c>
      <c r="AF9" s="321">
        <v>0.26900000000000002</v>
      </c>
      <c r="AG9" s="321">
        <v>0.26800000000000002</v>
      </c>
      <c r="AH9" s="321">
        <v>0.26600000000000001</v>
      </c>
      <c r="AI9" s="321">
        <v>0.26500000000000001</v>
      </c>
      <c r="AJ9" s="321">
        <v>0.26400000000000001</v>
      </c>
      <c r="AK9" s="321">
        <v>0.26300000000000001</v>
      </c>
      <c r="AL9" s="321">
        <v>0.26200000000000001</v>
      </c>
      <c r="AM9" s="321">
        <v>0.26100000000000001</v>
      </c>
      <c r="AN9" s="321">
        <v>0.26</v>
      </c>
      <c r="AO9" s="321">
        <v>0.25900000000000001</v>
      </c>
      <c r="AP9" s="321">
        <v>0.25800000000000001</v>
      </c>
      <c r="AQ9" s="321">
        <v>0.25700000000000001</v>
      </c>
      <c r="AR9" s="321">
        <v>0.25600000000000001</v>
      </c>
      <c r="AS9" s="321">
        <v>0.255</v>
      </c>
      <c r="AT9" s="321">
        <v>0.255</v>
      </c>
      <c r="AU9" s="321">
        <v>0.254</v>
      </c>
      <c r="AV9" s="321">
        <v>0.254</v>
      </c>
      <c r="AW9" s="322">
        <v>0.253</v>
      </c>
    </row>
    <row r="10" spans="1:49" s="99" customFormat="1" ht="21" customHeight="1">
      <c r="A10" s="709"/>
      <c r="B10" s="715"/>
      <c r="C10" s="100" t="s">
        <v>89</v>
      </c>
      <c r="D10" s="321">
        <v>0.32</v>
      </c>
      <c r="E10" s="321">
        <v>0.31900000000000001</v>
      </c>
      <c r="F10" s="321">
        <v>0.31900000000000001</v>
      </c>
      <c r="G10" s="321">
        <v>0.32100000000000001</v>
      </c>
      <c r="H10" s="321">
        <v>0.32</v>
      </c>
      <c r="I10" s="321">
        <v>0.318</v>
      </c>
      <c r="J10" s="321">
        <v>0.314</v>
      </c>
      <c r="K10" s="321">
        <v>0.31</v>
      </c>
      <c r="L10" s="321">
        <v>0.30599999999999999</v>
      </c>
      <c r="M10" s="321">
        <v>0.30199999999999999</v>
      </c>
      <c r="N10" s="321">
        <v>0.3</v>
      </c>
      <c r="O10" s="321">
        <v>0.29699999999999999</v>
      </c>
      <c r="P10" s="321">
        <v>0.29499999999999998</v>
      </c>
      <c r="Q10" s="321">
        <v>0.29399999999999998</v>
      </c>
      <c r="R10" s="321">
        <v>0.29299999999999998</v>
      </c>
      <c r="S10" s="321">
        <v>0.29199999999999998</v>
      </c>
      <c r="T10" s="321">
        <v>0.29199999999999998</v>
      </c>
      <c r="U10" s="321">
        <v>0.29099999999999998</v>
      </c>
      <c r="V10" s="321">
        <v>0.29099999999999998</v>
      </c>
      <c r="W10" s="321">
        <v>0.28999999999999998</v>
      </c>
      <c r="X10" s="321">
        <v>0.28899999999999998</v>
      </c>
      <c r="Y10" s="321">
        <v>0.28799999999999998</v>
      </c>
      <c r="Z10" s="321">
        <v>0.28599999999999998</v>
      </c>
      <c r="AA10" s="321">
        <v>0.28399999999999997</v>
      </c>
      <c r="AB10" s="321">
        <v>0.28199999999999997</v>
      </c>
      <c r="AC10" s="321">
        <v>0.28100000000000003</v>
      </c>
      <c r="AD10" s="321">
        <v>0.28000000000000003</v>
      </c>
      <c r="AE10" s="321">
        <v>0.27800000000000002</v>
      </c>
      <c r="AF10" s="321">
        <v>0.27800000000000002</v>
      </c>
      <c r="AG10" s="321">
        <v>0.27700000000000002</v>
      </c>
      <c r="AH10" s="321">
        <v>0.27600000000000002</v>
      </c>
      <c r="AI10" s="321">
        <v>0.27500000000000002</v>
      </c>
      <c r="AJ10" s="321">
        <v>0.27400000000000002</v>
      </c>
      <c r="AK10" s="321">
        <v>0.27300000000000002</v>
      </c>
      <c r="AL10" s="321">
        <v>0.27200000000000002</v>
      </c>
      <c r="AM10" s="321">
        <v>0.27200000000000002</v>
      </c>
      <c r="AN10" s="321">
        <v>0.27100000000000002</v>
      </c>
      <c r="AO10" s="321">
        <v>0.27</v>
      </c>
      <c r="AP10" s="321">
        <v>0.27</v>
      </c>
      <c r="AQ10" s="321">
        <v>0.26900000000000002</v>
      </c>
      <c r="AR10" s="321">
        <v>0.26800000000000002</v>
      </c>
      <c r="AS10" s="321">
        <v>0.26800000000000002</v>
      </c>
      <c r="AT10" s="321">
        <v>0.26700000000000002</v>
      </c>
      <c r="AU10" s="321">
        <v>0.26700000000000002</v>
      </c>
      <c r="AV10" s="321">
        <v>0.26600000000000001</v>
      </c>
      <c r="AW10" s="322">
        <v>0.26600000000000001</v>
      </c>
    </row>
    <row r="11" spans="1:49" s="99" customFormat="1" ht="21" customHeight="1">
      <c r="A11" s="709"/>
      <c r="B11" s="715"/>
      <c r="C11" s="100" t="s">
        <v>55</v>
      </c>
      <c r="D11" s="321">
        <v>0.32</v>
      </c>
      <c r="E11" s="321">
        <v>0.31900000000000001</v>
      </c>
      <c r="F11" s="321">
        <v>0.31900000000000001</v>
      </c>
      <c r="G11" s="321">
        <v>0.32100000000000001</v>
      </c>
      <c r="H11" s="321">
        <v>0.32</v>
      </c>
      <c r="I11" s="321">
        <v>0.318</v>
      </c>
      <c r="J11" s="321">
        <v>0.315</v>
      </c>
      <c r="K11" s="321">
        <v>0.312</v>
      </c>
      <c r="L11" s="321">
        <v>0.31</v>
      </c>
      <c r="M11" s="321">
        <v>0.307</v>
      </c>
      <c r="N11" s="321">
        <v>0.30499999999999999</v>
      </c>
      <c r="O11" s="321">
        <v>0.30399999999999999</v>
      </c>
      <c r="P11" s="321">
        <v>0.30299999999999999</v>
      </c>
      <c r="Q11" s="321">
        <v>0.30099999999999999</v>
      </c>
      <c r="R11" s="321">
        <v>0.3</v>
      </c>
      <c r="S11" s="321">
        <v>0.29899999999999999</v>
      </c>
      <c r="T11" s="321">
        <v>0.29799999999999999</v>
      </c>
      <c r="U11" s="321">
        <v>0.29799999999999999</v>
      </c>
      <c r="V11" s="321">
        <v>0.29899999999999999</v>
      </c>
      <c r="W11" s="321">
        <v>0.29899999999999999</v>
      </c>
      <c r="X11" s="321">
        <v>0.29799999999999999</v>
      </c>
      <c r="Y11" s="321">
        <v>0.29799999999999999</v>
      </c>
      <c r="Z11" s="321">
        <v>0.29699999999999999</v>
      </c>
      <c r="AA11" s="321">
        <v>0.29599999999999999</v>
      </c>
      <c r="AB11" s="321">
        <v>0.29499999999999998</v>
      </c>
      <c r="AC11" s="321">
        <v>0.29399999999999998</v>
      </c>
      <c r="AD11" s="321">
        <v>0.29299999999999998</v>
      </c>
      <c r="AE11" s="321">
        <v>0.29199999999999998</v>
      </c>
      <c r="AF11" s="321">
        <v>0.29199999999999998</v>
      </c>
      <c r="AG11" s="321">
        <v>0.29199999999999998</v>
      </c>
      <c r="AH11" s="321">
        <v>0.29199999999999998</v>
      </c>
      <c r="AI11" s="321">
        <v>0.29099999999999998</v>
      </c>
      <c r="AJ11" s="321">
        <v>0.29099999999999998</v>
      </c>
      <c r="AK11" s="321">
        <v>0.28999999999999998</v>
      </c>
      <c r="AL11" s="321">
        <v>0.28999999999999998</v>
      </c>
      <c r="AM11" s="321">
        <v>0.28999999999999998</v>
      </c>
      <c r="AN11" s="321">
        <v>0.28999999999999998</v>
      </c>
      <c r="AO11" s="321">
        <v>0.28899999999999998</v>
      </c>
      <c r="AP11" s="321">
        <v>0.28899999999999998</v>
      </c>
      <c r="AQ11" s="321">
        <v>0.28899999999999998</v>
      </c>
      <c r="AR11" s="321">
        <v>0.28799999999999998</v>
      </c>
      <c r="AS11" s="321">
        <v>0.28799999999999998</v>
      </c>
      <c r="AT11" s="321">
        <v>0.28799999999999998</v>
      </c>
      <c r="AU11" s="321">
        <v>0.28699999999999998</v>
      </c>
      <c r="AV11" s="321">
        <v>0.28699999999999998</v>
      </c>
      <c r="AW11" s="322">
        <v>0.28699999999999998</v>
      </c>
    </row>
    <row r="12" spans="1:49" s="99" customFormat="1" ht="21" customHeight="1">
      <c r="A12" s="709"/>
      <c r="B12" s="715"/>
      <c r="C12" s="100" t="s">
        <v>56</v>
      </c>
      <c r="D12" s="321">
        <v>0.32</v>
      </c>
      <c r="E12" s="321">
        <v>0.31900000000000001</v>
      </c>
      <c r="F12" s="321">
        <v>0.31900000000000001</v>
      </c>
      <c r="G12" s="321">
        <v>0.32100000000000001</v>
      </c>
      <c r="H12" s="321">
        <v>0.32</v>
      </c>
      <c r="I12" s="321">
        <v>0.318</v>
      </c>
      <c r="J12" s="321">
        <v>0.314</v>
      </c>
      <c r="K12" s="321">
        <v>0.311</v>
      </c>
      <c r="L12" s="321">
        <v>0.308</v>
      </c>
      <c r="M12" s="321">
        <v>0.30599999999999999</v>
      </c>
      <c r="N12" s="321">
        <v>0.30599999999999999</v>
      </c>
      <c r="O12" s="321">
        <v>0.307</v>
      </c>
      <c r="P12" s="321">
        <v>0.307</v>
      </c>
      <c r="Q12" s="321">
        <v>0.308</v>
      </c>
      <c r="R12" s="321">
        <v>0.308</v>
      </c>
      <c r="S12" s="321">
        <v>0.309</v>
      </c>
      <c r="T12" s="321">
        <v>0.31</v>
      </c>
      <c r="U12" s="321">
        <v>0.311</v>
      </c>
      <c r="V12" s="321">
        <v>0.311</v>
      </c>
      <c r="W12" s="321">
        <v>0.312</v>
      </c>
      <c r="X12" s="321">
        <v>0.312</v>
      </c>
      <c r="Y12" s="321">
        <v>0.312</v>
      </c>
      <c r="Z12" s="321">
        <v>0.312</v>
      </c>
      <c r="AA12" s="321">
        <v>0.311</v>
      </c>
      <c r="AB12" s="321">
        <v>0.31</v>
      </c>
      <c r="AC12" s="321">
        <v>0.309</v>
      </c>
      <c r="AD12" s="321">
        <v>0.309</v>
      </c>
      <c r="AE12" s="321">
        <v>0.309</v>
      </c>
      <c r="AF12" s="321">
        <v>0.309</v>
      </c>
      <c r="AG12" s="321">
        <v>0.309</v>
      </c>
      <c r="AH12" s="321">
        <v>0.309</v>
      </c>
      <c r="AI12" s="321">
        <v>0.309</v>
      </c>
      <c r="AJ12" s="321">
        <v>0.309</v>
      </c>
      <c r="AK12" s="321">
        <v>0.309</v>
      </c>
      <c r="AL12" s="321">
        <v>0.309</v>
      </c>
      <c r="AM12" s="321">
        <v>0.309</v>
      </c>
      <c r="AN12" s="321">
        <v>0.309</v>
      </c>
      <c r="AO12" s="321">
        <v>0.309</v>
      </c>
      <c r="AP12" s="321">
        <v>0.309</v>
      </c>
      <c r="AQ12" s="321">
        <v>0.308</v>
      </c>
      <c r="AR12" s="321">
        <v>0.308</v>
      </c>
      <c r="AS12" s="321">
        <v>0.308</v>
      </c>
      <c r="AT12" s="321">
        <v>0.308</v>
      </c>
      <c r="AU12" s="321">
        <v>0.308</v>
      </c>
      <c r="AV12" s="321">
        <v>0.308</v>
      </c>
      <c r="AW12" s="322">
        <v>0.308</v>
      </c>
    </row>
    <row r="13" spans="1:49" s="99" customFormat="1" ht="21" customHeight="1" thickBot="1">
      <c r="A13" s="709"/>
      <c r="B13" s="716"/>
      <c r="C13" s="101" t="s">
        <v>57</v>
      </c>
      <c r="D13" s="323">
        <v>0.32</v>
      </c>
      <c r="E13" s="323">
        <v>0.31900000000000001</v>
      </c>
      <c r="F13" s="323">
        <v>0.31900000000000001</v>
      </c>
      <c r="G13" s="323">
        <v>0.32100000000000001</v>
      </c>
      <c r="H13" s="323">
        <v>0.32</v>
      </c>
      <c r="I13" s="323">
        <v>0.318</v>
      </c>
      <c r="J13" s="323">
        <v>0.315</v>
      </c>
      <c r="K13" s="323">
        <v>0.313</v>
      </c>
      <c r="L13" s="323">
        <v>0.311</v>
      </c>
      <c r="M13" s="323">
        <v>0.309</v>
      </c>
      <c r="N13" s="323">
        <v>0.31</v>
      </c>
      <c r="O13" s="323">
        <v>0.312</v>
      </c>
      <c r="P13" s="323">
        <v>0.313</v>
      </c>
      <c r="Q13" s="323">
        <v>0.315</v>
      </c>
      <c r="R13" s="323">
        <v>0.316</v>
      </c>
      <c r="S13" s="323">
        <v>0.318</v>
      </c>
      <c r="T13" s="323">
        <v>0.31900000000000001</v>
      </c>
      <c r="U13" s="323">
        <v>0.32100000000000001</v>
      </c>
      <c r="V13" s="323">
        <v>0.32300000000000001</v>
      </c>
      <c r="W13" s="323">
        <v>0.32400000000000001</v>
      </c>
      <c r="X13" s="323">
        <v>0.32500000000000001</v>
      </c>
      <c r="Y13" s="323">
        <v>0.32600000000000001</v>
      </c>
      <c r="Z13" s="323">
        <v>0.32600000000000001</v>
      </c>
      <c r="AA13" s="323">
        <v>0.32600000000000001</v>
      </c>
      <c r="AB13" s="323">
        <v>0.32600000000000001</v>
      </c>
      <c r="AC13" s="323">
        <v>0.32600000000000001</v>
      </c>
      <c r="AD13" s="323">
        <v>0.32600000000000001</v>
      </c>
      <c r="AE13" s="323">
        <v>0.32700000000000001</v>
      </c>
      <c r="AF13" s="323">
        <v>0.32800000000000001</v>
      </c>
      <c r="AG13" s="323">
        <v>0.32900000000000001</v>
      </c>
      <c r="AH13" s="323">
        <v>0.32900000000000001</v>
      </c>
      <c r="AI13" s="323">
        <v>0.33</v>
      </c>
      <c r="AJ13" s="323">
        <v>0.33</v>
      </c>
      <c r="AK13" s="323">
        <v>0.33100000000000002</v>
      </c>
      <c r="AL13" s="323">
        <v>0.33100000000000002</v>
      </c>
      <c r="AM13" s="323">
        <v>0.33100000000000002</v>
      </c>
      <c r="AN13" s="323">
        <v>0.33200000000000002</v>
      </c>
      <c r="AO13" s="323">
        <v>0.33200000000000002</v>
      </c>
      <c r="AP13" s="323">
        <v>0.33200000000000002</v>
      </c>
      <c r="AQ13" s="323">
        <v>0.33300000000000002</v>
      </c>
      <c r="AR13" s="323">
        <v>0.33300000000000002</v>
      </c>
      <c r="AS13" s="323">
        <v>0.33300000000000002</v>
      </c>
      <c r="AT13" s="323">
        <v>0.33300000000000002</v>
      </c>
      <c r="AU13" s="323">
        <v>0.33300000000000002</v>
      </c>
      <c r="AV13" s="323">
        <v>0.33400000000000002</v>
      </c>
      <c r="AW13" s="324">
        <v>0.33400000000000002</v>
      </c>
    </row>
    <row r="14" spans="1:49" s="99" customFormat="1" ht="21" customHeight="1">
      <c r="A14" s="709"/>
      <c r="B14" s="715" t="s">
        <v>101</v>
      </c>
      <c r="C14" s="100" t="s">
        <v>54</v>
      </c>
      <c r="D14" s="325">
        <v>62</v>
      </c>
      <c r="E14" s="325">
        <v>62.2</v>
      </c>
      <c r="F14" s="325">
        <v>62.3</v>
      </c>
      <c r="G14" s="325">
        <v>62.6</v>
      </c>
      <c r="H14" s="325">
        <v>62.8</v>
      </c>
      <c r="I14" s="325">
        <v>62.8</v>
      </c>
      <c r="J14" s="325">
        <v>62.9</v>
      </c>
      <c r="K14" s="325">
        <v>62.8</v>
      </c>
      <c r="L14" s="325">
        <v>62.7</v>
      </c>
      <c r="M14" s="325">
        <v>62.7</v>
      </c>
      <c r="N14" s="325">
        <v>62.7</v>
      </c>
      <c r="O14" s="325">
        <v>62.7</v>
      </c>
      <c r="P14" s="325">
        <v>62.7</v>
      </c>
      <c r="Q14" s="325">
        <v>62.7</v>
      </c>
      <c r="R14" s="325">
        <v>62.7</v>
      </c>
      <c r="S14" s="325">
        <v>62.7</v>
      </c>
      <c r="T14" s="325">
        <v>62.8</v>
      </c>
      <c r="U14" s="325">
        <v>62.8</v>
      </c>
      <c r="V14" s="325">
        <v>62.8</v>
      </c>
      <c r="W14" s="325">
        <v>62.9</v>
      </c>
      <c r="X14" s="325">
        <v>62.9</v>
      </c>
      <c r="Y14" s="325">
        <v>62.9</v>
      </c>
      <c r="Z14" s="325">
        <v>62.8</v>
      </c>
      <c r="AA14" s="325">
        <v>62.7</v>
      </c>
      <c r="AB14" s="325">
        <v>62.6</v>
      </c>
      <c r="AC14" s="325">
        <v>62.5</v>
      </c>
      <c r="AD14" s="325">
        <v>62.3</v>
      </c>
      <c r="AE14" s="325">
        <v>62.2</v>
      </c>
      <c r="AF14" s="325">
        <v>62.1</v>
      </c>
      <c r="AG14" s="325">
        <v>62</v>
      </c>
      <c r="AH14" s="325">
        <v>61.9</v>
      </c>
      <c r="AI14" s="325">
        <v>61.8</v>
      </c>
      <c r="AJ14" s="325">
        <v>61.8</v>
      </c>
      <c r="AK14" s="325">
        <v>61.7</v>
      </c>
      <c r="AL14" s="325">
        <v>61.6</v>
      </c>
      <c r="AM14" s="325">
        <v>61.5</v>
      </c>
      <c r="AN14" s="325">
        <v>61.5</v>
      </c>
      <c r="AO14" s="325">
        <v>61.4</v>
      </c>
      <c r="AP14" s="325">
        <v>61.3</v>
      </c>
      <c r="AQ14" s="325">
        <v>61.2</v>
      </c>
      <c r="AR14" s="325">
        <v>61.2</v>
      </c>
      <c r="AS14" s="325">
        <v>61.1</v>
      </c>
      <c r="AT14" s="325">
        <v>61</v>
      </c>
      <c r="AU14" s="325">
        <v>60.9</v>
      </c>
      <c r="AV14" s="325">
        <v>60.9</v>
      </c>
      <c r="AW14" s="326">
        <v>60.9</v>
      </c>
    </row>
    <row r="15" spans="1:49" s="99" customFormat="1" ht="21" customHeight="1">
      <c r="A15" s="709"/>
      <c r="B15" s="715"/>
      <c r="C15" s="100" t="s">
        <v>54</v>
      </c>
      <c r="D15" s="325">
        <v>62</v>
      </c>
      <c r="E15" s="325">
        <v>62.2</v>
      </c>
      <c r="F15" s="325">
        <v>62.3</v>
      </c>
      <c r="G15" s="325">
        <v>62.6</v>
      </c>
      <c r="H15" s="325">
        <v>62.8</v>
      </c>
      <c r="I15" s="325">
        <v>62.9</v>
      </c>
      <c r="J15" s="325">
        <v>62.9</v>
      </c>
      <c r="K15" s="325">
        <v>62.8</v>
      </c>
      <c r="L15" s="325">
        <v>62.8</v>
      </c>
      <c r="M15" s="325">
        <v>62.7</v>
      </c>
      <c r="N15" s="325">
        <v>62.7</v>
      </c>
      <c r="O15" s="325">
        <v>62.8</v>
      </c>
      <c r="P15" s="325">
        <v>62.8</v>
      </c>
      <c r="Q15" s="325">
        <v>62.8</v>
      </c>
      <c r="R15" s="325">
        <v>62.9</v>
      </c>
      <c r="S15" s="325">
        <v>62.9</v>
      </c>
      <c r="T15" s="325">
        <v>63</v>
      </c>
      <c r="U15" s="325">
        <v>63.1</v>
      </c>
      <c r="V15" s="325">
        <v>63.1</v>
      </c>
      <c r="W15" s="325">
        <v>63.2</v>
      </c>
      <c r="X15" s="325">
        <v>63.3</v>
      </c>
      <c r="Y15" s="325">
        <v>63.3</v>
      </c>
      <c r="Z15" s="325">
        <v>63.3</v>
      </c>
      <c r="AA15" s="325">
        <v>63.2</v>
      </c>
      <c r="AB15" s="325">
        <v>63.1</v>
      </c>
      <c r="AC15" s="325">
        <v>63.1</v>
      </c>
      <c r="AD15" s="325">
        <v>63</v>
      </c>
      <c r="AE15" s="325">
        <v>62.9</v>
      </c>
      <c r="AF15" s="325">
        <v>62.8</v>
      </c>
      <c r="AG15" s="325">
        <v>62.7</v>
      </c>
      <c r="AH15" s="325">
        <v>62.7</v>
      </c>
      <c r="AI15" s="325">
        <v>62.6</v>
      </c>
      <c r="AJ15" s="325">
        <v>62.6</v>
      </c>
      <c r="AK15" s="325">
        <v>62.5</v>
      </c>
      <c r="AL15" s="325">
        <v>62.4</v>
      </c>
      <c r="AM15" s="325">
        <v>62.4</v>
      </c>
      <c r="AN15" s="325">
        <v>62.3</v>
      </c>
      <c r="AO15" s="325">
        <v>62.3</v>
      </c>
      <c r="AP15" s="325">
        <v>62.2</v>
      </c>
      <c r="AQ15" s="325">
        <v>62.2</v>
      </c>
      <c r="AR15" s="325">
        <v>62.1</v>
      </c>
      <c r="AS15" s="325">
        <v>62.1</v>
      </c>
      <c r="AT15" s="325">
        <v>62</v>
      </c>
      <c r="AU15" s="325">
        <v>62</v>
      </c>
      <c r="AV15" s="325">
        <v>62</v>
      </c>
      <c r="AW15" s="326">
        <v>61.9</v>
      </c>
    </row>
    <row r="16" spans="1:49" s="99" customFormat="1" ht="21" customHeight="1">
      <c r="A16" s="709"/>
      <c r="B16" s="715"/>
      <c r="C16" s="100" t="s">
        <v>55</v>
      </c>
      <c r="D16" s="325">
        <v>62</v>
      </c>
      <c r="E16" s="325">
        <v>62.2</v>
      </c>
      <c r="F16" s="325">
        <v>62.3</v>
      </c>
      <c r="G16" s="325">
        <v>62.6</v>
      </c>
      <c r="H16" s="325">
        <v>62.8</v>
      </c>
      <c r="I16" s="325">
        <v>62.9</v>
      </c>
      <c r="J16" s="325">
        <v>62.9</v>
      </c>
      <c r="K16" s="325">
        <v>62.9</v>
      </c>
      <c r="L16" s="325">
        <v>62.9</v>
      </c>
      <c r="M16" s="325">
        <v>62.8</v>
      </c>
      <c r="N16" s="325">
        <v>62.9</v>
      </c>
      <c r="O16" s="325">
        <v>63</v>
      </c>
      <c r="P16" s="325">
        <v>63.1</v>
      </c>
      <c r="Q16" s="325">
        <v>63.1</v>
      </c>
      <c r="R16" s="325">
        <v>63.2</v>
      </c>
      <c r="S16" s="325">
        <v>63.2</v>
      </c>
      <c r="T16" s="325">
        <v>63.3</v>
      </c>
      <c r="U16" s="325">
        <v>63.4</v>
      </c>
      <c r="V16" s="325">
        <v>63.5</v>
      </c>
      <c r="W16" s="325">
        <v>63.6</v>
      </c>
      <c r="X16" s="325">
        <v>63.7</v>
      </c>
      <c r="Y16" s="325">
        <v>63.8</v>
      </c>
      <c r="Z16" s="325">
        <v>63.8</v>
      </c>
      <c r="AA16" s="325">
        <v>63.8</v>
      </c>
      <c r="AB16" s="325">
        <v>63.9</v>
      </c>
      <c r="AC16" s="325">
        <v>63.8</v>
      </c>
      <c r="AD16" s="325">
        <v>63.8</v>
      </c>
      <c r="AE16" s="325">
        <v>63.8</v>
      </c>
      <c r="AF16" s="325">
        <v>63.7</v>
      </c>
      <c r="AG16" s="325">
        <v>63.7</v>
      </c>
      <c r="AH16" s="325">
        <v>63.7</v>
      </c>
      <c r="AI16" s="325">
        <v>63.6</v>
      </c>
      <c r="AJ16" s="325">
        <v>63.6</v>
      </c>
      <c r="AK16" s="325">
        <v>63.6</v>
      </c>
      <c r="AL16" s="325">
        <v>63.6</v>
      </c>
      <c r="AM16" s="325">
        <v>63.5</v>
      </c>
      <c r="AN16" s="325">
        <v>63.5</v>
      </c>
      <c r="AO16" s="325">
        <v>63.5</v>
      </c>
      <c r="AP16" s="325">
        <v>63.5</v>
      </c>
      <c r="AQ16" s="325">
        <v>63.5</v>
      </c>
      <c r="AR16" s="325">
        <v>63.5</v>
      </c>
      <c r="AS16" s="325">
        <v>63.4</v>
      </c>
      <c r="AT16" s="325">
        <v>63.4</v>
      </c>
      <c r="AU16" s="325">
        <v>63.4</v>
      </c>
      <c r="AV16" s="325">
        <v>63.4</v>
      </c>
      <c r="AW16" s="326">
        <v>63.4</v>
      </c>
    </row>
    <row r="17" spans="1:49" s="99" customFormat="1" ht="21" customHeight="1">
      <c r="A17" s="709"/>
      <c r="B17" s="715"/>
      <c r="C17" s="100" t="s">
        <v>56</v>
      </c>
      <c r="D17" s="325">
        <v>62</v>
      </c>
      <c r="E17" s="325">
        <v>62.2</v>
      </c>
      <c r="F17" s="325">
        <v>62.3</v>
      </c>
      <c r="G17" s="325">
        <v>62.6</v>
      </c>
      <c r="H17" s="325">
        <v>62.8</v>
      </c>
      <c r="I17" s="325">
        <v>62.9</v>
      </c>
      <c r="J17" s="325">
        <v>62.9</v>
      </c>
      <c r="K17" s="325">
        <v>62.9</v>
      </c>
      <c r="L17" s="325">
        <v>62.9</v>
      </c>
      <c r="M17" s="325">
        <v>62.9</v>
      </c>
      <c r="N17" s="325">
        <v>63</v>
      </c>
      <c r="O17" s="325">
        <v>63.1</v>
      </c>
      <c r="P17" s="325">
        <v>63.3</v>
      </c>
      <c r="Q17" s="325">
        <v>63.4</v>
      </c>
      <c r="R17" s="325">
        <v>63.6</v>
      </c>
      <c r="S17" s="325">
        <v>63.7</v>
      </c>
      <c r="T17" s="325">
        <v>63.9</v>
      </c>
      <c r="U17" s="325">
        <v>64</v>
      </c>
      <c r="V17" s="325">
        <v>64.2</v>
      </c>
      <c r="W17" s="325">
        <v>64.3</v>
      </c>
      <c r="X17" s="325">
        <v>64.400000000000006</v>
      </c>
      <c r="Y17" s="325">
        <v>64.599999999999994</v>
      </c>
      <c r="Z17" s="325">
        <v>64.599999999999994</v>
      </c>
      <c r="AA17" s="325">
        <v>64.7</v>
      </c>
      <c r="AB17" s="325">
        <v>64.7</v>
      </c>
      <c r="AC17" s="325">
        <v>64.8</v>
      </c>
      <c r="AD17" s="325">
        <v>64.8</v>
      </c>
      <c r="AE17" s="325">
        <v>64.8</v>
      </c>
      <c r="AF17" s="325">
        <v>64.7</v>
      </c>
      <c r="AG17" s="325">
        <v>64.7</v>
      </c>
      <c r="AH17" s="325">
        <v>64.7</v>
      </c>
      <c r="AI17" s="325">
        <v>64.7</v>
      </c>
      <c r="AJ17" s="325">
        <v>64.7</v>
      </c>
      <c r="AK17" s="325">
        <v>64.7</v>
      </c>
      <c r="AL17" s="325">
        <v>64.7</v>
      </c>
      <c r="AM17" s="325">
        <v>64.7</v>
      </c>
      <c r="AN17" s="325">
        <v>64.7</v>
      </c>
      <c r="AO17" s="325">
        <v>64.7</v>
      </c>
      <c r="AP17" s="325">
        <v>64.7</v>
      </c>
      <c r="AQ17" s="325">
        <v>64.7</v>
      </c>
      <c r="AR17" s="325">
        <v>64.7</v>
      </c>
      <c r="AS17" s="325">
        <v>64.7</v>
      </c>
      <c r="AT17" s="325">
        <v>64.7</v>
      </c>
      <c r="AU17" s="325">
        <v>64.7</v>
      </c>
      <c r="AV17" s="325">
        <v>64.7</v>
      </c>
      <c r="AW17" s="326">
        <v>64.7</v>
      </c>
    </row>
    <row r="18" spans="1:49" s="99" customFormat="1" ht="21" customHeight="1" thickBot="1">
      <c r="A18" s="714"/>
      <c r="B18" s="716"/>
      <c r="C18" s="101" t="s">
        <v>57</v>
      </c>
      <c r="D18" s="327">
        <v>62</v>
      </c>
      <c r="E18" s="327">
        <v>62.2</v>
      </c>
      <c r="F18" s="327">
        <v>62.3</v>
      </c>
      <c r="G18" s="327">
        <v>62.6</v>
      </c>
      <c r="H18" s="327">
        <v>62.8</v>
      </c>
      <c r="I18" s="327">
        <v>62.9</v>
      </c>
      <c r="J18" s="327">
        <v>62.9</v>
      </c>
      <c r="K18" s="327">
        <v>63</v>
      </c>
      <c r="L18" s="327">
        <v>63</v>
      </c>
      <c r="M18" s="327">
        <v>63</v>
      </c>
      <c r="N18" s="327">
        <v>63.2</v>
      </c>
      <c r="O18" s="327">
        <v>63.4</v>
      </c>
      <c r="P18" s="327">
        <v>63.6</v>
      </c>
      <c r="Q18" s="327">
        <v>63.8</v>
      </c>
      <c r="R18" s="327">
        <v>64</v>
      </c>
      <c r="S18" s="327">
        <v>64.2</v>
      </c>
      <c r="T18" s="327">
        <v>64.400000000000006</v>
      </c>
      <c r="U18" s="327">
        <v>64.599999999999994</v>
      </c>
      <c r="V18" s="327">
        <v>64.8</v>
      </c>
      <c r="W18" s="327">
        <v>65</v>
      </c>
      <c r="X18" s="327">
        <v>65.099999999999994</v>
      </c>
      <c r="Y18" s="327">
        <v>65.3</v>
      </c>
      <c r="Z18" s="327">
        <v>65.400000000000006</v>
      </c>
      <c r="AA18" s="327">
        <v>65.5</v>
      </c>
      <c r="AB18" s="327">
        <v>65.599999999999994</v>
      </c>
      <c r="AC18" s="327">
        <v>65.7</v>
      </c>
      <c r="AD18" s="327">
        <v>65.8</v>
      </c>
      <c r="AE18" s="327">
        <v>65.8</v>
      </c>
      <c r="AF18" s="327">
        <v>65.8</v>
      </c>
      <c r="AG18" s="327">
        <v>65.8</v>
      </c>
      <c r="AH18" s="327">
        <v>65.900000000000006</v>
      </c>
      <c r="AI18" s="327">
        <v>65.900000000000006</v>
      </c>
      <c r="AJ18" s="327">
        <v>65.900000000000006</v>
      </c>
      <c r="AK18" s="327">
        <v>65.900000000000006</v>
      </c>
      <c r="AL18" s="327">
        <v>66</v>
      </c>
      <c r="AM18" s="327">
        <v>66</v>
      </c>
      <c r="AN18" s="327">
        <v>66</v>
      </c>
      <c r="AO18" s="327">
        <v>66</v>
      </c>
      <c r="AP18" s="327">
        <v>66</v>
      </c>
      <c r="AQ18" s="327">
        <v>66</v>
      </c>
      <c r="AR18" s="327">
        <v>66.099999999999994</v>
      </c>
      <c r="AS18" s="327">
        <v>66.099999999999994</v>
      </c>
      <c r="AT18" s="327">
        <v>66.2</v>
      </c>
      <c r="AU18" s="327">
        <v>66.2</v>
      </c>
      <c r="AV18" s="327">
        <v>66.2</v>
      </c>
      <c r="AW18" s="328">
        <v>66.3</v>
      </c>
    </row>
    <row r="21" spans="1:49">
      <c r="AC21" s="362"/>
      <c r="AD21" s="362"/>
      <c r="AE21" s="362"/>
      <c r="AF21" s="362"/>
      <c r="AG21" s="362"/>
      <c r="AH21" s="362"/>
      <c r="AI21" s="362"/>
      <c r="AJ21" s="362"/>
      <c r="AK21" s="362"/>
      <c r="AL21" s="362"/>
      <c r="AM21" s="362"/>
      <c r="AN21" s="362"/>
      <c r="AO21" s="362"/>
      <c r="AP21" s="362"/>
      <c r="AQ21" s="362"/>
      <c r="AR21" s="362"/>
      <c r="AS21" s="362"/>
      <c r="AT21" s="362"/>
      <c r="AU21" s="362"/>
      <c r="AV21" s="362"/>
      <c r="AW21" s="362"/>
    </row>
    <row r="36" spans="2:2">
      <c r="B36" s="713" t="s">
        <v>192</v>
      </c>
    </row>
    <row r="37" spans="2:2">
      <c r="B37" s="713"/>
    </row>
    <row r="38" spans="2:2">
      <c r="B38" s="713"/>
    </row>
    <row r="39" spans="2:2">
      <c r="B39" s="713"/>
    </row>
    <row r="40" spans="2:2">
      <c r="B40" s="713"/>
    </row>
    <row r="41" spans="2:2">
      <c r="B41" s="713"/>
    </row>
    <row r="42" spans="2:2">
      <c r="B42" s="713"/>
    </row>
    <row r="43" spans="2:2">
      <c r="B43" s="713"/>
    </row>
    <row r="44" spans="2:2">
      <c r="B44" s="713"/>
    </row>
    <row r="45" spans="2:2">
      <c r="B45" s="713"/>
    </row>
    <row r="46" spans="2:2">
      <c r="B46" s="713"/>
    </row>
    <row r="47" spans="2:2">
      <c r="B47" s="713"/>
    </row>
    <row r="48" spans="2:2">
      <c r="B48" s="713"/>
    </row>
    <row r="50" spans="1:49" ht="15" thickBot="1"/>
    <row r="51" spans="1:49" ht="15" thickBot="1">
      <c r="B51" s="661"/>
      <c r="C51" s="662"/>
      <c r="D51" s="274">
        <v>2015</v>
      </c>
      <c r="E51" s="274">
        <v>2016</v>
      </c>
      <c r="F51" s="274">
        <v>2017</v>
      </c>
      <c r="G51" s="274">
        <v>2018</v>
      </c>
      <c r="H51" s="274">
        <v>2019</v>
      </c>
      <c r="I51" s="274">
        <v>2020</v>
      </c>
      <c r="J51" s="274">
        <v>2021</v>
      </c>
      <c r="K51" s="274">
        <v>2022</v>
      </c>
      <c r="L51" s="274">
        <v>2023</v>
      </c>
      <c r="M51" s="274">
        <v>2024</v>
      </c>
      <c r="N51" s="274">
        <v>2025</v>
      </c>
      <c r="O51" s="274">
        <v>2026</v>
      </c>
      <c r="P51" s="274">
        <v>2027</v>
      </c>
      <c r="Q51" s="274">
        <v>2028</v>
      </c>
      <c r="R51" s="274">
        <v>2029</v>
      </c>
      <c r="S51" s="274">
        <v>2030</v>
      </c>
      <c r="T51" s="274">
        <v>2031</v>
      </c>
      <c r="U51" s="274">
        <v>2032</v>
      </c>
      <c r="V51" s="274">
        <v>2033</v>
      </c>
      <c r="W51" s="274">
        <v>2034</v>
      </c>
      <c r="X51" s="274">
        <v>2035</v>
      </c>
      <c r="Y51" s="274">
        <v>2036</v>
      </c>
      <c r="Z51" s="274">
        <v>2037</v>
      </c>
      <c r="AA51" s="274">
        <v>2038</v>
      </c>
      <c r="AB51" s="274">
        <v>2039</v>
      </c>
      <c r="AC51" s="274">
        <v>2040</v>
      </c>
      <c r="AD51" s="274">
        <v>2041</v>
      </c>
      <c r="AE51" s="274">
        <v>2042</v>
      </c>
      <c r="AF51" s="274">
        <v>2043</v>
      </c>
      <c r="AG51" s="274">
        <v>2044</v>
      </c>
      <c r="AH51" s="274">
        <v>2045</v>
      </c>
      <c r="AI51" s="274">
        <v>2046</v>
      </c>
      <c r="AJ51" s="274">
        <v>2047</v>
      </c>
      <c r="AK51" s="274">
        <v>2048</v>
      </c>
      <c r="AL51" s="274">
        <v>2049</v>
      </c>
      <c r="AM51" s="274">
        <v>2050</v>
      </c>
      <c r="AN51" s="274">
        <v>2051</v>
      </c>
      <c r="AO51" s="274">
        <v>2052</v>
      </c>
      <c r="AP51" s="274">
        <v>2053</v>
      </c>
      <c r="AQ51" s="274">
        <v>2054</v>
      </c>
      <c r="AR51" s="274">
        <v>2055</v>
      </c>
      <c r="AS51" s="274">
        <v>2056</v>
      </c>
      <c r="AT51" s="274">
        <v>2057</v>
      </c>
      <c r="AU51" s="274">
        <v>2058</v>
      </c>
      <c r="AV51" s="274">
        <v>2059</v>
      </c>
      <c r="AW51" s="275">
        <v>2060</v>
      </c>
    </row>
    <row r="52" spans="1:49" s="99" customFormat="1" ht="21" customHeight="1">
      <c r="A52" s="708" t="s">
        <v>190</v>
      </c>
      <c r="B52" s="667" t="s">
        <v>184</v>
      </c>
      <c r="C52" s="100" t="s">
        <v>54</v>
      </c>
      <c r="D52" s="321">
        <v>-1.4E-2</v>
      </c>
      <c r="E52" s="321">
        <v>-1.2E-2</v>
      </c>
      <c r="F52" s="321">
        <v>-1.2E-2</v>
      </c>
      <c r="G52" s="321">
        <v>-1.4999999999999999E-2</v>
      </c>
      <c r="H52" s="321">
        <v>-1.7999999999999999E-2</v>
      </c>
      <c r="I52" s="321">
        <v>-1.4999999999999999E-2</v>
      </c>
      <c r="J52" s="321">
        <v>-1.2E-2</v>
      </c>
      <c r="K52" s="321">
        <v>-8.0000000000000002E-3</v>
      </c>
      <c r="L52" s="321">
        <v>-4.0000000000000001E-3</v>
      </c>
      <c r="M52" s="321">
        <v>0</v>
      </c>
      <c r="N52" s="321">
        <v>2E-3</v>
      </c>
      <c r="O52" s="321">
        <v>5.0000000000000001E-3</v>
      </c>
      <c r="P52" s="321">
        <v>8.0000000000000002E-3</v>
      </c>
      <c r="Q52" s="321">
        <v>1.0999999999999999E-2</v>
      </c>
      <c r="R52" s="321">
        <v>1.2E-2</v>
      </c>
      <c r="S52" s="321">
        <v>1.4E-2</v>
      </c>
      <c r="T52" s="321">
        <v>1.4999999999999999E-2</v>
      </c>
      <c r="U52" s="321">
        <v>1.6E-2</v>
      </c>
      <c r="V52" s="321">
        <v>1.7000000000000001E-2</v>
      </c>
      <c r="W52" s="321">
        <v>1.9E-2</v>
      </c>
      <c r="X52" s="321">
        <v>0.02</v>
      </c>
      <c r="Y52" s="321">
        <v>2.1999999999999999E-2</v>
      </c>
      <c r="Z52" s="321">
        <v>2.5000000000000001E-2</v>
      </c>
      <c r="AA52" s="321">
        <v>2.8000000000000001E-2</v>
      </c>
      <c r="AB52" s="321">
        <v>0.03</v>
      </c>
      <c r="AC52" s="321">
        <v>3.3000000000000002E-2</v>
      </c>
      <c r="AD52" s="321">
        <v>3.5000000000000003E-2</v>
      </c>
      <c r="AE52" s="321">
        <v>3.6999999999999998E-2</v>
      </c>
      <c r="AF52" s="321">
        <v>3.7999999999999999E-2</v>
      </c>
      <c r="AG52" s="321">
        <v>3.9E-2</v>
      </c>
      <c r="AH52" s="321">
        <v>4.1000000000000002E-2</v>
      </c>
      <c r="AI52" s="321">
        <v>4.2000000000000003E-2</v>
      </c>
      <c r="AJ52" s="321">
        <v>4.2999999999999997E-2</v>
      </c>
      <c r="AK52" s="321">
        <v>4.4999999999999998E-2</v>
      </c>
      <c r="AL52" s="321">
        <v>4.5999999999999999E-2</v>
      </c>
      <c r="AM52" s="321">
        <v>4.7E-2</v>
      </c>
      <c r="AN52" s="321">
        <v>4.8000000000000001E-2</v>
      </c>
      <c r="AO52" s="321">
        <v>4.9000000000000002E-2</v>
      </c>
      <c r="AP52" s="321">
        <v>0.05</v>
      </c>
      <c r="AQ52" s="321">
        <v>5.0999999999999997E-2</v>
      </c>
      <c r="AR52" s="321">
        <v>5.1999999999999998E-2</v>
      </c>
      <c r="AS52" s="321">
        <v>5.2999999999999999E-2</v>
      </c>
      <c r="AT52" s="321">
        <v>5.3999999999999999E-2</v>
      </c>
      <c r="AU52" s="321">
        <v>5.3999999999999999E-2</v>
      </c>
      <c r="AV52" s="321">
        <v>5.5E-2</v>
      </c>
      <c r="AW52" s="322">
        <v>5.5E-2</v>
      </c>
    </row>
    <row r="53" spans="1:49" s="99" customFormat="1" ht="21" customHeight="1">
      <c r="A53" s="709"/>
      <c r="B53" s="667"/>
      <c r="C53" s="100" t="s">
        <v>89</v>
      </c>
      <c r="D53" s="321">
        <v>-1.4E-2</v>
      </c>
      <c r="E53" s="321">
        <v>-1.2E-2</v>
      </c>
      <c r="F53" s="321">
        <v>-1.2E-2</v>
      </c>
      <c r="G53" s="321">
        <v>-1.4999999999999999E-2</v>
      </c>
      <c r="H53" s="321">
        <v>-1.7999999999999999E-2</v>
      </c>
      <c r="I53" s="321">
        <v>-1.6E-2</v>
      </c>
      <c r="J53" s="321">
        <v>-1.2999999999999999E-2</v>
      </c>
      <c r="K53" s="321">
        <v>-8.9999999999999993E-3</v>
      </c>
      <c r="L53" s="321">
        <v>-5.0000000000000001E-3</v>
      </c>
      <c r="M53" s="321">
        <v>-2E-3</v>
      </c>
      <c r="N53" s="321">
        <v>1E-3</v>
      </c>
      <c r="O53" s="321">
        <v>3.0000000000000001E-3</v>
      </c>
      <c r="P53" s="321">
        <v>6.0000000000000001E-3</v>
      </c>
      <c r="Q53" s="321">
        <v>7.0000000000000001E-3</v>
      </c>
      <c r="R53" s="321">
        <v>8.0000000000000002E-3</v>
      </c>
      <c r="S53" s="321">
        <v>8.9999999999999993E-3</v>
      </c>
      <c r="T53" s="321">
        <v>8.9999999999999993E-3</v>
      </c>
      <c r="U53" s="321">
        <v>0.01</v>
      </c>
      <c r="V53" s="321">
        <v>0.01</v>
      </c>
      <c r="W53" s="321">
        <v>1.0999999999999999E-2</v>
      </c>
      <c r="X53" s="321">
        <v>1.2E-2</v>
      </c>
      <c r="Y53" s="321">
        <v>1.2999999999999999E-2</v>
      </c>
      <c r="Z53" s="321">
        <v>1.4999999999999999E-2</v>
      </c>
      <c r="AA53" s="321">
        <v>1.7000000000000001E-2</v>
      </c>
      <c r="AB53" s="321">
        <v>0.02</v>
      </c>
      <c r="AC53" s="321">
        <v>2.1999999999999999E-2</v>
      </c>
      <c r="AD53" s="321">
        <v>2.3E-2</v>
      </c>
      <c r="AE53" s="321">
        <v>2.5000000000000001E-2</v>
      </c>
      <c r="AF53" s="321">
        <v>2.5000000000000001E-2</v>
      </c>
      <c r="AG53" s="321">
        <v>2.5999999999999999E-2</v>
      </c>
      <c r="AH53" s="321">
        <v>2.7E-2</v>
      </c>
      <c r="AI53" s="321">
        <v>2.8000000000000001E-2</v>
      </c>
      <c r="AJ53" s="321">
        <v>2.9000000000000001E-2</v>
      </c>
      <c r="AK53" s="321">
        <v>0.03</v>
      </c>
      <c r="AL53" s="321">
        <v>3.1E-2</v>
      </c>
      <c r="AM53" s="321">
        <v>3.2000000000000001E-2</v>
      </c>
      <c r="AN53" s="321">
        <v>3.2000000000000001E-2</v>
      </c>
      <c r="AO53" s="321">
        <v>3.3000000000000002E-2</v>
      </c>
      <c r="AP53" s="321">
        <v>3.4000000000000002E-2</v>
      </c>
      <c r="AQ53" s="321">
        <v>3.5000000000000003E-2</v>
      </c>
      <c r="AR53" s="321">
        <v>3.5000000000000003E-2</v>
      </c>
      <c r="AS53" s="321">
        <v>3.5999999999999997E-2</v>
      </c>
      <c r="AT53" s="321">
        <v>3.6999999999999998E-2</v>
      </c>
      <c r="AU53" s="321">
        <v>3.6999999999999998E-2</v>
      </c>
      <c r="AV53" s="321">
        <v>3.6999999999999998E-2</v>
      </c>
      <c r="AW53" s="322">
        <v>3.7999999999999999E-2</v>
      </c>
    </row>
    <row r="54" spans="1:49" s="99" customFormat="1" ht="21" customHeight="1">
      <c r="A54" s="709"/>
      <c r="B54" s="667"/>
      <c r="C54" s="100" t="s">
        <v>55</v>
      </c>
      <c r="D54" s="321">
        <v>-1.4E-2</v>
      </c>
      <c r="E54" s="321">
        <v>-1.2E-2</v>
      </c>
      <c r="F54" s="321">
        <v>-1.2E-2</v>
      </c>
      <c r="G54" s="321">
        <v>-1.4999999999999999E-2</v>
      </c>
      <c r="H54" s="321">
        <v>-1.7999999999999999E-2</v>
      </c>
      <c r="I54" s="321">
        <v>-1.6E-2</v>
      </c>
      <c r="J54" s="321">
        <v>-1.2E-2</v>
      </c>
      <c r="K54" s="321">
        <v>-0.01</v>
      </c>
      <c r="L54" s="321">
        <v>-8.0000000000000002E-3</v>
      </c>
      <c r="M54" s="321">
        <v>-5.0000000000000001E-3</v>
      </c>
      <c r="N54" s="321">
        <v>-3.0000000000000001E-3</v>
      </c>
      <c r="O54" s="321">
        <v>-3.0000000000000001E-3</v>
      </c>
      <c r="P54" s="321">
        <v>-2E-3</v>
      </c>
      <c r="Q54" s="321">
        <v>-1E-3</v>
      </c>
      <c r="R54" s="321">
        <v>0</v>
      </c>
      <c r="S54" s="321">
        <v>1E-3</v>
      </c>
      <c r="T54" s="321">
        <v>2E-3</v>
      </c>
      <c r="U54" s="321">
        <v>1E-3</v>
      </c>
      <c r="V54" s="321">
        <v>1E-3</v>
      </c>
      <c r="W54" s="321">
        <v>0</v>
      </c>
      <c r="X54" s="321">
        <v>1E-3</v>
      </c>
      <c r="Y54" s="321">
        <v>1E-3</v>
      </c>
      <c r="Z54" s="321">
        <v>2E-3</v>
      </c>
      <c r="AA54" s="321">
        <v>3.0000000000000001E-3</v>
      </c>
      <c r="AB54" s="321">
        <v>5.0000000000000001E-3</v>
      </c>
      <c r="AC54" s="321">
        <v>6.0000000000000001E-3</v>
      </c>
      <c r="AD54" s="321">
        <v>7.0000000000000001E-3</v>
      </c>
      <c r="AE54" s="321">
        <v>7.0000000000000001E-3</v>
      </c>
      <c r="AF54" s="321">
        <v>7.0000000000000001E-3</v>
      </c>
      <c r="AG54" s="321">
        <v>8.0000000000000002E-3</v>
      </c>
      <c r="AH54" s="321">
        <v>8.0000000000000002E-3</v>
      </c>
      <c r="AI54" s="321">
        <v>8.0000000000000002E-3</v>
      </c>
      <c r="AJ54" s="321">
        <v>8.0000000000000002E-3</v>
      </c>
      <c r="AK54" s="321">
        <v>8.9999999999999993E-3</v>
      </c>
      <c r="AL54" s="321">
        <v>8.9999999999999993E-3</v>
      </c>
      <c r="AM54" s="321">
        <v>8.9999999999999993E-3</v>
      </c>
      <c r="AN54" s="321">
        <v>0.01</v>
      </c>
      <c r="AO54" s="321">
        <v>0.01</v>
      </c>
      <c r="AP54" s="321">
        <v>0.01</v>
      </c>
      <c r="AQ54" s="321">
        <v>1.0999999999999999E-2</v>
      </c>
      <c r="AR54" s="321">
        <v>1.0999999999999999E-2</v>
      </c>
      <c r="AS54" s="321">
        <v>1.0999999999999999E-2</v>
      </c>
      <c r="AT54" s="321">
        <v>1.0999999999999999E-2</v>
      </c>
      <c r="AU54" s="321">
        <v>1.0999999999999999E-2</v>
      </c>
      <c r="AV54" s="321">
        <v>1.0999999999999999E-2</v>
      </c>
      <c r="AW54" s="322">
        <v>1.0999999999999999E-2</v>
      </c>
    </row>
    <row r="55" spans="1:49" s="99" customFormat="1" ht="21" customHeight="1">
      <c r="A55" s="709"/>
      <c r="B55" s="667"/>
      <c r="C55" s="100" t="s">
        <v>56</v>
      </c>
      <c r="D55" s="321">
        <v>-1.4E-2</v>
      </c>
      <c r="E55" s="321">
        <v>-1.2E-2</v>
      </c>
      <c r="F55" s="321">
        <v>-1.2E-2</v>
      </c>
      <c r="G55" s="321">
        <v>-1.4999999999999999E-2</v>
      </c>
      <c r="H55" s="321">
        <v>-1.7999999999999999E-2</v>
      </c>
      <c r="I55" s="321">
        <v>-1.6E-2</v>
      </c>
      <c r="J55" s="321">
        <v>-1.2999999999999999E-2</v>
      </c>
      <c r="K55" s="321">
        <v>-0.01</v>
      </c>
      <c r="L55" s="321">
        <v>-8.0000000000000002E-3</v>
      </c>
      <c r="M55" s="321">
        <v>-5.0000000000000001E-3</v>
      </c>
      <c r="N55" s="321">
        <v>-6.0000000000000001E-3</v>
      </c>
      <c r="O55" s="321">
        <v>-7.0000000000000001E-3</v>
      </c>
      <c r="P55" s="321">
        <v>-8.9999999999999993E-3</v>
      </c>
      <c r="Q55" s="321">
        <v>-0.01</v>
      </c>
      <c r="R55" s="321">
        <v>-1.0999999999999999E-2</v>
      </c>
      <c r="S55" s="321">
        <v>-1.2E-2</v>
      </c>
      <c r="T55" s="321">
        <v>-1.2999999999999999E-2</v>
      </c>
      <c r="U55" s="321">
        <v>-1.4E-2</v>
      </c>
      <c r="V55" s="321">
        <v>-1.4999999999999999E-2</v>
      </c>
      <c r="W55" s="321">
        <v>-1.6E-2</v>
      </c>
      <c r="X55" s="321">
        <v>-1.7000000000000001E-2</v>
      </c>
      <c r="Y55" s="321">
        <v>-1.7000000000000001E-2</v>
      </c>
      <c r="Z55" s="321">
        <v>-1.6E-2</v>
      </c>
      <c r="AA55" s="321">
        <v>-1.4999999999999999E-2</v>
      </c>
      <c r="AB55" s="321">
        <v>-1.4999999999999999E-2</v>
      </c>
      <c r="AC55" s="321">
        <v>-1.4E-2</v>
      </c>
      <c r="AD55" s="321">
        <v>-1.4E-2</v>
      </c>
      <c r="AE55" s="321">
        <v>-1.2999999999999999E-2</v>
      </c>
      <c r="AF55" s="321">
        <v>-1.4E-2</v>
      </c>
      <c r="AG55" s="321">
        <v>-1.4E-2</v>
      </c>
      <c r="AH55" s="321">
        <v>-1.4E-2</v>
      </c>
      <c r="AI55" s="321">
        <v>-1.4E-2</v>
      </c>
      <c r="AJ55" s="321">
        <v>-1.4E-2</v>
      </c>
      <c r="AK55" s="321">
        <v>-1.4E-2</v>
      </c>
      <c r="AL55" s="321">
        <v>-1.4E-2</v>
      </c>
      <c r="AM55" s="321">
        <v>-1.4E-2</v>
      </c>
      <c r="AN55" s="321">
        <v>-1.4E-2</v>
      </c>
      <c r="AO55" s="321">
        <v>-1.4E-2</v>
      </c>
      <c r="AP55" s="321">
        <v>-1.4E-2</v>
      </c>
      <c r="AQ55" s="321">
        <v>-1.4E-2</v>
      </c>
      <c r="AR55" s="321">
        <v>-1.4E-2</v>
      </c>
      <c r="AS55" s="321">
        <v>-1.2999999999999999E-2</v>
      </c>
      <c r="AT55" s="321">
        <v>-1.2999999999999999E-2</v>
      </c>
      <c r="AU55" s="321">
        <v>-1.4E-2</v>
      </c>
      <c r="AV55" s="321">
        <v>-1.4E-2</v>
      </c>
      <c r="AW55" s="322">
        <v>-1.4E-2</v>
      </c>
    </row>
    <row r="56" spans="1:49" s="99" customFormat="1" ht="21" customHeight="1" thickBot="1">
      <c r="A56" s="709"/>
      <c r="B56" s="668"/>
      <c r="C56" s="101" t="s">
        <v>57</v>
      </c>
      <c r="D56" s="323">
        <v>-1.4E-2</v>
      </c>
      <c r="E56" s="323">
        <v>-1.2E-2</v>
      </c>
      <c r="F56" s="323">
        <v>-1.2E-2</v>
      </c>
      <c r="G56" s="323">
        <v>-1.4999999999999999E-2</v>
      </c>
      <c r="H56" s="323">
        <v>-1.7999999999999999E-2</v>
      </c>
      <c r="I56" s="323">
        <v>-1.6E-2</v>
      </c>
      <c r="J56" s="323">
        <v>-1.4E-2</v>
      </c>
      <c r="K56" s="323">
        <v>-1.2E-2</v>
      </c>
      <c r="L56" s="323">
        <v>-1.0999999999999999E-2</v>
      </c>
      <c r="M56" s="323">
        <v>-0.01</v>
      </c>
      <c r="N56" s="323">
        <v>-1.2E-2</v>
      </c>
      <c r="O56" s="323">
        <v>-1.4999999999999999E-2</v>
      </c>
      <c r="P56" s="323">
        <v>-1.7999999999999999E-2</v>
      </c>
      <c r="Q56" s="323">
        <v>-0.02</v>
      </c>
      <c r="R56" s="323">
        <v>-2.1999999999999999E-2</v>
      </c>
      <c r="S56" s="323">
        <v>-2.4E-2</v>
      </c>
      <c r="T56" s="323">
        <v>-2.5999999999999999E-2</v>
      </c>
      <c r="U56" s="323">
        <v>-2.9000000000000001E-2</v>
      </c>
      <c r="V56" s="323">
        <v>-3.1E-2</v>
      </c>
      <c r="W56" s="323">
        <v>-3.3000000000000002E-2</v>
      </c>
      <c r="X56" s="323">
        <v>-3.5000000000000003E-2</v>
      </c>
      <c r="Y56" s="323">
        <v>-3.5000000000000003E-2</v>
      </c>
      <c r="Z56" s="323">
        <v>-3.5999999999999997E-2</v>
      </c>
      <c r="AA56" s="323">
        <v>-3.5999999999999997E-2</v>
      </c>
      <c r="AB56" s="323">
        <v>-3.5999999999999997E-2</v>
      </c>
      <c r="AC56" s="323">
        <v>-3.5999999999999997E-2</v>
      </c>
      <c r="AD56" s="323">
        <v>-3.6999999999999998E-2</v>
      </c>
      <c r="AE56" s="323">
        <v>-3.6999999999999998E-2</v>
      </c>
      <c r="AF56" s="323">
        <v>-3.7999999999999999E-2</v>
      </c>
      <c r="AG56" s="323">
        <v>-3.9E-2</v>
      </c>
      <c r="AH56" s="323">
        <v>-0.04</v>
      </c>
      <c r="AI56" s="323">
        <v>-4.1000000000000002E-2</v>
      </c>
      <c r="AJ56" s="323">
        <v>-4.1000000000000002E-2</v>
      </c>
      <c r="AK56" s="323">
        <v>-4.2000000000000003E-2</v>
      </c>
      <c r="AL56" s="323">
        <v>-4.2000000000000003E-2</v>
      </c>
      <c r="AM56" s="323">
        <v>-4.2999999999999997E-2</v>
      </c>
      <c r="AN56" s="323">
        <v>-4.3999999999999997E-2</v>
      </c>
      <c r="AO56" s="323">
        <v>-4.3999999999999997E-2</v>
      </c>
      <c r="AP56" s="323">
        <v>-4.4999999999999998E-2</v>
      </c>
      <c r="AQ56" s="323">
        <v>-4.4999999999999998E-2</v>
      </c>
      <c r="AR56" s="323">
        <v>-4.4999999999999998E-2</v>
      </c>
      <c r="AS56" s="323">
        <v>-4.4999999999999998E-2</v>
      </c>
      <c r="AT56" s="323">
        <v>-4.5999999999999999E-2</v>
      </c>
      <c r="AU56" s="323">
        <v>-4.5999999999999999E-2</v>
      </c>
      <c r="AV56" s="323">
        <v>-4.7E-2</v>
      </c>
      <c r="AW56" s="324">
        <v>-4.8000000000000001E-2</v>
      </c>
    </row>
    <row r="57" spans="1:49" s="99" customFormat="1" ht="21" customHeight="1">
      <c r="A57" s="709"/>
      <c r="B57" s="667" t="s">
        <v>100</v>
      </c>
      <c r="C57" s="100" t="s">
        <v>54</v>
      </c>
      <c r="D57" s="321">
        <v>8.9999999999999993E-3</v>
      </c>
      <c r="E57" s="321">
        <v>8.0000000000000002E-3</v>
      </c>
      <c r="F57" s="321">
        <v>8.0000000000000002E-3</v>
      </c>
      <c r="G57" s="321">
        <v>0.01</v>
      </c>
      <c r="H57" s="321">
        <v>1.0999999999999999E-2</v>
      </c>
      <c r="I57" s="321">
        <v>0.01</v>
      </c>
      <c r="J57" s="321">
        <v>8.0000000000000002E-3</v>
      </c>
      <c r="K57" s="321">
        <v>5.0000000000000001E-3</v>
      </c>
      <c r="L57" s="321">
        <v>3.0000000000000001E-3</v>
      </c>
      <c r="M57" s="321">
        <v>0</v>
      </c>
      <c r="N57" s="321">
        <v>-1E-3</v>
      </c>
      <c r="O57" s="321">
        <v>-3.0000000000000001E-3</v>
      </c>
      <c r="P57" s="321">
        <v>-5.0000000000000001E-3</v>
      </c>
      <c r="Q57" s="321">
        <v>-7.0000000000000001E-3</v>
      </c>
      <c r="R57" s="321">
        <v>-8.0000000000000002E-3</v>
      </c>
      <c r="S57" s="321">
        <v>-8.9999999999999993E-3</v>
      </c>
      <c r="T57" s="321">
        <v>-0.01</v>
      </c>
      <c r="U57" s="321">
        <v>-1.0999999999999999E-2</v>
      </c>
      <c r="V57" s="321">
        <v>-1.2E-2</v>
      </c>
      <c r="W57" s="321">
        <v>-1.2999999999999999E-2</v>
      </c>
      <c r="X57" s="321">
        <v>-1.4E-2</v>
      </c>
      <c r="Y57" s="321">
        <v>-1.4999999999999999E-2</v>
      </c>
      <c r="Z57" s="321">
        <v>-1.7000000000000001E-2</v>
      </c>
      <c r="AA57" s="321">
        <v>-1.9E-2</v>
      </c>
      <c r="AB57" s="321">
        <v>-2.1000000000000001E-2</v>
      </c>
      <c r="AC57" s="321">
        <v>-2.3E-2</v>
      </c>
      <c r="AD57" s="321">
        <v>-2.4E-2</v>
      </c>
      <c r="AE57" s="321">
        <v>-2.5000000000000001E-2</v>
      </c>
      <c r="AF57" s="321">
        <v>-2.7E-2</v>
      </c>
      <c r="AG57" s="321">
        <v>-2.8000000000000001E-2</v>
      </c>
      <c r="AH57" s="321">
        <v>-2.9000000000000001E-2</v>
      </c>
      <c r="AI57" s="321">
        <v>-0.03</v>
      </c>
      <c r="AJ57" s="321">
        <v>-3.1E-2</v>
      </c>
      <c r="AK57" s="321">
        <v>-3.2000000000000001E-2</v>
      </c>
      <c r="AL57" s="321">
        <v>-3.3000000000000002E-2</v>
      </c>
      <c r="AM57" s="321">
        <v>-3.3000000000000002E-2</v>
      </c>
      <c r="AN57" s="321">
        <v>-3.4000000000000002E-2</v>
      </c>
      <c r="AO57" s="321">
        <v>-3.5000000000000003E-2</v>
      </c>
      <c r="AP57" s="321">
        <v>-3.5999999999999997E-2</v>
      </c>
      <c r="AQ57" s="321">
        <v>-3.6999999999999998E-2</v>
      </c>
      <c r="AR57" s="321">
        <v>-3.6999999999999998E-2</v>
      </c>
      <c r="AS57" s="321">
        <v>-3.7999999999999999E-2</v>
      </c>
      <c r="AT57" s="321">
        <v>-3.9E-2</v>
      </c>
      <c r="AU57" s="321">
        <v>-3.9E-2</v>
      </c>
      <c r="AV57" s="321">
        <v>-3.9E-2</v>
      </c>
      <c r="AW57" s="322">
        <v>-0.04</v>
      </c>
    </row>
    <row r="58" spans="1:49" s="99" customFormat="1" ht="21" customHeight="1">
      <c r="A58" s="709"/>
      <c r="B58" s="667"/>
      <c r="C58" s="100" t="s">
        <v>89</v>
      </c>
      <c r="D58" s="321">
        <v>8.9999999999999993E-3</v>
      </c>
      <c r="E58" s="321">
        <v>8.0000000000000002E-3</v>
      </c>
      <c r="F58" s="321">
        <v>8.0000000000000002E-3</v>
      </c>
      <c r="G58" s="321">
        <v>0.01</v>
      </c>
      <c r="H58" s="321">
        <v>1.0999999999999999E-2</v>
      </c>
      <c r="I58" s="321">
        <v>0.01</v>
      </c>
      <c r="J58" s="321">
        <v>8.0000000000000002E-3</v>
      </c>
      <c r="K58" s="321">
        <v>6.0000000000000001E-3</v>
      </c>
      <c r="L58" s="321">
        <v>3.0000000000000001E-3</v>
      </c>
      <c r="M58" s="321">
        <v>1E-3</v>
      </c>
      <c r="N58" s="321">
        <v>0</v>
      </c>
      <c r="O58" s="321">
        <v>-2E-3</v>
      </c>
      <c r="P58" s="321">
        <v>-4.0000000000000001E-3</v>
      </c>
      <c r="Q58" s="321">
        <v>-5.0000000000000001E-3</v>
      </c>
      <c r="R58" s="321">
        <v>-5.0000000000000001E-3</v>
      </c>
      <c r="S58" s="321">
        <v>-6.0000000000000001E-3</v>
      </c>
      <c r="T58" s="321">
        <v>-6.0000000000000001E-3</v>
      </c>
      <c r="U58" s="321">
        <v>-6.0000000000000001E-3</v>
      </c>
      <c r="V58" s="321">
        <v>-7.0000000000000001E-3</v>
      </c>
      <c r="W58" s="321">
        <v>-7.0000000000000001E-3</v>
      </c>
      <c r="X58" s="321">
        <v>-8.0000000000000002E-3</v>
      </c>
      <c r="Y58" s="321">
        <v>-8.9999999999999993E-3</v>
      </c>
      <c r="Z58" s="321">
        <v>-0.01</v>
      </c>
      <c r="AA58" s="321">
        <v>-1.2E-2</v>
      </c>
      <c r="AB58" s="321">
        <v>-1.4E-2</v>
      </c>
      <c r="AC58" s="321">
        <v>-1.4999999999999999E-2</v>
      </c>
      <c r="AD58" s="321">
        <v>-1.6E-2</v>
      </c>
      <c r="AE58" s="321">
        <v>-1.7000000000000001E-2</v>
      </c>
      <c r="AF58" s="321">
        <v>-1.7999999999999999E-2</v>
      </c>
      <c r="AG58" s="321">
        <v>-1.7999999999999999E-2</v>
      </c>
      <c r="AH58" s="321">
        <v>-1.9E-2</v>
      </c>
      <c r="AI58" s="321">
        <v>-0.02</v>
      </c>
      <c r="AJ58" s="321">
        <v>-2.1000000000000001E-2</v>
      </c>
      <c r="AK58" s="321">
        <v>-2.1000000000000001E-2</v>
      </c>
      <c r="AL58" s="321">
        <v>-2.1999999999999999E-2</v>
      </c>
      <c r="AM58" s="321">
        <v>-2.3E-2</v>
      </c>
      <c r="AN58" s="321">
        <v>-2.3E-2</v>
      </c>
      <c r="AO58" s="321">
        <v>-2.4E-2</v>
      </c>
      <c r="AP58" s="321">
        <v>-2.4E-2</v>
      </c>
      <c r="AQ58" s="321">
        <v>-2.5000000000000001E-2</v>
      </c>
      <c r="AR58" s="321">
        <v>-2.5999999999999999E-2</v>
      </c>
      <c r="AS58" s="321">
        <v>-2.5999999999999999E-2</v>
      </c>
      <c r="AT58" s="321">
        <v>-2.5999999999999999E-2</v>
      </c>
      <c r="AU58" s="321">
        <v>-2.7E-2</v>
      </c>
      <c r="AV58" s="321">
        <v>-2.7E-2</v>
      </c>
      <c r="AW58" s="322">
        <v>-2.7E-2</v>
      </c>
    </row>
    <row r="59" spans="1:49" s="99" customFormat="1" ht="21" customHeight="1">
      <c r="A59" s="709"/>
      <c r="B59" s="667"/>
      <c r="C59" s="100" t="s">
        <v>55</v>
      </c>
      <c r="D59" s="321">
        <v>8.9999999999999993E-3</v>
      </c>
      <c r="E59" s="321">
        <v>8.0000000000000002E-3</v>
      </c>
      <c r="F59" s="321">
        <v>8.0000000000000002E-3</v>
      </c>
      <c r="G59" s="321">
        <v>0.01</v>
      </c>
      <c r="H59" s="321">
        <v>1.0999999999999999E-2</v>
      </c>
      <c r="I59" s="321">
        <v>0.01</v>
      </c>
      <c r="J59" s="321">
        <v>8.0000000000000002E-3</v>
      </c>
      <c r="K59" s="321">
        <v>6.0000000000000001E-3</v>
      </c>
      <c r="L59" s="321">
        <v>5.0000000000000001E-3</v>
      </c>
      <c r="M59" s="321">
        <v>3.0000000000000001E-3</v>
      </c>
      <c r="N59" s="321">
        <v>2E-3</v>
      </c>
      <c r="O59" s="321">
        <v>2E-3</v>
      </c>
      <c r="P59" s="321">
        <v>1E-3</v>
      </c>
      <c r="Q59" s="321">
        <v>1E-3</v>
      </c>
      <c r="R59" s="321">
        <v>0</v>
      </c>
      <c r="S59" s="321">
        <v>-1E-3</v>
      </c>
      <c r="T59" s="321">
        <v>-1E-3</v>
      </c>
      <c r="U59" s="321">
        <v>-1E-3</v>
      </c>
      <c r="V59" s="321">
        <v>-1E-3</v>
      </c>
      <c r="W59" s="321">
        <v>0</v>
      </c>
      <c r="X59" s="321">
        <v>0</v>
      </c>
      <c r="Y59" s="321">
        <v>-1E-3</v>
      </c>
      <c r="Z59" s="321">
        <v>-1E-3</v>
      </c>
      <c r="AA59" s="321">
        <v>-2E-3</v>
      </c>
      <c r="AB59" s="321">
        <v>-3.0000000000000001E-3</v>
      </c>
      <c r="AC59" s="321">
        <v>-4.0000000000000001E-3</v>
      </c>
      <c r="AD59" s="321">
        <v>-5.0000000000000001E-3</v>
      </c>
      <c r="AE59" s="321">
        <v>-5.0000000000000001E-3</v>
      </c>
      <c r="AF59" s="321">
        <v>-5.0000000000000001E-3</v>
      </c>
      <c r="AG59" s="321">
        <v>-5.0000000000000001E-3</v>
      </c>
      <c r="AH59" s="321">
        <v>-6.0000000000000001E-3</v>
      </c>
      <c r="AI59" s="321">
        <v>-6.0000000000000001E-3</v>
      </c>
      <c r="AJ59" s="321">
        <v>-6.0000000000000001E-3</v>
      </c>
      <c r="AK59" s="321">
        <v>-6.0000000000000001E-3</v>
      </c>
      <c r="AL59" s="321">
        <v>-7.0000000000000001E-3</v>
      </c>
      <c r="AM59" s="321">
        <v>-7.0000000000000001E-3</v>
      </c>
      <c r="AN59" s="321">
        <v>-7.0000000000000001E-3</v>
      </c>
      <c r="AO59" s="321">
        <v>-7.0000000000000001E-3</v>
      </c>
      <c r="AP59" s="321">
        <v>-7.0000000000000001E-3</v>
      </c>
      <c r="AQ59" s="321">
        <v>-8.0000000000000002E-3</v>
      </c>
      <c r="AR59" s="321">
        <v>-8.0000000000000002E-3</v>
      </c>
      <c r="AS59" s="321">
        <v>-8.0000000000000002E-3</v>
      </c>
      <c r="AT59" s="321">
        <v>-8.0000000000000002E-3</v>
      </c>
      <c r="AU59" s="321">
        <v>-8.0000000000000002E-3</v>
      </c>
      <c r="AV59" s="321">
        <v>-8.0000000000000002E-3</v>
      </c>
      <c r="AW59" s="322">
        <v>-8.0000000000000002E-3</v>
      </c>
    </row>
    <row r="60" spans="1:49" s="99" customFormat="1" ht="21" customHeight="1">
      <c r="A60" s="709"/>
      <c r="B60" s="667"/>
      <c r="C60" s="100" t="s">
        <v>56</v>
      </c>
      <c r="D60" s="321">
        <v>8.9999999999999993E-3</v>
      </c>
      <c r="E60" s="321">
        <v>8.0000000000000002E-3</v>
      </c>
      <c r="F60" s="321">
        <v>8.0000000000000002E-3</v>
      </c>
      <c r="G60" s="321">
        <v>0.01</v>
      </c>
      <c r="H60" s="321">
        <v>1.2E-2</v>
      </c>
      <c r="I60" s="321">
        <v>0.01</v>
      </c>
      <c r="J60" s="321">
        <v>8.0000000000000002E-3</v>
      </c>
      <c r="K60" s="321">
        <v>6.0000000000000001E-3</v>
      </c>
      <c r="L60" s="321">
        <v>5.0000000000000001E-3</v>
      </c>
      <c r="M60" s="321">
        <v>3.0000000000000001E-3</v>
      </c>
      <c r="N60" s="321">
        <v>4.0000000000000001E-3</v>
      </c>
      <c r="O60" s="321">
        <v>5.0000000000000001E-3</v>
      </c>
      <c r="P60" s="321">
        <v>6.0000000000000001E-3</v>
      </c>
      <c r="Q60" s="321">
        <v>6.0000000000000001E-3</v>
      </c>
      <c r="R60" s="321">
        <v>7.0000000000000001E-3</v>
      </c>
      <c r="S60" s="321">
        <v>8.0000000000000002E-3</v>
      </c>
      <c r="T60" s="321">
        <v>8.9999999999999993E-3</v>
      </c>
      <c r="U60" s="321">
        <v>0.01</v>
      </c>
      <c r="V60" s="321">
        <v>0.01</v>
      </c>
      <c r="W60" s="321">
        <v>1.0999999999999999E-2</v>
      </c>
      <c r="X60" s="321">
        <v>1.2E-2</v>
      </c>
      <c r="Y60" s="321">
        <v>1.2E-2</v>
      </c>
      <c r="Z60" s="321">
        <v>1.2E-2</v>
      </c>
      <c r="AA60" s="321">
        <v>1.0999999999999999E-2</v>
      </c>
      <c r="AB60" s="321">
        <v>0.01</v>
      </c>
      <c r="AC60" s="321">
        <v>0.01</v>
      </c>
      <c r="AD60" s="321">
        <v>0.01</v>
      </c>
      <c r="AE60" s="321">
        <v>0.01</v>
      </c>
      <c r="AF60" s="321">
        <v>0.01</v>
      </c>
      <c r="AG60" s="321">
        <v>0.01</v>
      </c>
      <c r="AH60" s="321">
        <v>0.01</v>
      </c>
      <c r="AI60" s="321">
        <v>0.01</v>
      </c>
      <c r="AJ60" s="321">
        <v>0.01</v>
      </c>
      <c r="AK60" s="321">
        <v>0.01</v>
      </c>
      <c r="AL60" s="321">
        <v>0.01</v>
      </c>
      <c r="AM60" s="321">
        <v>0.01</v>
      </c>
      <c r="AN60" s="321">
        <v>0.01</v>
      </c>
      <c r="AO60" s="321">
        <v>0.01</v>
      </c>
      <c r="AP60" s="321">
        <v>0.01</v>
      </c>
      <c r="AQ60" s="321">
        <v>0.01</v>
      </c>
      <c r="AR60" s="321">
        <v>0.01</v>
      </c>
      <c r="AS60" s="321">
        <v>0.01</v>
      </c>
      <c r="AT60" s="321">
        <v>0.01</v>
      </c>
      <c r="AU60" s="321">
        <v>0.01</v>
      </c>
      <c r="AV60" s="321">
        <v>0.01</v>
      </c>
      <c r="AW60" s="322">
        <v>1.0999999999999999E-2</v>
      </c>
    </row>
    <row r="61" spans="1:49" s="99" customFormat="1" ht="21" customHeight="1" thickBot="1">
      <c r="A61" s="709"/>
      <c r="B61" s="668"/>
      <c r="C61" s="101" t="s">
        <v>57</v>
      </c>
      <c r="D61" s="323">
        <v>8.9999999999999993E-3</v>
      </c>
      <c r="E61" s="323">
        <v>8.0000000000000002E-3</v>
      </c>
      <c r="F61" s="323">
        <v>8.0000000000000002E-3</v>
      </c>
      <c r="G61" s="323">
        <v>0.01</v>
      </c>
      <c r="H61" s="323">
        <v>1.2E-2</v>
      </c>
      <c r="I61" s="323">
        <v>0.01</v>
      </c>
      <c r="J61" s="323">
        <v>8.9999999999999993E-3</v>
      </c>
      <c r="K61" s="323">
        <v>8.0000000000000002E-3</v>
      </c>
      <c r="L61" s="323">
        <v>7.0000000000000001E-3</v>
      </c>
      <c r="M61" s="323">
        <v>6.0000000000000001E-3</v>
      </c>
      <c r="N61" s="323">
        <v>8.0000000000000002E-3</v>
      </c>
      <c r="O61" s="323">
        <v>0.01</v>
      </c>
      <c r="P61" s="323">
        <v>1.0999999999999999E-2</v>
      </c>
      <c r="Q61" s="323">
        <v>1.2999999999999999E-2</v>
      </c>
      <c r="R61" s="323">
        <v>1.4999999999999999E-2</v>
      </c>
      <c r="S61" s="323">
        <v>1.6E-2</v>
      </c>
      <c r="T61" s="323">
        <v>1.7999999999999999E-2</v>
      </c>
      <c r="U61" s="323">
        <v>0.02</v>
      </c>
      <c r="V61" s="323">
        <v>2.1000000000000001E-2</v>
      </c>
      <c r="W61" s="323">
        <v>2.3E-2</v>
      </c>
      <c r="X61" s="323">
        <v>2.4E-2</v>
      </c>
      <c r="Y61" s="323">
        <v>2.5000000000000001E-2</v>
      </c>
      <c r="Z61" s="323">
        <v>2.5000000000000001E-2</v>
      </c>
      <c r="AA61" s="323">
        <v>2.5000000000000001E-2</v>
      </c>
      <c r="AB61" s="323">
        <v>2.5999999999999999E-2</v>
      </c>
      <c r="AC61" s="323">
        <v>2.5999999999999999E-2</v>
      </c>
      <c r="AD61" s="323">
        <v>2.5999999999999999E-2</v>
      </c>
      <c r="AE61" s="323">
        <v>2.7E-2</v>
      </c>
      <c r="AF61" s="323">
        <v>2.8000000000000001E-2</v>
      </c>
      <c r="AG61" s="323">
        <v>2.8000000000000001E-2</v>
      </c>
      <c r="AH61" s="323">
        <v>2.9000000000000001E-2</v>
      </c>
      <c r="AI61" s="323">
        <v>0.03</v>
      </c>
      <c r="AJ61" s="323">
        <v>0.03</v>
      </c>
      <c r="AK61" s="323">
        <v>3.1E-2</v>
      </c>
      <c r="AL61" s="323">
        <v>3.1E-2</v>
      </c>
      <c r="AM61" s="323">
        <v>3.2000000000000001E-2</v>
      </c>
      <c r="AN61" s="323">
        <v>3.2000000000000001E-2</v>
      </c>
      <c r="AO61" s="323">
        <v>3.3000000000000002E-2</v>
      </c>
      <c r="AP61" s="323">
        <v>3.3000000000000002E-2</v>
      </c>
      <c r="AQ61" s="323">
        <v>3.3000000000000002E-2</v>
      </c>
      <c r="AR61" s="323">
        <v>3.4000000000000002E-2</v>
      </c>
      <c r="AS61" s="323">
        <v>3.4000000000000002E-2</v>
      </c>
      <c r="AT61" s="323">
        <v>3.4000000000000002E-2</v>
      </c>
      <c r="AU61" s="323">
        <v>3.5000000000000003E-2</v>
      </c>
      <c r="AV61" s="323">
        <v>3.5000000000000003E-2</v>
      </c>
      <c r="AW61" s="324">
        <v>3.5999999999999997E-2</v>
      </c>
    </row>
    <row r="62" spans="1:49" s="99" customFormat="1" ht="21" customHeight="1">
      <c r="A62" s="709"/>
      <c r="B62" s="667" t="s">
        <v>101</v>
      </c>
      <c r="C62" s="100" t="s">
        <v>54</v>
      </c>
      <c r="D62" s="325">
        <v>0.4</v>
      </c>
      <c r="E62" s="325">
        <v>0.4</v>
      </c>
      <c r="F62" s="325">
        <v>0.4</v>
      </c>
      <c r="G62" s="325">
        <v>0.5</v>
      </c>
      <c r="H62" s="325">
        <v>0.6</v>
      </c>
      <c r="I62" s="325">
        <v>0.5</v>
      </c>
      <c r="J62" s="325">
        <v>0.4</v>
      </c>
      <c r="K62" s="325">
        <v>0.3</v>
      </c>
      <c r="L62" s="325">
        <v>0.1</v>
      </c>
      <c r="M62" s="325">
        <v>0</v>
      </c>
      <c r="N62" s="325">
        <v>-0.1</v>
      </c>
      <c r="O62" s="325">
        <v>-0.2</v>
      </c>
      <c r="P62" s="325">
        <v>-0.3</v>
      </c>
      <c r="Q62" s="325">
        <v>-0.4</v>
      </c>
      <c r="R62" s="325">
        <v>-0.5</v>
      </c>
      <c r="S62" s="325">
        <v>-0.5</v>
      </c>
      <c r="T62" s="325">
        <v>-0.6</v>
      </c>
      <c r="U62" s="325">
        <v>-0.7</v>
      </c>
      <c r="V62" s="325">
        <v>-0.7</v>
      </c>
      <c r="W62" s="325">
        <v>-0.8</v>
      </c>
      <c r="X62" s="325">
        <v>-0.9</v>
      </c>
      <c r="Y62" s="325">
        <v>-1</v>
      </c>
      <c r="Z62" s="325">
        <v>-1.1000000000000001</v>
      </c>
      <c r="AA62" s="325">
        <v>-1.3</v>
      </c>
      <c r="AB62" s="325">
        <v>-1.5</v>
      </c>
      <c r="AC62" s="325">
        <v>-1.6</v>
      </c>
      <c r="AD62" s="325">
        <v>-1.8</v>
      </c>
      <c r="AE62" s="325">
        <v>-1.9</v>
      </c>
      <c r="AF62" s="325">
        <v>-2</v>
      </c>
      <c r="AG62" s="325">
        <v>-2</v>
      </c>
      <c r="AH62" s="325">
        <v>-2.1</v>
      </c>
      <c r="AI62" s="325">
        <v>-2.2000000000000002</v>
      </c>
      <c r="AJ62" s="325">
        <v>-2.2999999999999998</v>
      </c>
      <c r="AK62" s="325">
        <v>-2.2999999999999998</v>
      </c>
      <c r="AL62" s="325">
        <v>-2.4</v>
      </c>
      <c r="AM62" s="325">
        <v>-2.5</v>
      </c>
      <c r="AN62" s="325">
        <v>-2.5</v>
      </c>
      <c r="AO62" s="325">
        <v>-2.6</v>
      </c>
      <c r="AP62" s="325">
        <v>-2.7</v>
      </c>
      <c r="AQ62" s="325">
        <v>-2.8</v>
      </c>
      <c r="AR62" s="325">
        <v>-2.9</v>
      </c>
      <c r="AS62" s="325">
        <v>-3</v>
      </c>
      <c r="AT62" s="325">
        <v>-3</v>
      </c>
      <c r="AU62" s="325">
        <v>-3.1</v>
      </c>
      <c r="AV62" s="325">
        <v>-3.2</v>
      </c>
      <c r="AW62" s="326">
        <v>-3.2</v>
      </c>
    </row>
    <row r="63" spans="1:49" s="99" customFormat="1" ht="21" customHeight="1">
      <c r="A63" s="709"/>
      <c r="B63" s="667"/>
      <c r="C63" s="100" t="s">
        <v>54</v>
      </c>
      <c r="D63" s="325">
        <v>0.4</v>
      </c>
      <c r="E63" s="325">
        <v>0.4</v>
      </c>
      <c r="F63" s="325">
        <v>0.4</v>
      </c>
      <c r="G63" s="325">
        <v>0.5</v>
      </c>
      <c r="H63" s="325">
        <v>0.6</v>
      </c>
      <c r="I63" s="325">
        <v>0.5</v>
      </c>
      <c r="J63" s="325">
        <v>0.4</v>
      </c>
      <c r="K63" s="325">
        <v>0.3</v>
      </c>
      <c r="L63" s="325">
        <v>0.2</v>
      </c>
      <c r="M63" s="325">
        <v>0.1</v>
      </c>
      <c r="N63" s="325">
        <v>0</v>
      </c>
      <c r="O63" s="325">
        <v>-0.1</v>
      </c>
      <c r="P63" s="325">
        <v>-0.2</v>
      </c>
      <c r="Q63" s="325">
        <v>-0.3</v>
      </c>
      <c r="R63" s="325">
        <v>-0.3</v>
      </c>
      <c r="S63" s="325">
        <v>-0.3</v>
      </c>
      <c r="T63" s="325">
        <v>-0.4</v>
      </c>
      <c r="U63" s="325">
        <v>-0.4</v>
      </c>
      <c r="V63" s="325">
        <v>-0.4</v>
      </c>
      <c r="W63" s="325">
        <v>-0.5</v>
      </c>
      <c r="X63" s="325">
        <v>-0.5</v>
      </c>
      <c r="Y63" s="325">
        <v>-0.6</v>
      </c>
      <c r="Z63" s="325">
        <v>-0.7</v>
      </c>
      <c r="AA63" s="325">
        <v>-0.8</v>
      </c>
      <c r="AB63" s="325">
        <v>-0.9</v>
      </c>
      <c r="AC63" s="325">
        <v>-1.1000000000000001</v>
      </c>
      <c r="AD63" s="325">
        <v>-1.2</v>
      </c>
      <c r="AE63" s="325">
        <v>-1.2</v>
      </c>
      <c r="AF63" s="325">
        <v>-1.3</v>
      </c>
      <c r="AG63" s="325">
        <v>-1.3</v>
      </c>
      <c r="AH63" s="325">
        <v>-1.4</v>
      </c>
      <c r="AI63" s="325">
        <v>-1.4</v>
      </c>
      <c r="AJ63" s="325">
        <v>-1.5</v>
      </c>
      <c r="AK63" s="325">
        <v>-1.5</v>
      </c>
      <c r="AL63" s="325">
        <v>-1.6</v>
      </c>
      <c r="AM63" s="325">
        <v>-1.6</v>
      </c>
      <c r="AN63" s="325">
        <v>-1.7</v>
      </c>
      <c r="AO63" s="325">
        <v>-1.7</v>
      </c>
      <c r="AP63" s="325">
        <v>-1.8</v>
      </c>
      <c r="AQ63" s="325">
        <v>-1.8</v>
      </c>
      <c r="AR63" s="325">
        <v>-1.9</v>
      </c>
      <c r="AS63" s="325">
        <v>-2</v>
      </c>
      <c r="AT63" s="325">
        <v>-2</v>
      </c>
      <c r="AU63" s="325">
        <v>-2.1</v>
      </c>
      <c r="AV63" s="325">
        <v>-2.1</v>
      </c>
      <c r="AW63" s="326">
        <v>-2.1</v>
      </c>
    </row>
    <row r="64" spans="1:49" s="99" customFormat="1" ht="21" customHeight="1">
      <c r="A64" s="709"/>
      <c r="B64" s="667"/>
      <c r="C64" s="100" t="s">
        <v>55</v>
      </c>
      <c r="D64" s="325">
        <v>0.4</v>
      </c>
      <c r="E64" s="325">
        <v>0.4</v>
      </c>
      <c r="F64" s="325">
        <v>0.4</v>
      </c>
      <c r="G64" s="325">
        <v>0.5</v>
      </c>
      <c r="H64" s="325">
        <v>0.6</v>
      </c>
      <c r="I64" s="325">
        <v>0.5</v>
      </c>
      <c r="J64" s="325">
        <v>0.4</v>
      </c>
      <c r="K64" s="325">
        <v>0.3</v>
      </c>
      <c r="L64" s="325">
        <v>0.3</v>
      </c>
      <c r="M64" s="325">
        <v>0.2</v>
      </c>
      <c r="N64" s="325">
        <v>0.1</v>
      </c>
      <c r="O64" s="325">
        <v>0.1</v>
      </c>
      <c r="P64" s="325">
        <v>0.1</v>
      </c>
      <c r="Q64" s="325">
        <v>0</v>
      </c>
      <c r="R64" s="325">
        <v>0</v>
      </c>
      <c r="S64" s="325">
        <v>0</v>
      </c>
      <c r="T64" s="325">
        <v>-0.1</v>
      </c>
      <c r="U64" s="325">
        <v>-0.1</v>
      </c>
      <c r="V64" s="325">
        <v>0</v>
      </c>
      <c r="W64" s="325">
        <v>0</v>
      </c>
      <c r="X64" s="325">
        <v>0</v>
      </c>
      <c r="Y64" s="325">
        <v>-0.1</v>
      </c>
      <c r="Z64" s="325">
        <v>-0.1</v>
      </c>
      <c r="AA64" s="325">
        <v>-0.2</v>
      </c>
      <c r="AB64" s="325">
        <v>-0.2</v>
      </c>
      <c r="AC64" s="325">
        <v>-0.3</v>
      </c>
      <c r="AD64" s="325">
        <v>-0.3</v>
      </c>
      <c r="AE64" s="325">
        <v>-0.4</v>
      </c>
      <c r="AF64" s="325">
        <v>-0.4</v>
      </c>
      <c r="AG64" s="325">
        <v>-0.4</v>
      </c>
      <c r="AH64" s="325">
        <v>-0.4</v>
      </c>
      <c r="AI64" s="325">
        <v>-0.4</v>
      </c>
      <c r="AJ64" s="325">
        <v>-0.4</v>
      </c>
      <c r="AK64" s="325">
        <v>-0.4</v>
      </c>
      <c r="AL64" s="325">
        <v>-0.5</v>
      </c>
      <c r="AM64" s="325">
        <v>-0.5</v>
      </c>
      <c r="AN64" s="325">
        <v>-0.5</v>
      </c>
      <c r="AO64" s="325">
        <v>-0.5</v>
      </c>
      <c r="AP64" s="325">
        <v>-0.5</v>
      </c>
      <c r="AQ64" s="325">
        <v>-0.5</v>
      </c>
      <c r="AR64" s="325">
        <v>-0.6</v>
      </c>
      <c r="AS64" s="325">
        <v>-0.6</v>
      </c>
      <c r="AT64" s="325">
        <v>-0.6</v>
      </c>
      <c r="AU64" s="325">
        <v>-0.6</v>
      </c>
      <c r="AV64" s="325">
        <v>-0.6</v>
      </c>
      <c r="AW64" s="326">
        <v>-0.6</v>
      </c>
    </row>
    <row r="65" spans="1:49" s="99" customFormat="1" ht="21" customHeight="1">
      <c r="A65" s="709"/>
      <c r="B65" s="667"/>
      <c r="C65" s="100" t="s">
        <v>56</v>
      </c>
      <c r="D65" s="325">
        <v>0.4</v>
      </c>
      <c r="E65" s="325">
        <v>0.4</v>
      </c>
      <c r="F65" s="325">
        <v>0.4</v>
      </c>
      <c r="G65" s="325">
        <v>0.5</v>
      </c>
      <c r="H65" s="325">
        <v>0.6</v>
      </c>
      <c r="I65" s="325">
        <v>0.5</v>
      </c>
      <c r="J65" s="325">
        <v>0.4</v>
      </c>
      <c r="K65" s="325">
        <v>0.3</v>
      </c>
      <c r="L65" s="325">
        <v>0.3</v>
      </c>
      <c r="M65" s="325">
        <v>0.2</v>
      </c>
      <c r="N65" s="325">
        <v>0.2</v>
      </c>
      <c r="O65" s="325">
        <v>0.3</v>
      </c>
      <c r="P65" s="325">
        <v>0.3</v>
      </c>
      <c r="Q65" s="325">
        <v>0.4</v>
      </c>
      <c r="R65" s="325">
        <v>0.4</v>
      </c>
      <c r="S65" s="325">
        <v>0.4</v>
      </c>
      <c r="T65" s="325">
        <v>0.5</v>
      </c>
      <c r="U65" s="325">
        <v>0.6</v>
      </c>
      <c r="V65" s="325">
        <v>0.6</v>
      </c>
      <c r="W65" s="325">
        <v>0.7</v>
      </c>
      <c r="X65" s="325">
        <v>0.7</v>
      </c>
      <c r="Y65" s="325">
        <v>0.7</v>
      </c>
      <c r="Z65" s="325">
        <v>0.7</v>
      </c>
      <c r="AA65" s="325">
        <v>0.7</v>
      </c>
      <c r="AB65" s="325">
        <v>0.7</v>
      </c>
      <c r="AC65" s="325">
        <v>0.7</v>
      </c>
      <c r="AD65" s="325">
        <v>0.6</v>
      </c>
      <c r="AE65" s="325">
        <v>0.6</v>
      </c>
      <c r="AF65" s="325">
        <v>0.6</v>
      </c>
      <c r="AG65" s="325">
        <v>0.7</v>
      </c>
      <c r="AH65" s="325">
        <v>0.7</v>
      </c>
      <c r="AI65" s="325">
        <v>0.7</v>
      </c>
      <c r="AJ65" s="325">
        <v>0.7</v>
      </c>
      <c r="AK65" s="325">
        <v>0.7</v>
      </c>
      <c r="AL65" s="325">
        <v>0.7</v>
      </c>
      <c r="AM65" s="325">
        <v>0.7</v>
      </c>
      <c r="AN65" s="325">
        <v>0.7</v>
      </c>
      <c r="AO65" s="325">
        <v>0.7</v>
      </c>
      <c r="AP65" s="325">
        <v>0.7</v>
      </c>
      <c r="AQ65" s="325">
        <v>0.7</v>
      </c>
      <c r="AR65" s="325">
        <v>0.7</v>
      </c>
      <c r="AS65" s="325">
        <v>0.7</v>
      </c>
      <c r="AT65" s="325">
        <v>0.7</v>
      </c>
      <c r="AU65" s="325">
        <v>0.7</v>
      </c>
      <c r="AV65" s="325">
        <v>0.7</v>
      </c>
      <c r="AW65" s="326">
        <v>0.7</v>
      </c>
    </row>
    <row r="66" spans="1:49" s="99" customFormat="1" ht="21" customHeight="1" thickBot="1">
      <c r="A66" s="714"/>
      <c r="B66" s="668"/>
      <c r="C66" s="101" t="s">
        <v>57</v>
      </c>
      <c r="D66" s="327">
        <v>0.4</v>
      </c>
      <c r="E66" s="327">
        <v>0.4</v>
      </c>
      <c r="F66" s="327">
        <v>0.4</v>
      </c>
      <c r="G66" s="327">
        <v>0.5</v>
      </c>
      <c r="H66" s="327">
        <v>0.6</v>
      </c>
      <c r="I66" s="327">
        <v>0.5</v>
      </c>
      <c r="J66" s="327">
        <v>0.5</v>
      </c>
      <c r="K66" s="327">
        <v>0.4</v>
      </c>
      <c r="L66" s="327">
        <v>0.4</v>
      </c>
      <c r="M66" s="327">
        <v>0.4</v>
      </c>
      <c r="N66" s="327">
        <v>0.4</v>
      </c>
      <c r="O66" s="327">
        <v>0.5</v>
      </c>
      <c r="P66" s="327">
        <v>0.6</v>
      </c>
      <c r="Q66" s="327">
        <v>0.7</v>
      </c>
      <c r="R66" s="327">
        <v>0.8</v>
      </c>
      <c r="S66" s="327">
        <v>0.9</v>
      </c>
      <c r="T66" s="327">
        <v>1</v>
      </c>
      <c r="U66" s="327">
        <v>1.1000000000000001</v>
      </c>
      <c r="V66" s="327">
        <v>1.2</v>
      </c>
      <c r="W66" s="327">
        <v>1.3</v>
      </c>
      <c r="X66" s="327">
        <v>1.4</v>
      </c>
      <c r="Y66" s="327">
        <v>1.4</v>
      </c>
      <c r="Z66" s="327">
        <v>1.5</v>
      </c>
      <c r="AA66" s="327">
        <v>1.5</v>
      </c>
      <c r="AB66" s="327">
        <v>1.6</v>
      </c>
      <c r="AC66" s="327">
        <v>1.6</v>
      </c>
      <c r="AD66" s="327">
        <v>1.7</v>
      </c>
      <c r="AE66" s="327">
        <v>1.7</v>
      </c>
      <c r="AF66" s="327">
        <v>1.7</v>
      </c>
      <c r="AG66" s="327">
        <v>1.8</v>
      </c>
      <c r="AH66" s="327">
        <v>1.8</v>
      </c>
      <c r="AI66" s="327">
        <v>1.9</v>
      </c>
      <c r="AJ66" s="327">
        <v>1.9</v>
      </c>
      <c r="AK66" s="327">
        <v>1.9</v>
      </c>
      <c r="AL66" s="327">
        <v>1.9</v>
      </c>
      <c r="AM66" s="327">
        <v>2</v>
      </c>
      <c r="AN66" s="327">
        <v>2</v>
      </c>
      <c r="AO66" s="327">
        <v>2</v>
      </c>
      <c r="AP66" s="327">
        <v>2</v>
      </c>
      <c r="AQ66" s="327">
        <v>2.1</v>
      </c>
      <c r="AR66" s="327">
        <v>2.1</v>
      </c>
      <c r="AS66" s="327">
        <v>2.2000000000000002</v>
      </c>
      <c r="AT66" s="327">
        <v>2.2000000000000002</v>
      </c>
      <c r="AU66" s="327">
        <v>2.2000000000000002</v>
      </c>
      <c r="AV66" s="327">
        <v>2.2999999999999998</v>
      </c>
      <c r="AW66" s="328">
        <v>2.2999999999999998</v>
      </c>
    </row>
    <row r="76" spans="1:49">
      <c r="B76" s="713" t="s">
        <v>191</v>
      </c>
    </row>
    <row r="77" spans="1:49">
      <c r="B77" s="713"/>
    </row>
    <row r="78" spans="1:49">
      <c r="B78" s="713"/>
    </row>
    <row r="79" spans="1:49">
      <c r="B79" s="713"/>
    </row>
    <row r="80" spans="1:49">
      <c r="B80" s="713"/>
    </row>
    <row r="81" spans="1:49">
      <c r="B81" s="713"/>
    </row>
    <row r="82" spans="1:49">
      <c r="B82" s="713"/>
    </row>
    <row r="83" spans="1:49">
      <c r="B83" s="713"/>
    </row>
    <row r="84" spans="1:49">
      <c r="B84" s="713"/>
    </row>
    <row r="85" spans="1:49">
      <c r="B85" s="713"/>
    </row>
    <row r="86" spans="1:49">
      <c r="B86" s="713"/>
    </row>
    <row r="87" spans="1:49">
      <c r="B87" s="713"/>
    </row>
    <row r="88" spans="1:49">
      <c r="B88" s="713"/>
    </row>
    <row r="93" spans="1:49" ht="15.6">
      <c r="B93" s="98" t="s">
        <v>255</v>
      </c>
    </row>
    <row r="94" spans="1:49" ht="15" thickBot="1"/>
    <row r="95" spans="1:49" ht="15" thickBot="1">
      <c r="B95" s="706" t="s">
        <v>51</v>
      </c>
      <c r="C95" s="707"/>
      <c r="D95" s="428">
        <v>2015</v>
      </c>
      <c r="E95" s="429">
        <v>2016</v>
      </c>
      <c r="F95" s="429">
        <v>2017</v>
      </c>
      <c r="G95" s="429">
        <v>2018</v>
      </c>
      <c r="H95" s="429">
        <v>2019</v>
      </c>
      <c r="I95" s="429">
        <v>2020</v>
      </c>
      <c r="J95" s="429">
        <v>2021</v>
      </c>
      <c r="K95" s="429">
        <v>2022</v>
      </c>
      <c r="L95" s="429">
        <v>2023</v>
      </c>
      <c r="M95" s="429">
        <v>2024</v>
      </c>
      <c r="N95" s="429">
        <v>2025</v>
      </c>
      <c r="O95" s="429">
        <v>2026</v>
      </c>
      <c r="P95" s="429">
        <v>2027</v>
      </c>
      <c r="Q95" s="429">
        <v>2028</v>
      </c>
      <c r="R95" s="429">
        <v>2029</v>
      </c>
      <c r="S95" s="429">
        <v>2030</v>
      </c>
      <c r="T95" s="429">
        <v>2031</v>
      </c>
      <c r="U95" s="429">
        <v>2032</v>
      </c>
      <c r="V95" s="429">
        <v>2033</v>
      </c>
      <c r="W95" s="429">
        <v>2034</v>
      </c>
      <c r="X95" s="429">
        <v>2035</v>
      </c>
      <c r="Y95" s="429">
        <v>2036</v>
      </c>
      <c r="Z95" s="429">
        <v>2037</v>
      </c>
      <c r="AA95" s="429">
        <v>2038</v>
      </c>
      <c r="AB95" s="429">
        <v>2039</v>
      </c>
      <c r="AC95" s="429">
        <v>2040</v>
      </c>
      <c r="AD95" s="429">
        <v>2041</v>
      </c>
      <c r="AE95" s="429">
        <v>2042</v>
      </c>
      <c r="AF95" s="429">
        <v>2043</v>
      </c>
      <c r="AG95" s="429">
        <v>2044</v>
      </c>
      <c r="AH95" s="429">
        <v>2045</v>
      </c>
      <c r="AI95" s="429">
        <v>2046</v>
      </c>
      <c r="AJ95" s="429">
        <v>2047</v>
      </c>
      <c r="AK95" s="429">
        <v>2048</v>
      </c>
      <c r="AL95" s="429">
        <v>2049</v>
      </c>
      <c r="AM95" s="429">
        <v>2050</v>
      </c>
      <c r="AN95" s="429">
        <v>2051</v>
      </c>
      <c r="AO95" s="429">
        <v>2052</v>
      </c>
      <c r="AP95" s="429">
        <v>2053</v>
      </c>
      <c r="AQ95" s="429">
        <v>2054</v>
      </c>
      <c r="AR95" s="429">
        <v>2055</v>
      </c>
      <c r="AS95" s="429">
        <v>2056</v>
      </c>
      <c r="AT95" s="429">
        <v>2057</v>
      </c>
      <c r="AU95" s="429">
        <v>2058</v>
      </c>
      <c r="AV95" s="429">
        <v>2059</v>
      </c>
      <c r="AW95" s="430">
        <v>2060</v>
      </c>
    </row>
    <row r="96" spans="1:49" s="99" customFormat="1" ht="27" customHeight="1">
      <c r="A96" s="708" t="s">
        <v>256</v>
      </c>
      <c r="B96" s="710" t="s">
        <v>257</v>
      </c>
      <c r="C96" s="642" t="s">
        <v>217</v>
      </c>
      <c r="D96" s="643">
        <v>0.501</v>
      </c>
      <c r="E96" s="644">
        <v>0.5</v>
      </c>
      <c r="F96" s="644">
        <v>0.499</v>
      </c>
      <c r="G96" s="644">
        <v>0.496</v>
      </c>
      <c r="H96" s="644">
        <v>0.48899999999999999</v>
      </c>
      <c r="I96" s="644">
        <v>0.48799999999999999</v>
      </c>
      <c r="J96" s="644">
        <v>0.48199999999999998</v>
      </c>
      <c r="K96" s="644">
        <v>0.48</v>
      </c>
      <c r="L96" s="644">
        <v>0.47399999999999998</v>
      </c>
      <c r="M96" s="644">
        <v>0.46800000000000003</v>
      </c>
      <c r="N96" s="644">
        <v>0.46300000000000002</v>
      </c>
      <c r="O96" s="644">
        <v>0.45700000000000002</v>
      </c>
      <c r="P96" s="644">
        <v>0.45200000000000001</v>
      </c>
      <c r="Q96" s="644">
        <v>0.44800000000000001</v>
      </c>
      <c r="R96" s="644">
        <v>0.443</v>
      </c>
      <c r="S96" s="644">
        <v>0.439</v>
      </c>
      <c r="T96" s="644">
        <v>0.434</v>
      </c>
      <c r="U96" s="644">
        <v>0.43</v>
      </c>
      <c r="V96" s="644">
        <v>0.42499999999999999</v>
      </c>
      <c r="W96" s="644">
        <v>0.42199999999999999</v>
      </c>
      <c r="X96" s="644">
        <v>0.41899999999999998</v>
      </c>
      <c r="Y96" s="644">
        <v>0.41599999999999998</v>
      </c>
      <c r="Z96" s="644">
        <v>0.41399999999999998</v>
      </c>
      <c r="AA96" s="644">
        <v>0.41199999999999998</v>
      </c>
      <c r="AB96" s="644">
        <v>0.41099999999999998</v>
      </c>
      <c r="AC96" s="644">
        <v>0.41</v>
      </c>
      <c r="AD96" s="644">
        <v>0.40799999999999997</v>
      </c>
      <c r="AE96" s="644">
        <v>0.40600000000000003</v>
      </c>
      <c r="AF96" s="644">
        <v>0.40400000000000003</v>
      </c>
      <c r="AG96" s="644">
        <v>0.40100000000000002</v>
      </c>
      <c r="AH96" s="644">
        <v>0.39900000000000002</v>
      </c>
      <c r="AI96" s="644">
        <v>0.39800000000000002</v>
      </c>
      <c r="AJ96" s="644">
        <v>0.39600000000000002</v>
      </c>
      <c r="AK96" s="644">
        <v>0.39400000000000002</v>
      </c>
      <c r="AL96" s="644">
        <v>0.39200000000000002</v>
      </c>
      <c r="AM96" s="644">
        <v>0.39100000000000001</v>
      </c>
      <c r="AN96" s="644">
        <v>0.39</v>
      </c>
      <c r="AO96" s="644">
        <v>0.38900000000000001</v>
      </c>
      <c r="AP96" s="644">
        <v>0.38800000000000001</v>
      </c>
      <c r="AQ96" s="644">
        <v>0.38700000000000001</v>
      </c>
      <c r="AR96" s="644">
        <v>0.38700000000000001</v>
      </c>
      <c r="AS96" s="644">
        <v>0.38700000000000001</v>
      </c>
      <c r="AT96" s="644">
        <v>0.38700000000000001</v>
      </c>
      <c r="AU96" s="644">
        <v>0.38700000000000001</v>
      </c>
      <c r="AV96" s="644">
        <v>0.38600000000000001</v>
      </c>
      <c r="AW96" s="645">
        <v>0.38600000000000001</v>
      </c>
    </row>
    <row r="97" spans="1:49" s="99" customFormat="1" ht="27" customHeight="1">
      <c r="A97" s="709"/>
      <c r="B97" s="711"/>
      <c r="C97" s="100" t="s">
        <v>218</v>
      </c>
      <c r="D97" s="646">
        <v>0.501</v>
      </c>
      <c r="E97" s="647">
        <v>0.5</v>
      </c>
      <c r="F97" s="647">
        <v>0.499</v>
      </c>
      <c r="G97" s="647">
        <v>0.496</v>
      </c>
      <c r="H97" s="647">
        <v>0.48899999999999999</v>
      </c>
      <c r="I97" s="647">
        <v>0.48699999999999999</v>
      </c>
      <c r="J97" s="647">
        <v>0.48199999999999998</v>
      </c>
      <c r="K97" s="647">
        <v>0.48099999999999998</v>
      </c>
      <c r="L97" s="647">
        <v>0.47499999999999998</v>
      </c>
      <c r="M97" s="647">
        <v>0.46800000000000003</v>
      </c>
      <c r="N97" s="647">
        <v>0.46400000000000002</v>
      </c>
      <c r="O97" s="647">
        <v>0.45800000000000002</v>
      </c>
      <c r="P97" s="647">
        <v>0.45300000000000001</v>
      </c>
      <c r="Q97" s="647">
        <v>0.44900000000000001</v>
      </c>
      <c r="R97" s="647">
        <v>0.44400000000000001</v>
      </c>
      <c r="S97" s="647">
        <v>0.44</v>
      </c>
      <c r="T97" s="647">
        <v>0.436</v>
      </c>
      <c r="U97" s="647">
        <v>0.432</v>
      </c>
      <c r="V97" s="647">
        <v>0.42699999999999999</v>
      </c>
      <c r="W97" s="647">
        <v>0.42299999999999999</v>
      </c>
      <c r="X97" s="647">
        <v>0.42</v>
      </c>
      <c r="Y97" s="647">
        <v>0.41799999999999998</v>
      </c>
      <c r="Z97" s="647">
        <v>0.41599999999999998</v>
      </c>
      <c r="AA97" s="647">
        <v>0.41399999999999998</v>
      </c>
      <c r="AB97" s="647">
        <v>0.41299999999999998</v>
      </c>
      <c r="AC97" s="647">
        <v>0.41099999999999998</v>
      </c>
      <c r="AD97" s="647">
        <v>0.41</v>
      </c>
      <c r="AE97" s="647">
        <v>0.40799999999999997</v>
      </c>
      <c r="AF97" s="647">
        <v>0.40600000000000003</v>
      </c>
      <c r="AG97" s="647">
        <v>0.40300000000000002</v>
      </c>
      <c r="AH97" s="647">
        <v>0.40100000000000002</v>
      </c>
      <c r="AI97" s="647">
        <v>0.4</v>
      </c>
      <c r="AJ97" s="647">
        <v>0.39700000000000002</v>
      </c>
      <c r="AK97" s="647">
        <v>0.39600000000000002</v>
      </c>
      <c r="AL97" s="647">
        <v>0.39400000000000002</v>
      </c>
      <c r="AM97" s="647">
        <v>0.39300000000000002</v>
      </c>
      <c r="AN97" s="647">
        <v>0.39200000000000002</v>
      </c>
      <c r="AO97" s="647">
        <v>0.39100000000000001</v>
      </c>
      <c r="AP97" s="647">
        <v>0.39</v>
      </c>
      <c r="AQ97" s="647">
        <v>0.38900000000000001</v>
      </c>
      <c r="AR97" s="647">
        <v>0.38900000000000001</v>
      </c>
      <c r="AS97" s="647">
        <v>0.38900000000000001</v>
      </c>
      <c r="AT97" s="647">
        <v>0.38900000000000001</v>
      </c>
      <c r="AU97" s="647">
        <v>0.38900000000000001</v>
      </c>
      <c r="AV97" s="647">
        <v>0.38800000000000001</v>
      </c>
      <c r="AW97" s="648">
        <v>0.38800000000000001</v>
      </c>
    </row>
    <row r="98" spans="1:49" s="99" customFormat="1" ht="27" customHeight="1" thickBot="1">
      <c r="A98" s="709"/>
      <c r="B98" s="712"/>
      <c r="C98" s="101" t="s">
        <v>219</v>
      </c>
      <c r="D98" s="649">
        <v>0.501</v>
      </c>
      <c r="E98" s="650">
        <v>0.5</v>
      </c>
      <c r="F98" s="650">
        <v>0.499</v>
      </c>
      <c r="G98" s="650">
        <v>0.496</v>
      </c>
      <c r="H98" s="650">
        <v>0.48899999999999999</v>
      </c>
      <c r="I98" s="650">
        <v>0.48799999999999999</v>
      </c>
      <c r="J98" s="650">
        <v>0.48299999999999998</v>
      </c>
      <c r="K98" s="650">
        <v>0.48099999999999998</v>
      </c>
      <c r="L98" s="650">
        <v>0.47499999999999998</v>
      </c>
      <c r="M98" s="650">
        <v>0.46899999999999997</v>
      </c>
      <c r="N98" s="650">
        <v>0.46400000000000002</v>
      </c>
      <c r="O98" s="650">
        <v>0.45900000000000002</v>
      </c>
      <c r="P98" s="650">
        <v>0.45400000000000001</v>
      </c>
      <c r="Q98" s="650">
        <v>0.44900000000000001</v>
      </c>
      <c r="R98" s="650">
        <v>0.44500000000000001</v>
      </c>
      <c r="S98" s="650">
        <v>0.441</v>
      </c>
      <c r="T98" s="650">
        <v>0.437</v>
      </c>
      <c r="U98" s="650">
        <v>0.432</v>
      </c>
      <c r="V98" s="650">
        <v>0.42799999999999999</v>
      </c>
      <c r="W98" s="650">
        <v>0.42399999999999999</v>
      </c>
      <c r="X98" s="650">
        <v>0.42099999999999999</v>
      </c>
      <c r="Y98" s="650">
        <v>0.41899999999999998</v>
      </c>
      <c r="Z98" s="650">
        <v>0.41699999999999998</v>
      </c>
      <c r="AA98" s="650">
        <v>0.41499999999999998</v>
      </c>
      <c r="AB98" s="650">
        <v>0.41399999999999998</v>
      </c>
      <c r="AC98" s="650">
        <v>0.41199999999999998</v>
      </c>
      <c r="AD98" s="650">
        <v>0.41099999999999998</v>
      </c>
      <c r="AE98" s="650">
        <v>0.40899999999999997</v>
      </c>
      <c r="AF98" s="650">
        <v>0.40699999999999997</v>
      </c>
      <c r="AG98" s="650">
        <v>0.40400000000000003</v>
      </c>
      <c r="AH98" s="650">
        <v>0.40200000000000002</v>
      </c>
      <c r="AI98" s="650">
        <v>0.40100000000000002</v>
      </c>
      <c r="AJ98" s="650">
        <v>0.39900000000000002</v>
      </c>
      <c r="AK98" s="650">
        <v>0.39700000000000002</v>
      </c>
      <c r="AL98" s="650">
        <v>0.39500000000000002</v>
      </c>
      <c r="AM98" s="650">
        <v>0.39400000000000002</v>
      </c>
      <c r="AN98" s="650">
        <v>0.39300000000000002</v>
      </c>
      <c r="AO98" s="650">
        <v>0.39200000000000002</v>
      </c>
      <c r="AP98" s="650">
        <v>0.39100000000000001</v>
      </c>
      <c r="AQ98" s="650">
        <v>0.39</v>
      </c>
      <c r="AR98" s="650">
        <v>0.39</v>
      </c>
      <c r="AS98" s="650">
        <v>0.39</v>
      </c>
      <c r="AT98" s="650">
        <v>0.39</v>
      </c>
      <c r="AU98" s="650">
        <v>0.39</v>
      </c>
      <c r="AV98" s="650">
        <v>0.38900000000000001</v>
      </c>
      <c r="AW98" s="651">
        <v>0.38900000000000001</v>
      </c>
    </row>
    <row r="99" spans="1:49" s="99" customFormat="1" ht="27" customHeight="1">
      <c r="A99" s="709"/>
      <c r="B99" s="710" t="s">
        <v>258</v>
      </c>
      <c r="C99" s="642" t="s">
        <v>217</v>
      </c>
      <c r="D99" s="643">
        <v>0.32</v>
      </c>
      <c r="E99" s="644">
        <v>0.31900000000000001</v>
      </c>
      <c r="F99" s="644">
        <v>0.31900000000000001</v>
      </c>
      <c r="G99" s="644">
        <v>0.32100000000000001</v>
      </c>
      <c r="H99" s="644">
        <v>0.32</v>
      </c>
      <c r="I99" s="644">
        <v>0.32100000000000001</v>
      </c>
      <c r="J99" s="644">
        <v>0.31900000000000001</v>
      </c>
      <c r="K99" s="644">
        <v>0.318</v>
      </c>
      <c r="L99" s="644">
        <v>0.316</v>
      </c>
      <c r="M99" s="644">
        <v>0.314</v>
      </c>
      <c r="N99" s="644">
        <v>0.313</v>
      </c>
      <c r="O99" s="644">
        <v>0.312</v>
      </c>
      <c r="P99" s="644">
        <v>0.311</v>
      </c>
      <c r="Q99" s="644">
        <v>0.309</v>
      </c>
      <c r="R99" s="644">
        <v>0.308</v>
      </c>
      <c r="S99" s="644">
        <v>0.30599999999999999</v>
      </c>
      <c r="T99" s="644">
        <v>0.30499999999999999</v>
      </c>
      <c r="U99" s="644">
        <v>0.30399999999999999</v>
      </c>
      <c r="V99" s="644">
        <v>0.30299999999999999</v>
      </c>
      <c r="W99" s="644">
        <v>0.30099999999999999</v>
      </c>
      <c r="X99" s="644">
        <v>0.3</v>
      </c>
      <c r="Y99" s="644">
        <v>0.29799999999999999</v>
      </c>
      <c r="Z99" s="644">
        <v>0.29599999999999999</v>
      </c>
      <c r="AA99" s="644">
        <v>0.29299999999999998</v>
      </c>
      <c r="AB99" s="644">
        <v>0.29099999999999998</v>
      </c>
      <c r="AC99" s="644">
        <v>0.28799999999999998</v>
      </c>
      <c r="AD99" s="644">
        <v>0.28699999999999998</v>
      </c>
      <c r="AE99" s="644">
        <v>0.28499999999999998</v>
      </c>
      <c r="AF99" s="644">
        <v>0.28299999999999997</v>
      </c>
      <c r="AG99" s="644">
        <v>0.28199999999999997</v>
      </c>
      <c r="AH99" s="644">
        <v>0.28100000000000003</v>
      </c>
      <c r="AI99" s="644">
        <v>0.27900000000000003</v>
      </c>
      <c r="AJ99" s="644">
        <v>0.27800000000000002</v>
      </c>
      <c r="AK99" s="644">
        <v>0.27700000000000002</v>
      </c>
      <c r="AL99" s="644">
        <v>0.27500000000000002</v>
      </c>
      <c r="AM99" s="644">
        <v>0.27400000000000002</v>
      </c>
      <c r="AN99" s="644">
        <v>0.27300000000000002</v>
      </c>
      <c r="AO99" s="644">
        <v>0.27200000000000002</v>
      </c>
      <c r="AP99" s="644">
        <v>0.27100000000000002</v>
      </c>
      <c r="AQ99" s="644">
        <v>0.27</v>
      </c>
      <c r="AR99" s="644">
        <v>0.26900000000000002</v>
      </c>
      <c r="AS99" s="644">
        <v>0.26800000000000002</v>
      </c>
      <c r="AT99" s="644">
        <v>0.26700000000000002</v>
      </c>
      <c r="AU99" s="644">
        <v>0.26600000000000001</v>
      </c>
      <c r="AV99" s="644">
        <v>0.26500000000000001</v>
      </c>
      <c r="AW99" s="645">
        <v>0.26500000000000001</v>
      </c>
    </row>
    <row r="100" spans="1:49" s="99" customFormat="1" ht="27" customHeight="1">
      <c r="A100" s="709"/>
      <c r="B100" s="711"/>
      <c r="C100" s="100" t="s">
        <v>218</v>
      </c>
      <c r="D100" s="646">
        <v>0.32</v>
      </c>
      <c r="E100" s="647">
        <v>0.31900000000000001</v>
      </c>
      <c r="F100" s="647">
        <v>0.31900000000000001</v>
      </c>
      <c r="G100" s="647">
        <v>0.32100000000000001</v>
      </c>
      <c r="H100" s="647">
        <v>0.32</v>
      </c>
      <c r="I100" s="647">
        <v>0.32</v>
      </c>
      <c r="J100" s="647">
        <v>0.318</v>
      </c>
      <c r="K100" s="647">
        <v>0.31900000000000001</v>
      </c>
      <c r="L100" s="647">
        <v>0.318</v>
      </c>
      <c r="M100" s="647">
        <v>0.315</v>
      </c>
      <c r="N100" s="647">
        <v>0.315</v>
      </c>
      <c r="O100" s="647">
        <v>0.315</v>
      </c>
      <c r="P100" s="647">
        <v>0.315</v>
      </c>
      <c r="Q100" s="647">
        <v>0.315</v>
      </c>
      <c r="R100" s="647">
        <v>0.315</v>
      </c>
      <c r="S100" s="647">
        <v>0.315</v>
      </c>
      <c r="T100" s="647">
        <v>0.315</v>
      </c>
      <c r="U100" s="647">
        <v>0.315</v>
      </c>
      <c r="V100" s="647">
        <v>0.315</v>
      </c>
      <c r="W100" s="647">
        <v>0.315</v>
      </c>
      <c r="X100" s="647">
        <v>0.315</v>
      </c>
      <c r="Y100" s="647">
        <v>0.314</v>
      </c>
      <c r="Z100" s="647">
        <v>0.313</v>
      </c>
      <c r="AA100" s="647">
        <v>0.312</v>
      </c>
      <c r="AB100" s="647">
        <v>0.311</v>
      </c>
      <c r="AC100" s="647">
        <v>0.309</v>
      </c>
      <c r="AD100" s="647">
        <v>0.309</v>
      </c>
      <c r="AE100" s="647">
        <v>0.308</v>
      </c>
      <c r="AF100" s="647">
        <v>0.308</v>
      </c>
      <c r="AG100" s="647">
        <v>0.307</v>
      </c>
      <c r="AH100" s="647">
        <v>0.307</v>
      </c>
      <c r="AI100" s="647">
        <v>0.30599999999999999</v>
      </c>
      <c r="AJ100" s="647">
        <v>0.30599999999999999</v>
      </c>
      <c r="AK100" s="647">
        <v>0.30499999999999999</v>
      </c>
      <c r="AL100" s="647">
        <v>0.30399999999999999</v>
      </c>
      <c r="AM100" s="647">
        <v>0.30399999999999999</v>
      </c>
      <c r="AN100" s="647">
        <v>0.30399999999999999</v>
      </c>
      <c r="AO100" s="647">
        <v>0.30299999999999999</v>
      </c>
      <c r="AP100" s="647">
        <v>0.30299999999999999</v>
      </c>
      <c r="AQ100" s="647">
        <v>0.30199999999999999</v>
      </c>
      <c r="AR100" s="647">
        <v>0.30199999999999999</v>
      </c>
      <c r="AS100" s="647">
        <v>0.30099999999999999</v>
      </c>
      <c r="AT100" s="647">
        <v>0.30099999999999999</v>
      </c>
      <c r="AU100" s="647">
        <v>0.3</v>
      </c>
      <c r="AV100" s="647">
        <v>0.3</v>
      </c>
      <c r="AW100" s="648">
        <v>0.3</v>
      </c>
    </row>
    <row r="101" spans="1:49" s="99" customFormat="1" ht="27" customHeight="1" thickBot="1">
      <c r="A101" s="709"/>
      <c r="B101" s="712"/>
      <c r="C101" s="101" t="s">
        <v>219</v>
      </c>
      <c r="D101" s="649">
        <v>0.32</v>
      </c>
      <c r="E101" s="650">
        <v>0.31900000000000001</v>
      </c>
      <c r="F101" s="650">
        <v>0.31900000000000001</v>
      </c>
      <c r="G101" s="650">
        <v>0.32100000000000001</v>
      </c>
      <c r="H101" s="650">
        <v>0.32</v>
      </c>
      <c r="I101" s="650">
        <v>0.32100000000000001</v>
      </c>
      <c r="J101" s="650">
        <v>0.32</v>
      </c>
      <c r="K101" s="650">
        <v>0.32</v>
      </c>
      <c r="L101" s="650">
        <v>0.32</v>
      </c>
      <c r="M101" s="650">
        <v>0.31900000000000001</v>
      </c>
      <c r="N101" s="650">
        <v>0.32</v>
      </c>
      <c r="O101" s="650">
        <v>0.32200000000000001</v>
      </c>
      <c r="P101" s="650">
        <v>0.32400000000000001</v>
      </c>
      <c r="Q101" s="650">
        <v>0.32500000000000001</v>
      </c>
      <c r="R101" s="650">
        <v>0.32600000000000001</v>
      </c>
      <c r="S101" s="650">
        <v>0.32800000000000001</v>
      </c>
      <c r="T101" s="650">
        <v>0.33</v>
      </c>
      <c r="U101" s="650">
        <v>0.33100000000000002</v>
      </c>
      <c r="V101" s="650">
        <v>0.33300000000000002</v>
      </c>
      <c r="W101" s="650">
        <v>0.33400000000000002</v>
      </c>
      <c r="X101" s="650">
        <v>0.33600000000000002</v>
      </c>
      <c r="Y101" s="650">
        <v>0.33600000000000002</v>
      </c>
      <c r="Z101" s="650">
        <v>0.33600000000000002</v>
      </c>
      <c r="AA101" s="650">
        <v>0.33600000000000002</v>
      </c>
      <c r="AB101" s="650">
        <v>0.33600000000000002</v>
      </c>
      <c r="AC101" s="650">
        <v>0.33600000000000002</v>
      </c>
      <c r="AD101" s="650">
        <v>0.33600000000000002</v>
      </c>
      <c r="AE101" s="650">
        <v>0.33700000000000002</v>
      </c>
      <c r="AF101" s="650">
        <v>0.33800000000000002</v>
      </c>
      <c r="AG101" s="650">
        <v>0.33800000000000002</v>
      </c>
      <c r="AH101" s="650">
        <v>0.33900000000000002</v>
      </c>
      <c r="AI101" s="650">
        <v>0.33900000000000002</v>
      </c>
      <c r="AJ101" s="650">
        <v>0.34</v>
      </c>
      <c r="AK101" s="650">
        <v>0.34</v>
      </c>
      <c r="AL101" s="650">
        <v>0.34</v>
      </c>
      <c r="AM101" s="650">
        <v>0.34100000000000003</v>
      </c>
      <c r="AN101" s="650">
        <v>0.34100000000000003</v>
      </c>
      <c r="AO101" s="650">
        <v>0.34100000000000003</v>
      </c>
      <c r="AP101" s="650">
        <v>0.34200000000000003</v>
      </c>
      <c r="AQ101" s="650">
        <v>0.34200000000000003</v>
      </c>
      <c r="AR101" s="650">
        <v>0.34200000000000003</v>
      </c>
      <c r="AS101" s="650">
        <v>0.34200000000000003</v>
      </c>
      <c r="AT101" s="650">
        <v>0.34200000000000003</v>
      </c>
      <c r="AU101" s="650">
        <v>0.34200000000000003</v>
      </c>
      <c r="AV101" s="650">
        <v>0.34200000000000003</v>
      </c>
      <c r="AW101" s="651">
        <v>0.34300000000000003</v>
      </c>
    </row>
    <row r="102" spans="1:49" s="99" customFormat="1" ht="27" customHeight="1">
      <c r="A102" s="709"/>
      <c r="B102" s="710" t="s">
        <v>259</v>
      </c>
      <c r="C102" s="642" t="s">
        <v>217</v>
      </c>
      <c r="D102" s="652">
        <v>62</v>
      </c>
      <c r="E102" s="653">
        <v>62.2</v>
      </c>
      <c r="F102" s="653">
        <v>62.3</v>
      </c>
      <c r="G102" s="653">
        <v>62.6</v>
      </c>
      <c r="H102" s="653">
        <v>62.8</v>
      </c>
      <c r="I102" s="653">
        <v>62.9</v>
      </c>
      <c r="J102" s="653">
        <v>63.1</v>
      </c>
      <c r="K102" s="653">
        <v>63.1</v>
      </c>
      <c r="L102" s="653">
        <v>63.1</v>
      </c>
      <c r="M102" s="653">
        <v>63.2</v>
      </c>
      <c r="N102" s="653">
        <v>63.2</v>
      </c>
      <c r="O102" s="653">
        <v>63.3</v>
      </c>
      <c r="P102" s="653">
        <v>63.4</v>
      </c>
      <c r="Q102" s="653">
        <v>63.4</v>
      </c>
      <c r="R102" s="653">
        <v>63.4</v>
      </c>
      <c r="S102" s="653">
        <v>63.5</v>
      </c>
      <c r="T102" s="653">
        <v>63.5</v>
      </c>
      <c r="U102" s="653">
        <v>63.6</v>
      </c>
      <c r="V102" s="653">
        <v>63.6</v>
      </c>
      <c r="W102" s="653">
        <v>63.6</v>
      </c>
      <c r="X102" s="653">
        <v>63.6</v>
      </c>
      <c r="Y102" s="653">
        <v>63.6</v>
      </c>
      <c r="Z102" s="653">
        <v>63.6</v>
      </c>
      <c r="AA102" s="653">
        <v>63.5</v>
      </c>
      <c r="AB102" s="653">
        <v>63.4</v>
      </c>
      <c r="AC102" s="653">
        <v>63.3</v>
      </c>
      <c r="AD102" s="653">
        <v>63.2</v>
      </c>
      <c r="AE102" s="653">
        <v>63.1</v>
      </c>
      <c r="AF102" s="653">
        <v>62.9</v>
      </c>
      <c r="AG102" s="653">
        <v>62.8</v>
      </c>
      <c r="AH102" s="653">
        <v>62.7</v>
      </c>
      <c r="AI102" s="653">
        <v>62.6</v>
      </c>
      <c r="AJ102" s="653">
        <v>62.5</v>
      </c>
      <c r="AK102" s="653">
        <v>62.4</v>
      </c>
      <c r="AL102" s="653">
        <v>62.3</v>
      </c>
      <c r="AM102" s="653">
        <v>62.2</v>
      </c>
      <c r="AN102" s="653">
        <v>62.2</v>
      </c>
      <c r="AO102" s="653">
        <v>62.1</v>
      </c>
      <c r="AP102" s="653">
        <v>62</v>
      </c>
      <c r="AQ102" s="653">
        <v>62</v>
      </c>
      <c r="AR102" s="653">
        <v>61.9</v>
      </c>
      <c r="AS102" s="653">
        <v>61.8</v>
      </c>
      <c r="AT102" s="653">
        <v>61.7</v>
      </c>
      <c r="AU102" s="653">
        <v>61.6</v>
      </c>
      <c r="AV102" s="653">
        <v>61.6</v>
      </c>
      <c r="AW102" s="654">
        <v>61.6</v>
      </c>
    </row>
    <row r="103" spans="1:49" s="99" customFormat="1" ht="27" customHeight="1">
      <c r="A103" s="709"/>
      <c r="B103" s="711"/>
      <c r="C103" s="100" t="s">
        <v>218</v>
      </c>
      <c r="D103" s="655">
        <v>62</v>
      </c>
      <c r="E103" s="656">
        <v>62.2</v>
      </c>
      <c r="F103" s="656">
        <v>62.3</v>
      </c>
      <c r="G103" s="656">
        <v>62.6</v>
      </c>
      <c r="H103" s="656">
        <v>62.8</v>
      </c>
      <c r="I103" s="656">
        <v>62.9</v>
      </c>
      <c r="J103" s="656">
        <v>63</v>
      </c>
      <c r="K103" s="656">
        <v>63.1</v>
      </c>
      <c r="L103" s="656">
        <v>63.2</v>
      </c>
      <c r="M103" s="656">
        <v>63.2</v>
      </c>
      <c r="N103" s="656">
        <v>63.3</v>
      </c>
      <c r="O103" s="656">
        <v>63.4</v>
      </c>
      <c r="P103" s="656">
        <v>63.6</v>
      </c>
      <c r="Q103" s="656">
        <v>63.7</v>
      </c>
      <c r="R103" s="656">
        <v>63.8</v>
      </c>
      <c r="S103" s="656">
        <v>63.9</v>
      </c>
      <c r="T103" s="656">
        <v>64</v>
      </c>
      <c r="U103" s="656">
        <v>64.099999999999994</v>
      </c>
      <c r="V103" s="656">
        <v>64.2</v>
      </c>
      <c r="W103" s="656">
        <v>64.400000000000006</v>
      </c>
      <c r="X103" s="656">
        <v>64.400000000000006</v>
      </c>
      <c r="Y103" s="656">
        <v>64.5</v>
      </c>
      <c r="Z103" s="656">
        <v>64.599999999999994</v>
      </c>
      <c r="AA103" s="656">
        <v>64.599999999999994</v>
      </c>
      <c r="AB103" s="656">
        <v>64.599999999999994</v>
      </c>
      <c r="AC103" s="656">
        <v>64.599999999999994</v>
      </c>
      <c r="AD103" s="656">
        <v>64.599999999999994</v>
      </c>
      <c r="AE103" s="656">
        <v>64.5</v>
      </c>
      <c r="AF103" s="656">
        <v>64.5</v>
      </c>
      <c r="AG103" s="656">
        <v>64.400000000000006</v>
      </c>
      <c r="AH103" s="656">
        <v>64.400000000000006</v>
      </c>
      <c r="AI103" s="656">
        <v>64.3</v>
      </c>
      <c r="AJ103" s="656">
        <v>64.3</v>
      </c>
      <c r="AK103" s="656">
        <v>64.3</v>
      </c>
      <c r="AL103" s="656">
        <v>64.3</v>
      </c>
      <c r="AM103" s="656">
        <v>64.2</v>
      </c>
      <c r="AN103" s="656">
        <v>64.2</v>
      </c>
      <c r="AO103" s="656">
        <v>64.2</v>
      </c>
      <c r="AP103" s="656">
        <v>64.099999999999994</v>
      </c>
      <c r="AQ103" s="656">
        <v>64.099999999999994</v>
      </c>
      <c r="AR103" s="656">
        <v>64.099999999999994</v>
      </c>
      <c r="AS103" s="656">
        <v>64.099999999999994</v>
      </c>
      <c r="AT103" s="656">
        <v>64.099999999999994</v>
      </c>
      <c r="AU103" s="656">
        <v>64.099999999999994</v>
      </c>
      <c r="AV103" s="656">
        <v>64</v>
      </c>
      <c r="AW103" s="657">
        <v>64</v>
      </c>
    </row>
    <row r="104" spans="1:49" s="99" customFormat="1" ht="27" customHeight="1" thickBot="1">
      <c r="A104" s="709"/>
      <c r="B104" s="712"/>
      <c r="C104" s="101" t="s">
        <v>219</v>
      </c>
      <c r="D104" s="658">
        <v>62</v>
      </c>
      <c r="E104" s="659">
        <v>62.2</v>
      </c>
      <c r="F104" s="659">
        <v>62.3</v>
      </c>
      <c r="G104" s="659">
        <v>62.6</v>
      </c>
      <c r="H104" s="659">
        <v>62.8</v>
      </c>
      <c r="I104" s="659">
        <v>62.9</v>
      </c>
      <c r="J104" s="659">
        <v>63.1</v>
      </c>
      <c r="K104" s="659">
        <v>63.2</v>
      </c>
      <c r="L104" s="659">
        <v>63.3</v>
      </c>
      <c r="M104" s="659">
        <v>63.4</v>
      </c>
      <c r="N104" s="659">
        <v>63.6</v>
      </c>
      <c r="O104" s="659">
        <v>63.8</v>
      </c>
      <c r="P104" s="659">
        <v>64</v>
      </c>
      <c r="Q104" s="659">
        <v>64.2</v>
      </c>
      <c r="R104" s="659">
        <v>64.400000000000006</v>
      </c>
      <c r="S104" s="659">
        <v>64.599999999999994</v>
      </c>
      <c r="T104" s="659">
        <v>64.7</v>
      </c>
      <c r="U104" s="659">
        <v>65</v>
      </c>
      <c r="V104" s="659">
        <v>65.099999999999994</v>
      </c>
      <c r="W104" s="659">
        <v>65.3</v>
      </c>
      <c r="X104" s="659">
        <v>65.5</v>
      </c>
      <c r="Y104" s="659">
        <v>65.7</v>
      </c>
      <c r="Z104" s="659">
        <v>65.8</v>
      </c>
      <c r="AA104" s="659">
        <v>65.900000000000006</v>
      </c>
      <c r="AB104" s="659">
        <v>66</v>
      </c>
      <c r="AC104" s="659">
        <v>66.099999999999994</v>
      </c>
      <c r="AD104" s="659">
        <v>66.2</v>
      </c>
      <c r="AE104" s="659">
        <v>66.2</v>
      </c>
      <c r="AF104" s="659">
        <v>66.2</v>
      </c>
      <c r="AG104" s="659">
        <v>66.2</v>
      </c>
      <c r="AH104" s="659">
        <v>66.2</v>
      </c>
      <c r="AI104" s="659">
        <v>66.2</v>
      </c>
      <c r="AJ104" s="659">
        <v>66.3</v>
      </c>
      <c r="AK104" s="659">
        <v>66.3</v>
      </c>
      <c r="AL104" s="659">
        <v>66.3</v>
      </c>
      <c r="AM104" s="659">
        <v>66.3</v>
      </c>
      <c r="AN104" s="659">
        <v>66.3</v>
      </c>
      <c r="AO104" s="659">
        <v>66.3</v>
      </c>
      <c r="AP104" s="659">
        <v>66.3</v>
      </c>
      <c r="AQ104" s="659">
        <v>66.400000000000006</v>
      </c>
      <c r="AR104" s="659">
        <v>66.400000000000006</v>
      </c>
      <c r="AS104" s="659">
        <v>66.5</v>
      </c>
      <c r="AT104" s="659">
        <v>66.5</v>
      </c>
      <c r="AU104" s="659">
        <v>66.5</v>
      </c>
      <c r="AV104" s="659">
        <v>66.599999999999994</v>
      </c>
      <c r="AW104" s="660">
        <v>66.599999999999994</v>
      </c>
    </row>
    <row r="105" spans="1:49" ht="15" thickBot="1">
      <c r="B105" s="706" t="s">
        <v>51</v>
      </c>
      <c r="C105" s="707"/>
      <c r="D105" s="428">
        <v>2015</v>
      </c>
      <c r="E105" s="429">
        <v>2016</v>
      </c>
      <c r="F105" s="429">
        <v>2017</v>
      </c>
      <c r="G105" s="429">
        <v>2018</v>
      </c>
      <c r="H105" s="429">
        <v>2019</v>
      </c>
      <c r="I105" s="429">
        <v>2020</v>
      </c>
      <c r="J105" s="429">
        <v>2021</v>
      </c>
      <c r="K105" s="429">
        <v>2022</v>
      </c>
      <c r="L105" s="429">
        <v>2023</v>
      </c>
      <c r="M105" s="429">
        <v>2024</v>
      </c>
      <c r="N105" s="429">
        <v>2025</v>
      </c>
      <c r="O105" s="429">
        <v>2026</v>
      </c>
      <c r="P105" s="429">
        <v>2027</v>
      </c>
      <c r="Q105" s="429">
        <v>2028</v>
      </c>
      <c r="R105" s="429">
        <v>2029</v>
      </c>
      <c r="S105" s="429">
        <v>2030</v>
      </c>
      <c r="T105" s="429">
        <v>2031</v>
      </c>
      <c r="U105" s="429">
        <v>2032</v>
      </c>
      <c r="V105" s="429">
        <v>2033</v>
      </c>
      <c r="W105" s="429">
        <v>2034</v>
      </c>
      <c r="X105" s="429">
        <v>2035</v>
      </c>
      <c r="Y105" s="429">
        <v>2036</v>
      </c>
      <c r="Z105" s="429">
        <v>2037</v>
      </c>
      <c r="AA105" s="429">
        <v>2038</v>
      </c>
      <c r="AB105" s="429">
        <v>2039</v>
      </c>
      <c r="AC105" s="429">
        <v>2040</v>
      </c>
      <c r="AD105" s="429">
        <v>2041</v>
      </c>
      <c r="AE105" s="429">
        <v>2042</v>
      </c>
      <c r="AF105" s="429">
        <v>2043</v>
      </c>
      <c r="AG105" s="429">
        <v>2044</v>
      </c>
      <c r="AH105" s="429">
        <v>2045</v>
      </c>
      <c r="AI105" s="429">
        <v>2046</v>
      </c>
      <c r="AJ105" s="429">
        <v>2047</v>
      </c>
      <c r="AK105" s="429">
        <v>2048</v>
      </c>
      <c r="AL105" s="429">
        <v>2049</v>
      </c>
      <c r="AM105" s="429">
        <v>2050</v>
      </c>
      <c r="AN105" s="429">
        <v>2051</v>
      </c>
      <c r="AO105" s="429">
        <v>2052</v>
      </c>
      <c r="AP105" s="429">
        <v>2053</v>
      </c>
      <c r="AQ105" s="429">
        <v>2054</v>
      </c>
      <c r="AR105" s="429">
        <v>2055</v>
      </c>
      <c r="AS105" s="429">
        <v>2056</v>
      </c>
      <c r="AT105" s="429">
        <v>2057</v>
      </c>
      <c r="AU105" s="429">
        <v>2058</v>
      </c>
      <c r="AV105" s="429">
        <v>2059</v>
      </c>
      <c r="AW105" s="430">
        <v>2060</v>
      </c>
    </row>
    <row r="106" spans="1:49" s="99" customFormat="1" ht="27" customHeight="1">
      <c r="A106" s="708" t="s">
        <v>260</v>
      </c>
      <c r="B106" s="710" t="s">
        <v>257</v>
      </c>
      <c r="C106" s="642" t="s">
        <v>217</v>
      </c>
      <c r="D106" s="643">
        <v>-1.4E-2</v>
      </c>
      <c r="E106" s="644">
        <v>-1.2E-2</v>
      </c>
      <c r="F106" s="644">
        <v>-1.2E-2</v>
      </c>
      <c r="G106" s="644">
        <v>-1.4999999999999999E-2</v>
      </c>
      <c r="H106" s="644">
        <v>-1.7999999999999999E-2</v>
      </c>
      <c r="I106" s="644">
        <v>-1.7000000000000001E-2</v>
      </c>
      <c r="J106" s="644">
        <v>-1.7999999999999999E-2</v>
      </c>
      <c r="K106" s="644">
        <v>-1.7000000000000001E-2</v>
      </c>
      <c r="L106" s="644">
        <v>-1.4999999999999999E-2</v>
      </c>
      <c r="M106" s="644">
        <v>-1.4E-2</v>
      </c>
      <c r="N106" s="644">
        <v>-1.2999999999999999E-2</v>
      </c>
      <c r="O106" s="644">
        <v>-1.2999999999999999E-2</v>
      </c>
      <c r="P106" s="644">
        <v>-1.0999999999999999E-2</v>
      </c>
      <c r="Q106" s="644">
        <v>-8.9999999999999993E-3</v>
      </c>
      <c r="R106" s="644">
        <v>-7.0000000000000001E-3</v>
      </c>
      <c r="S106" s="644">
        <v>-5.0000000000000001E-3</v>
      </c>
      <c r="T106" s="644">
        <v>-4.0000000000000001E-3</v>
      </c>
      <c r="U106" s="644">
        <v>-2E-3</v>
      </c>
      <c r="V106" s="644">
        <v>-1E-3</v>
      </c>
      <c r="W106" s="644">
        <v>1E-3</v>
      </c>
      <c r="X106" s="644">
        <v>3.0000000000000001E-3</v>
      </c>
      <c r="Y106" s="644">
        <v>5.0000000000000001E-3</v>
      </c>
      <c r="Z106" s="644">
        <v>8.0000000000000002E-3</v>
      </c>
      <c r="AA106" s="644">
        <v>1.0999999999999999E-2</v>
      </c>
      <c r="AB106" s="644">
        <v>1.2999999999999999E-2</v>
      </c>
      <c r="AC106" s="644">
        <v>1.6E-2</v>
      </c>
      <c r="AD106" s="644">
        <v>1.7999999999999999E-2</v>
      </c>
      <c r="AE106" s="644">
        <v>0.02</v>
      </c>
      <c r="AF106" s="644">
        <v>2.1999999999999999E-2</v>
      </c>
      <c r="AG106" s="644">
        <v>2.4E-2</v>
      </c>
      <c r="AH106" s="644">
        <v>2.5000000000000001E-2</v>
      </c>
      <c r="AI106" s="644">
        <v>2.7E-2</v>
      </c>
      <c r="AJ106" s="644">
        <v>2.8000000000000001E-2</v>
      </c>
      <c r="AK106" s="644">
        <v>2.9000000000000001E-2</v>
      </c>
      <c r="AL106" s="644">
        <v>3.1E-2</v>
      </c>
      <c r="AM106" s="644">
        <v>3.2000000000000001E-2</v>
      </c>
      <c r="AN106" s="644">
        <v>3.3000000000000002E-2</v>
      </c>
      <c r="AO106" s="644">
        <v>3.4000000000000002E-2</v>
      </c>
      <c r="AP106" s="644">
        <v>3.5999999999999997E-2</v>
      </c>
      <c r="AQ106" s="644">
        <v>3.6999999999999998E-2</v>
      </c>
      <c r="AR106" s="644">
        <v>3.7999999999999999E-2</v>
      </c>
      <c r="AS106" s="644">
        <v>3.9E-2</v>
      </c>
      <c r="AT106" s="644">
        <v>0.04</v>
      </c>
      <c r="AU106" s="644">
        <v>4.1000000000000002E-2</v>
      </c>
      <c r="AV106" s="644">
        <v>4.1000000000000002E-2</v>
      </c>
      <c r="AW106" s="645">
        <v>4.2000000000000003E-2</v>
      </c>
    </row>
    <row r="107" spans="1:49" s="99" customFormat="1" ht="27" customHeight="1">
      <c r="A107" s="709"/>
      <c r="B107" s="711"/>
      <c r="C107" s="100" t="s">
        <v>218</v>
      </c>
      <c r="D107" s="646">
        <v>-1.4E-2</v>
      </c>
      <c r="E107" s="647">
        <v>-1.2E-2</v>
      </c>
      <c r="F107" s="647">
        <v>-1.2E-2</v>
      </c>
      <c r="G107" s="647">
        <v>-1.4999999999999999E-2</v>
      </c>
      <c r="H107" s="647">
        <v>-1.7999999999999999E-2</v>
      </c>
      <c r="I107" s="647">
        <v>-1.7000000000000001E-2</v>
      </c>
      <c r="J107" s="647">
        <v>-1.7000000000000001E-2</v>
      </c>
      <c r="K107" s="647">
        <v>-1.6E-2</v>
      </c>
      <c r="L107" s="647">
        <v>-1.6E-2</v>
      </c>
      <c r="M107" s="647">
        <v>-1.4999999999999999E-2</v>
      </c>
      <c r="N107" s="647">
        <v>-1.4999999999999999E-2</v>
      </c>
      <c r="O107" s="647">
        <v>-1.4999999999999999E-2</v>
      </c>
      <c r="P107" s="647">
        <v>-1.6E-2</v>
      </c>
      <c r="Q107" s="647">
        <v>-1.6E-2</v>
      </c>
      <c r="R107" s="647">
        <v>-1.6E-2</v>
      </c>
      <c r="S107" s="647">
        <v>-1.6E-2</v>
      </c>
      <c r="T107" s="647">
        <v>-1.6E-2</v>
      </c>
      <c r="U107" s="647">
        <v>-1.6E-2</v>
      </c>
      <c r="V107" s="647">
        <v>-1.7000000000000001E-2</v>
      </c>
      <c r="W107" s="647">
        <v>-1.7000000000000001E-2</v>
      </c>
      <c r="X107" s="647">
        <v>-1.7000000000000001E-2</v>
      </c>
      <c r="Y107" s="647">
        <v>-1.6E-2</v>
      </c>
      <c r="Z107" s="647">
        <v>-1.4999999999999999E-2</v>
      </c>
      <c r="AA107" s="647">
        <v>-1.2999999999999999E-2</v>
      </c>
      <c r="AB107" s="647">
        <v>-1.2E-2</v>
      </c>
      <c r="AC107" s="647">
        <v>-0.01</v>
      </c>
      <c r="AD107" s="647">
        <v>-8.9999999999999993E-3</v>
      </c>
      <c r="AE107" s="647">
        <v>-8.9999999999999993E-3</v>
      </c>
      <c r="AF107" s="647">
        <v>-8.0000000000000002E-3</v>
      </c>
      <c r="AG107" s="647">
        <v>-8.0000000000000002E-3</v>
      </c>
      <c r="AH107" s="647">
        <v>-7.0000000000000001E-3</v>
      </c>
      <c r="AI107" s="647">
        <v>-7.0000000000000001E-3</v>
      </c>
      <c r="AJ107" s="647">
        <v>-6.0000000000000001E-3</v>
      </c>
      <c r="AK107" s="647">
        <v>-6.0000000000000001E-3</v>
      </c>
      <c r="AL107" s="647">
        <v>-5.0000000000000001E-3</v>
      </c>
      <c r="AM107" s="647">
        <v>-5.0000000000000001E-3</v>
      </c>
      <c r="AN107" s="647">
        <v>-4.0000000000000001E-3</v>
      </c>
      <c r="AO107" s="647">
        <v>-4.0000000000000001E-3</v>
      </c>
      <c r="AP107" s="647">
        <v>-3.0000000000000001E-3</v>
      </c>
      <c r="AQ107" s="647">
        <v>-3.0000000000000001E-3</v>
      </c>
      <c r="AR107" s="647">
        <v>-2E-3</v>
      </c>
      <c r="AS107" s="647">
        <v>-2E-3</v>
      </c>
      <c r="AT107" s="647">
        <v>-1E-3</v>
      </c>
      <c r="AU107" s="647">
        <v>-1E-3</v>
      </c>
      <c r="AV107" s="647">
        <v>-1E-3</v>
      </c>
      <c r="AW107" s="648">
        <v>-1E-3</v>
      </c>
    </row>
    <row r="108" spans="1:49" s="99" customFormat="1" ht="27" customHeight="1" thickBot="1">
      <c r="A108" s="709"/>
      <c r="B108" s="712"/>
      <c r="C108" s="101" t="s">
        <v>219</v>
      </c>
      <c r="D108" s="649">
        <v>-1.4E-2</v>
      </c>
      <c r="E108" s="650">
        <v>-1.2E-2</v>
      </c>
      <c r="F108" s="650">
        <v>-1.2E-2</v>
      </c>
      <c r="G108" s="650">
        <v>-1.4999999999999999E-2</v>
      </c>
      <c r="H108" s="650">
        <v>-1.7999999999999999E-2</v>
      </c>
      <c r="I108" s="650">
        <v>-1.7999999999999999E-2</v>
      </c>
      <c r="J108" s="650">
        <v>-1.7999999999999999E-2</v>
      </c>
      <c r="K108" s="650">
        <v>-1.9E-2</v>
      </c>
      <c r="L108" s="650">
        <v>-0.02</v>
      </c>
      <c r="M108" s="650">
        <v>-2.1000000000000001E-2</v>
      </c>
      <c r="N108" s="650">
        <v>-2.3E-2</v>
      </c>
      <c r="O108" s="650">
        <v>-2.5999999999999999E-2</v>
      </c>
      <c r="P108" s="650">
        <v>-2.8000000000000001E-2</v>
      </c>
      <c r="Q108" s="650">
        <v>-0.03</v>
      </c>
      <c r="R108" s="650">
        <v>-3.2000000000000001E-2</v>
      </c>
      <c r="S108" s="650">
        <v>-3.4000000000000002E-2</v>
      </c>
      <c r="T108" s="650">
        <v>-3.5999999999999997E-2</v>
      </c>
      <c r="U108" s="650">
        <v>-3.9E-2</v>
      </c>
      <c r="V108" s="650">
        <v>-4.1000000000000002E-2</v>
      </c>
      <c r="W108" s="650">
        <v>-4.2999999999999997E-2</v>
      </c>
      <c r="X108" s="650">
        <v>-4.3999999999999997E-2</v>
      </c>
      <c r="Y108" s="650">
        <v>-4.4999999999999998E-2</v>
      </c>
      <c r="Z108" s="650">
        <v>-4.4999999999999998E-2</v>
      </c>
      <c r="AA108" s="650">
        <v>-4.4999999999999998E-2</v>
      </c>
      <c r="AB108" s="650">
        <v>-4.4999999999999998E-2</v>
      </c>
      <c r="AC108" s="650">
        <v>-4.4999999999999998E-2</v>
      </c>
      <c r="AD108" s="650">
        <v>-4.5999999999999999E-2</v>
      </c>
      <c r="AE108" s="650">
        <v>-4.5999999999999999E-2</v>
      </c>
      <c r="AF108" s="650">
        <v>-4.7E-2</v>
      </c>
      <c r="AG108" s="650">
        <v>-4.8000000000000001E-2</v>
      </c>
      <c r="AH108" s="650">
        <v>-4.8000000000000001E-2</v>
      </c>
      <c r="AI108" s="650">
        <v>-4.9000000000000002E-2</v>
      </c>
      <c r="AJ108" s="650">
        <v>-4.9000000000000002E-2</v>
      </c>
      <c r="AK108" s="650">
        <v>-0.05</v>
      </c>
      <c r="AL108" s="650">
        <v>-0.05</v>
      </c>
      <c r="AM108" s="650">
        <v>-0.05</v>
      </c>
      <c r="AN108" s="650">
        <v>-5.0999999999999997E-2</v>
      </c>
      <c r="AO108" s="650">
        <v>-5.0999999999999997E-2</v>
      </c>
      <c r="AP108" s="650">
        <v>-5.1999999999999998E-2</v>
      </c>
      <c r="AQ108" s="650">
        <v>-5.1999999999999998E-2</v>
      </c>
      <c r="AR108" s="650">
        <v>-5.1999999999999998E-2</v>
      </c>
      <c r="AS108" s="650">
        <v>-5.1999999999999998E-2</v>
      </c>
      <c r="AT108" s="650">
        <v>-5.1999999999999998E-2</v>
      </c>
      <c r="AU108" s="650">
        <v>-5.2999999999999999E-2</v>
      </c>
      <c r="AV108" s="650">
        <v>-5.2999999999999999E-2</v>
      </c>
      <c r="AW108" s="651">
        <v>-5.3999999999999999E-2</v>
      </c>
    </row>
    <row r="109" spans="1:49" s="99" customFormat="1" ht="27" customHeight="1">
      <c r="A109" s="709"/>
      <c r="B109" s="710" t="s">
        <v>258</v>
      </c>
      <c r="C109" s="642" t="s">
        <v>217</v>
      </c>
      <c r="D109" s="643">
        <v>8.9999999999999993E-3</v>
      </c>
      <c r="E109" s="644">
        <v>8.0000000000000002E-3</v>
      </c>
      <c r="F109" s="644">
        <v>8.0000000000000002E-3</v>
      </c>
      <c r="G109" s="644">
        <v>0.01</v>
      </c>
      <c r="H109" s="644">
        <v>1.0999999999999999E-2</v>
      </c>
      <c r="I109" s="644">
        <v>1.0999999999999999E-2</v>
      </c>
      <c r="J109" s="644">
        <v>1.2E-2</v>
      </c>
      <c r="K109" s="644">
        <v>1.0999999999999999E-2</v>
      </c>
      <c r="L109" s="644">
        <v>0.01</v>
      </c>
      <c r="M109" s="644">
        <v>8.9999999999999993E-3</v>
      </c>
      <c r="N109" s="644">
        <v>8.9999999999999993E-3</v>
      </c>
      <c r="O109" s="644">
        <v>8.0000000000000002E-3</v>
      </c>
      <c r="P109" s="644">
        <v>7.0000000000000001E-3</v>
      </c>
      <c r="Q109" s="644">
        <v>6.0000000000000001E-3</v>
      </c>
      <c r="R109" s="644">
        <v>5.0000000000000001E-3</v>
      </c>
      <c r="S109" s="644">
        <v>4.0000000000000001E-3</v>
      </c>
      <c r="T109" s="644">
        <v>3.0000000000000001E-3</v>
      </c>
      <c r="U109" s="644">
        <v>2E-3</v>
      </c>
      <c r="V109" s="644">
        <v>1E-3</v>
      </c>
      <c r="W109" s="644">
        <v>-1E-3</v>
      </c>
      <c r="X109" s="644">
        <v>-2E-3</v>
      </c>
      <c r="Y109" s="644">
        <v>-4.0000000000000001E-3</v>
      </c>
      <c r="Z109" s="644">
        <v>-6.0000000000000001E-3</v>
      </c>
      <c r="AA109" s="644">
        <v>-8.0000000000000002E-3</v>
      </c>
      <c r="AB109" s="644">
        <v>-0.01</v>
      </c>
      <c r="AC109" s="644">
        <v>-1.2E-2</v>
      </c>
      <c r="AD109" s="644">
        <v>-1.4E-2</v>
      </c>
      <c r="AE109" s="644">
        <v>-1.4999999999999999E-2</v>
      </c>
      <c r="AF109" s="644">
        <v>-1.6E-2</v>
      </c>
      <c r="AG109" s="644">
        <v>-1.7999999999999999E-2</v>
      </c>
      <c r="AH109" s="644">
        <v>-1.9E-2</v>
      </c>
      <c r="AI109" s="644">
        <v>-0.02</v>
      </c>
      <c r="AJ109" s="644">
        <v>-2.1000000000000001E-2</v>
      </c>
      <c r="AK109" s="644">
        <v>-2.1999999999999999E-2</v>
      </c>
      <c r="AL109" s="644">
        <v>-2.4E-2</v>
      </c>
      <c r="AM109" s="644">
        <v>-2.4E-2</v>
      </c>
      <c r="AN109" s="644">
        <v>-2.5000000000000001E-2</v>
      </c>
      <c r="AO109" s="644">
        <v>-2.5999999999999999E-2</v>
      </c>
      <c r="AP109" s="644">
        <v>-2.7E-2</v>
      </c>
      <c r="AQ109" s="644">
        <v>-2.8000000000000001E-2</v>
      </c>
      <c r="AR109" s="644">
        <v>-2.9000000000000001E-2</v>
      </c>
      <c r="AS109" s="644">
        <v>-0.03</v>
      </c>
      <c r="AT109" s="644">
        <v>-3.1E-2</v>
      </c>
      <c r="AU109" s="644">
        <v>-3.1E-2</v>
      </c>
      <c r="AV109" s="644">
        <v>-3.2000000000000001E-2</v>
      </c>
      <c r="AW109" s="645">
        <v>-3.2000000000000001E-2</v>
      </c>
    </row>
    <row r="110" spans="1:49" s="99" customFormat="1" ht="27" customHeight="1">
      <c r="A110" s="709"/>
      <c r="B110" s="711"/>
      <c r="C110" s="100" t="s">
        <v>218</v>
      </c>
      <c r="D110" s="646">
        <v>8.9999999999999993E-3</v>
      </c>
      <c r="E110" s="647">
        <v>8.0000000000000002E-3</v>
      </c>
      <c r="F110" s="647">
        <v>8.0000000000000002E-3</v>
      </c>
      <c r="G110" s="647">
        <v>0.01</v>
      </c>
      <c r="H110" s="647">
        <v>1.0999999999999999E-2</v>
      </c>
      <c r="I110" s="647">
        <v>1.0999999999999999E-2</v>
      </c>
      <c r="J110" s="647">
        <v>1.0999999999999999E-2</v>
      </c>
      <c r="K110" s="647">
        <v>1.0999999999999999E-2</v>
      </c>
      <c r="L110" s="647">
        <v>1.0999999999999999E-2</v>
      </c>
      <c r="M110" s="647">
        <v>0.01</v>
      </c>
      <c r="N110" s="647">
        <v>0.01</v>
      </c>
      <c r="O110" s="647">
        <v>0.01</v>
      </c>
      <c r="P110" s="647">
        <v>1.0999999999999999E-2</v>
      </c>
      <c r="Q110" s="647">
        <v>1.0999999999999999E-2</v>
      </c>
      <c r="R110" s="647">
        <v>1.0999999999999999E-2</v>
      </c>
      <c r="S110" s="647">
        <v>1.0999999999999999E-2</v>
      </c>
      <c r="T110" s="647">
        <v>1.0999999999999999E-2</v>
      </c>
      <c r="U110" s="647">
        <v>1.2E-2</v>
      </c>
      <c r="V110" s="647">
        <v>1.2E-2</v>
      </c>
      <c r="W110" s="647">
        <v>1.2E-2</v>
      </c>
      <c r="X110" s="647">
        <v>1.2E-2</v>
      </c>
      <c r="Y110" s="647">
        <v>1.0999999999999999E-2</v>
      </c>
      <c r="Z110" s="647">
        <v>1.0999999999999999E-2</v>
      </c>
      <c r="AA110" s="647">
        <v>0.01</v>
      </c>
      <c r="AB110" s="647">
        <v>8.9999999999999993E-3</v>
      </c>
      <c r="AC110" s="647">
        <v>8.0000000000000002E-3</v>
      </c>
      <c r="AD110" s="647">
        <v>7.0000000000000001E-3</v>
      </c>
      <c r="AE110" s="647">
        <v>6.0000000000000001E-3</v>
      </c>
      <c r="AF110" s="647">
        <v>6.0000000000000001E-3</v>
      </c>
      <c r="AG110" s="647">
        <v>6.0000000000000001E-3</v>
      </c>
      <c r="AH110" s="647">
        <v>5.0000000000000001E-3</v>
      </c>
      <c r="AI110" s="647">
        <v>5.0000000000000001E-3</v>
      </c>
      <c r="AJ110" s="647">
        <v>5.0000000000000001E-3</v>
      </c>
      <c r="AK110" s="647">
        <v>4.0000000000000001E-3</v>
      </c>
      <c r="AL110" s="647">
        <v>4.0000000000000001E-3</v>
      </c>
      <c r="AM110" s="647">
        <v>4.0000000000000001E-3</v>
      </c>
      <c r="AN110" s="647">
        <v>3.0000000000000001E-3</v>
      </c>
      <c r="AO110" s="647">
        <v>3.0000000000000001E-3</v>
      </c>
      <c r="AP110" s="647">
        <v>3.0000000000000001E-3</v>
      </c>
      <c r="AQ110" s="647">
        <v>2E-3</v>
      </c>
      <c r="AR110" s="647">
        <v>2E-3</v>
      </c>
      <c r="AS110" s="647">
        <v>1E-3</v>
      </c>
      <c r="AT110" s="647">
        <v>1E-3</v>
      </c>
      <c r="AU110" s="647">
        <v>1E-3</v>
      </c>
      <c r="AV110" s="647">
        <v>1E-3</v>
      </c>
      <c r="AW110" s="648">
        <v>1E-3</v>
      </c>
    </row>
    <row r="111" spans="1:49" s="99" customFormat="1" ht="27" customHeight="1" thickBot="1">
      <c r="A111" s="709"/>
      <c r="B111" s="712"/>
      <c r="C111" s="101" t="s">
        <v>219</v>
      </c>
      <c r="D111" s="649">
        <v>8.9999999999999993E-3</v>
      </c>
      <c r="E111" s="650">
        <v>8.0000000000000002E-3</v>
      </c>
      <c r="F111" s="650">
        <v>8.0000000000000002E-3</v>
      </c>
      <c r="G111" s="650">
        <v>0.01</v>
      </c>
      <c r="H111" s="650">
        <v>1.0999999999999999E-2</v>
      </c>
      <c r="I111" s="650">
        <v>1.0999999999999999E-2</v>
      </c>
      <c r="J111" s="650">
        <v>1.2E-2</v>
      </c>
      <c r="K111" s="650">
        <v>1.2E-2</v>
      </c>
      <c r="L111" s="650">
        <v>1.2999999999999999E-2</v>
      </c>
      <c r="M111" s="650">
        <v>1.4E-2</v>
      </c>
      <c r="N111" s="650">
        <v>1.4999999999999999E-2</v>
      </c>
      <c r="O111" s="650">
        <v>1.7000000000000001E-2</v>
      </c>
      <c r="P111" s="650">
        <v>1.9E-2</v>
      </c>
      <c r="Q111" s="650">
        <v>0.02</v>
      </c>
      <c r="R111" s="650">
        <v>2.1999999999999999E-2</v>
      </c>
      <c r="S111" s="650">
        <v>2.4E-2</v>
      </c>
      <c r="T111" s="650">
        <v>2.5000000000000001E-2</v>
      </c>
      <c r="U111" s="650">
        <v>2.7E-2</v>
      </c>
      <c r="V111" s="650">
        <v>2.9000000000000001E-2</v>
      </c>
      <c r="W111" s="650">
        <v>0.03</v>
      </c>
      <c r="X111" s="650">
        <v>3.2000000000000001E-2</v>
      </c>
      <c r="Y111" s="650">
        <v>3.2000000000000001E-2</v>
      </c>
      <c r="Z111" s="650">
        <v>3.3000000000000002E-2</v>
      </c>
      <c r="AA111" s="650">
        <v>3.3000000000000002E-2</v>
      </c>
      <c r="AB111" s="650">
        <v>3.3000000000000002E-2</v>
      </c>
      <c r="AC111" s="650">
        <v>3.3000000000000002E-2</v>
      </c>
      <c r="AD111" s="650">
        <v>3.4000000000000002E-2</v>
      </c>
      <c r="AE111" s="650">
        <v>3.4000000000000002E-2</v>
      </c>
      <c r="AF111" s="650">
        <v>3.5000000000000003E-2</v>
      </c>
      <c r="AG111" s="650">
        <v>3.5999999999999997E-2</v>
      </c>
      <c r="AH111" s="650">
        <v>3.5999999999999997E-2</v>
      </c>
      <c r="AI111" s="650">
        <v>3.6999999999999998E-2</v>
      </c>
      <c r="AJ111" s="650">
        <v>3.6999999999999998E-2</v>
      </c>
      <c r="AK111" s="650">
        <v>3.7999999999999999E-2</v>
      </c>
      <c r="AL111" s="650">
        <v>3.7999999999999999E-2</v>
      </c>
      <c r="AM111" s="650">
        <v>3.9E-2</v>
      </c>
      <c r="AN111" s="650">
        <v>3.9E-2</v>
      </c>
      <c r="AO111" s="650">
        <v>0.04</v>
      </c>
      <c r="AP111" s="650">
        <v>0.04</v>
      </c>
      <c r="AQ111" s="650">
        <v>0.04</v>
      </c>
      <c r="AR111" s="650">
        <v>0.04</v>
      </c>
      <c r="AS111" s="650">
        <v>0.04</v>
      </c>
      <c r="AT111" s="650">
        <v>4.1000000000000002E-2</v>
      </c>
      <c r="AU111" s="650">
        <v>4.1000000000000002E-2</v>
      </c>
      <c r="AV111" s="650">
        <v>4.1000000000000002E-2</v>
      </c>
      <c r="AW111" s="651">
        <v>4.2000000000000003E-2</v>
      </c>
    </row>
    <row r="112" spans="1:49" s="99" customFormat="1" ht="27" customHeight="1">
      <c r="A112" s="709"/>
      <c r="B112" s="710" t="s">
        <v>259</v>
      </c>
      <c r="C112" s="642" t="s">
        <v>217</v>
      </c>
      <c r="D112" s="652">
        <v>0.4</v>
      </c>
      <c r="E112" s="653">
        <v>0.4</v>
      </c>
      <c r="F112" s="653">
        <v>0.4</v>
      </c>
      <c r="G112" s="653">
        <v>0.5</v>
      </c>
      <c r="H112" s="653">
        <v>0.6</v>
      </c>
      <c r="I112" s="653">
        <v>0.6</v>
      </c>
      <c r="J112" s="653">
        <v>0.6</v>
      </c>
      <c r="K112" s="653">
        <v>0.6</v>
      </c>
      <c r="L112" s="653">
        <v>0.5</v>
      </c>
      <c r="M112" s="653">
        <v>0.5</v>
      </c>
      <c r="N112" s="653">
        <v>0.5</v>
      </c>
      <c r="O112" s="653">
        <v>0.5</v>
      </c>
      <c r="P112" s="653">
        <v>0.4</v>
      </c>
      <c r="Q112" s="653">
        <v>0.3</v>
      </c>
      <c r="R112" s="653">
        <v>0.3</v>
      </c>
      <c r="S112" s="653">
        <v>0.2</v>
      </c>
      <c r="T112" s="653">
        <v>0.1</v>
      </c>
      <c r="U112" s="653">
        <v>0.1</v>
      </c>
      <c r="V112" s="653">
        <v>0</v>
      </c>
      <c r="W112" s="653">
        <v>0</v>
      </c>
      <c r="X112" s="653">
        <v>-0.1</v>
      </c>
      <c r="Y112" s="653">
        <v>-0.2</v>
      </c>
      <c r="Z112" s="653">
        <v>-0.3</v>
      </c>
      <c r="AA112" s="653">
        <v>-0.5</v>
      </c>
      <c r="AB112" s="653">
        <v>-0.7</v>
      </c>
      <c r="AC112" s="653">
        <v>-0.8</v>
      </c>
      <c r="AD112" s="653">
        <v>-0.9</v>
      </c>
      <c r="AE112" s="653">
        <v>-1.1000000000000001</v>
      </c>
      <c r="AF112" s="653">
        <v>-1.1000000000000001</v>
      </c>
      <c r="AG112" s="653">
        <v>-1.2</v>
      </c>
      <c r="AH112" s="653">
        <v>-1.3</v>
      </c>
      <c r="AI112" s="653">
        <v>-1.4</v>
      </c>
      <c r="AJ112" s="653">
        <v>-1.5</v>
      </c>
      <c r="AK112" s="653">
        <v>-1.6</v>
      </c>
      <c r="AL112" s="653">
        <v>-1.7</v>
      </c>
      <c r="AM112" s="653">
        <v>-1.7</v>
      </c>
      <c r="AN112" s="653">
        <v>-1.8</v>
      </c>
      <c r="AO112" s="653">
        <v>-1.9</v>
      </c>
      <c r="AP112" s="653">
        <v>-1.9</v>
      </c>
      <c r="AQ112" s="653">
        <v>-2</v>
      </c>
      <c r="AR112" s="653">
        <v>-2.1</v>
      </c>
      <c r="AS112" s="653">
        <v>-2.2000000000000002</v>
      </c>
      <c r="AT112" s="653">
        <v>-2.2999999999999998</v>
      </c>
      <c r="AU112" s="653">
        <v>-2.4</v>
      </c>
      <c r="AV112" s="653">
        <v>-2.4</v>
      </c>
      <c r="AW112" s="654">
        <v>-2.5</v>
      </c>
    </row>
    <row r="113" spans="1:49" s="99" customFormat="1" ht="27" customHeight="1">
      <c r="A113" s="709"/>
      <c r="B113" s="711"/>
      <c r="C113" s="100" t="s">
        <v>218</v>
      </c>
      <c r="D113" s="655">
        <v>0.4</v>
      </c>
      <c r="E113" s="656">
        <v>0.4</v>
      </c>
      <c r="F113" s="656">
        <v>0.4</v>
      </c>
      <c r="G113" s="656">
        <v>0.5</v>
      </c>
      <c r="H113" s="656">
        <v>0.6</v>
      </c>
      <c r="I113" s="656">
        <v>0.6</v>
      </c>
      <c r="J113" s="656">
        <v>0.6</v>
      </c>
      <c r="K113" s="656">
        <v>0.6</v>
      </c>
      <c r="L113" s="656">
        <v>0.6</v>
      </c>
      <c r="M113" s="656">
        <v>0.5</v>
      </c>
      <c r="N113" s="656">
        <v>0.5</v>
      </c>
      <c r="O113" s="656">
        <v>0.6</v>
      </c>
      <c r="P113" s="656">
        <v>0.6</v>
      </c>
      <c r="Q113" s="656">
        <v>0.6</v>
      </c>
      <c r="R113" s="656">
        <v>0.6</v>
      </c>
      <c r="S113" s="656">
        <v>0.6</v>
      </c>
      <c r="T113" s="656">
        <v>0.6</v>
      </c>
      <c r="U113" s="656">
        <v>0.7</v>
      </c>
      <c r="V113" s="656">
        <v>0.7</v>
      </c>
      <c r="W113" s="656">
        <v>0.7</v>
      </c>
      <c r="X113" s="656">
        <v>0.7</v>
      </c>
      <c r="Y113" s="656">
        <v>0.7</v>
      </c>
      <c r="Z113" s="656">
        <v>0.6</v>
      </c>
      <c r="AA113" s="656">
        <v>0.6</v>
      </c>
      <c r="AB113" s="656">
        <v>0.5</v>
      </c>
      <c r="AC113" s="656">
        <v>0.5</v>
      </c>
      <c r="AD113" s="656">
        <v>0.5</v>
      </c>
      <c r="AE113" s="656">
        <v>0.4</v>
      </c>
      <c r="AF113" s="656">
        <v>0.4</v>
      </c>
      <c r="AG113" s="656">
        <v>0.4</v>
      </c>
      <c r="AH113" s="656">
        <v>0.4</v>
      </c>
      <c r="AI113" s="656">
        <v>0.3</v>
      </c>
      <c r="AJ113" s="656">
        <v>0.3</v>
      </c>
      <c r="AK113" s="656">
        <v>0.3</v>
      </c>
      <c r="AL113" s="656">
        <v>0.2</v>
      </c>
      <c r="AM113" s="656">
        <v>0.2</v>
      </c>
      <c r="AN113" s="656">
        <v>0.2</v>
      </c>
      <c r="AO113" s="656">
        <v>0.2</v>
      </c>
      <c r="AP113" s="656">
        <v>0.2</v>
      </c>
      <c r="AQ113" s="656">
        <v>0.1</v>
      </c>
      <c r="AR113" s="656">
        <v>0.1</v>
      </c>
      <c r="AS113" s="656">
        <v>0.1</v>
      </c>
      <c r="AT113" s="656">
        <v>0.1</v>
      </c>
      <c r="AU113" s="656">
        <v>0.1</v>
      </c>
      <c r="AV113" s="656">
        <v>0.1</v>
      </c>
      <c r="AW113" s="657">
        <v>0.1</v>
      </c>
    </row>
    <row r="114" spans="1:49" s="99" customFormat="1" ht="27" customHeight="1" thickBot="1">
      <c r="A114" s="709"/>
      <c r="B114" s="712"/>
      <c r="C114" s="101" t="s">
        <v>219</v>
      </c>
      <c r="D114" s="658">
        <v>0.4</v>
      </c>
      <c r="E114" s="659">
        <v>0.4</v>
      </c>
      <c r="F114" s="659">
        <v>0.4</v>
      </c>
      <c r="G114" s="659">
        <v>0.5</v>
      </c>
      <c r="H114" s="659">
        <v>0.6</v>
      </c>
      <c r="I114" s="659">
        <v>0.6</v>
      </c>
      <c r="J114" s="659">
        <v>0.6</v>
      </c>
      <c r="K114" s="659">
        <v>0.6</v>
      </c>
      <c r="L114" s="659">
        <v>0.7</v>
      </c>
      <c r="M114" s="659">
        <v>0.7</v>
      </c>
      <c r="N114" s="659">
        <v>0.8</v>
      </c>
      <c r="O114" s="659">
        <v>0.9</v>
      </c>
      <c r="P114" s="659">
        <v>1</v>
      </c>
      <c r="Q114" s="659">
        <v>1.1000000000000001</v>
      </c>
      <c r="R114" s="659">
        <v>1.2</v>
      </c>
      <c r="S114" s="659">
        <v>1.3</v>
      </c>
      <c r="T114" s="659">
        <v>1.4</v>
      </c>
      <c r="U114" s="659">
        <v>1.5</v>
      </c>
      <c r="V114" s="659">
        <v>1.6</v>
      </c>
      <c r="W114" s="659">
        <v>1.7</v>
      </c>
      <c r="X114" s="659">
        <v>1.7</v>
      </c>
      <c r="Y114" s="659">
        <v>1.8</v>
      </c>
      <c r="Z114" s="659">
        <v>1.9</v>
      </c>
      <c r="AA114" s="659">
        <v>1.9</v>
      </c>
      <c r="AB114" s="659">
        <v>2</v>
      </c>
      <c r="AC114" s="659">
        <v>2</v>
      </c>
      <c r="AD114" s="659">
        <v>2.1</v>
      </c>
      <c r="AE114" s="659">
        <v>2.1</v>
      </c>
      <c r="AF114" s="659">
        <v>2.1</v>
      </c>
      <c r="AG114" s="659">
        <v>2.2000000000000002</v>
      </c>
      <c r="AH114" s="659">
        <v>2.2000000000000002</v>
      </c>
      <c r="AI114" s="659">
        <v>2.2000000000000002</v>
      </c>
      <c r="AJ114" s="659">
        <v>2.2000000000000002</v>
      </c>
      <c r="AK114" s="659">
        <v>2.2999999999999998</v>
      </c>
      <c r="AL114" s="659">
        <v>2.2999999999999998</v>
      </c>
      <c r="AM114" s="659">
        <v>2.2999999999999998</v>
      </c>
      <c r="AN114" s="659">
        <v>2.2999999999999998</v>
      </c>
      <c r="AO114" s="659">
        <v>2.4</v>
      </c>
      <c r="AP114" s="659">
        <v>2.4</v>
      </c>
      <c r="AQ114" s="659">
        <v>2.4</v>
      </c>
      <c r="AR114" s="659">
        <v>2.5</v>
      </c>
      <c r="AS114" s="659">
        <v>2.5</v>
      </c>
      <c r="AT114" s="659">
        <v>2.5</v>
      </c>
      <c r="AU114" s="659">
        <v>2.6</v>
      </c>
      <c r="AV114" s="659">
        <v>2.6</v>
      </c>
      <c r="AW114" s="660">
        <v>2.6</v>
      </c>
    </row>
  </sheetData>
  <mergeCells count="22">
    <mergeCell ref="A4:A18"/>
    <mergeCell ref="A52:A66"/>
    <mergeCell ref="B3:C3"/>
    <mergeCell ref="B4:B8"/>
    <mergeCell ref="B9:B13"/>
    <mergeCell ref="B14:B18"/>
    <mergeCell ref="B51:C51"/>
    <mergeCell ref="B76:B88"/>
    <mergeCell ref="B36:B48"/>
    <mergeCell ref="B52:B56"/>
    <mergeCell ref="B57:B61"/>
    <mergeCell ref="B62:B66"/>
    <mergeCell ref="B95:C95"/>
    <mergeCell ref="A96:A104"/>
    <mergeCell ref="B96:B98"/>
    <mergeCell ref="B99:B101"/>
    <mergeCell ref="B102:B104"/>
    <mergeCell ref="B105:C105"/>
    <mergeCell ref="A106:A114"/>
    <mergeCell ref="B106:B108"/>
    <mergeCell ref="B109:B111"/>
    <mergeCell ref="B112:B114"/>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43"/>
  <sheetViews>
    <sheetView workbookViewId="0">
      <selection activeCell="B2" sqref="B2"/>
    </sheetView>
  </sheetViews>
  <sheetFormatPr baseColWidth="10" defaultRowHeight="14.4"/>
  <cols>
    <col min="2" max="2" width="36.44140625" customWidth="1"/>
    <col min="3" max="3" width="11.5546875" customWidth="1"/>
    <col min="4" max="21" width="7" customWidth="1"/>
  </cols>
  <sheetData>
    <row r="1" spans="1:21" ht="15.6">
      <c r="A1" s="83" t="s">
        <v>234</v>
      </c>
    </row>
    <row r="3" spans="1:21" ht="15" thickBot="1"/>
    <row r="4" spans="1:21" ht="15" thickBot="1">
      <c r="B4" s="117"/>
      <c r="C4" s="118"/>
      <c r="D4" s="434">
        <v>1996</v>
      </c>
      <c r="E4" s="435">
        <v>1997</v>
      </c>
      <c r="F4" s="435">
        <v>1998</v>
      </c>
      <c r="G4" s="435">
        <v>1999</v>
      </c>
      <c r="H4" s="435">
        <v>2000</v>
      </c>
      <c r="I4" s="435">
        <v>2001</v>
      </c>
      <c r="J4" s="435">
        <v>2002</v>
      </c>
      <c r="K4" s="435">
        <v>2003</v>
      </c>
      <c r="L4" s="435">
        <v>2004</v>
      </c>
      <c r="M4" s="435">
        <v>2005</v>
      </c>
      <c r="N4" s="435">
        <v>2006</v>
      </c>
      <c r="O4" s="435">
        <v>2007</v>
      </c>
      <c r="P4" s="435">
        <v>2008</v>
      </c>
      <c r="Q4" s="435">
        <v>2009</v>
      </c>
      <c r="R4" s="435">
        <v>2010</v>
      </c>
      <c r="S4" s="435">
        <v>2011</v>
      </c>
      <c r="T4" s="435">
        <v>2012</v>
      </c>
      <c r="U4" s="436">
        <v>2013</v>
      </c>
    </row>
    <row r="5" spans="1:21">
      <c r="B5" s="721" t="s">
        <v>134</v>
      </c>
      <c r="C5" s="121" t="s">
        <v>5</v>
      </c>
      <c r="D5" s="122"/>
      <c r="E5" s="123"/>
      <c r="F5" s="123"/>
      <c r="G5" s="123"/>
      <c r="H5" s="123"/>
      <c r="I5" s="123"/>
      <c r="J5" s="123"/>
      <c r="K5" s="123"/>
      <c r="L5" s="123"/>
      <c r="M5" s="123"/>
      <c r="N5" s="123"/>
      <c r="O5" s="123"/>
      <c r="P5" s="123">
        <v>0.629</v>
      </c>
      <c r="Q5" s="123">
        <v>0.64300000000000002</v>
      </c>
      <c r="R5" s="123">
        <v>0.63700000000000001</v>
      </c>
      <c r="S5" s="123">
        <v>0.64900000000000002</v>
      </c>
      <c r="T5" s="123">
        <v>0.65100000000000002</v>
      </c>
      <c r="U5" s="124">
        <v>0.65900000000000003</v>
      </c>
    </row>
    <row r="6" spans="1:21">
      <c r="B6" s="711"/>
      <c r="C6" s="125" t="s">
        <v>6</v>
      </c>
      <c r="D6" s="126"/>
      <c r="E6" s="127"/>
      <c r="F6" s="127"/>
      <c r="G6" s="127"/>
      <c r="H6" s="127"/>
      <c r="I6" s="127"/>
      <c r="J6" s="127"/>
      <c r="K6" s="127"/>
      <c r="L6" s="127"/>
      <c r="M6" s="127"/>
      <c r="N6" s="127"/>
      <c r="O6" s="127"/>
      <c r="P6" s="127">
        <v>0.51100000000000001</v>
      </c>
      <c r="Q6" s="127">
        <v>0.52400000000000002</v>
      </c>
      <c r="R6" s="127">
        <v>0.52200000000000002</v>
      </c>
      <c r="S6" s="127">
        <v>0.52800000000000002</v>
      </c>
      <c r="T6" s="127">
        <v>0.54</v>
      </c>
      <c r="U6" s="128">
        <v>0.55100000000000005</v>
      </c>
    </row>
    <row r="7" spans="1:21" ht="15" thickBot="1">
      <c r="B7" s="711"/>
      <c r="C7" s="129" t="s">
        <v>7</v>
      </c>
      <c r="D7" s="130"/>
      <c r="E7" s="131"/>
      <c r="F7" s="131"/>
      <c r="G7" s="131"/>
      <c r="H7" s="131"/>
      <c r="I7" s="131"/>
      <c r="J7" s="131"/>
      <c r="K7" s="131"/>
      <c r="L7" s="131"/>
      <c r="M7" s="131"/>
      <c r="N7" s="131"/>
      <c r="O7" s="131"/>
      <c r="P7" s="131">
        <v>0.76100000000000001</v>
      </c>
      <c r="Q7" s="131">
        <v>0.77800000000000002</v>
      </c>
      <c r="R7" s="131">
        <v>0.77100000000000002</v>
      </c>
      <c r="S7" s="131">
        <v>0.79</v>
      </c>
      <c r="T7" s="131">
        <v>0.77900000000000003</v>
      </c>
      <c r="U7" s="132">
        <v>0.78500000000000003</v>
      </c>
    </row>
    <row r="8" spans="1:21" ht="15" customHeight="1">
      <c r="B8" s="722" t="s">
        <v>261</v>
      </c>
      <c r="C8" s="121" t="s">
        <v>5</v>
      </c>
      <c r="D8" s="122">
        <v>1.024</v>
      </c>
      <c r="E8" s="123">
        <v>1.022</v>
      </c>
      <c r="F8" s="123">
        <v>1.0269999999999999</v>
      </c>
      <c r="G8" s="123">
        <v>1.03</v>
      </c>
      <c r="H8" s="123">
        <v>1.03</v>
      </c>
      <c r="I8" s="123">
        <v>1.0189999999999999</v>
      </c>
      <c r="J8" s="123">
        <v>1.0149999999999999</v>
      </c>
      <c r="K8" s="123">
        <v>1.014</v>
      </c>
      <c r="L8" s="123">
        <v>1.0169999999999999</v>
      </c>
      <c r="M8" s="123">
        <v>1.024</v>
      </c>
      <c r="N8" s="123">
        <v>1.026</v>
      </c>
      <c r="O8" s="123">
        <v>1.026</v>
      </c>
      <c r="P8" s="123">
        <v>1.02</v>
      </c>
      <c r="Q8" s="123">
        <v>1.02</v>
      </c>
      <c r="R8" s="123">
        <v>1.0209999999999999</v>
      </c>
      <c r="S8" s="123">
        <v>1.0249999999999999</v>
      </c>
      <c r="T8" s="123">
        <v>1.026</v>
      </c>
      <c r="U8" s="124"/>
    </row>
    <row r="9" spans="1:21">
      <c r="B9" s="723"/>
      <c r="C9" s="125" t="s">
        <v>6</v>
      </c>
      <c r="D9" s="126">
        <v>0.99199999999999999</v>
      </c>
      <c r="E9" s="127">
        <v>0.98899999999999999</v>
      </c>
      <c r="F9" s="127">
        <v>0.99099999999999999</v>
      </c>
      <c r="G9" s="127">
        <v>0.995</v>
      </c>
      <c r="H9" s="127">
        <v>0.999</v>
      </c>
      <c r="I9" s="127">
        <v>0.98899999999999999</v>
      </c>
      <c r="J9" s="127">
        <v>0.98699999999999999</v>
      </c>
      <c r="K9" s="127">
        <v>0.98399999999999999</v>
      </c>
      <c r="L9" s="127">
        <v>0.98799999999999999</v>
      </c>
      <c r="M9" s="127">
        <v>0.995</v>
      </c>
      <c r="N9" s="127">
        <v>0.999</v>
      </c>
      <c r="O9" s="127">
        <v>0.998</v>
      </c>
      <c r="P9" s="127">
        <v>0.99199999999999999</v>
      </c>
      <c r="Q9" s="127">
        <v>0.995</v>
      </c>
      <c r="R9" s="127">
        <v>0.998</v>
      </c>
      <c r="S9" s="127">
        <v>1.004</v>
      </c>
      <c r="T9" s="127">
        <v>1.004</v>
      </c>
      <c r="U9" s="128"/>
    </row>
    <row r="10" spans="1:21" ht="15" thickBot="1">
      <c r="B10" s="724"/>
      <c r="C10" s="129" t="s">
        <v>7</v>
      </c>
      <c r="D10" s="130">
        <v>1.0469999999999999</v>
      </c>
      <c r="E10" s="131">
        <v>1.048</v>
      </c>
      <c r="F10" s="131">
        <v>1.056</v>
      </c>
      <c r="G10" s="131">
        <v>1.0580000000000001</v>
      </c>
      <c r="H10" s="131">
        <v>1.0529999999999999</v>
      </c>
      <c r="I10" s="131">
        <v>1.046</v>
      </c>
      <c r="J10" s="131">
        <v>1.0449999999999999</v>
      </c>
      <c r="K10" s="131">
        <v>1.052</v>
      </c>
      <c r="L10" s="131">
        <v>1.052</v>
      </c>
      <c r="M10" s="131">
        <v>1.06</v>
      </c>
      <c r="N10" s="131">
        <v>1.0589999999999999</v>
      </c>
      <c r="O10" s="131">
        <v>1.0609999999999999</v>
      </c>
      <c r="P10" s="131">
        <v>1.054</v>
      </c>
      <c r="Q10" s="131">
        <v>1.052</v>
      </c>
      <c r="R10" s="131">
        <v>1.0489999999999999</v>
      </c>
      <c r="S10" s="131">
        <v>1.0509999999999999</v>
      </c>
      <c r="T10" s="131">
        <v>1.052</v>
      </c>
      <c r="U10" s="132"/>
    </row>
    <row r="20" spans="4:16" ht="15.6">
      <c r="D20" s="717" t="s">
        <v>235</v>
      </c>
      <c r="E20" s="717"/>
      <c r="F20" s="717"/>
      <c r="G20" s="717"/>
      <c r="H20" s="717"/>
      <c r="I20" s="717"/>
      <c r="J20" s="115"/>
      <c r="K20" s="717" t="s">
        <v>236</v>
      </c>
      <c r="L20" s="717"/>
      <c r="M20" s="717"/>
      <c r="N20" s="717"/>
      <c r="O20" s="717"/>
      <c r="P20" s="717"/>
    </row>
    <row r="21" spans="4:16" ht="15" customHeight="1">
      <c r="D21" s="717"/>
      <c r="E21" s="717"/>
      <c r="F21" s="717"/>
      <c r="G21" s="717"/>
      <c r="H21" s="717"/>
      <c r="I21" s="717"/>
      <c r="K21" s="717"/>
      <c r="L21" s="717"/>
      <c r="M21" s="717"/>
      <c r="N21" s="717"/>
      <c r="O21" s="717"/>
      <c r="P21" s="717"/>
    </row>
    <row r="35" spans="2:21">
      <c r="B35" s="74" t="s">
        <v>224</v>
      </c>
    </row>
    <row r="36" spans="2:21" ht="15" thickBot="1"/>
    <row r="37" spans="2:21" ht="15" thickBot="1">
      <c r="B37" s="400"/>
      <c r="C37" s="401"/>
      <c r="D37" s="434">
        <v>1996</v>
      </c>
      <c r="E37" s="435">
        <v>1997</v>
      </c>
      <c r="F37" s="435">
        <v>1998</v>
      </c>
      <c r="G37" s="435">
        <v>1999</v>
      </c>
      <c r="H37" s="435">
        <v>2000</v>
      </c>
      <c r="I37" s="435">
        <v>2001</v>
      </c>
      <c r="J37" s="435">
        <v>2002</v>
      </c>
      <c r="K37" s="435">
        <v>2003</v>
      </c>
      <c r="L37" s="435">
        <v>2004</v>
      </c>
      <c r="M37" s="435">
        <v>2005</v>
      </c>
      <c r="N37" s="435">
        <v>2006</v>
      </c>
      <c r="O37" s="435">
        <v>2007</v>
      </c>
      <c r="P37" s="435">
        <v>2008</v>
      </c>
      <c r="Q37" s="435">
        <v>2009</v>
      </c>
      <c r="R37" s="435">
        <v>2010</v>
      </c>
      <c r="S37" s="435">
        <v>2011</v>
      </c>
      <c r="T37" s="435">
        <v>2012</v>
      </c>
      <c r="U37" s="436">
        <v>2013</v>
      </c>
    </row>
    <row r="38" spans="2:21" s="388" customFormat="1" ht="15.75" customHeight="1">
      <c r="B38" s="718" t="s">
        <v>222</v>
      </c>
      <c r="C38" s="397" t="s">
        <v>5</v>
      </c>
      <c r="D38" s="437"/>
      <c r="E38" s="438"/>
      <c r="F38" s="438"/>
      <c r="G38" s="438"/>
      <c r="H38" s="438"/>
      <c r="I38" s="438"/>
      <c r="J38" s="438"/>
      <c r="K38" s="438"/>
      <c r="L38" s="438"/>
      <c r="M38" s="438"/>
      <c r="N38" s="438"/>
      <c r="O38" s="438"/>
      <c r="P38" s="439">
        <v>1434</v>
      </c>
      <c r="Q38" s="439">
        <v>1458</v>
      </c>
      <c r="R38" s="439">
        <v>1463</v>
      </c>
      <c r="S38" s="439">
        <v>1480</v>
      </c>
      <c r="T38" s="439">
        <v>1469</v>
      </c>
      <c r="U38" s="440">
        <v>1480</v>
      </c>
    </row>
    <row r="39" spans="2:21" s="388" customFormat="1" ht="15.75" customHeight="1">
      <c r="B39" s="719"/>
      <c r="C39" s="398" t="s">
        <v>6</v>
      </c>
      <c r="D39" s="268"/>
      <c r="E39" s="269"/>
      <c r="F39" s="269"/>
      <c r="G39" s="269"/>
      <c r="H39" s="269"/>
      <c r="I39" s="269"/>
      <c r="J39" s="269"/>
      <c r="K39" s="269"/>
      <c r="L39" s="269"/>
      <c r="M39" s="269"/>
      <c r="N39" s="269"/>
      <c r="O39" s="269"/>
      <c r="P39" s="389">
        <v>1166</v>
      </c>
      <c r="Q39" s="389">
        <v>1188</v>
      </c>
      <c r="R39" s="389">
        <v>1197</v>
      </c>
      <c r="S39" s="389">
        <v>1205</v>
      </c>
      <c r="T39" s="389">
        <v>1219</v>
      </c>
      <c r="U39" s="390">
        <v>1238</v>
      </c>
    </row>
    <row r="40" spans="2:21" s="388" customFormat="1" ht="15.75" customHeight="1" thickBot="1">
      <c r="B40" s="720"/>
      <c r="C40" s="399" t="s">
        <v>7</v>
      </c>
      <c r="D40" s="391"/>
      <c r="E40" s="392"/>
      <c r="F40" s="392"/>
      <c r="G40" s="392"/>
      <c r="H40" s="392"/>
      <c r="I40" s="392"/>
      <c r="J40" s="392"/>
      <c r="K40" s="392"/>
      <c r="L40" s="392"/>
      <c r="M40" s="392"/>
      <c r="N40" s="392"/>
      <c r="O40" s="392"/>
      <c r="P40" s="393">
        <v>1736</v>
      </c>
      <c r="Q40" s="393">
        <v>1765</v>
      </c>
      <c r="R40" s="393">
        <v>1769</v>
      </c>
      <c r="S40" s="393">
        <v>1803</v>
      </c>
      <c r="T40" s="393">
        <v>1759</v>
      </c>
      <c r="U40" s="394">
        <v>1762</v>
      </c>
    </row>
    <row r="41" spans="2:21" s="388" customFormat="1" ht="15.75" customHeight="1">
      <c r="B41" s="718" t="s">
        <v>223</v>
      </c>
      <c r="C41" s="397" t="s">
        <v>5</v>
      </c>
      <c r="D41" s="441">
        <v>1676</v>
      </c>
      <c r="E41" s="439">
        <v>1686</v>
      </c>
      <c r="F41" s="439">
        <v>1726</v>
      </c>
      <c r="G41" s="439">
        <v>1774</v>
      </c>
      <c r="H41" s="439">
        <v>1819</v>
      </c>
      <c r="I41" s="439">
        <v>1842</v>
      </c>
      <c r="J41" s="439">
        <v>1860</v>
      </c>
      <c r="K41" s="439">
        <v>1868</v>
      </c>
      <c r="L41" s="439">
        <v>1877</v>
      </c>
      <c r="M41" s="439">
        <v>1913</v>
      </c>
      <c r="N41" s="439">
        <v>1951</v>
      </c>
      <c r="O41" s="439">
        <v>1991</v>
      </c>
      <c r="P41" s="439">
        <v>2003</v>
      </c>
      <c r="Q41" s="439">
        <v>2020</v>
      </c>
      <c r="R41" s="439">
        <v>2026</v>
      </c>
      <c r="S41" s="439">
        <v>2031</v>
      </c>
      <c r="T41" s="439">
        <v>2030</v>
      </c>
      <c r="U41" s="440"/>
    </row>
    <row r="42" spans="2:21" s="388" customFormat="1" ht="15.75" customHeight="1">
      <c r="B42" s="719"/>
      <c r="C42" s="398" t="s">
        <v>6</v>
      </c>
      <c r="D42" s="395">
        <v>1625</v>
      </c>
      <c r="E42" s="389">
        <v>1632</v>
      </c>
      <c r="F42" s="389">
        <v>1665</v>
      </c>
      <c r="G42" s="389">
        <v>1714</v>
      </c>
      <c r="H42" s="389">
        <v>1763</v>
      </c>
      <c r="I42" s="389">
        <v>1788</v>
      </c>
      <c r="J42" s="389">
        <v>1808</v>
      </c>
      <c r="K42" s="389">
        <v>1812</v>
      </c>
      <c r="L42" s="389">
        <v>1824</v>
      </c>
      <c r="M42" s="389">
        <v>1859</v>
      </c>
      <c r="N42" s="389">
        <v>1900</v>
      </c>
      <c r="O42" s="389">
        <v>1937</v>
      </c>
      <c r="P42" s="389">
        <v>1947</v>
      </c>
      <c r="Q42" s="389">
        <v>1970</v>
      </c>
      <c r="R42" s="389">
        <v>1981</v>
      </c>
      <c r="S42" s="389">
        <v>1989</v>
      </c>
      <c r="T42" s="389">
        <v>1988</v>
      </c>
      <c r="U42" s="390"/>
    </row>
    <row r="43" spans="2:21" s="388" customFormat="1" ht="15.75" customHeight="1" thickBot="1">
      <c r="B43" s="720"/>
      <c r="C43" s="399" t="s">
        <v>7</v>
      </c>
      <c r="D43" s="396">
        <v>1714</v>
      </c>
      <c r="E43" s="393">
        <v>1730</v>
      </c>
      <c r="F43" s="393">
        <v>1775</v>
      </c>
      <c r="G43" s="393">
        <v>1821</v>
      </c>
      <c r="H43" s="393">
        <v>1860</v>
      </c>
      <c r="I43" s="393">
        <v>1890</v>
      </c>
      <c r="J43" s="393">
        <v>1915</v>
      </c>
      <c r="K43" s="393">
        <v>1938</v>
      </c>
      <c r="L43" s="393">
        <v>1942</v>
      </c>
      <c r="M43" s="393">
        <v>1980</v>
      </c>
      <c r="N43" s="393">
        <v>2014</v>
      </c>
      <c r="O43" s="393">
        <v>2058</v>
      </c>
      <c r="P43" s="393">
        <v>2070</v>
      </c>
      <c r="Q43" s="393">
        <v>2082</v>
      </c>
      <c r="R43" s="393">
        <v>2082</v>
      </c>
      <c r="S43" s="393">
        <v>2082</v>
      </c>
      <c r="T43" s="393">
        <v>2083</v>
      </c>
      <c r="U43" s="394"/>
    </row>
  </sheetData>
  <mergeCells count="6">
    <mergeCell ref="K20:P21"/>
    <mergeCell ref="B41:B43"/>
    <mergeCell ref="B5:B7"/>
    <mergeCell ref="B8:B10"/>
    <mergeCell ref="B38:B40"/>
    <mergeCell ref="D20:I21"/>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P50"/>
  <sheetViews>
    <sheetView topLeftCell="BB25" workbookViewId="0">
      <selection activeCell="BC48" sqref="BC48"/>
    </sheetView>
  </sheetViews>
  <sheetFormatPr baseColWidth="10" defaultColWidth="11.44140625" defaultRowHeight="13.8"/>
  <cols>
    <col min="1" max="1" width="11.44140625" style="103"/>
    <col min="2" max="2" width="32.33203125" style="103" customWidth="1"/>
    <col min="3" max="16384" width="11.44140625" style="103"/>
  </cols>
  <sheetData>
    <row r="1" spans="1:68" ht="15.6">
      <c r="A1" s="83" t="s">
        <v>212</v>
      </c>
    </row>
    <row r="2" spans="1:68">
      <c r="I2" s="104"/>
      <c r="J2" s="104"/>
      <c r="K2" s="104"/>
      <c r="L2" s="104"/>
      <c r="M2" s="104"/>
      <c r="N2" s="104"/>
      <c r="O2" s="104"/>
      <c r="P2" s="104"/>
      <c r="Q2" s="104"/>
      <c r="R2" s="104"/>
      <c r="S2" s="104"/>
    </row>
    <row r="3" spans="1:68" customFormat="1" ht="15" thickBot="1">
      <c r="C3" s="29"/>
    </row>
    <row r="4" spans="1:68" customFormat="1" ht="15" thickBot="1">
      <c r="B4" s="661"/>
      <c r="C4" s="662"/>
      <c r="D4" s="422">
        <v>1996</v>
      </c>
      <c r="E4" s="423">
        <v>1997</v>
      </c>
      <c r="F4" s="423">
        <v>1998</v>
      </c>
      <c r="G4" s="423">
        <v>1999</v>
      </c>
      <c r="H4" s="423">
        <v>2000</v>
      </c>
      <c r="I4" s="423">
        <v>2001</v>
      </c>
      <c r="J4" s="423">
        <v>2002</v>
      </c>
      <c r="K4" s="423">
        <v>2003</v>
      </c>
      <c r="L4" s="423">
        <v>2004</v>
      </c>
      <c r="M4" s="423">
        <v>2005</v>
      </c>
      <c r="N4" s="423">
        <v>2006</v>
      </c>
      <c r="O4" s="423">
        <v>2007</v>
      </c>
      <c r="P4" s="423">
        <v>2008</v>
      </c>
      <c r="Q4" s="423">
        <v>2009</v>
      </c>
      <c r="R4" s="423">
        <v>2010</v>
      </c>
      <c r="S4" s="423">
        <v>2011</v>
      </c>
      <c r="T4" s="423">
        <v>2012</v>
      </c>
      <c r="U4" s="423">
        <v>2013</v>
      </c>
      <c r="V4" s="423">
        <v>2014</v>
      </c>
      <c r="W4" s="423">
        <v>2015</v>
      </c>
      <c r="X4" s="423">
        <v>2016</v>
      </c>
      <c r="Y4" s="423">
        <v>2017</v>
      </c>
      <c r="Z4" s="423">
        <v>2018</v>
      </c>
      <c r="AA4" s="423">
        <v>2019</v>
      </c>
      <c r="AB4" s="423">
        <v>2020</v>
      </c>
      <c r="AC4" s="423">
        <v>2021</v>
      </c>
      <c r="AD4" s="423">
        <v>2022</v>
      </c>
      <c r="AE4" s="423">
        <v>2023</v>
      </c>
      <c r="AF4" s="423">
        <v>2024</v>
      </c>
      <c r="AG4" s="423">
        <v>2025</v>
      </c>
      <c r="AH4" s="423">
        <v>2026</v>
      </c>
      <c r="AI4" s="423">
        <v>2027</v>
      </c>
      <c r="AJ4" s="423">
        <v>2028</v>
      </c>
      <c r="AK4" s="423">
        <v>2029</v>
      </c>
      <c r="AL4" s="423">
        <v>2030</v>
      </c>
      <c r="AM4" s="423">
        <v>2031</v>
      </c>
      <c r="AN4" s="423">
        <v>2032</v>
      </c>
      <c r="AO4" s="423">
        <v>2033</v>
      </c>
      <c r="AP4" s="423">
        <v>2034</v>
      </c>
      <c r="AQ4" s="423">
        <v>2035</v>
      </c>
      <c r="AR4" s="423">
        <v>2036</v>
      </c>
      <c r="AS4" s="423">
        <v>2037</v>
      </c>
      <c r="AT4" s="423">
        <v>2038</v>
      </c>
      <c r="AU4" s="423">
        <v>2039</v>
      </c>
      <c r="AV4" s="423">
        <v>2040</v>
      </c>
      <c r="AW4" s="423">
        <v>2041</v>
      </c>
      <c r="AX4" s="423">
        <v>2042</v>
      </c>
      <c r="AY4" s="423">
        <v>2043</v>
      </c>
      <c r="AZ4" s="423">
        <v>2044</v>
      </c>
      <c r="BA4" s="423">
        <v>2045</v>
      </c>
      <c r="BB4" s="423">
        <v>2046</v>
      </c>
      <c r="BC4" s="423">
        <v>2047</v>
      </c>
      <c r="BD4" s="423">
        <v>2048</v>
      </c>
      <c r="BE4" s="423">
        <v>2049</v>
      </c>
      <c r="BF4" s="423">
        <v>2050</v>
      </c>
      <c r="BG4" s="423">
        <v>2051</v>
      </c>
      <c r="BH4" s="423">
        <v>2052</v>
      </c>
      <c r="BI4" s="423">
        <v>2053</v>
      </c>
      <c r="BJ4" s="423">
        <v>2054</v>
      </c>
      <c r="BK4" s="423">
        <v>2055</v>
      </c>
      <c r="BL4" s="423">
        <v>2056</v>
      </c>
      <c r="BM4" s="423">
        <v>2057</v>
      </c>
      <c r="BN4" s="423">
        <v>2058</v>
      </c>
      <c r="BO4" s="423">
        <v>2059</v>
      </c>
      <c r="BP4" s="424">
        <v>2060</v>
      </c>
    </row>
    <row r="5" spans="1:68" customFormat="1" ht="15" customHeight="1">
      <c r="B5" s="666" t="s">
        <v>134</v>
      </c>
      <c r="C5" s="84" t="s">
        <v>66</v>
      </c>
      <c r="D5" s="442"/>
      <c r="E5" s="443"/>
      <c r="F5" s="443"/>
      <c r="G5" s="443"/>
      <c r="H5" s="443"/>
      <c r="I5" s="443"/>
      <c r="J5" s="443"/>
      <c r="K5" s="443"/>
      <c r="L5" s="443"/>
      <c r="M5" s="443"/>
      <c r="N5" s="443"/>
      <c r="O5" s="443"/>
      <c r="P5" s="443"/>
      <c r="Q5" s="443">
        <v>0.63800000000000001</v>
      </c>
      <c r="R5" s="443">
        <v>0.63300000000000001</v>
      </c>
      <c r="S5" s="443">
        <v>0.64200000000000002</v>
      </c>
      <c r="T5" s="443">
        <v>0.65100000000000002</v>
      </c>
      <c r="U5" s="443">
        <v>0.65500000000000003</v>
      </c>
      <c r="V5" s="443"/>
      <c r="W5" s="443"/>
      <c r="X5" s="443"/>
      <c r="Y5" s="443"/>
      <c r="Z5" s="443"/>
      <c r="AA5" s="443"/>
      <c r="AB5" s="443"/>
      <c r="AC5" s="443"/>
      <c r="AD5" s="443"/>
      <c r="AE5" s="443"/>
      <c r="AF5" s="443"/>
      <c r="AG5" s="443"/>
      <c r="AH5" s="443"/>
      <c r="AI5" s="443"/>
      <c r="AJ5" s="443"/>
      <c r="AK5" s="443"/>
      <c r="AL5" s="443"/>
      <c r="AM5" s="443"/>
      <c r="AN5" s="443"/>
      <c r="AO5" s="443"/>
      <c r="AP5" s="443"/>
      <c r="AQ5" s="443"/>
      <c r="AR5" s="443"/>
      <c r="AS5" s="443"/>
      <c r="AT5" s="443"/>
      <c r="AU5" s="443"/>
      <c r="AV5" s="443"/>
      <c r="AW5" s="443"/>
      <c r="AX5" s="443"/>
      <c r="AY5" s="443"/>
      <c r="AZ5" s="443"/>
      <c r="BA5" s="443"/>
      <c r="BB5" s="443"/>
      <c r="BC5" s="443"/>
      <c r="BD5" s="443"/>
      <c r="BE5" s="443"/>
      <c r="BF5" s="443"/>
      <c r="BG5" s="443"/>
      <c r="BH5" s="443"/>
      <c r="BI5" s="443"/>
      <c r="BJ5" s="443"/>
      <c r="BK5" s="443"/>
      <c r="BL5" s="443"/>
      <c r="BM5" s="443"/>
      <c r="BN5" s="443"/>
      <c r="BO5" s="443"/>
      <c r="BP5" s="444"/>
    </row>
    <row r="6" spans="1:68" customFormat="1" ht="14.4">
      <c r="B6" s="667"/>
      <c r="C6" s="85" t="s">
        <v>54</v>
      </c>
      <c r="D6" s="276"/>
      <c r="E6" s="277"/>
      <c r="F6" s="277"/>
      <c r="G6" s="277"/>
      <c r="H6" s="277"/>
      <c r="I6" s="277"/>
      <c r="J6" s="277"/>
      <c r="K6" s="277"/>
      <c r="L6" s="277"/>
      <c r="M6" s="277"/>
      <c r="N6" s="277"/>
      <c r="O6" s="277"/>
      <c r="P6" s="277"/>
      <c r="Q6" s="277"/>
      <c r="R6" s="277"/>
      <c r="S6" s="277"/>
      <c r="T6" s="277"/>
      <c r="U6" s="277"/>
      <c r="V6" s="277">
        <v>0.66100000000000003</v>
      </c>
      <c r="W6" s="277">
        <v>0.66100000000000003</v>
      </c>
      <c r="X6" s="277">
        <v>0.65800000000000003</v>
      </c>
      <c r="Y6" s="277">
        <v>0.65800000000000003</v>
      </c>
      <c r="Z6" s="277">
        <v>0.65900000000000003</v>
      </c>
      <c r="AA6" s="277">
        <v>0.65400000000000003</v>
      </c>
      <c r="AB6" s="277">
        <v>0.65100000000000002</v>
      </c>
      <c r="AC6" s="277">
        <v>0.64400000000000002</v>
      </c>
      <c r="AD6" s="277">
        <v>0.63800000000000001</v>
      </c>
      <c r="AE6" s="277">
        <v>0.629</v>
      </c>
      <c r="AF6" s="277">
        <v>0.622</v>
      </c>
      <c r="AG6" s="277">
        <v>0.61499999999999999</v>
      </c>
      <c r="AH6" s="277">
        <v>0.60599999999999998</v>
      </c>
      <c r="AI6" s="277">
        <v>0.59799999999999998</v>
      </c>
      <c r="AJ6" s="277">
        <v>0.58899999999999997</v>
      </c>
      <c r="AK6" s="277">
        <v>0.58099999999999996</v>
      </c>
      <c r="AL6" s="277">
        <v>0.57399999999999995</v>
      </c>
      <c r="AM6" s="277">
        <v>0.56599999999999995</v>
      </c>
      <c r="AN6" s="277">
        <v>0.55900000000000005</v>
      </c>
      <c r="AO6" s="277">
        <v>0.55100000000000005</v>
      </c>
      <c r="AP6" s="277">
        <v>0.54500000000000004</v>
      </c>
      <c r="AQ6" s="277">
        <v>0.53800000000000003</v>
      </c>
      <c r="AR6" s="277">
        <v>0.53200000000000003</v>
      </c>
      <c r="AS6" s="277">
        <v>0.52700000000000002</v>
      </c>
      <c r="AT6" s="277">
        <v>0.52100000000000002</v>
      </c>
      <c r="AU6" s="277">
        <v>0.51600000000000001</v>
      </c>
      <c r="AV6" s="277">
        <v>0.51100000000000001</v>
      </c>
      <c r="AW6" s="277">
        <v>0.50700000000000001</v>
      </c>
      <c r="AX6" s="277">
        <v>0.502</v>
      </c>
      <c r="AY6" s="277">
        <v>0.497</v>
      </c>
      <c r="AZ6" s="277">
        <v>0.49199999999999999</v>
      </c>
      <c r="BA6" s="277">
        <v>0.48799999999999999</v>
      </c>
      <c r="BB6" s="277">
        <v>0.48399999999999999</v>
      </c>
      <c r="BC6" s="277">
        <v>0.48</v>
      </c>
      <c r="BD6" s="277">
        <v>0.47599999999999998</v>
      </c>
      <c r="BE6" s="277">
        <v>0.47299999999999998</v>
      </c>
      <c r="BF6" s="277">
        <v>0.47</v>
      </c>
      <c r="BG6" s="277">
        <v>0.46700000000000003</v>
      </c>
      <c r="BH6" s="277">
        <v>0.46500000000000002</v>
      </c>
      <c r="BI6" s="277">
        <v>0.46200000000000002</v>
      </c>
      <c r="BJ6" s="277">
        <v>0.46</v>
      </c>
      <c r="BK6" s="277">
        <v>0.45800000000000002</v>
      </c>
      <c r="BL6" s="277">
        <v>0.45700000000000002</v>
      </c>
      <c r="BM6" s="277">
        <v>0.45600000000000002</v>
      </c>
      <c r="BN6" s="277">
        <v>0.45500000000000002</v>
      </c>
      <c r="BO6" s="277">
        <v>0.45400000000000001</v>
      </c>
      <c r="BP6" s="284">
        <v>0.45400000000000001</v>
      </c>
    </row>
    <row r="7" spans="1:68" customFormat="1" ht="14.4">
      <c r="B7" s="667"/>
      <c r="C7" s="85" t="s">
        <v>89</v>
      </c>
      <c r="D7" s="276"/>
      <c r="E7" s="277"/>
      <c r="F7" s="277"/>
      <c r="G7" s="277"/>
      <c r="H7" s="277"/>
      <c r="I7" s="277"/>
      <c r="J7" s="277"/>
      <c r="K7" s="277"/>
      <c r="L7" s="277"/>
      <c r="M7" s="277"/>
      <c r="N7" s="277"/>
      <c r="O7" s="277"/>
      <c r="P7" s="277"/>
      <c r="Q7" s="277"/>
      <c r="R7" s="277"/>
      <c r="S7" s="277"/>
      <c r="T7" s="277"/>
      <c r="U7" s="277"/>
      <c r="V7" s="277">
        <v>0.66100000000000003</v>
      </c>
      <c r="W7" s="277">
        <v>0.66100000000000003</v>
      </c>
      <c r="X7" s="277">
        <v>0.65800000000000003</v>
      </c>
      <c r="Y7" s="277">
        <v>0.65800000000000003</v>
      </c>
      <c r="Z7" s="277">
        <v>0.65900000000000003</v>
      </c>
      <c r="AA7" s="277">
        <v>0.65400000000000003</v>
      </c>
      <c r="AB7" s="277">
        <v>0.65100000000000002</v>
      </c>
      <c r="AC7" s="277">
        <v>0.64400000000000002</v>
      </c>
      <c r="AD7" s="277">
        <v>0.63900000000000001</v>
      </c>
      <c r="AE7" s="277">
        <v>0.63100000000000001</v>
      </c>
      <c r="AF7" s="277">
        <v>0.623</v>
      </c>
      <c r="AG7" s="277">
        <v>0.61699999999999999</v>
      </c>
      <c r="AH7" s="277">
        <v>0.60899999999999999</v>
      </c>
      <c r="AI7" s="277">
        <v>0.60099999999999998</v>
      </c>
      <c r="AJ7" s="277">
        <v>0.59399999999999997</v>
      </c>
      <c r="AK7" s="277">
        <v>0.58699999999999997</v>
      </c>
      <c r="AL7" s="277">
        <v>0.57999999999999996</v>
      </c>
      <c r="AM7" s="277">
        <v>0.57299999999999995</v>
      </c>
      <c r="AN7" s="277">
        <v>0.56699999999999995</v>
      </c>
      <c r="AO7" s="277">
        <v>0.56000000000000005</v>
      </c>
      <c r="AP7" s="277">
        <v>0.55500000000000005</v>
      </c>
      <c r="AQ7" s="277">
        <v>0.54900000000000004</v>
      </c>
      <c r="AR7" s="277">
        <v>0.54400000000000004</v>
      </c>
      <c r="AS7" s="277">
        <v>0.53900000000000003</v>
      </c>
      <c r="AT7" s="277">
        <v>0.53400000000000003</v>
      </c>
      <c r="AU7" s="277">
        <v>0.53</v>
      </c>
      <c r="AV7" s="277">
        <v>0.52600000000000002</v>
      </c>
      <c r="AW7" s="277">
        <v>0.52200000000000002</v>
      </c>
      <c r="AX7" s="277">
        <v>0.51700000000000002</v>
      </c>
      <c r="AY7" s="277">
        <v>0.51300000000000001</v>
      </c>
      <c r="AZ7" s="277">
        <v>0.50900000000000001</v>
      </c>
      <c r="BA7" s="277">
        <v>0.505</v>
      </c>
      <c r="BB7" s="277">
        <v>0.502</v>
      </c>
      <c r="BC7" s="277">
        <v>0.498</v>
      </c>
      <c r="BD7" s="277">
        <v>0.495</v>
      </c>
      <c r="BE7" s="277">
        <v>0.49199999999999999</v>
      </c>
      <c r="BF7" s="277">
        <v>0.48899999999999999</v>
      </c>
      <c r="BG7" s="277">
        <v>0.48699999999999999</v>
      </c>
      <c r="BH7" s="277">
        <v>0.48499999999999999</v>
      </c>
      <c r="BI7" s="277">
        <v>0.48299999999999998</v>
      </c>
      <c r="BJ7" s="277">
        <v>0.48099999999999998</v>
      </c>
      <c r="BK7" s="277">
        <v>0.47899999999999998</v>
      </c>
      <c r="BL7" s="277">
        <v>0.47799999999999998</v>
      </c>
      <c r="BM7" s="277">
        <v>0.47799999999999998</v>
      </c>
      <c r="BN7" s="277">
        <v>0.47699999999999998</v>
      </c>
      <c r="BO7" s="277">
        <v>0.47599999999999998</v>
      </c>
      <c r="BP7" s="284">
        <v>0.47599999999999998</v>
      </c>
    </row>
    <row r="8" spans="1:68" customFormat="1" ht="14.4">
      <c r="B8" s="667"/>
      <c r="C8" s="85" t="s">
        <v>55</v>
      </c>
      <c r="D8" s="276"/>
      <c r="E8" s="277"/>
      <c r="F8" s="277"/>
      <c r="G8" s="277"/>
      <c r="H8" s="277"/>
      <c r="I8" s="277"/>
      <c r="J8" s="277"/>
      <c r="K8" s="277"/>
      <c r="L8" s="277"/>
      <c r="M8" s="277"/>
      <c r="N8" s="277"/>
      <c r="O8" s="277"/>
      <c r="P8" s="277"/>
      <c r="Q8" s="277"/>
      <c r="R8" s="277"/>
      <c r="S8" s="277"/>
      <c r="T8" s="277"/>
      <c r="U8" s="277"/>
      <c r="V8" s="277">
        <v>0.66100000000000003</v>
      </c>
      <c r="W8" s="277">
        <v>0.66100000000000003</v>
      </c>
      <c r="X8" s="277">
        <v>0.65800000000000003</v>
      </c>
      <c r="Y8" s="277">
        <v>0.65800000000000003</v>
      </c>
      <c r="Z8" s="277">
        <v>0.65900000000000003</v>
      </c>
      <c r="AA8" s="277">
        <v>0.65400000000000003</v>
      </c>
      <c r="AB8" s="277">
        <v>0.65</v>
      </c>
      <c r="AC8" s="277">
        <v>0.64400000000000002</v>
      </c>
      <c r="AD8" s="277">
        <v>0.64</v>
      </c>
      <c r="AE8" s="277">
        <v>0.63400000000000001</v>
      </c>
      <c r="AF8" s="277">
        <v>0.626</v>
      </c>
      <c r="AG8" s="277">
        <v>0.61899999999999999</v>
      </c>
      <c r="AH8" s="277">
        <v>0.61299999999999999</v>
      </c>
      <c r="AI8" s="277">
        <v>0.60699999999999998</v>
      </c>
      <c r="AJ8" s="277">
        <v>0.60099999999999998</v>
      </c>
      <c r="AK8" s="277">
        <v>0.59599999999999997</v>
      </c>
      <c r="AL8" s="277">
        <v>0.59099999999999997</v>
      </c>
      <c r="AM8" s="277">
        <v>0.58599999999999997</v>
      </c>
      <c r="AN8" s="277">
        <v>0.58099999999999996</v>
      </c>
      <c r="AO8" s="277">
        <v>0.57499999999999996</v>
      </c>
      <c r="AP8" s="277">
        <v>0.57099999999999995</v>
      </c>
      <c r="AQ8" s="277">
        <v>0.56699999999999995</v>
      </c>
      <c r="AR8" s="277">
        <v>0.56299999999999994</v>
      </c>
      <c r="AS8" s="277">
        <v>0.55900000000000005</v>
      </c>
      <c r="AT8" s="277">
        <v>0.55500000000000005</v>
      </c>
      <c r="AU8" s="277">
        <v>0.55200000000000005</v>
      </c>
      <c r="AV8" s="277">
        <v>0.54900000000000004</v>
      </c>
      <c r="AW8" s="277">
        <v>0.54600000000000004</v>
      </c>
      <c r="AX8" s="277">
        <v>0.54300000000000004</v>
      </c>
      <c r="AY8" s="277">
        <v>0.53900000000000003</v>
      </c>
      <c r="AZ8" s="277">
        <v>0.53600000000000003</v>
      </c>
      <c r="BA8" s="277">
        <v>0.53300000000000003</v>
      </c>
      <c r="BB8" s="277">
        <v>0.53</v>
      </c>
      <c r="BC8" s="277">
        <v>0.52800000000000002</v>
      </c>
      <c r="BD8" s="277">
        <v>0.52500000000000002</v>
      </c>
      <c r="BE8" s="277">
        <v>0.52300000000000002</v>
      </c>
      <c r="BF8" s="277">
        <v>0.52100000000000002</v>
      </c>
      <c r="BG8" s="277">
        <v>0.51900000000000002</v>
      </c>
      <c r="BH8" s="277">
        <v>0.51800000000000002</v>
      </c>
      <c r="BI8" s="277">
        <v>0.51600000000000001</v>
      </c>
      <c r="BJ8" s="277">
        <v>0.51500000000000001</v>
      </c>
      <c r="BK8" s="277">
        <v>0.51400000000000001</v>
      </c>
      <c r="BL8" s="277">
        <v>0.51400000000000001</v>
      </c>
      <c r="BM8" s="277">
        <v>0.51300000000000001</v>
      </c>
      <c r="BN8" s="277">
        <v>0.51300000000000001</v>
      </c>
      <c r="BO8" s="277">
        <v>0.51300000000000001</v>
      </c>
      <c r="BP8" s="284">
        <v>0.51300000000000001</v>
      </c>
    </row>
    <row r="9" spans="1:68" customFormat="1" ht="14.4">
      <c r="B9" s="667"/>
      <c r="C9" s="85" t="s">
        <v>56</v>
      </c>
      <c r="D9" s="276"/>
      <c r="E9" s="277"/>
      <c r="F9" s="277"/>
      <c r="G9" s="277"/>
      <c r="H9" s="277"/>
      <c r="I9" s="277"/>
      <c r="J9" s="277"/>
      <c r="K9" s="277"/>
      <c r="L9" s="277"/>
      <c r="M9" s="277"/>
      <c r="N9" s="277"/>
      <c r="O9" s="277"/>
      <c r="P9" s="277"/>
      <c r="Q9" s="277"/>
      <c r="R9" s="277"/>
      <c r="S9" s="277"/>
      <c r="T9" s="277"/>
      <c r="U9" s="277"/>
      <c r="V9" s="277">
        <v>0.66100000000000003</v>
      </c>
      <c r="W9" s="277">
        <v>0.66100000000000003</v>
      </c>
      <c r="X9" s="277">
        <v>0.65800000000000003</v>
      </c>
      <c r="Y9" s="277">
        <v>0.65800000000000003</v>
      </c>
      <c r="Z9" s="277">
        <v>0.65900000000000003</v>
      </c>
      <c r="AA9" s="277">
        <v>0.65400000000000003</v>
      </c>
      <c r="AB9" s="277">
        <v>0.65</v>
      </c>
      <c r="AC9" s="277">
        <v>0.64300000000000002</v>
      </c>
      <c r="AD9" s="277">
        <v>0.63900000000000001</v>
      </c>
      <c r="AE9" s="277">
        <v>0.63200000000000001</v>
      </c>
      <c r="AF9" s="277">
        <v>0.625</v>
      </c>
      <c r="AG9" s="277">
        <v>0.62</v>
      </c>
      <c r="AH9" s="277">
        <v>0.61499999999999999</v>
      </c>
      <c r="AI9" s="277">
        <v>0.61</v>
      </c>
      <c r="AJ9" s="277">
        <v>0.60599999999999998</v>
      </c>
      <c r="AK9" s="277">
        <v>0.60099999999999998</v>
      </c>
      <c r="AL9" s="277">
        <v>0.59699999999999998</v>
      </c>
      <c r="AM9" s="277">
        <v>0.59299999999999997</v>
      </c>
      <c r="AN9" s="277">
        <v>0.58899999999999997</v>
      </c>
      <c r="AO9" s="277">
        <v>0.58399999999999996</v>
      </c>
      <c r="AP9" s="277">
        <v>0.58099999999999996</v>
      </c>
      <c r="AQ9" s="277">
        <v>0.57699999999999996</v>
      </c>
      <c r="AR9" s="277">
        <v>0.57399999999999995</v>
      </c>
      <c r="AS9" s="277">
        <v>0.57099999999999995</v>
      </c>
      <c r="AT9" s="277">
        <v>0.56799999999999995</v>
      </c>
      <c r="AU9" s="277">
        <v>0.56499999999999995</v>
      </c>
      <c r="AV9" s="277">
        <v>0.56299999999999994</v>
      </c>
      <c r="AW9" s="277">
        <v>0.56100000000000005</v>
      </c>
      <c r="AX9" s="277">
        <v>0.55800000000000005</v>
      </c>
      <c r="AY9" s="277">
        <v>0.55500000000000005</v>
      </c>
      <c r="AZ9" s="277">
        <v>0.55200000000000005</v>
      </c>
      <c r="BA9" s="277">
        <v>0.55000000000000004</v>
      </c>
      <c r="BB9" s="277">
        <v>0.54800000000000004</v>
      </c>
      <c r="BC9" s="277">
        <v>0.54500000000000004</v>
      </c>
      <c r="BD9" s="277">
        <v>0.54300000000000004</v>
      </c>
      <c r="BE9" s="277">
        <v>0.54100000000000004</v>
      </c>
      <c r="BF9" s="277">
        <v>0.53900000000000003</v>
      </c>
      <c r="BG9" s="277">
        <v>0.53800000000000003</v>
      </c>
      <c r="BH9" s="277">
        <v>0.53600000000000003</v>
      </c>
      <c r="BI9" s="277">
        <v>0.53500000000000003</v>
      </c>
      <c r="BJ9" s="277">
        <v>0.53400000000000003</v>
      </c>
      <c r="BK9" s="277">
        <v>0.53300000000000003</v>
      </c>
      <c r="BL9" s="277">
        <v>0.53300000000000003</v>
      </c>
      <c r="BM9" s="277">
        <v>0.53300000000000003</v>
      </c>
      <c r="BN9" s="277">
        <v>0.53300000000000003</v>
      </c>
      <c r="BO9" s="277">
        <v>0.53300000000000003</v>
      </c>
      <c r="BP9" s="284">
        <v>0.53300000000000003</v>
      </c>
    </row>
    <row r="10" spans="1:68" customFormat="1" ht="15" thickBot="1">
      <c r="B10" s="668"/>
      <c r="C10" s="86" t="s">
        <v>57</v>
      </c>
      <c r="D10" s="280"/>
      <c r="E10" s="281"/>
      <c r="F10" s="281"/>
      <c r="G10" s="281"/>
      <c r="H10" s="281"/>
      <c r="I10" s="281"/>
      <c r="J10" s="281"/>
      <c r="K10" s="281"/>
      <c r="L10" s="281"/>
      <c r="M10" s="281"/>
      <c r="N10" s="281"/>
      <c r="O10" s="281"/>
      <c r="P10" s="281"/>
      <c r="Q10" s="281"/>
      <c r="R10" s="281"/>
      <c r="S10" s="281"/>
      <c r="T10" s="281"/>
      <c r="U10" s="281"/>
      <c r="V10" s="281">
        <v>0.66100000000000003</v>
      </c>
      <c r="W10" s="281">
        <v>0.66100000000000003</v>
      </c>
      <c r="X10" s="281">
        <v>0.65800000000000003</v>
      </c>
      <c r="Y10" s="281">
        <v>0.65800000000000003</v>
      </c>
      <c r="Z10" s="281">
        <v>0.65900000000000003</v>
      </c>
      <c r="AA10" s="281">
        <v>0.65400000000000003</v>
      </c>
      <c r="AB10" s="281">
        <v>0.65100000000000002</v>
      </c>
      <c r="AC10" s="281">
        <v>0.64500000000000002</v>
      </c>
      <c r="AD10" s="281">
        <v>0.64200000000000002</v>
      </c>
      <c r="AE10" s="281">
        <v>0.63700000000000001</v>
      </c>
      <c r="AF10" s="281">
        <v>0.63200000000000001</v>
      </c>
      <c r="AG10" s="281">
        <v>0.629</v>
      </c>
      <c r="AH10" s="281">
        <v>0.625</v>
      </c>
      <c r="AI10" s="281">
        <v>0.622</v>
      </c>
      <c r="AJ10" s="281">
        <v>0.61899999999999999</v>
      </c>
      <c r="AK10" s="281">
        <v>0.61599999999999999</v>
      </c>
      <c r="AL10" s="281">
        <v>0.61399999999999999</v>
      </c>
      <c r="AM10" s="281">
        <v>0.61099999999999999</v>
      </c>
      <c r="AN10" s="281">
        <v>0.60799999999999998</v>
      </c>
      <c r="AO10" s="281">
        <v>0.60599999999999998</v>
      </c>
      <c r="AP10" s="281">
        <v>0.60299999999999998</v>
      </c>
      <c r="AQ10" s="281">
        <v>0.60099999999999998</v>
      </c>
      <c r="AR10" s="281">
        <v>0.59899999999999998</v>
      </c>
      <c r="AS10" s="281">
        <v>0.59699999999999998</v>
      </c>
      <c r="AT10" s="281">
        <v>0.59599999999999997</v>
      </c>
      <c r="AU10" s="281">
        <v>0.59399999999999997</v>
      </c>
      <c r="AV10" s="281">
        <v>0.59299999999999997</v>
      </c>
      <c r="AW10" s="281">
        <v>0.59199999999999997</v>
      </c>
      <c r="AX10" s="281">
        <v>0.59</v>
      </c>
      <c r="AY10" s="281">
        <v>0.58799999999999997</v>
      </c>
      <c r="AZ10" s="281">
        <v>0.58599999999999997</v>
      </c>
      <c r="BA10" s="281">
        <v>0.58399999999999996</v>
      </c>
      <c r="BB10" s="281">
        <v>0.58299999999999996</v>
      </c>
      <c r="BC10" s="281">
        <v>0.58099999999999996</v>
      </c>
      <c r="BD10" s="281">
        <v>0.57999999999999996</v>
      </c>
      <c r="BE10" s="281">
        <v>0.57899999999999996</v>
      </c>
      <c r="BF10" s="281">
        <v>0.57799999999999996</v>
      </c>
      <c r="BG10" s="281">
        <v>0.57699999999999996</v>
      </c>
      <c r="BH10" s="281">
        <v>0.57599999999999996</v>
      </c>
      <c r="BI10" s="281">
        <v>0.57599999999999996</v>
      </c>
      <c r="BJ10" s="281">
        <v>0.57499999999999996</v>
      </c>
      <c r="BK10" s="281">
        <v>0.57499999999999996</v>
      </c>
      <c r="BL10" s="281">
        <v>0.57499999999999996</v>
      </c>
      <c r="BM10" s="281">
        <v>0.57599999999999996</v>
      </c>
      <c r="BN10" s="281">
        <v>0.57599999999999996</v>
      </c>
      <c r="BO10" s="281">
        <v>0.57599999999999996</v>
      </c>
      <c r="BP10" s="285">
        <v>0.57699999999999996</v>
      </c>
    </row>
    <row r="11" spans="1:68" customFormat="1" ht="15" customHeight="1">
      <c r="B11" s="666" t="s">
        <v>135</v>
      </c>
      <c r="C11" s="84" t="s">
        <v>66</v>
      </c>
      <c r="D11" s="442">
        <v>1.024</v>
      </c>
      <c r="E11" s="443">
        <v>1.022</v>
      </c>
      <c r="F11" s="443">
        <v>1.0269999999999999</v>
      </c>
      <c r="G11" s="443">
        <v>1.03</v>
      </c>
      <c r="H11" s="443">
        <v>1.03</v>
      </c>
      <c r="I11" s="443">
        <v>1.0189999999999999</v>
      </c>
      <c r="J11" s="443">
        <v>1.0149999999999999</v>
      </c>
      <c r="K11" s="443">
        <v>1.014</v>
      </c>
      <c r="L11" s="443">
        <v>1.0169999999999999</v>
      </c>
      <c r="M11" s="443">
        <v>1.024</v>
      </c>
      <c r="N11" s="443">
        <v>1.026</v>
      </c>
      <c r="O11" s="443">
        <v>1.026</v>
      </c>
      <c r="P11" s="443">
        <v>1.02</v>
      </c>
      <c r="Q11" s="443">
        <v>1.02</v>
      </c>
      <c r="R11" s="443">
        <v>1.0209999999999999</v>
      </c>
      <c r="S11" s="443">
        <v>1.0249999999999999</v>
      </c>
      <c r="T11" s="443">
        <v>1.026</v>
      </c>
      <c r="U11" s="443"/>
      <c r="V11" s="443"/>
      <c r="W11" s="443"/>
      <c r="X11" s="443"/>
      <c r="Y11" s="443"/>
      <c r="Z11" s="443"/>
      <c r="AA11" s="443"/>
      <c r="AB11" s="443"/>
      <c r="AC11" s="443"/>
      <c r="AD11" s="443"/>
      <c r="AE11" s="443"/>
      <c r="AF11" s="443"/>
      <c r="AG11" s="443"/>
      <c r="AH11" s="443"/>
      <c r="AI11" s="443"/>
      <c r="AJ11" s="443"/>
      <c r="AK11" s="443"/>
      <c r="AL11" s="443"/>
      <c r="AM11" s="443"/>
      <c r="AN11" s="443"/>
      <c r="AO11" s="443"/>
      <c r="AP11" s="443"/>
      <c r="AQ11" s="443"/>
      <c r="AR11" s="443"/>
      <c r="AS11" s="443"/>
      <c r="AT11" s="443"/>
      <c r="AU11" s="443"/>
      <c r="AV11" s="443"/>
      <c r="AW11" s="443"/>
      <c r="AX11" s="443"/>
      <c r="AY11" s="443"/>
      <c r="AZ11" s="443"/>
      <c r="BA11" s="443"/>
      <c r="BB11" s="443"/>
      <c r="BC11" s="443"/>
      <c r="BD11" s="443"/>
      <c r="BE11" s="443"/>
      <c r="BF11" s="443"/>
      <c r="BG11" s="443"/>
      <c r="BH11" s="443"/>
      <c r="BI11" s="443"/>
      <c r="BJ11" s="443"/>
      <c r="BK11" s="443"/>
      <c r="BL11" s="443"/>
      <c r="BM11" s="443"/>
      <c r="BN11" s="443"/>
      <c r="BO11" s="443"/>
      <c r="BP11" s="444"/>
    </row>
    <row r="12" spans="1:68" customFormat="1" ht="14.4">
      <c r="B12" s="667"/>
      <c r="C12" s="85" t="s">
        <v>54</v>
      </c>
      <c r="D12" s="276"/>
      <c r="E12" s="277"/>
      <c r="F12" s="277"/>
      <c r="G12" s="277"/>
      <c r="H12" s="277"/>
      <c r="I12" s="277"/>
      <c r="J12" s="277"/>
      <c r="K12" s="277"/>
      <c r="L12" s="277"/>
      <c r="M12" s="277"/>
      <c r="N12" s="277"/>
      <c r="O12" s="277"/>
      <c r="P12" s="277"/>
      <c r="Q12" s="277"/>
      <c r="R12" s="277"/>
      <c r="S12" s="277"/>
      <c r="T12" s="277"/>
      <c r="U12" s="277">
        <v>1.0329999999999999</v>
      </c>
      <c r="V12" s="277">
        <v>1.046</v>
      </c>
      <c r="W12" s="277">
        <v>1.0489999999999999</v>
      </c>
      <c r="X12" s="277">
        <v>1.0449999999999999</v>
      </c>
      <c r="Y12" s="277">
        <v>1.0449999999999999</v>
      </c>
      <c r="Z12" s="277">
        <v>1.046</v>
      </c>
      <c r="AA12" s="277">
        <v>1.036</v>
      </c>
      <c r="AB12" s="277">
        <v>1.032</v>
      </c>
      <c r="AC12" s="277">
        <v>1.018</v>
      </c>
      <c r="AD12" s="277">
        <v>1.008</v>
      </c>
      <c r="AE12" s="277">
        <v>0.99299999999999999</v>
      </c>
      <c r="AF12" s="277">
        <v>0.98</v>
      </c>
      <c r="AG12" s="277">
        <v>0.96799999999999997</v>
      </c>
      <c r="AH12" s="277">
        <v>0.95499999999999996</v>
      </c>
      <c r="AI12" s="277">
        <v>0.94199999999999995</v>
      </c>
      <c r="AJ12" s="277">
        <v>0.93</v>
      </c>
      <c r="AK12" s="277">
        <v>0.91800000000000004</v>
      </c>
      <c r="AL12" s="277">
        <v>0.90700000000000003</v>
      </c>
      <c r="AM12" s="277">
        <v>0.89700000000000002</v>
      </c>
      <c r="AN12" s="277">
        <v>0.88600000000000001</v>
      </c>
      <c r="AO12" s="277">
        <v>0.873</v>
      </c>
      <c r="AP12" s="277">
        <v>0.86299999999999999</v>
      </c>
      <c r="AQ12" s="277">
        <v>0.85499999999999998</v>
      </c>
      <c r="AR12" s="277">
        <v>0.84699999999999998</v>
      </c>
      <c r="AS12" s="277">
        <v>0.84</v>
      </c>
      <c r="AT12" s="277">
        <v>0.83299999999999996</v>
      </c>
      <c r="AU12" s="277">
        <v>0.82499999999999996</v>
      </c>
      <c r="AV12" s="277">
        <v>0.81699999999999995</v>
      </c>
      <c r="AW12" s="277">
        <v>0.80800000000000005</v>
      </c>
      <c r="AX12" s="277">
        <v>0.79900000000000004</v>
      </c>
      <c r="AY12" s="277">
        <v>0.79</v>
      </c>
      <c r="AZ12" s="277">
        <v>0.78200000000000003</v>
      </c>
      <c r="BA12" s="277">
        <v>0.77500000000000002</v>
      </c>
      <c r="BB12" s="277">
        <v>0.77</v>
      </c>
      <c r="BC12" s="277">
        <v>0.76500000000000001</v>
      </c>
      <c r="BD12" s="277">
        <v>0.76</v>
      </c>
      <c r="BE12" s="277">
        <v>0.75600000000000001</v>
      </c>
      <c r="BF12" s="277">
        <v>0.753</v>
      </c>
      <c r="BG12" s="277">
        <v>0.75</v>
      </c>
      <c r="BH12" s="277">
        <v>0.747</v>
      </c>
      <c r="BI12" s="277">
        <v>0.745</v>
      </c>
      <c r="BJ12" s="277">
        <v>0.74099999999999999</v>
      </c>
      <c r="BK12" s="277">
        <v>0.73899999999999999</v>
      </c>
      <c r="BL12" s="277">
        <v>0.73599999999999999</v>
      </c>
      <c r="BM12" s="277">
        <v>0.73299999999999998</v>
      </c>
      <c r="BN12" s="277">
        <v>0.73099999999999998</v>
      </c>
      <c r="BO12" s="277">
        <v>0.72899999999999998</v>
      </c>
      <c r="BP12" s="284">
        <v>0.72699999999999998</v>
      </c>
    </row>
    <row r="13" spans="1:68" customFormat="1" ht="14.4">
      <c r="B13" s="667"/>
      <c r="C13" s="85" t="s">
        <v>89</v>
      </c>
      <c r="D13" s="276"/>
      <c r="E13" s="277"/>
      <c r="F13" s="277"/>
      <c r="G13" s="277"/>
      <c r="H13" s="277"/>
      <c r="I13" s="277"/>
      <c r="J13" s="277"/>
      <c r="K13" s="277"/>
      <c r="L13" s="277"/>
      <c r="M13" s="277"/>
      <c r="N13" s="277"/>
      <c r="O13" s="277"/>
      <c r="P13" s="277"/>
      <c r="Q13" s="277"/>
      <c r="R13" s="277"/>
      <c r="S13" s="277"/>
      <c r="T13" s="277"/>
      <c r="U13" s="277">
        <v>1.0329999999999999</v>
      </c>
      <c r="V13" s="277">
        <v>1.046</v>
      </c>
      <c r="W13" s="277">
        <v>1.0489999999999999</v>
      </c>
      <c r="X13" s="277">
        <v>1.0449999999999999</v>
      </c>
      <c r="Y13" s="277">
        <v>1.0449999999999999</v>
      </c>
      <c r="Z13" s="277">
        <v>1.046</v>
      </c>
      <c r="AA13" s="277">
        <v>1.036</v>
      </c>
      <c r="AB13" s="277">
        <v>1.032</v>
      </c>
      <c r="AC13" s="277">
        <v>1.0189999999999999</v>
      </c>
      <c r="AD13" s="277">
        <v>1.0089999999999999</v>
      </c>
      <c r="AE13" s="277">
        <v>0.995</v>
      </c>
      <c r="AF13" s="277">
        <v>0.98199999999999998</v>
      </c>
      <c r="AG13" s="277">
        <v>0.97099999999999997</v>
      </c>
      <c r="AH13" s="277">
        <v>0.95799999999999996</v>
      </c>
      <c r="AI13" s="277">
        <v>0.94699999999999995</v>
      </c>
      <c r="AJ13" s="277">
        <v>0.93600000000000005</v>
      </c>
      <c r="AK13" s="277">
        <v>0.92600000000000005</v>
      </c>
      <c r="AL13" s="277">
        <v>0.91600000000000004</v>
      </c>
      <c r="AM13" s="277">
        <v>0.90800000000000003</v>
      </c>
      <c r="AN13" s="277">
        <v>0.89800000000000002</v>
      </c>
      <c r="AO13" s="277">
        <v>0.88700000000000001</v>
      </c>
      <c r="AP13" s="277">
        <v>0.878</v>
      </c>
      <c r="AQ13" s="277">
        <v>0.871</v>
      </c>
      <c r="AR13" s="277">
        <v>0.86399999999999999</v>
      </c>
      <c r="AS13" s="277">
        <v>0.85799999999999998</v>
      </c>
      <c r="AT13" s="277">
        <v>0.85199999999999998</v>
      </c>
      <c r="AU13" s="277">
        <v>0.84499999999999997</v>
      </c>
      <c r="AV13" s="277">
        <v>0.83799999999999997</v>
      </c>
      <c r="AW13" s="277">
        <v>0.83099999999999996</v>
      </c>
      <c r="AX13" s="277">
        <v>0.82199999999999995</v>
      </c>
      <c r="AY13" s="277">
        <v>0.81399999999999995</v>
      </c>
      <c r="AZ13" s="277">
        <v>0.80700000000000005</v>
      </c>
      <c r="BA13" s="277">
        <v>0.80100000000000005</v>
      </c>
      <c r="BB13" s="277">
        <v>0.79600000000000004</v>
      </c>
      <c r="BC13" s="277">
        <v>0.79200000000000004</v>
      </c>
      <c r="BD13" s="277">
        <v>0.78800000000000003</v>
      </c>
      <c r="BE13" s="277">
        <v>0.78500000000000003</v>
      </c>
      <c r="BF13" s="277">
        <v>0.78300000000000003</v>
      </c>
      <c r="BG13" s="277">
        <v>0.78</v>
      </c>
      <c r="BH13" s="277">
        <v>0.77800000000000002</v>
      </c>
      <c r="BI13" s="277">
        <v>0.77700000000000002</v>
      </c>
      <c r="BJ13" s="277">
        <v>0.77400000000000002</v>
      </c>
      <c r="BK13" s="277">
        <v>0.77100000000000002</v>
      </c>
      <c r="BL13" s="277">
        <v>0.76900000000000002</v>
      </c>
      <c r="BM13" s="277">
        <v>0.76700000000000002</v>
      </c>
      <c r="BN13" s="277">
        <v>0.76400000000000001</v>
      </c>
      <c r="BO13" s="277">
        <v>0.76300000000000001</v>
      </c>
      <c r="BP13" s="284">
        <v>0.76100000000000001</v>
      </c>
    </row>
    <row r="14" spans="1:68" customFormat="1" ht="14.4">
      <c r="B14" s="667"/>
      <c r="C14" s="85" t="s">
        <v>55</v>
      </c>
      <c r="D14" s="276"/>
      <c r="E14" s="277"/>
      <c r="F14" s="277"/>
      <c r="G14" s="277"/>
      <c r="H14" s="277"/>
      <c r="I14" s="277"/>
      <c r="J14" s="277"/>
      <c r="K14" s="277"/>
      <c r="L14" s="277"/>
      <c r="M14" s="277"/>
      <c r="N14" s="277"/>
      <c r="O14" s="277"/>
      <c r="P14" s="277"/>
      <c r="Q14" s="277"/>
      <c r="R14" s="277"/>
      <c r="S14" s="277"/>
      <c r="T14" s="277"/>
      <c r="U14" s="277">
        <v>1.0329999999999999</v>
      </c>
      <c r="V14" s="277">
        <v>1.046</v>
      </c>
      <c r="W14" s="277">
        <v>1.048</v>
      </c>
      <c r="X14" s="277">
        <v>1.0449999999999999</v>
      </c>
      <c r="Y14" s="277">
        <v>1.0449999999999999</v>
      </c>
      <c r="Z14" s="277">
        <v>1.0449999999999999</v>
      </c>
      <c r="AA14" s="277">
        <v>1.0369999999999999</v>
      </c>
      <c r="AB14" s="277">
        <v>1.03</v>
      </c>
      <c r="AC14" s="277">
        <v>1.0189999999999999</v>
      </c>
      <c r="AD14" s="277">
        <v>1.012</v>
      </c>
      <c r="AE14" s="277">
        <v>1.002</v>
      </c>
      <c r="AF14" s="277">
        <v>0.98899999999999999</v>
      </c>
      <c r="AG14" s="277">
        <v>0.97899999999999998</v>
      </c>
      <c r="AH14" s="277">
        <v>0.97</v>
      </c>
      <c r="AI14" s="277">
        <v>0.96099999999999997</v>
      </c>
      <c r="AJ14" s="277">
        <v>0.95199999999999996</v>
      </c>
      <c r="AK14" s="277">
        <v>0.94399999999999995</v>
      </c>
      <c r="AL14" s="277">
        <v>0.93600000000000005</v>
      </c>
      <c r="AM14" s="277">
        <v>0.92700000000000005</v>
      </c>
      <c r="AN14" s="277">
        <v>0.91900000000000004</v>
      </c>
      <c r="AO14" s="277">
        <v>0.91</v>
      </c>
      <c r="AP14" s="277">
        <v>0.90400000000000003</v>
      </c>
      <c r="AQ14" s="277">
        <v>0.89900000000000002</v>
      </c>
      <c r="AR14" s="277">
        <v>0.89400000000000002</v>
      </c>
      <c r="AS14" s="277">
        <v>0.89</v>
      </c>
      <c r="AT14" s="277">
        <v>0.88600000000000001</v>
      </c>
      <c r="AU14" s="277">
        <v>0.88</v>
      </c>
      <c r="AV14" s="277">
        <v>0.875</v>
      </c>
      <c r="AW14" s="277">
        <v>0.87</v>
      </c>
      <c r="AX14" s="277">
        <v>0.86299999999999999</v>
      </c>
      <c r="AY14" s="277">
        <v>0.85799999999999998</v>
      </c>
      <c r="AZ14" s="277">
        <v>0.85299999999999998</v>
      </c>
      <c r="BA14" s="277">
        <v>0.84899999999999998</v>
      </c>
      <c r="BB14" s="277">
        <v>0.84499999999999997</v>
      </c>
      <c r="BC14" s="277">
        <v>0.84099999999999997</v>
      </c>
      <c r="BD14" s="277">
        <v>0.83599999999999997</v>
      </c>
      <c r="BE14" s="277">
        <v>0.83199999999999996</v>
      </c>
      <c r="BF14" s="277">
        <v>0.82899999999999996</v>
      </c>
      <c r="BG14" s="277">
        <v>0.82599999999999996</v>
      </c>
      <c r="BH14" s="277">
        <v>0.82399999999999995</v>
      </c>
      <c r="BI14" s="277">
        <v>0.82299999999999995</v>
      </c>
      <c r="BJ14" s="277">
        <v>0.82199999999999995</v>
      </c>
      <c r="BK14" s="277">
        <v>0.82099999999999995</v>
      </c>
      <c r="BL14" s="277">
        <v>0.82199999999999995</v>
      </c>
      <c r="BM14" s="277">
        <v>0.82099999999999995</v>
      </c>
      <c r="BN14" s="277">
        <v>0.82099999999999995</v>
      </c>
      <c r="BO14" s="277">
        <v>0.82</v>
      </c>
      <c r="BP14" s="284">
        <v>0.82099999999999995</v>
      </c>
    </row>
    <row r="15" spans="1:68" customFormat="1" ht="14.4">
      <c r="B15" s="667"/>
      <c r="C15" s="85" t="s">
        <v>56</v>
      </c>
      <c r="D15" s="276"/>
      <c r="E15" s="277"/>
      <c r="F15" s="277"/>
      <c r="G15" s="277"/>
      <c r="H15" s="277"/>
      <c r="I15" s="277"/>
      <c r="J15" s="277"/>
      <c r="K15" s="277"/>
      <c r="L15" s="277"/>
      <c r="M15" s="277"/>
      <c r="N15" s="277"/>
      <c r="O15" s="277"/>
      <c r="P15" s="277"/>
      <c r="Q15" s="277"/>
      <c r="R15" s="277"/>
      <c r="S15" s="277"/>
      <c r="T15" s="277"/>
      <c r="U15" s="277">
        <v>1.0329999999999999</v>
      </c>
      <c r="V15" s="277">
        <v>1.046</v>
      </c>
      <c r="W15" s="277">
        <v>1.0489999999999999</v>
      </c>
      <c r="X15" s="277">
        <v>1.046</v>
      </c>
      <c r="Y15" s="277">
        <v>1.046</v>
      </c>
      <c r="Z15" s="277">
        <v>1.046</v>
      </c>
      <c r="AA15" s="277">
        <v>1.038</v>
      </c>
      <c r="AB15" s="277">
        <v>1.032</v>
      </c>
      <c r="AC15" s="277">
        <v>1.0189999999999999</v>
      </c>
      <c r="AD15" s="277">
        <v>1.0109999999999999</v>
      </c>
      <c r="AE15" s="277">
        <v>0.999</v>
      </c>
      <c r="AF15" s="277">
        <v>0.98799999999999999</v>
      </c>
      <c r="AG15" s="277">
        <v>0.98</v>
      </c>
      <c r="AH15" s="277">
        <v>0.97199999999999998</v>
      </c>
      <c r="AI15" s="277">
        <v>0.96499999999999997</v>
      </c>
      <c r="AJ15" s="277">
        <v>0.95799999999999996</v>
      </c>
      <c r="AK15" s="277">
        <v>0.95299999999999996</v>
      </c>
      <c r="AL15" s="277">
        <v>0.94699999999999995</v>
      </c>
      <c r="AM15" s="277">
        <v>0.94099999999999995</v>
      </c>
      <c r="AN15" s="277">
        <v>0.93400000000000005</v>
      </c>
      <c r="AO15" s="277">
        <v>0.92700000000000005</v>
      </c>
      <c r="AP15" s="277">
        <v>0.92200000000000004</v>
      </c>
      <c r="AQ15" s="277">
        <v>0.91500000000000004</v>
      </c>
      <c r="AR15" s="277">
        <v>0.91100000000000003</v>
      </c>
      <c r="AS15" s="277">
        <v>0.90800000000000003</v>
      </c>
      <c r="AT15" s="277">
        <v>0.90500000000000003</v>
      </c>
      <c r="AU15" s="277">
        <v>0.90100000000000002</v>
      </c>
      <c r="AV15" s="277">
        <v>0.89800000000000002</v>
      </c>
      <c r="AW15" s="277">
        <v>0.89400000000000002</v>
      </c>
      <c r="AX15" s="277">
        <v>0.88900000000000001</v>
      </c>
      <c r="AY15" s="277">
        <v>0.88500000000000001</v>
      </c>
      <c r="AZ15" s="277">
        <v>0.88100000000000001</v>
      </c>
      <c r="BA15" s="277">
        <v>0.878</v>
      </c>
      <c r="BB15" s="277">
        <v>0.876</v>
      </c>
      <c r="BC15" s="277">
        <v>0.874</v>
      </c>
      <c r="BD15" s="277">
        <v>0.871</v>
      </c>
      <c r="BE15" s="277">
        <v>0.86799999999999999</v>
      </c>
      <c r="BF15" s="277">
        <v>0.86699999999999999</v>
      </c>
      <c r="BG15" s="277">
        <v>0.86499999999999999</v>
      </c>
      <c r="BH15" s="277">
        <v>0.86299999999999999</v>
      </c>
      <c r="BI15" s="277">
        <v>0.86099999999999999</v>
      </c>
      <c r="BJ15" s="277">
        <v>0.86</v>
      </c>
      <c r="BK15" s="277">
        <v>0.85899999999999999</v>
      </c>
      <c r="BL15" s="277">
        <v>0.85899999999999999</v>
      </c>
      <c r="BM15" s="277">
        <v>0.85899999999999999</v>
      </c>
      <c r="BN15" s="277">
        <v>0.85799999999999998</v>
      </c>
      <c r="BO15" s="277">
        <v>0.85799999999999998</v>
      </c>
      <c r="BP15" s="284">
        <v>0.85699999999999998</v>
      </c>
    </row>
    <row r="16" spans="1:68" customFormat="1" ht="15" thickBot="1">
      <c r="B16" s="668"/>
      <c r="C16" s="86" t="s">
        <v>57</v>
      </c>
      <c r="D16" s="280"/>
      <c r="E16" s="281"/>
      <c r="F16" s="281"/>
      <c r="G16" s="281"/>
      <c r="H16" s="281"/>
      <c r="I16" s="281"/>
      <c r="J16" s="281"/>
      <c r="K16" s="281"/>
      <c r="L16" s="281"/>
      <c r="M16" s="281"/>
      <c r="N16" s="281"/>
      <c r="O16" s="281"/>
      <c r="P16" s="281"/>
      <c r="Q16" s="281"/>
      <c r="R16" s="281"/>
      <c r="S16" s="281"/>
      <c r="T16" s="281"/>
      <c r="U16" s="281">
        <v>1.0329999999999999</v>
      </c>
      <c r="V16" s="281">
        <v>1.046</v>
      </c>
      <c r="W16" s="281">
        <v>1.0489999999999999</v>
      </c>
      <c r="X16" s="281">
        <v>1.046</v>
      </c>
      <c r="Y16" s="281">
        <v>1.046</v>
      </c>
      <c r="Z16" s="281">
        <v>1.046</v>
      </c>
      <c r="AA16" s="281">
        <v>1.038</v>
      </c>
      <c r="AB16" s="281">
        <v>1.0329999999999999</v>
      </c>
      <c r="AC16" s="281">
        <v>1.0209999999999999</v>
      </c>
      <c r="AD16" s="281">
        <v>1.016</v>
      </c>
      <c r="AE16" s="281">
        <v>1.0069999999999999</v>
      </c>
      <c r="AF16" s="281">
        <v>0.998</v>
      </c>
      <c r="AG16" s="281">
        <v>0.99299999999999999</v>
      </c>
      <c r="AH16" s="281">
        <v>0.98699999999999999</v>
      </c>
      <c r="AI16" s="281">
        <v>0.98299999999999998</v>
      </c>
      <c r="AJ16" s="281">
        <v>0.97799999999999998</v>
      </c>
      <c r="AK16" s="281">
        <v>0.97499999999999998</v>
      </c>
      <c r="AL16" s="281">
        <v>0.97199999999999998</v>
      </c>
      <c r="AM16" s="281">
        <v>0.96799999999999997</v>
      </c>
      <c r="AN16" s="281">
        <v>0.96299999999999997</v>
      </c>
      <c r="AO16" s="281">
        <v>0.95799999999999996</v>
      </c>
      <c r="AP16" s="281">
        <v>0.95399999999999996</v>
      </c>
      <c r="AQ16" s="281">
        <v>0.95</v>
      </c>
      <c r="AR16" s="281">
        <v>0.94799999999999995</v>
      </c>
      <c r="AS16" s="281">
        <v>0.94699999999999995</v>
      </c>
      <c r="AT16" s="281">
        <v>0.94499999999999995</v>
      </c>
      <c r="AU16" s="281">
        <v>0.94299999999999995</v>
      </c>
      <c r="AV16" s="281">
        <v>0.94099999999999995</v>
      </c>
      <c r="AW16" s="281">
        <v>0.93899999999999995</v>
      </c>
      <c r="AX16" s="281">
        <v>0.93600000000000005</v>
      </c>
      <c r="AY16" s="281">
        <v>0.93300000000000005</v>
      </c>
      <c r="AZ16" s="281">
        <v>0.93</v>
      </c>
      <c r="BA16" s="281">
        <v>0.92900000000000005</v>
      </c>
      <c r="BB16" s="281">
        <v>0.92900000000000005</v>
      </c>
      <c r="BC16" s="281">
        <v>0.92800000000000005</v>
      </c>
      <c r="BD16" s="281">
        <v>0.92600000000000005</v>
      </c>
      <c r="BE16" s="281">
        <v>0.92500000000000004</v>
      </c>
      <c r="BF16" s="281">
        <v>0.92500000000000004</v>
      </c>
      <c r="BG16" s="281">
        <v>0.92400000000000004</v>
      </c>
      <c r="BH16" s="281">
        <v>0.92300000000000004</v>
      </c>
      <c r="BI16" s="281">
        <v>0.92200000000000004</v>
      </c>
      <c r="BJ16" s="281">
        <v>0.92200000000000004</v>
      </c>
      <c r="BK16" s="281">
        <v>0.92300000000000004</v>
      </c>
      <c r="BL16" s="281">
        <v>0.92300000000000004</v>
      </c>
      <c r="BM16" s="281">
        <v>0.92400000000000004</v>
      </c>
      <c r="BN16" s="281">
        <v>0.92400000000000004</v>
      </c>
      <c r="BO16" s="281">
        <v>0.92400000000000004</v>
      </c>
      <c r="BP16" s="285">
        <v>0.92400000000000004</v>
      </c>
    </row>
    <row r="18" spans="2:23">
      <c r="B18" s="106"/>
      <c r="W18" s="104"/>
    </row>
    <row r="19" spans="2:23">
      <c r="B19" s="106"/>
      <c r="W19" s="104"/>
    </row>
    <row r="20" spans="2:23">
      <c r="B20" s="106"/>
      <c r="W20" s="104"/>
    </row>
    <row r="21" spans="2:23">
      <c r="W21" s="104"/>
    </row>
    <row r="22" spans="2:23">
      <c r="W22" s="104"/>
    </row>
    <row r="24" spans="2:23" ht="15.75" customHeight="1">
      <c r="C24" s="717" t="s">
        <v>235</v>
      </c>
      <c r="D24" s="717"/>
      <c r="E24" s="717"/>
      <c r="F24" s="717"/>
      <c r="G24" s="717" t="s">
        <v>236</v>
      </c>
      <c r="H24" s="717"/>
      <c r="I24" s="717"/>
      <c r="J24" s="717"/>
    </row>
    <row r="25" spans="2:23" ht="15" customHeight="1">
      <c r="C25" s="717"/>
      <c r="D25" s="717"/>
      <c r="E25" s="717"/>
      <c r="F25" s="717"/>
      <c r="G25" s="717"/>
      <c r="H25" s="717"/>
      <c r="I25" s="717"/>
      <c r="J25" s="717"/>
    </row>
    <row r="41" spans="2:55">
      <c r="B41" s="387" t="s">
        <v>226</v>
      </c>
    </row>
    <row r="42" spans="2:55" customFormat="1" ht="15" thickBot="1"/>
    <row r="43" spans="2:55" customFormat="1" ht="15" thickBot="1">
      <c r="B43" s="725"/>
      <c r="C43" s="726"/>
      <c r="D43" s="423">
        <v>2009</v>
      </c>
      <c r="E43" s="423">
        <v>2010</v>
      </c>
      <c r="F43" s="423">
        <v>2011</v>
      </c>
      <c r="G43" s="423">
        <v>2012</v>
      </c>
      <c r="H43" s="423">
        <v>2013</v>
      </c>
      <c r="I43" s="423">
        <v>2014</v>
      </c>
      <c r="J43" s="423">
        <v>2015</v>
      </c>
      <c r="K43" s="423">
        <v>2016</v>
      </c>
      <c r="L43" s="423">
        <v>2017</v>
      </c>
      <c r="M43" s="423">
        <v>2018</v>
      </c>
      <c r="N43" s="423">
        <v>2019</v>
      </c>
      <c r="O43" s="423">
        <v>2020</v>
      </c>
      <c r="P43" s="423">
        <v>2021</v>
      </c>
      <c r="Q43" s="423">
        <v>2022</v>
      </c>
      <c r="R43" s="423">
        <v>2023</v>
      </c>
      <c r="S43" s="423">
        <v>2024</v>
      </c>
      <c r="T43" s="423">
        <v>2025</v>
      </c>
      <c r="U43" s="423">
        <v>2026</v>
      </c>
      <c r="V43" s="423">
        <v>2027</v>
      </c>
      <c r="W43" s="423">
        <v>2028</v>
      </c>
      <c r="X43" s="423">
        <v>2029</v>
      </c>
      <c r="Y43" s="423">
        <v>2030</v>
      </c>
      <c r="Z43" s="423">
        <v>2031</v>
      </c>
      <c r="AA43" s="423">
        <v>2032</v>
      </c>
      <c r="AB43" s="423">
        <v>2033</v>
      </c>
      <c r="AC43" s="423">
        <v>2034</v>
      </c>
      <c r="AD43" s="423">
        <v>2035</v>
      </c>
      <c r="AE43" s="423">
        <v>2036</v>
      </c>
      <c r="AF43" s="423">
        <v>2037</v>
      </c>
      <c r="AG43" s="423">
        <v>2038</v>
      </c>
      <c r="AH43" s="423">
        <v>2039</v>
      </c>
      <c r="AI43" s="423">
        <v>2040</v>
      </c>
      <c r="AJ43" s="423">
        <v>2041</v>
      </c>
      <c r="AK43" s="423">
        <v>2042</v>
      </c>
      <c r="AL43" s="423">
        <v>2043</v>
      </c>
      <c r="AM43" s="423">
        <v>2044</v>
      </c>
      <c r="AN43" s="423">
        <v>2045</v>
      </c>
      <c r="AO43" s="423">
        <v>2046</v>
      </c>
      <c r="AP43" s="423">
        <v>2047</v>
      </c>
      <c r="AQ43" s="423">
        <v>2048</v>
      </c>
      <c r="AR43" s="423">
        <v>2049</v>
      </c>
      <c r="AS43" s="423">
        <v>2050</v>
      </c>
      <c r="AT43" s="423">
        <v>2051</v>
      </c>
      <c r="AU43" s="423">
        <v>2052</v>
      </c>
      <c r="AV43" s="423">
        <v>2053</v>
      </c>
      <c r="AW43" s="423">
        <v>2054</v>
      </c>
      <c r="AX43" s="423">
        <v>2055</v>
      </c>
      <c r="AY43" s="423">
        <v>2056</v>
      </c>
      <c r="AZ43" s="423">
        <v>2057</v>
      </c>
      <c r="BA43" s="423">
        <v>2058</v>
      </c>
      <c r="BB43" s="423">
        <v>2059</v>
      </c>
      <c r="BC43" s="424">
        <v>2060</v>
      </c>
    </row>
    <row r="44" spans="2:55" customFormat="1" ht="14.4">
      <c r="B44" s="663" t="s">
        <v>225</v>
      </c>
      <c r="C44" s="384" t="s">
        <v>66</v>
      </c>
      <c r="D44" s="445">
        <v>1448</v>
      </c>
      <c r="E44" s="446">
        <v>1452</v>
      </c>
      <c r="F44" s="446">
        <v>1465</v>
      </c>
      <c r="G44" s="446">
        <v>1469</v>
      </c>
      <c r="H44" s="446">
        <v>1471</v>
      </c>
      <c r="I44" s="443"/>
      <c r="J44" s="443"/>
      <c r="K44" s="443"/>
      <c r="L44" s="443"/>
      <c r="M44" s="443"/>
      <c r="N44" s="443"/>
      <c r="O44" s="443"/>
      <c r="P44" s="443"/>
      <c r="Q44" s="443"/>
      <c r="R44" s="443"/>
      <c r="S44" s="443"/>
      <c r="T44" s="443"/>
      <c r="U44" s="443"/>
      <c r="V44" s="443"/>
      <c r="W44" s="443"/>
      <c r="X44" s="443"/>
      <c r="Y44" s="443"/>
      <c r="Z44" s="443"/>
      <c r="AA44" s="443"/>
      <c r="AB44" s="443"/>
      <c r="AC44" s="443"/>
      <c r="AD44" s="443"/>
      <c r="AE44" s="443"/>
      <c r="AF44" s="443"/>
      <c r="AG44" s="443"/>
      <c r="AH44" s="443"/>
      <c r="AI44" s="443"/>
      <c r="AJ44" s="443"/>
      <c r="AK44" s="443"/>
      <c r="AL44" s="443"/>
      <c r="AM44" s="443"/>
      <c r="AN44" s="443"/>
      <c r="AO44" s="443"/>
      <c r="AP44" s="443"/>
      <c r="AQ44" s="443"/>
      <c r="AR44" s="443"/>
      <c r="AS44" s="443"/>
      <c r="AT44" s="443"/>
      <c r="AU44" s="443"/>
      <c r="AV44" s="443"/>
      <c r="AW44" s="443"/>
      <c r="AX44" s="443"/>
      <c r="AY44" s="443"/>
      <c r="AZ44" s="443"/>
      <c r="BA44" s="443"/>
      <c r="BB44" s="443"/>
      <c r="BC44" s="444"/>
    </row>
    <row r="45" spans="2:55" customFormat="1" ht="14.4">
      <c r="B45" s="664"/>
      <c r="C45" s="385" t="s">
        <v>54</v>
      </c>
      <c r="D45" s="276"/>
      <c r="E45" s="277"/>
      <c r="F45" s="277"/>
      <c r="G45" s="277"/>
      <c r="H45" s="277"/>
      <c r="I45" s="404">
        <v>1486</v>
      </c>
      <c r="J45" s="404">
        <v>1500</v>
      </c>
      <c r="K45" s="404">
        <v>1504</v>
      </c>
      <c r="L45" s="404">
        <v>1516</v>
      </c>
      <c r="M45" s="404">
        <v>1529</v>
      </c>
      <c r="N45" s="404">
        <v>1534</v>
      </c>
      <c r="O45" s="404">
        <v>1545</v>
      </c>
      <c r="P45" s="404">
        <v>1550</v>
      </c>
      <c r="Q45" s="404">
        <v>1560</v>
      </c>
      <c r="R45" s="404">
        <v>1566</v>
      </c>
      <c r="S45" s="404">
        <v>1573</v>
      </c>
      <c r="T45" s="404">
        <v>1582</v>
      </c>
      <c r="U45" s="404">
        <v>1589</v>
      </c>
      <c r="V45" s="404">
        <v>1598</v>
      </c>
      <c r="W45" s="404">
        <v>1606</v>
      </c>
      <c r="X45" s="404">
        <v>1617</v>
      </c>
      <c r="Y45" s="404">
        <v>1627</v>
      </c>
      <c r="Z45" s="404">
        <v>1638</v>
      </c>
      <c r="AA45" s="404">
        <v>1649</v>
      </c>
      <c r="AB45" s="404">
        <v>1660</v>
      </c>
      <c r="AC45" s="404">
        <v>1673</v>
      </c>
      <c r="AD45" s="404">
        <v>1686</v>
      </c>
      <c r="AE45" s="404">
        <v>1700</v>
      </c>
      <c r="AF45" s="404">
        <v>1716</v>
      </c>
      <c r="AG45" s="404">
        <v>1732</v>
      </c>
      <c r="AH45" s="404">
        <v>1749</v>
      </c>
      <c r="AI45" s="404">
        <v>1767</v>
      </c>
      <c r="AJ45" s="404">
        <v>1786</v>
      </c>
      <c r="AK45" s="404">
        <v>1804</v>
      </c>
      <c r="AL45" s="404">
        <v>1822</v>
      </c>
      <c r="AM45" s="404">
        <v>1841</v>
      </c>
      <c r="AN45" s="404">
        <v>1862</v>
      </c>
      <c r="AO45" s="404">
        <v>1884</v>
      </c>
      <c r="AP45" s="404">
        <v>1906</v>
      </c>
      <c r="AQ45" s="404">
        <v>1929</v>
      </c>
      <c r="AR45" s="404">
        <v>1953</v>
      </c>
      <c r="AS45" s="404">
        <v>1980</v>
      </c>
      <c r="AT45" s="404">
        <v>2008</v>
      </c>
      <c r="AU45" s="404">
        <v>2037</v>
      </c>
      <c r="AV45" s="404">
        <v>2067</v>
      </c>
      <c r="AW45" s="404">
        <v>2098</v>
      </c>
      <c r="AX45" s="404">
        <v>2132</v>
      </c>
      <c r="AY45" s="404">
        <v>2168</v>
      </c>
      <c r="AZ45" s="404">
        <v>2207</v>
      </c>
      <c r="BA45" s="404">
        <v>2247</v>
      </c>
      <c r="BB45" s="404">
        <v>2287</v>
      </c>
      <c r="BC45" s="405">
        <v>2330</v>
      </c>
    </row>
    <row r="46" spans="2:55" customFormat="1" ht="14.4">
      <c r="B46" s="664"/>
      <c r="C46" s="385" t="s">
        <v>89</v>
      </c>
      <c r="D46" s="276"/>
      <c r="E46" s="277"/>
      <c r="F46" s="277"/>
      <c r="G46" s="277"/>
      <c r="H46" s="277"/>
      <c r="I46" s="404">
        <v>1486</v>
      </c>
      <c r="J46" s="404">
        <v>1500</v>
      </c>
      <c r="K46" s="404">
        <v>1504</v>
      </c>
      <c r="L46" s="404">
        <v>1516</v>
      </c>
      <c r="M46" s="404">
        <v>1529</v>
      </c>
      <c r="N46" s="404">
        <v>1534</v>
      </c>
      <c r="O46" s="404">
        <v>1545</v>
      </c>
      <c r="P46" s="404">
        <v>1550</v>
      </c>
      <c r="Q46" s="404">
        <v>1560</v>
      </c>
      <c r="R46" s="404">
        <v>1566</v>
      </c>
      <c r="S46" s="404">
        <v>1574</v>
      </c>
      <c r="T46" s="404">
        <v>1583</v>
      </c>
      <c r="U46" s="404">
        <v>1590</v>
      </c>
      <c r="V46" s="404">
        <v>1599</v>
      </c>
      <c r="W46" s="404">
        <v>1607</v>
      </c>
      <c r="X46" s="404">
        <v>1617</v>
      </c>
      <c r="Y46" s="404">
        <v>1627</v>
      </c>
      <c r="Z46" s="404">
        <v>1638</v>
      </c>
      <c r="AA46" s="404">
        <v>1649</v>
      </c>
      <c r="AB46" s="404">
        <v>1659</v>
      </c>
      <c r="AC46" s="404">
        <v>1672</v>
      </c>
      <c r="AD46" s="404">
        <v>1685</v>
      </c>
      <c r="AE46" s="404">
        <v>1699</v>
      </c>
      <c r="AF46" s="404">
        <v>1714</v>
      </c>
      <c r="AG46" s="404">
        <v>1729</v>
      </c>
      <c r="AH46" s="404">
        <v>1746</v>
      </c>
      <c r="AI46" s="404">
        <v>1763</v>
      </c>
      <c r="AJ46" s="404">
        <v>1781</v>
      </c>
      <c r="AK46" s="404">
        <v>1798</v>
      </c>
      <c r="AL46" s="404">
        <v>1815</v>
      </c>
      <c r="AM46" s="404">
        <v>1833</v>
      </c>
      <c r="AN46" s="404">
        <v>1853</v>
      </c>
      <c r="AO46" s="404">
        <v>1873</v>
      </c>
      <c r="AP46" s="404">
        <v>1893</v>
      </c>
      <c r="AQ46" s="404">
        <v>1915</v>
      </c>
      <c r="AR46" s="404">
        <v>1937</v>
      </c>
      <c r="AS46" s="404">
        <v>1962</v>
      </c>
      <c r="AT46" s="404">
        <v>1987</v>
      </c>
      <c r="AU46" s="404">
        <v>2014</v>
      </c>
      <c r="AV46" s="404">
        <v>2042</v>
      </c>
      <c r="AW46" s="404">
        <v>2071</v>
      </c>
      <c r="AX46" s="404">
        <v>2101</v>
      </c>
      <c r="AY46" s="404">
        <v>2134</v>
      </c>
      <c r="AZ46" s="404">
        <v>2169</v>
      </c>
      <c r="BA46" s="404">
        <v>2205</v>
      </c>
      <c r="BB46" s="404">
        <v>2242</v>
      </c>
      <c r="BC46" s="405">
        <v>2281</v>
      </c>
    </row>
    <row r="47" spans="2:55" customFormat="1" ht="14.4">
      <c r="B47" s="664"/>
      <c r="C47" s="385" t="s">
        <v>55</v>
      </c>
      <c r="D47" s="276"/>
      <c r="E47" s="277"/>
      <c r="F47" s="277"/>
      <c r="G47" s="277"/>
      <c r="H47" s="277"/>
      <c r="I47" s="404">
        <v>1486</v>
      </c>
      <c r="J47" s="404">
        <v>1500</v>
      </c>
      <c r="K47" s="404">
        <v>1504</v>
      </c>
      <c r="L47" s="404">
        <v>1516</v>
      </c>
      <c r="M47" s="404">
        <v>1529</v>
      </c>
      <c r="N47" s="404">
        <v>1535</v>
      </c>
      <c r="O47" s="404">
        <v>1546</v>
      </c>
      <c r="P47" s="404">
        <v>1555</v>
      </c>
      <c r="Q47" s="404">
        <v>1565</v>
      </c>
      <c r="R47" s="404">
        <v>1571</v>
      </c>
      <c r="S47" s="404">
        <v>1579</v>
      </c>
      <c r="T47" s="404">
        <v>1588</v>
      </c>
      <c r="U47" s="404">
        <v>1595</v>
      </c>
      <c r="V47" s="404">
        <v>1604</v>
      </c>
      <c r="W47" s="404">
        <v>1612</v>
      </c>
      <c r="X47" s="404">
        <v>1622</v>
      </c>
      <c r="Y47" s="404">
        <v>1631</v>
      </c>
      <c r="Z47" s="404">
        <v>1642</v>
      </c>
      <c r="AA47" s="404">
        <v>1652</v>
      </c>
      <c r="AB47" s="404">
        <v>1662</v>
      </c>
      <c r="AC47" s="404">
        <v>1674</v>
      </c>
      <c r="AD47" s="404">
        <v>1687</v>
      </c>
      <c r="AE47" s="404">
        <v>1699</v>
      </c>
      <c r="AF47" s="404">
        <v>1714</v>
      </c>
      <c r="AG47" s="404">
        <v>1728</v>
      </c>
      <c r="AH47" s="404">
        <v>1743</v>
      </c>
      <c r="AI47" s="404">
        <v>1760</v>
      </c>
      <c r="AJ47" s="404">
        <v>1776</v>
      </c>
      <c r="AK47" s="404">
        <v>1792</v>
      </c>
      <c r="AL47" s="404">
        <v>1807</v>
      </c>
      <c r="AM47" s="404">
        <v>1823</v>
      </c>
      <c r="AN47" s="404">
        <v>1841</v>
      </c>
      <c r="AO47" s="404">
        <v>1859</v>
      </c>
      <c r="AP47" s="404">
        <v>1877</v>
      </c>
      <c r="AQ47" s="404">
        <v>1896</v>
      </c>
      <c r="AR47" s="404">
        <v>1916</v>
      </c>
      <c r="AS47" s="404">
        <v>1938</v>
      </c>
      <c r="AT47" s="404">
        <v>1960</v>
      </c>
      <c r="AU47" s="404">
        <v>1984</v>
      </c>
      <c r="AV47" s="404">
        <v>2008</v>
      </c>
      <c r="AW47" s="404">
        <v>2033</v>
      </c>
      <c r="AX47" s="404">
        <v>2060</v>
      </c>
      <c r="AY47" s="404">
        <v>2089</v>
      </c>
      <c r="AZ47" s="404">
        <v>2119</v>
      </c>
      <c r="BA47" s="404">
        <v>2151</v>
      </c>
      <c r="BB47" s="404">
        <v>2182</v>
      </c>
      <c r="BC47" s="405">
        <v>2216</v>
      </c>
    </row>
    <row r="48" spans="2:55" customFormat="1" ht="14.4">
      <c r="B48" s="664"/>
      <c r="C48" s="385" t="s">
        <v>56</v>
      </c>
      <c r="D48" s="276"/>
      <c r="E48" s="277"/>
      <c r="F48" s="277"/>
      <c r="G48" s="277"/>
      <c r="H48" s="277"/>
      <c r="I48" s="404">
        <v>1486</v>
      </c>
      <c r="J48" s="404">
        <v>1500</v>
      </c>
      <c r="K48" s="404">
        <v>1504</v>
      </c>
      <c r="L48" s="404">
        <v>1516</v>
      </c>
      <c r="M48" s="404">
        <v>1529</v>
      </c>
      <c r="N48" s="404">
        <v>1535</v>
      </c>
      <c r="O48" s="404">
        <v>1546</v>
      </c>
      <c r="P48" s="404">
        <v>1552</v>
      </c>
      <c r="Q48" s="404">
        <v>1562</v>
      </c>
      <c r="R48" s="404">
        <v>1568</v>
      </c>
      <c r="S48" s="404">
        <v>1576</v>
      </c>
      <c r="T48" s="404">
        <v>1585</v>
      </c>
      <c r="U48" s="404">
        <v>1591</v>
      </c>
      <c r="V48" s="404">
        <v>1600</v>
      </c>
      <c r="W48" s="404">
        <v>1607</v>
      </c>
      <c r="X48" s="404">
        <v>1617</v>
      </c>
      <c r="Y48" s="404">
        <v>1626</v>
      </c>
      <c r="Z48" s="404">
        <v>1636</v>
      </c>
      <c r="AA48" s="404">
        <v>1646</v>
      </c>
      <c r="AB48" s="404">
        <v>1655</v>
      </c>
      <c r="AC48" s="404">
        <v>1667</v>
      </c>
      <c r="AD48" s="404">
        <v>1678</v>
      </c>
      <c r="AE48" s="404">
        <v>1690</v>
      </c>
      <c r="AF48" s="404">
        <v>1703</v>
      </c>
      <c r="AG48" s="404">
        <v>1717</v>
      </c>
      <c r="AH48" s="404">
        <v>1730</v>
      </c>
      <c r="AI48" s="404">
        <v>1745</v>
      </c>
      <c r="AJ48" s="404">
        <v>1760</v>
      </c>
      <c r="AK48" s="404">
        <v>1774</v>
      </c>
      <c r="AL48" s="404">
        <v>1788</v>
      </c>
      <c r="AM48" s="404">
        <v>1802</v>
      </c>
      <c r="AN48" s="404">
        <v>1818</v>
      </c>
      <c r="AO48" s="404">
        <v>1834</v>
      </c>
      <c r="AP48" s="404">
        <v>1849</v>
      </c>
      <c r="AQ48" s="404">
        <v>1866</v>
      </c>
      <c r="AR48" s="404">
        <v>1883</v>
      </c>
      <c r="AS48" s="404">
        <v>1902</v>
      </c>
      <c r="AT48" s="404">
        <v>1921</v>
      </c>
      <c r="AU48" s="404">
        <v>1942</v>
      </c>
      <c r="AV48" s="404">
        <v>1962</v>
      </c>
      <c r="AW48" s="404">
        <v>1984</v>
      </c>
      <c r="AX48" s="404">
        <v>2006</v>
      </c>
      <c r="AY48" s="404">
        <v>2031</v>
      </c>
      <c r="AZ48" s="404">
        <v>2057</v>
      </c>
      <c r="BA48" s="404">
        <v>2084</v>
      </c>
      <c r="BB48" s="404">
        <v>2110</v>
      </c>
      <c r="BC48" s="405">
        <v>2139</v>
      </c>
    </row>
    <row r="49" spans="2:55" customFormat="1" ht="15" thickBot="1">
      <c r="B49" s="665"/>
      <c r="C49" s="386" t="s">
        <v>57</v>
      </c>
      <c r="D49" s="280"/>
      <c r="E49" s="281"/>
      <c r="F49" s="281"/>
      <c r="G49" s="281"/>
      <c r="H49" s="281"/>
      <c r="I49" s="406">
        <v>1486</v>
      </c>
      <c r="J49" s="406">
        <v>1500</v>
      </c>
      <c r="K49" s="406">
        <v>1504</v>
      </c>
      <c r="L49" s="406">
        <v>1516</v>
      </c>
      <c r="M49" s="406">
        <v>1529</v>
      </c>
      <c r="N49" s="406">
        <v>1535</v>
      </c>
      <c r="O49" s="406">
        <v>1546</v>
      </c>
      <c r="P49" s="406">
        <v>1552</v>
      </c>
      <c r="Q49" s="406">
        <v>1562</v>
      </c>
      <c r="R49" s="406">
        <v>1568</v>
      </c>
      <c r="S49" s="406">
        <v>1576</v>
      </c>
      <c r="T49" s="406">
        <v>1584</v>
      </c>
      <c r="U49" s="406">
        <v>1591</v>
      </c>
      <c r="V49" s="406">
        <v>1599</v>
      </c>
      <c r="W49" s="406">
        <v>1607</v>
      </c>
      <c r="X49" s="406">
        <v>1616</v>
      </c>
      <c r="Y49" s="406">
        <v>1624</v>
      </c>
      <c r="Z49" s="406">
        <v>1634</v>
      </c>
      <c r="AA49" s="406">
        <v>1643</v>
      </c>
      <c r="AB49" s="406">
        <v>1652</v>
      </c>
      <c r="AC49" s="406">
        <v>1662</v>
      </c>
      <c r="AD49" s="406">
        <v>1673</v>
      </c>
      <c r="AE49" s="406">
        <v>1684</v>
      </c>
      <c r="AF49" s="406">
        <v>1696</v>
      </c>
      <c r="AG49" s="406">
        <v>1708</v>
      </c>
      <c r="AH49" s="406">
        <v>1720</v>
      </c>
      <c r="AI49" s="406">
        <v>1733</v>
      </c>
      <c r="AJ49" s="406">
        <v>1747</v>
      </c>
      <c r="AK49" s="406">
        <v>1759</v>
      </c>
      <c r="AL49" s="406">
        <v>1771</v>
      </c>
      <c r="AM49" s="406">
        <v>1783</v>
      </c>
      <c r="AN49" s="406">
        <v>1796</v>
      </c>
      <c r="AO49" s="406">
        <v>1810</v>
      </c>
      <c r="AP49" s="406">
        <v>1823</v>
      </c>
      <c r="AQ49" s="406">
        <v>1836</v>
      </c>
      <c r="AR49" s="406">
        <v>1850</v>
      </c>
      <c r="AS49" s="406">
        <v>1866</v>
      </c>
      <c r="AT49" s="406">
        <v>1882</v>
      </c>
      <c r="AU49" s="406">
        <v>1899</v>
      </c>
      <c r="AV49" s="406">
        <v>1916</v>
      </c>
      <c r="AW49" s="406">
        <v>1933</v>
      </c>
      <c r="AX49" s="406">
        <v>1952</v>
      </c>
      <c r="AY49" s="406">
        <v>1972</v>
      </c>
      <c r="AZ49" s="406">
        <v>1993</v>
      </c>
      <c r="BA49" s="406">
        <v>2015</v>
      </c>
      <c r="BB49" s="406">
        <v>2036</v>
      </c>
      <c r="BC49" s="407">
        <v>2059</v>
      </c>
    </row>
    <row r="50" spans="2:55" customFormat="1" ht="14.4"/>
  </sheetData>
  <mergeCells count="7">
    <mergeCell ref="C24:F25"/>
    <mergeCell ref="G24:J25"/>
    <mergeCell ref="B43:C43"/>
    <mergeCell ref="B44:B49"/>
    <mergeCell ref="B4:C4"/>
    <mergeCell ref="B5:B10"/>
    <mergeCell ref="B11:B16"/>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8"/>
  <sheetViews>
    <sheetView topLeftCell="C1" workbookViewId="0">
      <selection activeCell="S8" sqref="S8"/>
    </sheetView>
  </sheetViews>
  <sheetFormatPr baseColWidth="10" defaultRowHeight="14.4"/>
  <cols>
    <col min="2" max="2" width="47.88671875" customWidth="1"/>
    <col min="3" max="19" width="8.88671875" customWidth="1"/>
  </cols>
  <sheetData>
    <row r="1" spans="1:19" s="2" customFormat="1" ht="15.6">
      <c r="A1" s="116" t="s">
        <v>211</v>
      </c>
      <c r="B1" s="103"/>
      <c r="C1" s="103"/>
      <c r="D1" s="103"/>
      <c r="E1" s="103"/>
      <c r="F1" s="103"/>
      <c r="G1" s="103"/>
      <c r="H1" s="103"/>
      <c r="I1" s="103"/>
      <c r="J1" s="103"/>
      <c r="K1" s="103"/>
      <c r="L1" s="103"/>
      <c r="M1" s="103"/>
      <c r="N1" s="103"/>
      <c r="O1" s="103"/>
      <c r="P1" s="103"/>
      <c r="Q1" s="103"/>
      <c r="R1" s="103"/>
      <c r="S1" s="103"/>
    </row>
    <row r="2" spans="1:19" s="2" customFormat="1" ht="13.8">
      <c r="A2" s="103"/>
      <c r="B2" s="103"/>
      <c r="C2" s="103"/>
      <c r="D2" s="103"/>
      <c r="E2" s="103"/>
      <c r="F2" s="103"/>
      <c r="G2" s="103"/>
      <c r="H2" s="103"/>
      <c r="I2" s="103"/>
      <c r="J2" s="103"/>
      <c r="K2" s="103"/>
      <c r="L2" s="103"/>
      <c r="M2" s="103"/>
      <c r="N2" s="103"/>
      <c r="O2" s="103"/>
      <c r="P2" s="103"/>
      <c r="Q2" s="103"/>
      <c r="R2" s="103"/>
      <c r="S2" s="103"/>
    </row>
    <row r="3" spans="1:19" s="2" customFormat="1" thickBot="1">
      <c r="A3" s="103"/>
      <c r="B3" s="103"/>
      <c r="C3" s="103"/>
      <c r="D3" s="103"/>
      <c r="E3" s="103"/>
      <c r="F3" s="103"/>
      <c r="G3" s="103"/>
      <c r="H3" s="103"/>
      <c r="I3" s="103"/>
      <c r="J3" s="103"/>
      <c r="K3" s="103"/>
      <c r="L3" s="103"/>
      <c r="M3" s="103"/>
      <c r="N3" s="103"/>
      <c r="O3" s="103"/>
      <c r="P3" s="103"/>
      <c r="Q3" s="103"/>
      <c r="R3" s="103"/>
      <c r="S3" s="103"/>
    </row>
    <row r="4" spans="1:19" s="2" customFormat="1" ht="39" customHeight="1" thickBot="1">
      <c r="A4" s="103"/>
      <c r="B4" s="117" t="s">
        <v>18</v>
      </c>
      <c r="C4" s="118">
        <v>1996</v>
      </c>
      <c r="D4" s="119">
        <v>1997</v>
      </c>
      <c r="E4" s="119">
        <v>1998</v>
      </c>
      <c r="F4" s="119">
        <v>1999</v>
      </c>
      <c r="G4" s="119">
        <v>2000</v>
      </c>
      <c r="H4" s="119">
        <v>2001</v>
      </c>
      <c r="I4" s="119">
        <v>2002</v>
      </c>
      <c r="J4" s="119">
        <v>2003</v>
      </c>
      <c r="K4" s="119">
        <v>2004</v>
      </c>
      <c r="L4" s="119">
        <v>2005</v>
      </c>
      <c r="M4" s="119">
        <v>2006</v>
      </c>
      <c r="N4" s="119">
        <v>2007</v>
      </c>
      <c r="O4" s="119">
        <v>2008</v>
      </c>
      <c r="P4" s="119">
        <v>2009</v>
      </c>
      <c r="Q4" s="119">
        <v>2010</v>
      </c>
      <c r="R4" s="119">
        <v>2011</v>
      </c>
      <c r="S4" s="120">
        <v>2012</v>
      </c>
    </row>
    <row r="5" spans="1:19" s="2" customFormat="1" ht="13.8">
      <c r="A5" s="103"/>
      <c r="B5" s="121" t="s">
        <v>193</v>
      </c>
      <c r="C5" s="437">
        <v>9.6000000000000002E-2</v>
      </c>
      <c r="D5" s="438">
        <v>9.1999999999999998E-2</v>
      </c>
      <c r="E5" s="438">
        <v>9.2999999999999999E-2</v>
      </c>
      <c r="F5" s="438">
        <v>9.4E-2</v>
      </c>
      <c r="G5" s="438">
        <v>9.8000000000000004E-2</v>
      </c>
      <c r="H5" s="438">
        <v>9.6000000000000002E-2</v>
      </c>
      <c r="I5" s="438">
        <v>9.7000000000000003E-2</v>
      </c>
      <c r="J5" s="438">
        <v>8.7999999999999995E-2</v>
      </c>
      <c r="K5" s="438">
        <v>8.5000000000000006E-2</v>
      </c>
      <c r="L5" s="438">
        <v>9.0999999999999998E-2</v>
      </c>
      <c r="M5" s="438">
        <v>9.5000000000000001E-2</v>
      </c>
      <c r="N5" s="438">
        <v>9.8000000000000004E-2</v>
      </c>
      <c r="O5" s="438">
        <v>9.9000000000000005E-2</v>
      </c>
      <c r="P5" s="438">
        <v>9.9000000000000005E-2</v>
      </c>
      <c r="Q5" s="438">
        <v>0.1</v>
      </c>
      <c r="R5" s="438">
        <v>9.2999999999999999E-2</v>
      </c>
      <c r="S5" s="447">
        <v>8.4000000000000005E-2</v>
      </c>
    </row>
    <row r="6" spans="1:19" s="2" customFormat="1" ht="13.8">
      <c r="A6" s="103"/>
      <c r="B6" s="125" t="s">
        <v>194</v>
      </c>
      <c r="C6" s="268"/>
      <c r="D6" s="269"/>
      <c r="E6" s="269"/>
      <c r="F6" s="269"/>
      <c r="G6" s="269"/>
      <c r="H6" s="269"/>
      <c r="I6" s="269">
        <v>0.108</v>
      </c>
      <c r="J6" s="269">
        <v>9.7000000000000003E-2</v>
      </c>
      <c r="K6" s="269">
        <v>9.7000000000000003E-2</v>
      </c>
      <c r="L6" s="269">
        <v>0.10299999999999999</v>
      </c>
      <c r="M6" s="269">
        <v>0.106</v>
      </c>
      <c r="N6" s="269">
        <v>0.108</v>
      </c>
      <c r="O6" s="269">
        <v>0.114</v>
      </c>
      <c r="P6" s="269">
        <v>0.11</v>
      </c>
      <c r="Q6" s="269">
        <v>0.109</v>
      </c>
      <c r="R6" s="269">
        <v>0.10100000000000001</v>
      </c>
      <c r="S6" s="270">
        <v>9.0999999999999998E-2</v>
      </c>
    </row>
    <row r="7" spans="1:19" s="2" customFormat="1" ht="13.8">
      <c r="A7" s="103"/>
      <c r="B7" s="125" t="s">
        <v>195</v>
      </c>
      <c r="C7" s="268"/>
      <c r="D7" s="269"/>
      <c r="E7" s="269"/>
      <c r="F7" s="269"/>
      <c r="G7" s="269"/>
      <c r="H7" s="269"/>
      <c r="I7" s="269">
        <v>8.4000000000000005E-2</v>
      </c>
      <c r="J7" s="269">
        <v>7.8E-2</v>
      </c>
      <c r="K7" s="269">
        <v>7.0000000000000007E-2</v>
      </c>
      <c r="L7" s="269">
        <v>7.6999999999999999E-2</v>
      </c>
      <c r="M7" s="269">
        <v>8.2000000000000003E-2</v>
      </c>
      <c r="N7" s="269">
        <v>8.5999999999999993E-2</v>
      </c>
      <c r="O7" s="269">
        <v>8.1000000000000003E-2</v>
      </c>
      <c r="P7" s="269">
        <v>8.5999999999999993E-2</v>
      </c>
      <c r="Q7" s="269">
        <v>9.0999999999999998E-2</v>
      </c>
      <c r="R7" s="269">
        <v>8.3000000000000004E-2</v>
      </c>
      <c r="S7" s="270">
        <v>7.5999999999999998E-2</v>
      </c>
    </row>
    <row r="8" spans="1:19" s="2" customFormat="1" ht="15" thickBot="1">
      <c r="A8" s="103"/>
      <c r="B8" s="129" t="s">
        <v>196</v>
      </c>
      <c r="C8" s="271">
        <v>0.14499999999999999</v>
      </c>
      <c r="D8" s="272">
        <v>0.14199999999999999</v>
      </c>
      <c r="E8" s="272">
        <v>0.13800000000000001</v>
      </c>
      <c r="F8" s="272">
        <v>0.13500000000000001</v>
      </c>
      <c r="G8" s="272">
        <v>0.13600000000000001</v>
      </c>
      <c r="H8" s="272">
        <v>0.13400000000000001</v>
      </c>
      <c r="I8" s="272">
        <v>0.129</v>
      </c>
      <c r="J8" s="272">
        <v>0.13</v>
      </c>
      <c r="K8" s="272">
        <v>0.126</v>
      </c>
      <c r="L8" s="272">
        <v>0.13100000000000001</v>
      </c>
      <c r="M8" s="272">
        <v>0.13100000000000001</v>
      </c>
      <c r="N8" s="272">
        <v>0.13400000000000001</v>
      </c>
      <c r="O8" s="272">
        <v>0.13</v>
      </c>
      <c r="P8" s="272">
        <v>0.13500000000000001</v>
      </c>
      <c r="Q8" s="272">
        <v>0.14000000000000001</v>
      </c>
      <c r="R8" s="272">
        <v>0.14299999999999999</v>
      </c>
      <c r="S8" s="273">
        <v>0.13900000000000001</v>
      </c>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A61"/>
  <sheetViews>
    <sheetView topLeftCell="AC1" workbookViewId="0">
      <selection activeCell="AZ7" sqref="AZ7"/>
    </sheetView>
  </sheetViews>
  <sheetFormatPr baseColWidth="10" defaultColWidth="11.44140625" defaultRowHeight="14.4"/>
  <cols>
    <col min="1" max="1" width="11.44140625" style="10"/>
    <col min="2" max="2" width="40.109375" style="10" customWidth="1"/>
    <col min="3" max="53" width="6.88671875" style="11" customWidth="1"/>
    <col min="54" max="16384" width="11.44140625" style="10"/>
  </cols>
  <sheetData>
    <row r="1" spans="1:53" s="2" customFormat="1" ht="15.6">
      <c r="A1" s="31" t="s">
        <v>239</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row>
    <row r="2" spans="1:53" s="2" customFormat="1" ht="15.6">
      <c r="B2" s="8"/>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row>
    <row r="3" spans="1:53" s="2" customFormat="1" thickBot="1">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row>
    <row r="4" spans="1:53" s="18" customFormat="1" thickBot="1">
      <c r="B4" s="19" t="s">
        <v>51</v>
      </c>
      <c r="C4" s="448">
        <v>1940</v>
      </c>
      <c r="D4" s="449">
        <v>1941</v>
      </c>
      <c r="E4" s="449">
        <v>1942</v>
      </c>
      <c r="F4" s="449">
        <v>1943</v>
      </c>
      <c r="G4" s="449">
        <v>1944</v>
      </c>
      <c r="H4" s="449">
        <v>1945</v>
      </c>
      <c r="I4" s="449">
        <v>1946</v>
      </c>
      <c r="J4" s="449">
        <v>1947</v>
      </c>
      <c r="K4" s="449">
        <v>1948</v>
      </c>
      <c r="L4" s="449">
        <v>1949</v>
      </c>
      <c r="M4" s="449">
        <v>1950</v>
      </c>
      <c r="N4" s="449">
        <v>1951</v>
      </c>
      <c r="O4" s="449">
        <v>1952</v>
      </c>
      <c r="P4" s="449">
        <v>1953</v>
      </c>
      <c r="Q4" s="449">
        <v>1954</v>
      </c>
      <c r="R4" s="449">
        <v>1955</v>
      </c>
      <c r="S4" s="449">
        <v>1956</v>
      </c>
      <c r="T4" s="449">
        <v>1957</v>
      </c>
      <c r="U4" s="449">
        <v>1958</v>
      </c>
      <c r="V4" s="449">
        <v>1959</v>
      </c>
      <c r="W4" s="449">
        <v>1960</v>
      </c>
      <c r="X4" s="449">
        <v>1961</v>
      </c>
      <c r="Y4" s="449">
        <v>1962</v>
      </c>
      <c r="Z4" s="449">
        <v>1963</v>
      </c>
      <c r="AA4" s="449">
        <v>1964</v>
      </c>
      <c r="AB4" s="449">
        <v>1965</v>
      </c>
      <c r="AC4" s="449">
        <v>1966</v>
      </c>
      <c r="AD4" s="449">
        <v>1967</v>
      </c>
      <c r="AE4" s="449">
        <v>1968</v>
      </c>
      <c r="AF4" s="449">
        <v>1969</v>
      </c>
      <c r="AG4" s="449">
        <v>1970</v>
      </c>
      <c r="AH4" s="449">
        <v>1971</v>
      </c>
      <c r="AI4" s="449">
        <v>1972</v>
      </c>
      <c r="AJ4" s="449">
        <v>1973</v>
      </c>
      <c r="AK4" s="449">
        <v>1974</v>
      </c>
      <c r="AL4" s="449">
        <v>1975</v>
      </c>
      <c r="AM4" s="449">
        <v>1976</v>
      </c>
      <c r="AN4" s="449">
        <v>1977</v>
      </c>
      <c r="AO4" s="449">
        <v>1978</v>
      </c>
      <c r="AP4" s="449">
        <v>1979</v>
      </c>
      <c r="AQ4" s="449">
        <v>1980</v>
      </c>
      <c r="AR4" s="449">
        <v>1981</v>
      </c>
      <c r="AS4" s="449">
        <v>1982</v>
      </c>
      <c r="AT4" s="449">
        <v>1983</v>
      </c>
      <c r="AU4" s="449">
        <v>1984</v>
      </c>
      <c r="AV4" s="449">
        <v>1985</v>
      </c>
      <c r="AW4" s="449">
        <v>1986</v>
      </c>
      <c r="AX4" s="449">
        <v>1987</v>
      </c>
      <c r="AY4" s="449">
        <v>1988</v>
      </c>
      <c r="AZ4" s="449">
        <v>1989</v>
      </c>
      <c r="BA4" s="450">
        <v>1990</v>
      </c>
    </row>
    <row r="5" spans="1:53" s="18" customFormat="1" ht="13.8">
      <c r="B5" s="20" t="s">
        <v>54</v>
      </c>
      <c r="C5" s="365"/>
      <c r="D5" s="451"/>
      <c r="E5" s="451"/>
      <c r="F5" s="451"/>
      <c r="G5" s="451"/>
      <c r="H5" s="451"/>
      <c r="I5" s="451"/>
      <c r="J5" s="451">
        <v>0.50800000000000001</v>
      </c>
      <c r="K5" s="451">
        <v>0.503</v>
      </c>
      <c r="L5" s="451">
        <v>0.503</v>
      </c>
      <c r="M5" s="451">
        <v>0.48699999999999999</v>
      </c>
      <c r="N5" s="451">
        <v>0.48</v>
      </c>
      <c r="O5" s="451">
        <v>0.47099999999999997</v>
      </c>
      <c r="P5" s="451">
        <v>0.46700000000000003</v>
      </c>
      <c r="Q5" s="451">
        <v>0.46600000000000003</v>
      </c>
      <c r="R5" s="451">
        <v>0.46300000000000002</v>
      </c>
      <c r="S5" s="451">
        <v>0.45400000000000001</v>
      </c>
      <c r="T5" s="451">
        <v>0.44600000000000001</v>
      </c>
      <c r="U5" s="451">
        <v>0.439</v>
      </c>
      <c r="V5" s="451">
        <v>0.43</v>
      </c>
      <c r="W5" s="451">
        <v>0.42099999999999999</v>
      </c>
      <c r="X5" s="451">
        <v>0.41399999999999998</v>
      </c>
      <c r="Y5" s="451">
        <v>0.40899999999999997</v>
      </c>
      <c r="Z5" s="451">
        <v>0.40699999999999997</v>
      </c>
      <c r="AA5" s="451">
        <v>0.40100000000000002</v>
      </c>
      <c r="AB5" s="451">
        <v>0.39300000000000002</v>
      </c>
      <c r="AC5" s="451">
        <v>0.39100000000000001</v>
      </c>
      <c r="AD5" s="451">
        <v>0.38700000000000001</v>
      </c>
      <c r="AE5" s="451">
        <v>0.38300000000000001</v>
      </c>
      <c r="AF5" s="451">
        <v>0.38100000000000001</v>
      </c>
      <c r="AG5" s="451">
        <v>0.38</v>
      </c>
      <c r="AH5" s="451">
        <v>0.38100000000000001</v>
      </c>
      <c r="AI5" s="451">
        <v>0.38</v>
      </c>
      <c r="AJ5" s="451">
        <v>0.378</v>
      </c>
      <c r="AK5" s="451">
        <v>0.379</v>
      </c>
      <c r="AL5" s="451">
        <v>0.38</v>
      </c>
      <c r="AM5" s="451">
        <v>0.379</v>
      </c>
      <c r="AN5" s="451">
        <v>0.375</v>
      </c>
      <c r="AO5" s="451">
        <v>0.373</v>
      </c>
      <c r="AP5" s="451">
        <v>0.373</v>
      </c>
      <c r="AQ5" s="451">
        <v>0.376</v>
      </c>
      <c r="AR5" s="451">
        <v>0.373</v>
      </c>
      <c r="AS5" s="451">
        <v>0.373</v>
      </c>
      <c r="AT5" s="451">
        <v>0.374</v>
      </c>
      <c r="AU5" s="451">
        <v>0.37</v>
      </c>
      <c r="AV5" s="451">
        <v>0.378</v>
      </c>
      <c r="AW5" s="451">
        <v>0.378</v>
      </c>
      <c r="AX5" s="451">
        <v>0.38200000000000001</v>
      </c>
      <c r="AY5" s="451">
        <v>0.38</v>
      </c>
      <c r="AZ5" s="451">
        <v>0.38400000000000001</v>
      </c>
      <c r="BA5" s="452">
        <v>0.38400000000000001</v>
      </c>
    </row>
    <row r="6" spans="1:53" s="18" customFormat="1" ht="13.8">
      <c r="B6" s="22" t="s">
        <v>54</v>
      </c>
      <c r="C6" s="366"/>
      <c r="D6" s="367"/>
      <c r="E6" s="367"/>
      <c r="F6" s="367"/>
      <c r="G6" s="367"/>
      <c r="H6" s="367"/>
      <c r="I6" s="367"/>
      <c r="J6" s="367">
        <v>0.50800000000000001</v>
      </c>
      <c r="K6" s="367">
        <v>0.503</v>
      </c>
      <c r="L6" s="367">
        <v>0.503</v>
      </c>
      <c r="M6" s="367">
        <v>0.48699999999999999</v>
      </c>
      <c r="N6" s="367">
        <v>0.48</v>
      </c>
      <c r="O6" s="367">
        <v>0.47099999999999997</v>
      </c>
      <c r="P6" s="367">
        <v>0.46800000000000003</v>
      </c>
      <c r="Q6" s="367">
        <v>0.46700000000000003</v>
      </c>
      <c r="R6" s="367">
        <v>0.46400000000000002</v>
      </c>
      <c r="S6" s="367">
        <v>0.45500000000000002</v>
      </c>
      <c r="T6" s="367">
        <v>0.44700000000000001</v>
      </c>
      <c r="U6" s="367">
        <v>0.44</v>
      </c>
      <c r="V6" s="367">
        <v>0.432</v>
      </c>
      <c r="W6" s="367">
        <v>0.42399999999999999</v>
      </c>
      <c r="X6" s="367">
        <v>0.41799999999999998</v>
      </c>
      <c r="Y6" s="367">
        <v>0.41299999999999998</v>
      </c>
      <c r="Z6" s="367">
        <v>0.41199999999999998</v>
      </c>
      <c r="AA6" s="367">
        <v>0.40699999999999997</v>
      </c>
      <c r="AB6" s="367">
        <v>0.4</v>
      </c>
      <c r="AC6" s="367">
        <v>0.39800000000000002</v>
      </c>
      <c r="AD6" s="367">
        <v>0.39400000000000002</v>
      </c>
      <c r="AE6" s="367">
        <v>0.39100000000000001</v>
      </c>
      <c r="AF6" s="367">
        <v>0.38900000000000001</v>
      </c>
      <c r="AG6" s="367">
        <v>0.38800000000000001</v>
      </c>
      <c r="AH6" s="367">
        <v>0.39</v>
      </c>
      <c r="AI6" s="367">
        <v>0.39</v>
      </c>
      <c r="AJ6" s="367">
        <v>0.38800000000000001</v>
      </c>
      <c r="AK6" s="367">
        <v>0.38900000000000001</v>
      </c>
      <c r="AL6" s="367">
        <v>0.39</v>
      </c>
      <c r="AM6" s="367">
        <v>0.39</v>
      </c>
      <c r="AN6" s="367">
        <v>0.38600000000000001</v>
      </c>
      <c r="AO6" s="367">
        <v>0.38400000000000001</v>
      </c>
      <c r="AP6" s="367">
        <v>0.38400000000000001</v>
      </c>
      <c r="AQ6" s="367">
        <v>0.38800000000000001</v>
      </c>
      <c r="AR6" s="367">
        <v>0.38500000000000001</v>
      </c>
      <c r="AS6" s="367">
        <v>0.38500000000000001</v>
      </c>
      <c r="AT6" s="367">
        <v>0.38600000000000001</v>
      </c>
      <c r="AU6" s="367">
        <v>0.38200000000000001</v>
      </c>
      <c r="AV6" s="367">
        <v>0.39100000000000001</v>
      </c>
      <c r="AW6" s="367">
        <v>0.39100000000000001</v>
      </c>
      <c r="AX6" s="367">
        <v>0.39500000000000002</v>
      </c>
      <c r="AY6" s="367">
        <v>0.39200000000000002</v>
      </c>
      <c r="AZ6" s="367">
        <v>0.39700000000000002</v>
      </c>
      <c r="BA6" s="368">
        <v>0.39800000000000002</v>
      </c>
    </row>
    <row r="7" spans="1:53" s="18" customFormat="1" ht="13.8">
      <c r="B7" s="22" t="s">
        <v>55</v>
      </c>
      <c r="C7" s="365">
        <v>0.45900000000000002</v>
      </c>
      <c r="D7" s="451">
        <v>0.47699999999999998</v>
      </c>
      <c r="E7" s="451">
        <v>0.48299999999999998</v>
      </c>
      <c r="F7" s="451">
        <v>0.496</v>
      </c>
      <c r="G7" s="451">
        <v>0.498</v>
      </c>
      <c r="H7" s="451">
        <v>0.5</v>
      </c>
      <c r="I7" s="451">
        <v>0.51200000000000001</v>
      </c>
      <c r="J7" s="451">
        <v>0.50800000000000001</v>
      </c>
      <c r="K7" s="451">
        <v>0.503</v>
      </c>
      <c r="L7" s="451">
        <v>0.503</v>
      </c>
      <c r="M7" s="451">
        <v>0.48699999999999999</v>
      </c>
      <c r="N7" s="451">
        <v>0.48</v>
      </c>
      <c r="O7" s="451">
        <v>0.47</v>
      </c>
      <c r="P7" s="451">
        <v>0.46600000000000003</v>
      </c>
      <c r="Q7" s="451">
        <v>0.46600000000000003</v>
      </c>
      <c r="R7" s="451">
        <v>0.46400000000000002</v>
      </c>
      <c r="S7" s="451">
        <v>0.45500000000000002</v>
      </c>
      <c r="T7" s="451">
        <v>0.44800000000000001</v>
      </c>
      <c r="U7" s="451">
        <v>0.441</v>
      </c>
      <c r="V7" s="451">
        <v>0.434</v>
      </c>
      <c r="W7" s="451">
        <v>0.42799999999999999</v>
      </c>
      <c r="X7" s="451">
        <v>0.42299999999999999</v>
      </c>
      <c r="Y7" s="451">
        <v>0.41899999999999998</v>
      </c>
      <c r="Z7" s="451">
        <v>0.41899999999999998</v>
      </c>
      <c r="AA7" s="451">
        <v>0.41399999999999998</v>
      </c>
      <c r="AB7" s="451">
        <v>0.40799999999999997</v>
      </c>
      <c r="AC7" s="451">
        <v>0.40699999999999997</v>
      </c>
      <c r="AD7" s="451">
        <v>0.40400000000000003</v>
      </c>
      <c r="AE7" s="451">
        <v>0.40200000000000002</v>
      </c>
      <c r="AF7" s="451">
        <v>0.40100000000000002</v>
      </c>
      <c r="AG7" s="451">
        <v>0.40100000000000002</v>
      </c>
      <c r="AH7" s="451">
        <v>0.40300000000000002</v>
      </c>
      <c r="AI7" s="451">
        <v>0.40300000000000002</v>
      </c>
      <c r="AJ7" s="451">
        <v>0.40200000000000002</v>
      </c>
      <c r="AK7" s="451">
        <v>0.40400000000000003</v>
      </c>
      <c r="AL7" s="451">
        <v>0.40600000000000003</v>
      </c>
      <c r="AM7" s="451">
        <v>0.40600000000000003</v>
      </c>
      <c r="AN7" s="451">
        <v>0.40300000000000002</v>
      </c>
      <c r="AO7" s="451">
        <v>0.40100000000000002</v>
      </c>
      <c r="AP7" s="451">
        <v>0.40200000000000002</v>
      </c>
      <c r="AQ7" s="451">
        <v>0.40600000000000003</v>
      </c>
      <c r="AR7" s="451">
        <v>0.40300000000000002</v>
      </c>
      <c r="AS7" s="451">
        <v>0.40400000000000003</v>
      </c>
      <c r="AT7" s="451">
        <v>0.40500000000000003</v>
      </c>
      <c r="AU7" s="451">
        <v>0.40200000000000002</v>
      </c>
      <c r="AV7" s="451">
        <v>0.41099999999999998</v>
      </c>
      <c r="AW7" s="451">
        <v>0.41099999999999998</v>
      </c>
      <c r="AX7" s="451">
        <v>0.41499999999999998</v>
      </c>
      <c r="AY7" s="451">
        <v>0.41299999999999998</v>
      </c>
      <c r="AZ7" s="451">
        <v>0.41699999999999998</v>
      </c>
      <c r="BA7" s="452">
        <v>0.41899999999999998</v>
      </c>
    </row>
    <row r="8" spans="1:53" s="18" customFormat="1" ht="13.8">
      <c r="B8" s="22" t="s">
        <v>56</v>
      </c>
      <c r="C8" s="365"/>
      <c r="D8" s="451"/>
      <c r="E8" s="451"/>
      <c r="F8" s="451"/>
      <c r="G8" s="451"/>
      <c r="H8" s="451"/>
      <c r="I8" s="451"/>
      <c r="J8" s="451">
        <v>0.50800000000000001</v>
      </c>
      <c r="K8" s="451">
        <v>0.503</v>
      </c>
      <c r="L8" s="451">
        <v>0.503</v>
      </c>
      <c r="M8" s="451">
        <v>0.48699999999999999</v>
      </c>
      <c r="N8" s="451">
        <v>0.48</v>
      </c>
      <c r="O8" s="451">
        <v>0.47099999999999997</v>
      </c>
      <c r="P8" s="451">
        <v>0.46600000000000003</v>
      </c>
      <c r="Q8" s="451">
        <v>0.46600000000000003</v>
      </c>
      <c r="R8" s="451">
        <v>0.46400000000000002</v>
      </c>
      <c r="S8" s="451">
        <v>0.45600000000000002</v>
      </c>
      <c r="T8" s="451">
        <v>0.44900000000000001</v>
      </c>
      <c r="U8" s="451">
        <v>0.44400000000000001</v>
      </c>
      <c r="V8" s="451">
        <v>0.438</v>
      </c>
      <c r="W8" s="451">
        <v>0.432</v>
      </c>
      <c r="X8" s="451">
        <v>0.42699999999999999</v>
      </c>
      <c r="Y8" s="451">
        <v>0.42399999999999999</v>
      </c>
      <c r="Z8" s="451">
        <v>0.42499999999999999</v>
      </c>
      <c r="AA8" s="451">
        <v>0.42099999999999999</v>
      </c>
      <c r="AB8" s="451">
        <v>0.41499999999999998</v>
      </c>
      <c r="AC8" s="451">
        <v>0.41399999999999998</v>
      </c>
      <c r="AD8" s="451">
        <v>0.41199999999999998</v>
      </c>
      <c r="AE8" s="451">
        <v>0.40899999999999997</v>
      </c>
      <c r="AF8" s="451">
        <v>0.40799999999999997</v>
      </c>
      <c r="AG8" s="451">
        <v>0.40899999999999997</v>
      </c>
      <c r="AH8" s="451">
        <v>0.41</v>
      </c>
      <c r="AI8" s="451">
        <v>0.41099999999999998</v>
      </c>
      <c r="AJ8" s="451">
        <v>0.41</v>
      </c>
      <c r="AK8" s="451">
        <v>0.41199999999999998</v>
      </c>
      <c r="AL8" s="451">
        <v>0.41399999999999998</v>
      </c>
      <c r="AM8" s="451">
        <v>0.41499999999999998</v>
      </c>
      <c r="AN8" s="451">
        <v>0.41099999999999998</v>
      </c>
      <c r="AO8" s="451">
        <v>0.41099999999999998</v>
      </c>
      <c r="AP8" s="451">
        <v>0.41099999999999998</v>
      </c>
      <c r="AQ8" s="451">
        <v>0.41599999999999998</v>
      </c>
      <c r="AR8" s="451">
        <v>0.41299999999999998</v>
      </c>
      <c r="AS8" s="451">
        <v>0.41299999999999998</v>
      </c>
      <c r="AT8" s="451">
        <v>0.41399999999999998</v>
      </c>
      <c r="AU8" s="451">
        <v>0.41099999999999998</v>
      </c>
      <c r="AV8" s="451">
        <v>0.42099999999999999</v>
      </c>
      <c r="AW8" s="451">
        <v>0.42099999999999999</v>
      </c>
      <c r="AX8" s="451">
        <v>0.42399999999999999</v>
      </c>
      <c r="AY8" s="451">
        <v>0.42299999999999999</v>
      </c>
      <c r="AZ8" s="451">
        <v>0.42699999999999999</v>
      </c>
      <c r="BA8" s="452">
        <v>0.42899999999999999</v>
      </c>
    </row>
    <row r="9" spans="1:53" s="18" customFormat="1" thickBot="1">
      <c r="B9" s="26" t="s">
        <v>57</v>
      </c>
      <c r="C9" s="369"/>
      <c r="D9" s="453"/>
      <c r="E9" s="453"/>
      <c r="F9" s="453"/>
      <c r="G9" s="453"/>
      <c r="H9" s="453"/>
      <c r="I9" s="453"/>
      <c r="J9" s="453">
        <v>0.50800000000000001</v>
      </c>
      <c r="K9" s="453">
        <v>0.503</v>
      </c>
      <c r="L9" s="453">
        <v>0.503</v>
      </c>
      <c r="M9" s="453">
        <v>0.48699999999999999</v>
      </c>
      <c r="N9" s="453">
        <v>0.48</v>
      </c>
      <c r="O9" s="453">
        <v>0.47099999999999997</v>
      </c>
      <c r="P9" s="453">
        <v>0.46700000000000003</v>
      </c>
      <c r="Q9" s="453">
        <v>0.46899999999999997</v>
      </c>
      <c r="R9" s="453">
        <v>0.46800000000000003</v>
      </c>
      <c r="S9" s="453">
        <v>0.46</v>
      </c>
      <c r="T9" s="453">
        <v>0.45600000000000002</v>
      </c>
      <c r="U9" s="453">
        <v>0.45100000000000001</v>
      </c>
      <c r="V9" s="453">
        <v>0.44600000000000001</v>
      </c>
      <c r="W9" s="453">
        <v>0.441</v>
      </c>
      <c r="X9" s="453">
        <v>0.438</v>
      </c>
      <c r="Y9" s="453">
        <v>0.435</v>
      </c>
      <c r="Z9" s="453">
        <v>0.437</v>
      </c>
      <c r="AA9" s="453">
        <v>0.434</v>
      </c>
      <c r="AB9" s="453">
        <v>0.42799999999999999</v>
      </c>
      <c r="AC9" s="453">
        <v>0.42799999999999999</v>
      </c>
      <c r="AD9" s="453">
        <v>0.42599999999999999</v>
      </c>
      <c r="AE9" s="453">
        <v>0.42499999999999999</v>
      </c>
      <c r="AF9" s="453">
        <v>0.42399999999999999</v>
      </c>
      <c r="AG9" s="453">
        <v>0.42499999999999999</v>
      </c>
      <c r="AH9" s="453">
        <v>0.42799999999999999</v>
      </c>
      <c r="AI9" s="453">
        <v>0.42899999999999999</v>
      </c>
      <c r="AJ9" s="453">
        <v>0.42899999999999999</v>
      </c>
      <c r="AK9" s="453">
        <v>0.43099999999999999</v>
      </c>
      <c r="AL9" s="453">
        <v>0.433</v>
      </c>
      <c r="AM9" s="453">
        <v>0.434</v>
      </c>
      <c r="AN9" s="453">
        <v>0.43099999999999999</v>
      </c>
      <c r="AO9" s="453">
        <v>0.43099999999999999</v>
      </c>
      <c r="AP9" s="453">
        <v>0.432</v>
      </c>
      <c r="AQ9" s="453">
        <v>0.437</v>
      </c>
      <c r="AR9" s="453">
        <v>0.434</v>
      </c>
      <c r="AS9" s="453">
        <v>0.435</v>
      </c>
      <c r="AT9" s="453">
        <v>0.437</v>
      </c>
      <c r="AU9" s="453">
        <v>0.434</v>
      </c>
      <c r="AV9" s="453">
        <v>0.44400000000000001</v>
      </c>
      <c r="AW9" s="453">
        <v>0.44500000000000001</v>
      </c>
      <c r="AX9" s="453">
        <v>0.44800000000000001</v>
      </c>
      <c r="AY9" s="453">
        <v>0.44700000000000001</v>
      </c>
      <c r="AZ9" s="453">
        <v>0.45100000000000001</v>
      </c>
      <c r="BA9" s="454">
        <v>0.45300000000000001</v>
      </c>
    </row>
    <row r="10" spans="1:53" s="18" customFormat="1" thickBot="1">
      <c r="B10" s="19" t="s">
        <v>53</v>
      </c>
      <c r="C10" s="448">
        <v>1940</v>
      </c>
      <c r="D10" s="449">
        <v>1941</v>
      </c>
      <c r="E10" s="449">
        <v>1942</v>
      </c>
      <c r="F10" s="449">
        <v>1943</v>
      </c>
      <c r="G10" s="449">
        <v>1944</v>
      </c>
      <c r="H10" s="449">
        <v>1945</v>
      </c>
      <c r="I10" s="449">
        <v>1946</v>
      </c>
      <c r="J10" s="449">
        <v>1947</v>
      </c>
      <c r="K10" s="449">
        <v>1948</v>
      </c>
      <c r="L10" s="449">
        <v>1949</v>
      </c>
      <c r="M10" s="449">
        <v>1950</v>
      </c>
      <c r="N10" s="449">
        <v>1951</v>
      </c>
      <c r="O10" s="449">
        <v>1952</v>
      </c>
      <c r="P10" s="449">
        <v>1953</v>
      </c>
      <c r="Q10" s="449">
        <v>1954</v>
      </c>
      <c r="R10" s="449">
        <v>1955</v>
      </c>
      <c r="S10" s="449">
        <v>1956</v>
      </c>
      <c r="T10" s="449">
        <v>1957</v>
      </c>
      <c r="U10" s="449">
        <v>1958</v>
      </c>
      <c r="V10" s="449">
        <v>1959</v>
      </c>
      <c r="W10" s="449">
        <v>1960</v>
      </c>
      <c r="X10" s="449">
        <v>1961</v>
      </c>
      <c r="Y10" s="449">
        <v>1962</v>
      </c>
      <c r="Z10" s="449">
        <v>1963</v>
      </c>
      <c r="AA10" s="449">
        <v>1964</v>
      </c>
      <c r="AB10" s="449">
        <v>1965</v>
      </c>
      <c r="AC10" s="449">
        <v>1966</v>
      </c>
      <c r="AD10" s="449">
        <v>1967</v>
      </c>
      <c r="AE10" s="449">
        <v>1968</v>
      </c>
      <c r="AF10" s="449">
        <v>1969</v>
      </c>
      <c r="AG10" s="449">
        <v>1970</v>
      </c>
      <c r="AH10" s="449">
        <v>1971</v>
      </c>
      <c r="AI10" s="449">
        <v>1972</v>
      </c>
      <c r="AJ10" s="449">
        <v>1973</v>
      </c>
      <c r="AK10" s="449">
        <v>1974</v>
      </c>
      <c r="AL10" s="449">
        <v>1975</v>
      </c>
      <c r="AM10" s="449">
        <v>1976</v>
      </c>
      <c r="AN10" s="449">
        <v>1977</v>
      </c>
      <c r="AO10" s="449">
        <v>1978</v>
      </c>
      <c r="AP10" s="449">
        <v>1979</v>
      </c>
      <c r="AQ10" s="449">
        <v>1980</v>
      </c>
      <c r="AR10" s="449">
        <v>1981</v>
      </c>
      <c r="AS10" s="449">
        <v>1982</v>
      </c>
      <c r="AT10" s="449">
        <v>1983</v>
      </c>
      <c r="AU10" s="449">
        <v>1984</v>
      </c>
      <c r="AV10" s="449">
        <v>1985</v>
      </c>
      <c r="AW10" s="449">
        <v>1986</v>
      </c>
      <c r="AX10" s="449">
        <v>1987</v>
      </c>
      <c r="AY10" s="449">
        <v>1988</v>
      </c>
      <c r="AZ10" s="449">
        <v>1989</v>
      </c>
      <c r="BA10" s="450">
        <v>1990</v>
      </c>
    </row>
    <row r="11" spans="1:53" s="18" customFormat="1" ht="13.8">
      <c r="B11" s="20" t="s">
        <v>54</v>
      </c>
      <c r="C11" s="21">
        <v>0.80300000000000005</v>
      </c>
      <c r="D11" s="455">
        <v>0.79300000000000004</v>
      </c>
      <c r="E11" s="455">
        <v>0.78</v>
      </c>
      <c r="F11" s="455">
        <v>0.78</v>
      </c>
      <c r="G11" s="455">
        <v>0.76900000000000002</v>
      </c>
      <c r="H11" s="455">
        <v>0.76200000000000001</v>
      </c>
      <c r="I11" s="455">
        <v>0.753</v>
      </c>
      <c r="J11" s="455">
        <v>0.748</v>
      </c>
      <c r="K11" s="455">
        <v>0.74</v>
      </c>
      <c r="L11" s="455">
        <v>0.745</v>
      </c>
      <c r="M11" s="455">
        <v>0.73399999999999999</v>
      </c>
      <c r="N11" s="455">
        <v>0.73899999999999999</v>
      </c>
      <c r="O11" s="455">
        <v>0.747</v>
      </c>
      <c r="P11" s="455">
        <v>0.75</v>
      </c>
      <c r="Q11" s="455">
        <v>0.749</v>
      </c>
      <c r="R11" s="455">
        <v>0.75</v>
      </c>
      <c r="S11" s="455">
        <v>0.74399999999999999</v>
      </c>
      <c r="T11" s="455">
        <v>0.74199999999999999</v>
      </c>
      <c r="U11" s="455">
        <v>0.73799999999999999</v>
      </c>
      <c r="V11" s="455">
        <v>0.73599999999999999</v>
      </c>
      <c r="W11" s="455">
        <v>0.73199999999999998</v>
      </c>
      <c r="X11" s="455">
        <v>0.72599999999999998</v>
      </c>
      <c r="Y11" s="455">
        <v>0.72</v>
      </c>
      <c r="Z11" s="455">
        <v>0.71199999999999997</v>
      </c>
      <c r="AA11" s="455">
        <v>0.71</v>
      </c>
      <c r="AB11" s="455">
        <v>0.70299999999999996</v>
      </c>
      <c r="AC11" s="455">
        <v>0.69599999999999995</v>
      </c>
      <c r="AD11" s="455">
        <v>0.68500000000000005</v>
      </c>
      <c r="AE11" s="455">
        <v>0.68400000000000005</v>
      </c>
      <c r="AF11" s="455">
        <v>0.67700000000000005</v>
      </c>
      <c r="AG11" s="455">
        <v>0.66800000000000004</v>
      </c>
      <c r="AH11" s="455">
        <v>0.66100000000000003</v>
      </c>
      <c r="AI11" s="455">
        <v>0.65500000000000003</v>
      </c>
      <c r="AJ11" s="455">
        <v>0.65700000000000003</v>
      </c>
      <c r="AK11" s="455">
        <v>0.65300000000000002</v>
      </c>
      <c r="AL11" s="455">
        <v>0.64800000000000002</v>
      </c>
      <c r="AM11" s="455">
        <v>0.64500000000000002</v>
      </c>
      <c r="AN11" s="455">
        <v>0.64200000000000002</v>
      </c>
      <c r="AO11" s="455">
        <v>0.63800000000000001</v>
      </c>
      <c r="AP11" s="455">
        <v>0.63600000000000001</v>
      </c>
      <c r="AQ11" s="455">
        <v>0.63400000000000001</v>
      </c>
      <c r="AR11" s="455">
        <v>0.63300000000000001</v>
      </c>
      <c r="AS11" s="455">
        <v>0.63200000000000001</v>
      </c>
      <c r="AT11" s="455">
        <v>0.63100000000000001</v>
      </c>
      <c r="AU11" s="455">
        <v>0.63</v>
      </c>
      <c r="AV11" s="455">
        <v>0.629</v>
      </c>
      <c r="AW11" s="455">
        <v>0.628</v>
      </c>
      <c r="AX11" s="455">
        <v>0.628</v>
      </c>
      <c r="AY11" s="455">
        <v>0.627</v>
      </c>
      <c r="AZ11" s="455">
        <v>0.627</v>
      </c>
      <c r="BA11" s="456">
        <v>0.627</v>
      </c>
    </row>
    <row r="12" spans="1:53" s="18" customFormat="1" ht="13.8">
      <c r="B12" s="22" t="s">
        <v>54</v>
      </c>
      <c r="C12" s="23">
        <v>0.80300000000000005</v>
      </c>
      <c r="D12" s="24">
        <v>0.79300000000000004</v>
      </c>
      <c r="E12" s="24">
        <v>0.78</v>
      </c>
      <c r="F12" s="24">
        <v>0.78</v>
      </c>
      <c r="G12" s="24">
        <v>0.76900000000000002</v>
      </c>
      <c r="H12" s="24">
        <v>0.76200000000000001</v>
      </c>
      <c r="I12" s="24">
        <v>0.753</v>
      </c>
      <c r="J12" s="24">
        <v>0.748</v>
      </c>
      <c r="K12" s="24">
        <v>0.74</v>
      </c>
      <c r="L12" s="24">
        <v>0.745</v>
      </c>
      <c r="M12" s="24">
        <v>0.73399999999999999</v>
      </c>
      <c r="N12" s="24">
        <v>0.73899999999999999</v>
      </c>
      <c r="O12" s="24">
        <v>0.747</v>
      </c>
      <c r="P12" s="24">
        <v>0.75</v>
      </c>
      <c r="Q12" s="24">
        <v>0.749</v>
      </c>
      <c r="R12" s="24">
        <v>0.75</v>
      </c>
      <c r="S12" s="24">
        <v>0.74399999999999999</v>
      </c>
      <c r="T12" s="24">
        <v>0.74199999999999999</v>
      </c>
      <c r="U12" s="24">
        <v>0.73799999999999999</v>
      </c>
      <c r="V12" s="24">
        <v>0.73599999999999999</v>
      </c>
      <c r="W12" s="24">
        <v>0.73199999999999998</v>
      </c>
      <c r="X12" s="24">
        <v>0.72699999999999998</v>
      </c>
      <c r="Y12" s="24">
        <v>0.72099999999999997</v>
      </c>
      <c r="Z12" s="24">
        <v>0.71299999999999997</v>
      </c>
      <c r="AA12" s="24">
        <v>0.71199999999999997</v>
      </c>
      <c r="AB12" s="24">
        <v>0.70499999999999996</v>
      </c>
      <c r="AC12" s="24">
        <v>0.69899999999999995</v>
      </c>
      <c r="AD12" s="24">
        <v>0.69</v>
      </c>
      <c r="AE12" s="24">
        <v>0.69</v>
      </c>
      <c r="AF12" s="24">
        <v>0.68500000000000005</v>
      </c>
      <c r="AG12" s="24">
        <v>0.67700000000000005</v>
      </c>
      <c r="AH12" s="24">
        <v>0.67100000000000004</v>
      </c>
      <c r="AI12" s="24">
        <v>0.66600000000000004</v>
      </c>
      <c r="AJ12" s="24">
        <v>0.66800000000000004</v>
      </c>
      <c r="AK12" s="24">
        <v>0.66500000000000004</v>
      </c>
      <c r="AL12" s="24">
        <v>0.66</v>
      </c>
      <c r="AM12" s="24">
        <v>0.65800000000000003</v>
      </c>
      <c r="AN12" s="24">
        <v>0.65600000000000003</v>
      </c>
      <c r="AO12" s="24">
        <v>0.65300000000000002</v>
      </c>
      <c r="AP12" s="24">
        <v>0.65100000000000002</v>
      </c>
      <c r="AQ12" s="24">
        <v>0.65</v>
      </c>
      <c r="AR12" s="24">
        <v>0.64900000000000002</v>
      </c>
      <c r="AS12" s="24">
        <v>0.64700000000000002</v>
      </c>
      <c r="AT12" s="24">
        <v>0.64700000000000002</v>
      </c>
      <c r="AU12" s="24">
        <v>0.64600000000000002</v>
      </c>
      <c r="AV12" s="24">
        <v>0.64500000000000002</v>
      </c>
      <c r="AW12" s="24">
        <v>0.64500000000000002</v>
      </c>
      <c r="AX12" s="24">
        <v>0.64400000000000002</v>
      </c>
      <c r="AY12" s="24">
        <v>0.64400000000000002</v>
      </c>
      <c r="AZ12" s="24">
        <v>0.64400000000000002</v>
      </c>
      <c r="BA12" s="25">
        <v>0.64400000000000002</v>
      </c>
    </row>
    <row r="13" spans="1:53" s="18" customFormat="1" ht="13.8">
      <c r="B13" s="22" t="s">
        <v>55</v>
      </c>
      <c r="C13" s="21">
        <v>0.80300000000000005</v>
      </c>
      <c r="D13" s="455">
        <v>0.79300000000000004</v>
      </c>
      <c r="E13" s="455">
        <v>0.78</v>
      </c>
      <c r="F13" s="455">
        <v>0.78</v>
      </c>
      <c r="G13" s="455">
        <v>0.76900000000000002</v>
      </c>
      <c r="H13" s="455">
        <v>0.76200000000000001</v>
      </c>
      <c r="I13" s="455">
        <v>0.753</v>
      </c>
      <c r="J13" s="455">
        <v>0.748</v>
      </c>
      <c r="K13" s="455">
        <v>0.74</v>
      </c>
      <c r="L13" s="455">
        <v>0.745</v>
      </c>
      <c r="M13" s="455">
        <v>0.73399999999999999</v>
      </c>
      <c r="N13" s="455">
        <v>0.73899999999999999</v>
      </c>
      <c r="O13" s="455">
        <v>0.747</v>
      </c>
      <c r="P13" s="455">
        <v>0.75</v>
      </c>
      <c r="Q13" s="455">
        <v>0.749</v>
      </c>
      <c r="R13" s="455">
        <v>0.75</v>
      </c>
      <c r="S13" s="455">
        <v>0.74399999999999999</v>
      </c>
      <c r="T13" s="455">
        <v>0.74199999999999999</v>
      </c>
      <c r="U13" s="455">
        <v>0.73799999999999999</v>
      </c>
      <c r="V13" s="455">
        <v>0.73599999999999999</v>
      </c>
      <c r="W13" s="455">
        <v>0.73099999999999998</v>
      </c>
      <c r="X13" s="455">
        <v>0.72499999999999998</v>
      </c>
      <c r="Y13" s="455">
        <v>0.72099999999999997</v>
      </c>
      <c r="Z13" s="455">
        <v>0.71399999999999997</v>
      </c>
      <c r="AA13" s="455">
        <v>0.71299999999999997</v>
      </c>
      <c r="AB13" s="455">
        <v>0.70899999999999996</v>
      </c>
      <c r="AC13" s="455">
        <v>0.70399999999999996</v>
      </c>
      <c r="AD13" s="455">
        <v>0.69799999999999995</v>
      </c>
      <c r="AE13" s="455">
        <v>0.7</v>
      </c>
      <c r="AF13" s="455">
        <v>0.69699999999999995</v>
      </c>
      <c r="AG13" s="455">
        <v>0.69099999999999995</v>
      </c>
      <c r="AH13" s="455">
        <v>0.68700000000000006</v>
      </c>
      <c r="AI13" s="455">
        <v>0.68300000000000005</v>
      </c>
      <c r="AJ13" s="455">
        <v>0.68600000000000005</v>
      </c>
      <c r="AK13" s="455">
        <v>0.68400000000000005</v>
      </c>
      <c r="AL13" s="455">
        <v>0.68100000000000005</v>
      </c>
      <c r="AM13" s="455">
        <v>0.67900000000000005</v>
      </c>
      <c r="AN13" s="455">
        <v>0.67800000000000005</v>
      </c>
      <c r="AO13" s="455">
        <v>0.67600000000000005</v>
      </c>
      <c r="AP13" s="455">
        <v>0.67500000000000004</v>
      </c>
      <c r="AQ13" s="455">
        <v>0.67400000000000004</v>
      </c>
      <c r="AR13" s="455">
        <v>0.67300000000000004</v>
      </c>
      <c r="AS13" s="455">
        <v>0.67300000000000004</v>
      </c>
      <c r="AT13" s="455">
        <v>0.67200000000000004</v>
      </c>
      <c r="AU13" s="455">
        <v>0.67200000000000004</v>
      </c>
      <c r="AV13" s="455">
        <v>0.67100000000000004</v>
      </c>
      <c r="AW13" s="455">
        <v>0.67100000000000004</v>
      </c>
      <c r="AX13" s="455">
        <v>0.67100000000000004</v>
      </c>
      <c r="AY13" s="455">
        <v>0.67100000000000004</v>
      </c>
      <c r="AZ13" s="455">
        <v>0.67</v>
      </c>
      <c r="BA13" s="456">
        <v>0.67</v>
      </c>
    </row>
    <row r="14" spans="1:53" s="18" customFormat="1" ht="13.8">
      <c r="B14" s="22" t="s">
        <v>56</v>
      </c>
      <c r="C14" s="21">
        <v>0.80300000000000005</v>
      </c>
      <c r="D14" s="455">
        <v>0.79300000000000004</v>
      </c>
      <c r="E14" s="455">
        <v>0.78</v>
      </c>
      <c r="F14" s="455">
        <v>0.78</v>
      </c>
      <c r="G14" s="455">
        <v>0.76900000000000002</v>
      </c>
      <c r="H14" s="455">
        <v>0.76200000000000001</v>
      </c>
      <c r="I14" s="455">
        <v>0.753</v>
      </c>
      <c r="J14" s="455">
        <v>0.748</v>
      </c>
      <c r="K14" s="455">
        <v>0.74</v>
      </c>
      <c r="L14" s="455">
        <v>0.745</v>
      </c>
      <c r="M14" s="455">
        <v>0.73399999999999999</v>
      </c>
      <c r="N14" s="455">
        <v>0.73899999999999999</v>
      </c>
      <c r="O14" s="455">
        <v>0.747</v>
      </c>
      <c r="P14" s="455">
        <v>0.75</v>
      </c>
      <c r="Q14" s="455">
        <v>0.749</v>
      </c>
      <c r="R14" s="455">
        <v>0.75</v>
      </c>
      <c r="S14" s="455">
        <v>0.74399999999999999</v>
      </c>
      <c r="T14" s="455">
        <v>0.74199999999999999</v>
      </c>
      <c r="U14" s="455">
        <v>0.73799999999999999</v>
      </c>
      <c r="V14" s="455">
        <v>0.73599999999999999</v>
      </c>
      <c r="W14" s="455">
        <v>0.73199999999999998</v>
      </c>
      <c r="X14" s="455">
        <v>0.72499999999999998</v>
      </c>
      <c r="Y14" s="455">
        <v>0.72099999999999997</v>
      </c>
      <c r="Z14" s="455">
        <v>0.71499999999999997</v>
      </c>
      <c r="AA14" s="455">
        <v>0.71599999999999997</v>
      </c>
      <c r="AB14" s="455">
        <v>0.71299999999999997</v>
      </c>
      <c r="AC14" s="455">
        <v>0.71</v>
      </c>
      <c r="AD14" s="455">
        <v>0.70499999999999996</v>
      </c>
      <c r="AE14" s="455">
        <v>0.70899999999999996</v>
      </c>
      <c r="AF14" s="455">
        <v>0.70599999999999996</v>
      </c>
      <c r="AG14" s="455">
        <v>0.70199999999999996</v>
      </c>
      <c r="AH14" s="455">
        <v>0.69899999999999995</v>
      </c>
      <c r="AI14" s="455">
        <v>0.69599999999999995</v>
      </c>
      <c r="AJ14" s="455">
        <v>0.7</v>
      </c>
      <c r="AK14" s="455">
        <v>0.69799999999999995</v>
      </c>
      <c r="AL14" s="455">
        <v>0.69599999999999995</v>
      </c>
      <c r="AM14" s="455">
        <v>0.69499999999999995</v>
      </c>
      <c r="AN14" s="455">
        <v>0.69399999999999995</v>
      </c>
      <c r="AO14" s="455">
        <v>0.69199999999999995</v>
      </c>
      <c r="AP14" s="455">
        <v>0.69199999999999995</v>
      </c>
      <c r="AQ14" s="455">
        <v>0.69099999999999995</v>
      </c>
      <c r="AR14" s="455">
        <v>0.69099999999999995</v>
      </c>
      <c r="AS14" s="455">
        <v>0.69099999999999995</v>
      </c>
      <c r="AT14" s="455">
        <v>0.69</v>
      </c>
      <c r="AU14" s="455">
        <v>0.69</v>
      </c>
      <c r="AV14" s="455">
        <v>0.69</v>
      </c>
      <c r="AW14" s="455">
        <v>0.69</v>
      </c>
      <c r="AX14" s="455">
        <v>0.68899999999999995</v>
      </c>
      <c r="AY14" s="455">
        <v>0.68899999999999995</v>
      </c>
      <c r="AZ14" s="455">
        <v>0.68899999999999995</v>
      </c>
      <c r="BA14" s="456">
        <v>0.68899999999999995</v>
      </c>
    </row>
    <row r="15" spans="1:53" s="18" customFormat="1" thickBot="1">
      <c r="B15" s="26" t="s">
        <v>57</v>
      </c>
      <c r="C15" s="27">
        <v>0.80300000000000005</v>
      </c>
      <c r="D15" s="457">
        <v>0.79300000000000004</v>
      </c>
      <c r="E15" s="457">
        <v>0.78</v>
      </c>
      <c r="F15" s="457">
        <v>0.78</v>
      </c>
      <c r="G15" s="457">
        <v>0.76900000000000002</v>
      </c>
      <c r="H15" s="457">
        <v>0.76200000000000001</v>
      </c>
      <c r="I15" s="457">
        <v>0.753</v>
      </c>
      <c r="J15" s="457">
        <v>0.748</v>
      </c>
      <c r="K15" s="457">
        <v>0.74</v>
      </c>
      <c r="L15" s="457">
        <v>0.745</v>
      </c>
      <c r="M15" s="457">
        <v>0.73399999999999999</v>
      </c>
      <c r="N15" s="457">
        <v>0.73899999999999999</v>
      </c>
      <c r="O15" s="457">
        <v>0.747</v>
      </c>
      <c r="P15" s="457">
        <v>0.75</v>
      </c>
      <c r="Q15" s="457">
        <v>0.749</v>
      </c>
      <c r="R15" s="457">
        <v>0.75</v>
      </c>
      <c r="S15" s="457">
        <v>0.74399999999999999</v>
      </c>
      <c r="T15" s="457">
        <v>0.74199999999999999</v>
      </c>
      <c r="U15" s="457">
        <v>0.73799999999999999</v>
      </c>
      <c r="V15" s="457">
        <v>0.73599999999999999</v>
      </c>
      <c r="W15" s="457">
        <v>0.73199999999999998</v>
      </c>
      <c r="X15" s="457">
        <v>0.72699999999999998</v>
      </c>
      <c r="Y15" s="457">
        <v>0.72499999999999998</v>
      </c>
      <c r="Z15" s="457">
        <v>0.72199999999999998</v>
      </c>
      <c r="AA15" s="457">
        <v>0.72599999999999998</v>
      </c>
      <c r="AB15" s="457">
        <v>0.72499999999999998</v>
      </c>
      <c r="AC15" s="457">
        <v>0.72299999999999998</v>
      </c>
      <c r="AD15" s="457">
        <v>0.72099999999999997</v>
      </c>
      <c r="AE15" s="457">
        <v>0.72599999999999998</v>
      </c>
      <c r="AF15" s="457">
        <v>0.72399999999999998</v>
      </c>
      <c r="AG15" s="457">
        <v>0.72199999999999998</v>
      </c>
      <c r="AH15" s="457">
        <v>0.72099999999999997</v>
      </c>
      <c r="AI15" s="457">
        <v>0.71899999999999997</v>
      </c>
      <c r="AJ15" s="457">
        <v>0.72299999999999998</v>
      </c>
      <c r="AK15" s="457">
        <v>0.72199999999999998</v>
      </c>
      <c r="AL15" s="457">
        <v>0.72099999999999997</v>
      </c>
      <c r="AM15" s="457">
        <v>0.72099999999999997</v>
      </c>
      <c r="AN15" s="457">
        <v>0.72</v>
      </c>
      <c r="AO15" s="457">
        <v>0.72</v>
      </c>
      <c r="AP15" s="457">
        <v>0.72</v>
      </c>
      <c r="AQ15" s="457">
        <v>0.71899999999999997</v>
      </c>
      <c r="AR15" s="457">
        <v>0.71899999999999997</v>
      </c>
      <c r="AS15" s="457">
        <v>0.71899999999999997</v>
      </c>
      <c r="AT15" s="457">
        <v>0.71899999999999997</v>
      </c>
      <c r="AU15" s="457">
        <v>0.71899999999999997</v>
      </c>
      <c r="AV15" s="457">
        <v>0.71899999999999997</v>
      </c>
      <c r="AW15" s="457">
        <v>0.71899999999999997</v>
      </c>
      <c r="AX15" s="457">
        <v>0.71899999999999997</v>
      </c>
      <c r="AY15" s="457">
        <v>0.71899999999999997</v>
      </c>
      <c r="AZ15" s="457">
        <v>0.71899999999999997</v>
      </c>
      <c r="BA15" s="458">
        <v>0.71899999999999997</v>
      </c>
    </row>
    <row r="16" spans="1:53" s="18" customFormat="1" ht="13.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row>
    <row r="17" spans="2:53" s="2" customFormat="1" ht="13.8">
      <c r="B17" s="6"/>
    </row>
    <row r="18" spans="2:53" s="2" customFormat="1" ht="13.8">
      <c r="B18" s="6"/>
    </row>
    <row r="19" spans="2:53" s="2" customFormat="1" ht="13.8">
      <c r="B19" s="6"/>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row>
    <row r="20" spans="2:53" s="2" customFormat="1" ht="13.8">
      <c r="B20" s="6"/>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row>
    <row r="21" spans="2:53" s="2" customFormat="1" ht="13.8">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row>
    <row r="22" spans="2:53" s="2" customFormat="1" ht="13.8">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row>
    <row r="23" spans="2:53" s="2" customFormat="1" ht="13.8">
      <c r="C23" s="727" t="s">
        <v>237</v>
      </c>
      <c r="D23" s="727"/>
      <c r="E23" s="727"/>
      <c r="F23" s="727"/>
      <c r="G23" s="727"/>
      <c r="H23" s="727"/>
      <c r="I23" s="5"/>
      <c r="J23" s="727" t="s">
        <v>238</v>
      </c>
      <c r="K23" s="727"/>
      <c r="L23" s="727"/>
      <c r="M23" s="727"/>
      <c r="N23" s="727"/>
      <c r="O23" s="727"/>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row>
    <row r="24" spans="2:53" s="2" customFormat="1" ht="15" customHeight="1">
      <c r="C24" s="727"/>
      <c r="D24" s="727"/>
      <c r="E24" s="727"/>
      <c r="F24" s="727"/>
      <c r="G24" s="727"/>
      <c r="H24" s="727"/>
      <c r="I24" s="5"/>
      <c r="J24" s="727"/>
      <c r="K24" s="727"/>
      <c r="L24" s="727"/>
      <c r="M24" s="727"/>
      <c r="N24" s="727"/>
      <c r="O24" s="727"/>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row>
    <row r="25" spans="2:53" s="2" customFormat="1" ht="13.8">
      <c r="C25" s="727"/>
      <c r="D25" s="727"/>
      <c r="E25" s="727"/>
      <c r="F25" s="727"/>
      <c r="G25" s="727"/>
      <c r="H25" s="727"/>
      <c r="I25" s="5"/>
      <c r="J25" s="727"/>
      <c r="K25" s="727"/>
      <c r="L25" s="727"/>
      <c r="M25" s="727"/>
      <c r="N25" s="727"/>
      <c r="O25" s="727"/>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row>
    <row r="26" spans="2:53" s="2" customFormat="1" ht="13.8">
      <c r="C26" s="727"/>
      <c r="D26" s="727"/>
      <c r="E26" s="727"/>
      <c r="F26" s="727"/>
      <c r="G26" s="727"/>
      <c r="H26" s="727"/>
      <c r="I26" s="5"/>
      <c r="J26" s="727"/>
      <c r="K26" s="727"/>
      <c r="L26" s="727"/>
      <c r="M26" s="727"/>
      <c r="N26" s="727"/>
      <c r="O26" s="727"/>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row>
    <row r="27" spans="2:53" s="2" customFormat="1" ht="13.8">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row>
    <row r="28" spans="2:53" s="2" customFormat="1" ht="13.8">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row>
    <row r="29" spans="2:53" s="2" customFormat="1" ht="13.8">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row>
    <row r="30" spans="2:53" s="2" customFormat="1" ht="13.8">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row>
    <row r="31" spans="2:53" s="2" customFormat="1" ht="13.8">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row>
    <row r="32" spans="2:53" s="2" customFormat="1" ht="13.8">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row>
    <row r="33" spans="2:53" s="2" customFormat="1" ht="13.8">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row>
    <row r="34" spans="2:53" s="2" customFormat="1" ht="13.8">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row>
    <row r="35" spans="2:53" s="2" customFormat="1" ht="13.8">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row>
    <row r="36" spans="2:53" s="2" customFormat="1" ht="13.8">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row>
    <row r="37" spans="2:53" s="2" customFormat="1" ht="13.8">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row>
    <row r="38" spans="2:53" s="2" customFormat="1" ht="13.8">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row>
    <row r="39" spans="2:53" s="2" customFormat="1" ht="13.8">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row>
    <row r="40" spans="2:53" s="2" customFormat="1" ht="15.6">
      <c r="B40" s="30" t="s">
        <v>52</v>
      </c>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row>
    <row r="41" spans="2:53" s="2" customFormat="1" thickBot="1">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row>
    <row r="42" spans="2:53" s="2" customFormat="1" thickBot="1">
      <c r="B42" s="19" t="s">
        <v>19</v>
      </c>
      <c r="C42" s="448">
        <v>1940</v>
      </c>
      <c r="D42" s="449">
        <v>1941</v>
      </c>
      <c r="E42" s="449">
        <v>1942</v>
      </c>
      <c r="F42" s="449">
        <v>1943</v>
      </c>
      <c r="G42" s="449">
        <v>1944</v>
      </c>
      <c r="H42" s="449">
        <v>1945</v>
      </c>
      <c r="I42" s="449">
        <v>1946</v>
      </c>
      <c r="J42" s="449">
        <v>1947</v>
      </c>
      <c r="K42" s="449">
        <v>1948</v>
      </c>
      <c r="L42" s="449">
        <v>1949</v>
      </c>
      <c r="M42" s="449">
        <v>1950</v>
      </c>
      <c r="N42" s="449">
        <v>1951</v>
      </c>
      <c r="O42" s="449">
        <v>1952</v>
      </c>
      <c r="P42" s="449">
        <v>1953</v>
      </c>
      <c r="Q42" s="449">
        <v>1954</v>
      </c>
      <c r="R42" s="449">
        <v>1955</v>
      </c>
      <c r="S42" s="449">
        <v>1956</v>
      </c>
      <c r="T42" s="449">
        <v>1957</v>
      </c>
      <c r="U42" s="449">
        <v>1958</v>
      </c>
      <c r="V42" s="449">
        <v>1959</v>
      </c>
      <c r="W42" s="449">
        <v>1960</v>
      </c>
      <c r="X42" s="449">
        <v>1961</v>
      </c>
      <c r="Y42" s="449">
        <v>1962</v>
      </c>
      <c r="Z42" s="449">
        <v>1963</v>
      </c>
      <c r="AA42" s="449">
        <v>1964</v>
      </c>
      <c r="AB42" s="449">
        <v>1965</v>
      </c>
      <c r="AC42" s="449">
        <v>1966</v>
      </c>
      <c r="AD42" s="449">
        <v>1967</v>
      </c>
      <c r="AE42" s="449">
        <v>1968</v>
      </c>
      <c r="AF42" s="449">
        <v>1969</v>
      </c>
      <c r="AG42" s="449">
        <v>1970</v>
      </c>
      <c r="AH42" s="449">
        <v>1971</v>
      </c>
      <c r="AI42" s="449">
        <v>1972</v>
      </c>
      <c r="AJ42" s="449">
        <v>1973</v>
      </c>
      <c r="AK42" s="449">
        <v>1974</v>
      </c>
      <c r="AL42" s="449">
        <v>1975</v>
      </c>
      <c r="AM42" s="449">
        <v>1976</v>
      </c>
      <c r="AN42" s="449">
        <v>1977</v>
      </c>
      <c r="AO42" s="449">
        <v>1978</v>
      </c>
      <c r="AP42" s="449">
        <v>1979</v>
      </c>
      <c r="AQ42" s="449">
        <v>1980</v>
      </c>
      <c r="AR42" s="449">
        <v>1981</v>
      </c>
      <c r="AS42" s="449">
        <v>1982</v>
      </c>
      <c r="AT42" s="449">
        <v>1983</v>
      </c>
      <c r="AU42" s="449">
        <v>1984</v>
      </c>
      <c r="AV42" s="449">
        <v>1985</v>
      </c>
      <c r="AW42" s="449">
        <v>1986</v>
      </c>
      <c r="AX42" s="449">
        <v>1987</v>
      </c>
      <c r="AY42" s="449">
        <v>1988</v>
      </c>
      <c r="AZ42" s="449">
        <v>1989</v>
      </c>
      <c r="BA42" s="450">
        <v>1990</v>
      </c>
    </row>
    <row r="43" spans="2:53" s="2" customFormat="1" ht="13.8">
      <c r="B43" s="20" t="s">
        <v>1</v>
      </c>
      <c r="C43" s="21">
        <v>0.56599999999999995</v>
      </c>
      <c r="D43" s="455">
        <v>0.55700000000000005</v>
      </c>
      <c r="E43" s="455">
        <v>0.54800000000000004</v>
      </c>
      <c r="F43" s="455">
        <v>0.54700000000000004</v>
      </c>
      <c r="G43" s="455">
        <v>0.53800000000000003</v>
      </c>
      <c r="H43" s="455">
        <v>0.53300000000000003</v>
      </c>
      <c r="I43" s="455">
        <v>0.52700000000000002</v>
      </c>
      <c r="J43" s="455">
        <v>0.52400000000000002</v>
      </c>
      <c r="K43" s="455">
        <v>0.51800000000000002</v>
      </c>
      <c r="L43" s="455">
        <v>0.52200000000000002</v>
      </c>
      <c r="M43" s="455">
        <v>0.51600000000000001</v>
      </c>
      <c r="N43" s="455">
        <v>0.52100000000000002</v>
      </c>
      <c r="O43" s="455">
        <v>0.52700000000000002</v>
      </c>
      <c r="P43" s="455">
        <v>0.53100000000000003</v>
      </c>
      <c r="Q43" s="455">
        <v>0.53200000000000003</v>
      </c>
      <c r="R43" s="455">
        <v>0.53400000000000003</v>
      </c>
      <c r="S43" s="455">
        <v>0.53</v>
      </c>
      <c r="T43" s="455">
        <v>0.52900000000000003</v>
      </c>
      <c r="U43" s="455">
        <v>0.52700000000000002</v>
      </c>
      <c r="V43" s="455">
        <v>0.52600000000000002</v>
      </c>
      <c r="W43" s="455">
        <v>0.52400000000000002</v>
      </c>
      <c r="X43" s="455">
        <v>0.52</v>
      </c>
      <c r="Y43" s="455">
        <v>0.51500000000000001</v>
      </c>
      <c r="Z43" s="455">
        <v>0.50900000000000001</v>
      </c>
      <c r="AA43" s="455">
        <v>0.50800000000000001</v>
      </c>
      <c r="AB43" s="455">
        <v>0.505</v>
      </c>
      <c r="AC43" s="455">
        <v>0.5</v>
      </c>
      <c r="AD43" s="455">
        <v>0.49099999999999999</v>
      </c>
      <c r="AE43" s="455">
        <v>0.49099999999999999</v>
      </c>
      <c r="AF43" s="455">
        <v>0.48799999999999999</v>
      </c>
      <c r="AG43" s="455">
        <v>0.47899999999999998</v>
      </c>
      <c r="AH43" s="455">
        <v>0.47299999999999998</v>
      </c>
      <c r="AI43" s="455">
        <v>0.47</v>
      </c>
      <c r="AJ43" s="455">
        <v>0.47199999999999998</v>
      </c>
      <c r="AK43" s="455">
        <v>0.47</v>
      </c>
      <c r="AL43" s="455">
        <v>0.46600000000000003</v>
      </c>
      <c r="AM43" s="455">
        <v>0.46400000000000002</v>
      </c>
      <c r="AN43" s="455">
        <v>0.46300000000000002</v>
      </c>
      <c r="AO43" s="455">
        <v>0.45900000000000002</v>
      </c>
      <c r="AP43" s="455">
        <v>0.45800000000000002</v>
      </c>
      <c r="AQ43" s="455">
        <v>0.45800000000000002</v>
      </c>
      <c r="AR43" s="455">
        <v>0.45700000000000002</v>
      </c>
      <c r="AS43" s="455">
        <v>0.45600000000000002</v>
      </c>
      <c r="AT43" s="455">
        <v>0.45600000000000002</v>
      </c>
      <c r="AU43" s="455">
        <v>0.45600000000000002</v>
      </c>
      <c r="AV43" s="455">
        <v>0.45600000000000002</v>
      </c>
      <c r="AW43" s="455">
        <v>0.45600000000000002</v>
      </c>
      <c r="AX43" s="455">
        <v>0.45500000000000002</v>
      </c>
      <c r="AY43" s="455">
        <v>0.45600000000000002</v>
      </c>
      <c r="AZ43" s="455">
        <v>0.45600000000000002</v>
      </c>
      <c r="BA43" s="456">
        <v>0.45500000000000002</v>
      </c>
    </row>
    <row r="44" spans="2:53" s="2" customFormat="1" ht="13.8">
      <c r="B44" s="22" t="s">
        <v>0</v>
      </c>
      <c r="C44" s="23">
        <v>0.56599999999999995</v>
      </c>
      <c r="D44" s="24">
        <v>0.55700000000000005</v>
      </c>
      <c r="E44" s="24">
        <v>0.54800000000000004</v>
      </c>
      <c r="F44" s="24">
        <v>0.54700000000000004</v>
      </c>
      <c r="G44" s="24">
        <v>0.53800000000000003</v>
      </c>
      <c r="H44" s="24">
        <v>0.53300000000000003</v>
      </c>
      <c r="I44" s="24">
        <v>0.52700000000000002</v>
      </c>
      <c r="J44" s="24">
        <v>0.52400000000000002</v>
      </c>
      <c r="K44" s="24">
        <v>0.51800000000000002</v>
      </c>
      <c r="L44" s="24">
        <v>0.52200000000000002</v>
      </c>
      <c r="M44" s="24">
        <v>0.51600000000000001</v>
      </c>
      <c r="N44" s="24">
        <v>0.52100000000000002</v>
      </c>
      <c r="O44" s="24">
        <v>0.52700000000000002</v>
      </c>
      <c r="P44" s="24">
        <v>0.53100000000000003</v>
      </c>
      <c r="Q44" s="24">
        <v>0.53200000000000003</v>
      </c>
      <c r="R44" s="24">
        <v>0.53400000000000003</v>
      </c>
      <c r="S44" s="24">
        <v>0.53</v>
      </c>
      <c r="T44" s="24">
        <v>0.52900000000000003</v>
      </c>
      <c r="U44" s="24">
        <v>0.52700000000000002</v>
      </c>
      <c r="V44" s="24">
        <v>0.52600000000000002</v>
      </c>
      <c r="W44" s="24">
        <v>0.52400000000000002</v>
      </c>
      <c r="X44" s="24">
        <v>0.52</v>
      </c>
      <c r="Y44" s="24">
        <v>0.51600000000000001</v>
      </c>
      <c r="Z44" s="24">
        <v>0.51</v>
      </c>
      <c r="AA44" s="24">
        <v>0.51</v>
      </c>
      <c r="AB44" s="24">
        <v>0.50600000000000001</v>
      </c>
      <c r="AC44" s="24">
        <v>0.503</v>
      </c>
      <c r="AD44" s="24">
        <v>0.49399999999999999</v>
      </c>
      <c r="AE44" s="24">
        <v>0.496</v>
      </c>
      <c r="AF44" s="24">
        <v>0.49299999999999999</v>
      </c>
      <c r="AG44" s="24">
        <v>0.48499999999999999</v>
      </c>
      <c r="AH44" s="24">
        <v>0.48099999999999998</v>
      </c>
      <c r="AI44" s="24">
        <v>0.47799999999999998</v>
      </c>
      <c r="AJ44" s="24">
        <v>0.48</v>
      </c>
      <c r="AK44" s="24">
        <v>0.47899999999999998</v>
      </c>
      <c r="AL44" s="24">
        <v>0.47499999999999998</v>
      </c>
      <c r="AM44" s="24">
        <v>0.47399999999999998</v>
      </c>
      <c r="AN44" s="24">
        <v>0.47299999999999998</v>
      </c>
      <c r="AO44" s="24">
        <v>0.46899999999999997</v>
      </c>
      <c r="AP44" s="24">
        <v>0.46899999999999997</v>
      </c>
      <c r="AQ44" s="24">
        <v>0.46800000000000003</v>
      </c>
      <c r="AR44" s="24">
        <v>0.46800000000000003</v>
      </c>
      <c r="AS44" s="24">
        <v>0.46700000000000003</v>
      </c>
      <c r="AT44" s="24">
        <v>0.46700000000000003</v>
      </c>
      <c r="AU44" s="24">
        <v>0.46700000000000003</v>
      </c>
      <c r="AV44" s="24">
        <v>0.46700000000000003</v>
      </c>
      <c r="AW44" s="24">
        <v>0.46700000000000003</v>
      </c>
      <c r="AX44" s="24">
        <v>0.46700000000000003</v>
      </c>
      <c r="AY44" s="24">
        <v>0.46700000000000003</v>
      </c>
      <c r="AZ44" s="24">
        <v>0.46700000000000003</v>
      </c>
      <c r="BA44" s="25">
        <v>0.46700000000000003</v>
      </c>
    </row>
    <row r="45" spans="2:53" s="2" customFormat="1" ht="13.8">
      <c r="B45" s="22" t="s">
        <v>2</v>
      </c>
      <c r="C45" s="21">
        <v>0.56599999999999995</v>
      </c>
      <c r="D45" s="455">
        <v>0.55700000000000005</v>
      </c>
      <c r="E45" s="455">
        <v>0.54800000000000004</v>
      </c>
      <c r="F45" s="455">
        <v>0.54700000000000004</v>
      </c>
      <c r="G45" s="455">
        <v>0.53800000000000003</v>
      </c>
      <c r="H45" s="455">
        <v>0.53300000000000003</v>
      </c>
      <c r="I45" s="455">
        <v>0.52700000000000002</v>
      </c>
      <c r="J45" s="455">
        <v>0.52400000000000002</v>
      </c>
      <c r="K45" s="455">
        <v>0.51800000000000002</v>
      </c>
      <c r="L45" s="455">
        <v>0.52200000000000002</v>
      </c>
      <c r="M45" s="455">
        <v>0.51600000000000001</v>
      </c>
      <c r="N45" s="455">
        <v>0.52100000000000002</v>
      </c>
      <c r="O45" s="455">
        <v>0.52700000000000002</v>
      </c>
      <c r="P45" s="455">
        <v>0.53100000000000003</v>
      </c>
      <c r="Q45" s="455">
        <v>0.53200000000000003</v>
      </c>
      <c r="R45" s="455">
        <v>0.53400000000000003</v>
      </c>
      <c r="S45" s="455">
        <v>0.53</v>
      </c>
      <c r="T45" s="455">
        <v>0.52900000000000003</v>
      </c>
      <c r="U45" s="455">
        <v>0.52700000000000002</v>
      </c>
      <c r="V45" s="455">
        <v>0.52600000000000002</v>
      </c>
      <c r="W45" s="455">
        <v>0.52300000000000002</v>
      </c>
      <c r="X45" s="455">
        <v>0.51900000000000002</v>
      </c>
      <c r="Y45" s="455">
        <v>0.51600000000000001</v>
      </c>
      <c r="Z45" s="455">
        <v>0.51100000000000001</v>
      </c>
      <c r="AA45" s="455">
        <v>0.51100000000000001</v>
      </c>
      <c r="AB45" s="455">
        <v>0.50900000000000001</v>
      </c>
      <c r="AC45" s="455">
        <v>0.50600000000000001</v>
      </c>
      <c r="AD45" s="455">
        <v>0.5</v>
      </c>
      <c r="AE45" s="455">
        <v>0.503</v>
      </c>
      <c r="AF45" s="455">
        <v>0.501</v>
      </c>
      <c r="AG45" s="455">
        <v>0.495</v>
      </c>
      <c r="AH45" s="455">
        <v>0.49199999999999999</v>
      </c>
      <c r="AI45" s="455">
        <v>0.49</v>
      </c>
      <c r="AJ45" s="455">
        <v>0.49299999999999999</v>
      </c>
      <c r="AK45" s="455">
        <v>0.49199999999999999</v>
      </c>
      <c r="AL45" s="455">
        <v>0.48899999999999999</v>
      </c>
      <c r="AM45" s="455">
        <v>0.48799999999999999</v>
      </c>
      <c r="AN45" s="455">
        <v>0.48799999999999999</v>
      </c>
      <c r="AO45" s="455">
        <v>0.48499999999999999</v>
      </c>
      <c r="AP45" s="455">
        <v>0.48499999999999999</v>
      </c>
      <c r="AQ45" s="455">
        <v>0.48499999999999999</v>
      </c>
      <c r="AR45" s="455">
        <v>0.48499999999999999</v>
      </c>
      <c r="AS45" s="455">
        <v>0.48499999999999999</v>
      </c>
      <c r="AT45" s="455">
        <v>0.48499999999999999</v>
      </c>
      <c r="AU45" s="455">
        <v>0.48399999999999999</v>
      </c>
      <c r="AV45" s="455">
        <v>0.48399999999999999</v>
      </c>
      <c r="AW45" s="455">
        <v>0.48499999999999999</v>
      </c>
      <c r="AX45" s="455">
        <v>0.48499999999999999</v>
      </c>
      <c r="AY45" s="455">
        <v>0.48499999999999999</v>
      </c>
      <c r="AZ45" s="455">
        <v>0.48499999999999999</v>
      </c>
      <c r="BA45" s="456">
        <v>0.48499999999999999</v>
      </c>
    </row>
    <row r="46" spans="2:53" s="2" customFormat="1" ht="13.8">
      <c r="B46" s="22" t="s">
        <v>3</v>
      </c>
      <c r="C46" s="21">
        <v>0.56599999999999995</v>
      </c>
      <c r="D46" s="455">
        <v>0.55700000000000005</v>
      </c>
      <c r="E46" s="455">
        <v>0.54800000000000004</v>
      </c>
      <c r="F46" s="455">
        <v>0.54700000000000004</v>
      </c>
      <c r="G46" s="455">
        <v>0.53800000000000003</v>
      </c>
      <c r="H46" s="455">
        <v>0.53300000000000003</v>
      </c>
      <c r="I46" s="455">
        <v>0.52700000000000002</v>
      </c>
      <c r="J46" s="455">
        <v>0.52400000000000002</v>
      </c>
      <c r="K46" s="455">
        <v>0.51800000000000002</v>
      </c>
      <c r="L46" s="455">
        <v>0.52200000000000002</v>
      </c>
      <c r="M46" s="455">
        <v>0.51600000000000001</v>
      </c>
      <c r="N46" s="455">
        <v>0.52100000000000002</v>
      </c>
      <c r="O46" s="455">
        <v>0.52700000000000002</v>
      </c>
      <c r="P46" s="455">
        <v>0.53100000000000003</v>
      </c>
      <c r="Q46" s="455">
        <v>0.53200000000000003</v>
      </c>
      <c r="R46" s="455">
        <v>0.53400000000000003</v>
      </c>
      <c r="S46" s="455">
        <v>0.53</v>
      </c>
      <c r="T46" s="455">
        <v>0.52900000000000003</v>
      </c>
      <c r="U46" s="455">
        <v>0.52700000000000002</v>
      </c>
      <c r="V46" s="455">
        <v>0.52600000000000002</v>
      </c>
      <c r="W46" s="455">
        <v>0.52400000000000002</v>
      </c>
      <c r="X46" s="455">
        <v>0.51900000000000002</v>
      </c>
      <c r="Y46" s="455">
        <v>0.51600000000000001</v>
      </c>
      <c r="Z46" s="455">
        <v>0.51100000000000001</v>
      </c>
      <c r="AA46" s="455">
        <v>0.51300000000000001</v>
      </c>
      <c r="AB46" s="455">
        <v>0.51200000000000001</v>
      </c>
      <c r="AC46" s="455">
        <v>0.51100000000000001</v>
      </c>
      <c r="AD46" s="455">
        <v>0.50600000000000001</v>
      </c>
      <c r="AE46" s="455">
        <v>0.50900000000000001</v>
      </c>
      <c r="AF46" s="455">
        <v>0.50800000000000001</v>
      </c>
      <c r="AG46" s="455">
        <v>0.503</v>
      </c>
      <c r="AH46" s="455">
        <v>0.5</v>
      </c>
      <c r="AI46" s="455">
        <v>0.499</v>
      </c>
      <c r="AJ46" s="455">
        <v>0.502</v>
      </c>
      <c r="AK46" s="455">
        <v>0.501</v>
      </c>
      <c r="AL46" s="455">
        <v>0.499</v>
      </c>
      <c r="AM46" s="455">
        <v>0.499</v>
      </c>
      <c r="AN46" s="455">
        <v>0.499</v>
      </c>
      <c r="AO46" s="455">
        <v>0.497</v>
      </c>
      <c r="AP46" s="455">
        <v>0.497</v>
      </c>
      <c r="AQ46" s="455">
        <v>0.497</v>
      </c>
      <c r="AR46" s="455">
        <v>0.497</v>
      </c>
      <c r="AS46" s="455">
        <v>0.497</v>
      </c>
      <c r="AT46" s="455">
        <v>0.497</v>
      </c>
      <c r="AU46" s="455">
        <v>0.497</v>
      </c>
      <c r="AV46" s="455">
        <v>0.497</v>
      </c>
      <c r="AW46" s="455">
        <v>0.497</v>
      </c>
      <c r="AX46" s="455">
        <v>0.497</v>
      </c>
      <c r="AY46" s="455">
        <v>0.497</v>
      </c>
      <c r="AZ46" s="455">
        <v>0.497</v>
      </c>
      <c r="BA46" s="456">
        <v>0.497</v>
      </c>
    </row>
    <row r="47" spans="2:53" s="2" customFormat="1" thickBot="1">
      <c r="B47" s="26" t="s">
        <v>4</v>
      </c>
      <c r="C47" s="27">
        <v>0.56599999999999995</v>
      </c>
      <c r="D47" s="457">
        <v>0.55700000000000005</v>
      </c>
      <c r="E47" s="457">
        <v>0.54800000000000004</v>
      </c>
      <c r="F47" s="457">
        <v>0.54700000000000004</v>
      </c>
      <c r="G47" s="457">
        <v>0.53800000000000003</v>
      </c>
      <c r="H47" s="457">
        <v>0.53300000000000003</v>
      </c>
      <c r="I47" s="457">
        <v>0.52700000000000002</v>
      </c>
      <c r="J47" s="457">
        <v>0.52400000000000002</v>
      </c>
      <c r="K47" s="457">
        <v>0.51800000000000002</v>
      </c>
      <c r="L47" s="457">
        <v>0.52200000000000002</v>
      </c>
      <c r="M47" s="457">
        <v>0.51600000000000001</v>
      </c>
      <c r="N47" s="457">
        <v>0.52100000000000002</v>
      </c>
      <c r="O47" s="457">
        <v>0.52700000000000002</v>
      </c>
      <c r="P47" s="457">
        <v>0.53100000000000003</v>
      </c>
      <c r="Q47" s="457">
        <v>0.53200000000000003</v>
      </c>
      <c r="R47" s="457">
        <v>0.53400000000000003</v>
      </c>
      <c r="S47" s="457">
        <v>0.53</v>
      </c>
      <c r="T47" s="457">
        <v>0.52900000000000003</v>
      </c>
      <c r="U47" s="457">
        <v>0.52700000000000002</v>
      </c>
      <c r="V47" s="457">
        <v>0.52600000000000002</v>
      </c>
      <c r="W47" s="457">
        <v>0.52400000000000002</v>
      </c>
      <c r="X47" s="457">
        <v>0.52100000000000002</v>
      </c>
      <c r="Y47" s="457">
        <v>0.51900000000000002</v>
      </c>
      <c r="Z47" s="457">
        <v>0.51600000000000001</v>
      </c>
      <c r="AA47" s="457">
        <v>0.52</v>
      </c>
      <c r="AB47" s="457">
        <v>0.52</v>
      </c>
      <c r="AC47" s="457">
        <v>0.52</v>
      </c>
      <c r="AD47" s="457">
        <v>0.51700000000000002</v>
      </c>
      <c r="AE47" s="457">
        <v>0.52100000000000002</v>
      </c>
      <c r="AF47" s="457">
        <v>0.52100000000000002</v>
      </c>
      <c r="AG47" s="457">
        <v>0.51700000000000002</v>
      </c>
      <c r="AH47" s="457">
        <v>0.51600000000000001</v>
      </c>
      <c r="AI47" s="457">
        <v>0.51500000000000001</v>
      </c>
      <c r="AJ47" s="457">
        <v>0.51900000000000002</v>
      </c>
      <c r="AK47" s="457">
        <v>0.51800000000000002</v>
      </c>
      <c r="AL47" s="457">
        <v>0.51700000000000002</v>
      </c>
      <c r="AM47" s="457">
        <v>0.51700000000000002</v>
      </c>
      <c r="AN47" s="457">
        <v>0.51700000000000002</v>
      </c>
      <c r="AO47" s="457">
        <v>0.51600000000000001</v>
      </c>
      <c r="AP47" s="457">
        <v>0.51600000000000001</v>
      </c>
      <c r="AQ47" s="457">
        <v>0.51600000000000001</v>
      </c>
      <c r="AR47" s="457">
        <v>0.51600000000000001</v>
      </c>
      <c r="AS47" s="457">
        <v>0.51600000000000001</v>
      </c>
      <c r="AT47" s="457">
        <v>0.51600000000000001</v>
      </c>
      <c r="AU47" s="457">
        <v>0.51600000000000001</v>
      </c>
      <c r="AV47" s="457">
        <v>0.51600000000000001</v>
      </c>
      <c r="AW47" s="457">
        <v>0.51600000000000001</v>
      </c>
      <c r="AX47" s="457">
        <v>0.51600000000000001</v>
      </c>
      <c r="AY47" s="457">
        <v>0.51600000000000001</v>
      </c>
      <c r="AZ47" s="457">
        <v>0.51600000000000001</v>
      </c>
      <c r="BA47" s="458">
        <v>0.51600000000000001</v>
      </c>
    </row>
    <row r="48" spans="2:53" ht="15" thickBot="1">
      <c r="B48"/>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row>
    <row r="49" spans="2:53" s="2" customFormat="1" thickBot="1">
      <c r="B49" s="19" t="s">
        <v>20</v>
      </c>
      <c r="C49" s="448">
        <v>1940</v>
      </c>
      <c r="D49" s="449">
        <v>1941</v>
      </c>
      <c r="E49" s="449">
        <v>1942</v>
      </c>
      <c r="F49" s="449">
        <v>1943</v>
      </c>
      <c r="G49" s="449">
        <v>1944</v>
      </c>
      <c r="H49" s="449">
        <v>1945</v>
      </c>
      <c r="I49" s="449">
        <v>1946</v>
      </c>
      <c r="J49" s="449">
        <v>1947</v>
      </c>
      <c r="K49" s="449">
        <v>1948</v>
      </c>
      <c r="L49" s="449">
        <v>1949</v>
      </c>
      <c r="M49" s="449">
        <v>1950</v>
      </c>
      <c r="N49" s="449">
        <v>1951</v>
      </c>
      <c r="O49" s="449">
        <v>1952</v>
      </c>
      <c r="P49" s="449">
        <v>1953</v>
      </c>
      <c r="Q49" s="449">
        <v>1954</v>
      </c>
      <c r="R49" s="449">
        <v>1955</v>
      </c>
      <c r="S49" s="449">
        <v>1956</v>
      </c>
      <c r="T49" s="449">
        <v>1957</v>
      </c>
      <c r="U49" s="449">
        <v>1958</v>
      </c>
      <c r="V49" s="449">
        <v>1959</v>
      </c>
      <c r="W49" s="449">
        <v>1960</v>
      </c>
      <c r="X49" s="449">
        <v>1961</v>
      </c>
      <c r="Y49" s="449">
        <v>1962</v>
      </c>
      <c r="Z49" s="449">
        <v>1963</v>
      </c>
      <c r="AA49" s="449">
        <v>1964</v>
      </c>
      <c r="AB49" s="449">
        <v>1965</v>
      </c>
      <c r="AC49" s="449">
        <v>1966</v>
      </c>
      <c r="AD49" s="449">
        <v>1967</v>
      </c>
      <c r="AE49" s="449">
        <v>1968</v>
      </c>
      <c r="AF49" s="449">
        <v>1969</v>
      </c>
      <c r="AG49" s="449">
        <v>1970</v>
      </c>
      <c r="AH49" s="449">
        <v>1971</v>
      </c>
      <c r="AI49" s="449">
        <v>1972</v>
      </c>
      <c r="AJ49" s="449">
        <v>1973</v>
      </c>
      <c r="AK49" s="449">
        <v>1974</v>
      </c>
      <c r="AL49" s="449">
        <v>1975</v>
      </c>
      <c r="AM49" s="449">
        <v>1976</v>
      </c>
      <c r="AN49" s="449">
        <v>1977</v>
      </c>
      <c r="AO49" s="449">
        <v>1978</v>
      </c>
      <c r="AP49" s="449">
        <v>1979</v>
      </c>
      <c r="AQ49" s="449">
        <v>1980</v>
      </c>
      <c r="AR49" s="449">
        <v>1981</v>
      </c>
      <c r="AS49" s="449">
        <v>1982</v>
      </c>
      <c r="AT49" s="449">
        <v>1983</v>
      </c>
      <c r="AU49" s="449">
        <v>1984</v>
      </c>
      <c r="AV49" s="449">
        <v>1985</v>
      </c>
      <c r="AW49" s="449">
        <v>1986</v>
      </c>
      <c r="AX49" s="449">
        <v>1987</v>
      </c>
      <c r="AY49" s="449">
        <v>1988</v>
      </c>
      <c r="AZ49" s="449">
        <v>1989</v>
      </c>
      <c r="BA49" s="450">
        <v>1990</v>
      </c>
    </row>
    <row r="50" spans="2:53" s="2" customFormat="1" ht="13.8">
      <c r="B50" s="20" t="s">
        <v>1</v>
      </c>
      <c r="C50" s="21">
        <v>0.23799999999999999</v>
      </c>
      <c r="D50" s="455">
        <v>0.23499999999999999</v>
      </c>
      <c r="E50" s="455">
        <v>0.23300000000000001</v>
      </c>
      <c r="F50" s="455">
        <v>0.23400000000000001</v>
      </c>
      <c r="G50" s="455">
        <v>0.23100000000000001</v>
      </c>
      <c r="H50" s="455">
        <v>0.22900000000000001</v>
      </c>
      <c r="I50" s="455">
        <v>0.22600000000000001</v>
      </c>
      <c r="J50" s="455">
        <v>0.22500000000000001</v>
      </c>
      <c r="K50" s="455">
        <v>0.223</v>
      </c>
      <c r="L50" s="455">
        <v>0.223</v>
      </c>
      <c r="M50" s="455">
        <v>0.218</v>
      </c>
      <c r="N50" s="455">
        <v>0.218</v>
      </c>
      <c r="O50" s="455">
        <v>0.22</v>
      </c>
      <c r="P50" s="455">
        <v>0.219</v>
      </c>
      <c r="Q50" s="455">
        <v>0.218</v>
      </c>
      <c r="R50" s="455">
        <v>0.217</v>
      </c>
      <c r="S50" s="455">
        <v>0.215</v>
      </c>
      <c r="T50" s="455">
        <v>0.21299999999999999</v>
      </c>
      <c r="U50" s="455">
        <v>0.21099999999999999</v>
      </c>
      <c r="V50" s="455">
        <v>0.21</v>
      </c>
      <c r="W50" s="455">
        <v>0.20799999999999999</v>
      </c>
      <c r="X50" s="455">
        <v>0.20599999999999999</v>
      </c>
      <c r="Y50" s="455">
        <v>0.20499999999999999</v>
      </c>
      <c r="Z50" s="455">
        <v>0.20300000000000001</v>
      </c>
      <c r="AA50" s="455">
        <v>0.20100000000000001</v>
      </c>
      <c r="AB50" s="455">
        <v>0.19800000000000001</v>
      </c>
      <c r="AC50" s="455">
        <v>0.19500000000000001</v>
      </c>
      <c r="AD50" s="455">
        <v>0.19400000000000001</v>
      </c>
      <c r="AE50" s="455">
        <v>0.192</v>
      </c>
      <c r="AF50" s="455">
        <v>0.19</v>
      </c>
      <c r="AG50" s="455">
        <v>0.189</v>
      </c>
      <c r="AH50" s="455">
        <v>0.188</v>
      </c>
      <c r="AI50" s="455">
        <v>0.185</v>
      </c>
      <c r="AJ50" s="455">
        <v>0.184</v>
      </c>
      <c r="AK50" s="455">
        <v>0.183</v>
      </c>
      <c r="AL50" s="455">
        <v>0.182</v>
      </c>
      <c r="AM50" s="455">
        <v>0.18</v>
      </c>
      <c r="AN50" s="455">
        <v>0.17899999999999999</v>
      </c>
      <c r="AO50" s="455">
        <v>0.17899999999999999</v>
      </c>
      <c r="AP50" s="455">
        <v>0.17799999999999999</v>
      </c>
      <c r="AQ50" s="455">
        <v>0.17699999999999999</v>
      </c>
      <c r="AR50" s="455">
        <v>0.17599999999999999</v>
      </c>
      <c r="AS50" s="455">
        <v>0.17499999999999999</v>
      </c>
      <c r="AT50" s="455">
        <v>0.17499999999999999</v>
      </c>
      <c r="AU50" s="455">
        <v>0.17399999999999999</v>
      </c>
      <c r="AV50" s="455">
        <v>0.17299999999999999</v>
      </c>
      <c r="AW50" s="455">
        <v>0.17299999999999999</v>
      </c>
      <c r="AX50" s="455">
        <v>0.17199999999999999</v>
      </c>
      <c r="AY50" s="455">
        <v>0.17199999999999999</v>
      </c>
      <c r="AZ50" s="455">
        <v>0.17199999999999999</v>
      </c>
      <c r="BA50" s="456">
        <v>0.17100000000000001</v>
      </c>
    </row>
    <row r="51" spans="2:53" s="2" customFormat="1" ht="13.8">
      <c r="B51" s="22" t="s">
        <v>0</v>
      </c>
      <c r="C51" s="23">
        <v>0.23799999999999999</v>
      </c>
      <c r="D51" s="24">
        <v>0.23499999999999999</v>
      </c>
      <c r="E51" s="24">
        <v>0.23300000000000001</v>
      </c>
      <c r="F51" s="24">
        <v>0.23400000000000001</v>
      </c>
      <c r="G51" s="24">
        <v>0.23100000000000001</v>
      </c>
      <c r="H51" s="24">
        <v>0.22900000000000001</v>
      </c>
      <c r="I51" s="24">
        <v>0.22600000000000001</v>
      </c>
      <c r="J51" s="24">
        <v>0.22500000000000001</v>
      </c>
      <c r="K51" s="24">
        <v>0.223</v>
      </c>
      <c r="L51" s="24">
        <v>0.223</v>
      </c>
      <c r="M51" s="24">
        <v>0.218</v>
      </c>
      <c r="N51" s="24">
        <v>0.218</v>
      </c>
      <c r="O51" s="24">
        <v>0.22</v>
      </c>
      <c r="P51" s="24">
        <v>0.219</v>
      </c>
      <c r="Q51" s="24">
        <v>0.218</v>
      </c>
      <c r="R51" s="24">
        <v>0.217</v>
      </c>
      <c r="S51" s="24">
        <v>0.215</v>
      </c>
      <c r="T51" s="24">
        <v>0.21299999999999999</v>
      </c>
      <c r="U51" s="24">
        <v>0.21099999999999999</v>
      </c>
      <c r="V51" s="24">
        <v>0.21</v>
      </c>
      <c r="W51" s="24">
        <v>0.20799999999999999</v>
      </c>
      <c r="X51" s="24">
        <v>0.20699999999999999</v>
      </c>
      <c r="Y51" s="24">
        <v>0.20499999999999999</v>
      </c>
      <c r="Z51" s="24">
        <v>0.20300000000000001</v>
      </c>
      <c r="AA51" s="24">
        <v>0.20200000000000001</v>
      </c>
      <c r="AB51" s="24">
        <v>0.19900000000000001</v>
      </c>
      <c r="AC51" s="24">
        <v>0.19600000000000001</v>
      </c>
      <c r="AD51" s="24">
        <v>0.19600000000000001</v>
      </c>
      <c r="AE51" s="24">
        <v>0.19400000000000001</v>
      </c>
      <c r="AF51" s="24">
        <v>0.192</v>
      </c>
      <c r="AG51" s="24">
        <v>0.192</v>
      </c>
      <c r="AH51" s="24">
        <v>0.19</v>
      </c>
      <c r="AI51" s="24">
        <v>0.189</v>
      </c>
      <c r="AJ51" s="24">
        <v>0.188</v>
      </c>
      <c r="AK51" s="24">
        <v>0.186</v>
      </c>
      <c r="AL51" s="24">
        <v>0.186</v>
      </c>
      <c r="AM51" s="24">
        <v>0.185</v>
      </c>
      <c r="AN51" s="24">
        <v>0.183</v>
      </c>
      <c r="AO51" s="24">
        <v>0.183</v>
      </c>
      <c r="AP51" s="24">
        <v>0.182</v>
      </c>
      <c r="AQ51" s="24">
        <v>0.182</v>
      </c>
      <c r="AR51" s="24">
        <v>0.18099999999999999</v>
      </c>
      <c r="AS51" s="24">
        <v>0.18</v>
      </c>
      <c r="AT51" s="24">
        <v>0.18</v>
      </c>
      <c r="AU51" s="24">
        <v>0.17899999999999999</v>
      </c>
      <c r="AV51" s="24">
        <v>0.17799999999999999</v>
      </c>
      <c r="AW51" s="24">
        <v>0.17799999999999999</v>
      </c>
      <c r="AX51" s="24">
        <v>0.17799999999999999</v>
      </c>
      <c r="AY51" s="24">
        <v>0.17699999999999999</v>
      </c>
      <c r="AZ51" s="24">
        <v>0.17699999999999999</v>
      </c>
      <c r="BA51" s="25">
        <v>0.17699999999999999</v>
      </c>
    </row>
    <row r="52" spans="2:53" s="2" customFormat="1" ht="13.8">
      <c r="B52" s="22" t="s">
        <v>2</v>
      </c>
      <c r="C52" s="21">
        <v>0.23799999999999999</v>
      </c>
      <c r="D52" s="455">
        <v>0.23499999999999999</v>
      </c>
      <c r="E52" s="455">
        <v>0.23300000000000001</v>
      </c>
      <c r="F52" s="455">
        <v>0.23400000000000001</v>
      </c>
      <c r="G52" s="455">
        <v>0.23100000000000001</v>
      </c>
      <c r="H52" s="455">
        <v>0.22900000000000001</v>
      </c>
      <c r="I52" s="455">
        <v>0.22600000000000001</v>
      </c>
      <c r="J52" s="455">
        <v>0.22500000000000001</v>
      </c>
      <c r="K52" s="455">
        <v>0.223</v>
      </c>
      <c r="L52" s="455">
        <v>0.223</v>
      </c>
      <c r="M52" s="455">
        <v>0.218</v>
      </c>
      <c r="N52" s="455">
        <v>0.218</v>
      </c>
      <c r="O52" s="455">
        <v>0.22</v>
      </c>
      <c r="P52" s="455">
        <v>0.219</v>
      </c>
      <c r="Q52" s="455">
        <v>0.218</v>
      </c>
      <c r="R52" s="455">
        <v>0.217</v>
      </c>
      <c r="S52" s="455">
        <v>0.215</v>
      </c>
      <c r="T52" s="455">
        <v>0.21299999999999999</v>
      </c>
      <c r="U52" s="455">
        <v>0.21099999999999999</v>
      </c>
      <c r="V52" s="455">
        <v>0.21</v>
      </c>
      <c r="W52" s="455">
        <v>0.20799999999999999</v>
      </c>
      <c r="X52" s="455">
        <v>0.20599999999999999</v>
      </c>
      <c r="Y52" s="455">
        <v>0.20499999999999999</v>
      </c>
      <c r="Z52" s="455">
        <v>0.20300000000000001</v>
      </c>
      <c r="AA52" s="455">
        <v>0.20200000000000001</v>
      </c>
      <c r="AB52" s="455">
        <v>0.2</v>
      </c>
      <c r="AC52" s="455">
        <v>0.19800000000000001</v>
      </c>
      <c r="AD52" s="455">
        <v>0.19800000000000001</v>
      </c>
      <c r="AE52" s="455">
        <v>0.19700000000000001</v>
      </c>
      <c r="AF52" s="455">
        <v>0.19500000000000001</v>
      </c>
      <c r="AG52" s="455">
        <v>0.19600000000000001</v>
      </c>
      <c r="AH52" s="455">
        <v>0.19500000000000001</v>
      </c>
      <c r="AI52" s="455">
        <v>0.19400000000000001</v>
      </c>
      <c r="AJ52" s="455">
        <v>0.193</v>
      </c>
      <c r="AK52" s="455">
        <v>0.192</v>
      </c>
      <c r="AL52" s="455">
        <v>0.192</v>
      </c>
      <c r="AM52" s="455">
        <v>0.191</v>
      </c>
      <c r="AN52" s="455">
        <v>0.19</v>
      </c>
      <c r="AO52" s="455">
        <v>0.19</v>
      </c>
      <c r="AP52" s="455">
        <v>0.19</v>
      </c>
      <c r="AQ52" s="455">
        <v>0.189</v>
      </c>
      <c r="AR52" s="455">
        <v>0.189</v>
      </c>
      <c r="AS52" s="455">
        <v>0.188</v>
      </c>
      <c r="AT52" s="455">
        <v>0.188</v>
      </c>
      <c r="AU52" s="455">
        <v>0.187</v>
      </c>
      <c r="AV52" s="455">
        <v>0.187</v>
      </c>
      <c r="AW52" s="455">
        <v>0.187</v>
      </c>
      <c r="AX52" s="455">
        <v>0.186</v>
      </c>
      <c r="AY52" s="455">
        <v>0.186</v>
      </c>
      <c r="AZ52" s="455">
        <v>0.186</v>
      </c>
      <c r="BA52" s="456">
        <v>0.186</v>
      </c>
    </row>
    <row r="53" spans="2:53" s="2" customFormat="1" ht="13.8">
      <c r="B53" s="22" t="s">
        <v>3</v>
      </c>
      <c r="C53" s="21">
        <v>0.23799999999999999</v>
      </c>
      <c r="D53" s="455">
        <v>0.23499999999999999</v>
      </c>
      <c r="E53" s="455">
        <v>0.23300000000000001</v>
      </c>
      <c r="F53" s="455">
        <v>0.23400000000000001</v>
      </c>
      <c r="G53" s="455">
        <v>0.23100000000000001</v>
      </c>
      <c r="H53" s="455">
        <v>0.22900000000000001</v>
      </c>
      <c r="I53" s="455">
        <v>0.22600000000000001</v>
      </c>
      <c r="J53" s="455">
        <v>0.22500000000000001</v>
      </c>
      <c r="K53" s="455">
        <v>0.223</v>
      </c>
      <c r="L53" s="455">
        <v>0.223</v>
      </c>
      <c r="M53" s="455">
        <v>0.218</v>
      </c>
      <c r="N53" s="455">
        <v>0.218</v>
      </c>
      <c r="O53" s="455">
        <v>0.22</v>
      </c>
      <c r="P53" s="455">
        <v>0.219</v>
      </c>
      <c r="Q53" s="455">
        <v>0.218</v>
      </c>
      <c r="R53" s="455">
        <v>0.217</v>
      </c>
      <c r="S53" s="455">
        <v>0.215</v>
      </c>
      <c r="T53" s="455">
        <v>0.21299999999999999</v>
      </c>
      <c r="U53" s="455">
        <v>0.21099999999999999</v>
      </c>
      <c r="V53" s="455">
        <v>0.21</v>
      </c>
      <c r="W53" s="455">
        <v>0.20799999999999999</v>
      </c>
      <c r="X53" s="455">
        <v>0.20599999999999999</v>
      </c>
      <c r="Y53" s="455">
        <v>0.20499999999999999</v>
      </c>
      <c r="Z53" s="455">
        <v>0.20300000000000001</v>
      </c>
      <c r="AA53" s="455">
        <v>0.20300000000000001</v>
      </c>
      <c r="AB53" s="455">
        <v>0.20100000000000001</v>
      </c>
      <c r="AC53" s="455">
        <v>0.19900000000000001</v>
      </c>
      <c r="AD53" s="455">
        <v>0.2</v>
      </c>
      <c r="AE53" s="455">
        <v>0.19900000000000001</v>
      </c>
      <c r="AF53" s="455">
        <v>0.19800000000000001</v>
      </c>
      <c r="AG53" s="455">
        <v>0.19900000000000001</v>
      </c>
      <c r="AH53" s="455">
        <v>0.19900000000000001</v>
      </c>
      <c r="AI53" s="455">
        <v>0.19700000000000001</v>
      </c>
      <c r="AJ53" s="455">
        <v>0.19700000000000001</v>
      </c>
      <c r="AK53" s="455">
        <v>0.19600000000000001</v>
      </c>
      <c r="AL53" s="455">
        <v>0.19600000000000001</v>
      </c>
      <c r="AM53" s="455">
        <v>0.19600000000000001</v>
      </c>
      <c r="AN53" s="455">
        <v>0.19500000000000001</v>
      </c>
      <c r="AO53" s="455">
        <v>0.19500000000000001</v>
      </c>
      <c r="AP53" s="455">
        <v>0.19500000000000001</v>
      </c>
      <c r="AQ53" s="455">
        <v>0.19400000000000001</v>
      </c>
      <c r="AR53" s="455">
        <v>0.19400000000000001</v>
      </c>
      <c r="AS53" s="455">
        <v>0.19400000000000001</v>
      </c>
      <c r="AT53" s="455">
        <v>0.19400000000000001</v>
      </c>
      <c r="AU53" s="455">
        <v>0.193</v>
      </c>
      <c r="AV53" s="455">
        <v>0.193</v>
      </c>
      <c r="AW53" s="455">
        <v>0.193</v>
      </c>
      <c r="AX53" s="455">
        <v>0.193</v>
      </c>
      <c r="AY53" s="455">
        <v>0.192</v>
      </c>
      <c r="AZ53" s="455">
        <v>0.192</v>
      </c>
      <c r="BA53" s="456">
        <v>0.192</v>
      </c>
    </row>
    <row r="54" spans="2:53" s="2" customFormat="1" thickBot="1">
      <c r="B54" s="26" t="s">
        <v>4</v>
      </c>
      <c r="C54" s="27">
        <v>0.23799999999999999</v>
      </c>
      <c r="D54" s="457">
        <v>0.23499999999999999</v>
      </c>
      <c r="E54" s="457">
        <v>0.23300000000000001</v>
      </c>
      <c r="F54" s="457">
        <v>0.23400000000000001</v>
      </c>
      <c r="G54" s="457">
        <v>0.23100000000000001</v>
      </c>
      <c r="H54" s="457">
        <v>0.22900000000000001</v>
      </c>
      <c r="I54" s="457">
        <v>0.22600000000000001</v>
      </c>
      <c r="J54" s="457">
        <v>0.22500000000000001</v>
      </c>
      <c r="K54" s="457">
        <v>0.223</v>
      </c>
      <c r="L54" s="457">
        <v>0.223</v>
      </c>
      <c r="M54" s="457">
        <v>0.218</v>
      </c>
      <c r="N54" s="457">
        <v>0.218</v>
      </c>
      <c r="O54" s="457">
        <v>0.22</v>
      </c>
      <c r="P54" s="457">
        <v>0.219</v>
      </c>
      <c r="Q54" s="457">
        <v>0.218</v>
      </c>
      <c r="R54" s="457">
        <v>0.217</v>
      </c>
      <c r="S54" s="457">
        <v>0.215</v>
      </c>
      <c r="T54" s="457">
        <v>0.21299999999999999</v>
      </c>
      <c r="U54" s="457">
        <v>0.21099999999999999</v>
      </c>
      <c r="V54" s="457">
        <v>0.21</v>
      </c>
      <c r="W54" s="457">
        <v>0.20799999999999999</v>
      </c>
      <c r="X54" s="457">
        <v>0.20699999999999999</v>
      </c>
      <c r="Y54" s="457">
        <v>0.20599999999999999</v>
      </c>
      <c r="Z54" s="457">
        <v>0.20499999999999999</v>
      </c>
      <c r="AA54" s="457">
        <v>0.20599999999999999</v>
      </c>
      <c r="AB54" s="457">
        <v>0.20499999999999999</v>
      </c>
      <c r="AC54" s="457">
        <v>0.20300000000000001</v>
      </c>
      <c r="AD54" s="457">
        <v>0.20399999999999999</v>
      </c>
      <c r="AE54" s="457">
        <v>0.20499999999999999</v>
      </c>
      <c r="AF54" s="457">
        <v>0.20399999999999999</v>
      </c>
      <c r="AG54" s="457">
        <v>0.20499999999999999</v>
      </c>
      <c r="AH54" s="457">
        <v>0.20499999999999999</v>
      </c>
      <c r="AI54" s="457">
        <v>0.20399999999999999</v>
      </c>
      <c r="AJ54" s="457">
        <v>0.20399999999999999</v>
      </c>
      <c r="AK54" s="457">
        <v>0.20399999999999999</v>
      </c>
      <c r="AL54" s="457">
        <v>0.20399999999999999</v>
      </c>
      <c r="AM54" s="457">
        <v>0.20399999999999999</v>
      </c>
      <c r="AN54" s="457">
        <v>0.20399999999999999</v>
      </c>
      <c r="AO54" s="457">
        <v>0.20399999999999999</v>
      </c>
      <c r="AP54" s="457">
        <v>0.20399999999999999</v>
      </c>
      <c r="AQ54" s="457">
        <v>0.20399999999999999</v>
      </c>
      <c r="AR54" s="457">
        <v>0.20399999999999999</v>
      </c>
      <c r="AS54" s="457">
        <v>0.20300000000000001</v>
      </c>
      <c r="AT54" s="457">
        <v>0.20300000000000001</v>
      </c>
      <c r="AU54" s="457">
        <v>0.20300000000000001</v>
      </c>
      <c r="AV54" s="457">
        <v>0.20300000000000001</v>
      </c>
      <c r="AW54" s="457">
        <v>0.20300000000000001</v>
      </c>
      <c r="AX54" s="457">
        <v>0.20300000000000001</v>
      </c>
      <c r="AY54" s="457">
        <v>0.20300000000000001</v>
      </c>
      <c r="AZ54" s="457">
        <v>0.20300000000000001</v>
      </c>
      <c r="BA54" s="458">
        <v>0.20300000000000001</v>
      </c>
    </row>
    <row r="57" spans="2:53">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0"/>
      <c r="AU57" s="10"/>
      <c r="AV57" s="10"/>
      <c r="AW57" s="10"/>
      <c r="AX57" s="10"/>
      <c r="AY57" s="10"/>
      <c r="AZ57" s="10"/>
      <c r="BA57" s="10"/>
    </row>
    <row r="58" spans="2:53">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0"/>
      <c r="AU58" s="10"/>
      <c r="AV58" s="10"/>
      <c r="AW58" s="10"/>
      <c r="AX58" s="10"/>
      <c r="AY58" s="10"/>
      <c r="AZ58" s="10"/>
      <c r="BA58" s="10"/>
    </row>
    <row r="59" spans="2:53">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0"/>
      <c r="AU59" s="10"/>
      <c r="AV59" s="10"/>
      <c r="AW59" s="10"/>
      <c r="AX59" s="10"/>
      <c r="AY59" s="10"/>
      <c r="AZ59" s="10"/>
      <c r="BA59" s="10"/>
    </row>
    <row r="60" spans="2:53">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0"/>
      <c r="AU60" s="10"/>
      <c r="AV60" s="10"/>
      <c r="AW60" s="10"/>
      <c r="AX60" s="10"/>
      <c r="AY60" s="10"/>
      <c r="AZ60" s="10"/>
      <c r="BA60" s="10"/>
    </row>
    <row r="61" spans="2:53">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0"/>
      <c r="AU61" s="10"/>
      <c r="AV61" s="10"/>
      <c r="AW61" s="10"/>
      <c r="AX61" s="10"/>
      <c r="AY61" s="10"/>
      <c r="AZ61" s="10"/>
      <c r="BA61" s="10"/>
    </row>
  </sheetData>
  <mergeCells count="2">
    <mergeCell ref="C23:H26"/>
    <mergeCell ref="J23:O26"/>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37"/>
  <sheetViews>
    <sheetView topLeftCell="A13" workbookViewId="0">
      <selection activeCell="I36" sqref="I36"/>
    </sheetView>
  </sheetViews>
  <sheetFormatPr baseColWidth="10" defaultColWidth="11.44140625" defaultRowHeight="13.8"/>
  <cols>
    <col min="1" max="1" width="11.44140625" style="2"/>
    <col min="2" max="2" width="29.5546875" style="2" customWidth="1"/>
    <col min="3" max="3" width="15.88671875" style="5" customWidth="1"/>
    <col min="4" max="10" width="7.88671875" style="5" customWidth="1"/>
    <col min="11" max="72" width="6.88671875" style="5" customWidth="1"/>
    <col min="73" max="16384" width="11.44140625" style="2"/>
  </cols>
  <sheetData>
    <row r="1" spans="1:72" ht="15.6">
      <c r="A1" s="30" t="s">
        <v>240</v>
      </c>
    </row>
    <row r="2" spans="1:72" ht="15.6">
      <c r="A2" s="13"/>
    </row>
    <row r="3" spans="1:72" ht="14.4" thickBot="1">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row>
    <row r="4" spans="1:72" ht="95.25" customHeight="1" thickBot="1">
      <c r="B4" s="32" t="s">
        <v>13</v>
      </c>
      <c r="C4" s="33" t="s">
        <v>45</v>
      </c>
      <c r="D4" s="34" t="s">
        <v>17</v>
      </c>
      <c r="E4" s="459" t="s">
        <v>24</v>
      </c>
      <c r="F4" s="460" t="s">
        <v>25</v>
      </c>
      <c r="G4" s="460" t="s">
        <v>26</v>
      </c>
      <c r="H4" s="460" t="s">
        <v>27</v>
      </c>
      <c r="I4" s="461" t="s">
        <v>28</v>
      </c>
      <c r="J4" s="462" t="s">
        <v>29</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row>
    <row r="5" spans="1:72">
      <c r="B5" s="35" t="s">
        <v>38</v>
      </c>
      <c r="C5" s="36" t="s">
        <v>14</v>
      </c>
      <c r="D5" s="37"/>
      <c r="E5" s="463">
        <v>0.55900000000000005</v>
      </c>
      <c r="F5" s="464">
        <v>0.57799999999999996</v>
      </c>
      <c r="G5" s="464">
        <v>0.59599999999999997</v>
      </c>
      <c r="H5" s="464">
        <v>0.61499999999999999</v>
      </c>
      <c r="I5" s="465">
        <v>0.63400000000000001</v>
      </c>
      <c r="J5" s="466">
        <v>0.65200000000000002</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row>
    <row r="6" spans="1:72">
      <c r="B6" s="139" t="s">
        <v>39</v>
      </c>
      <c r="C6" s="140" t="s">
        <v>15</v>
      </c>
      <c r="D6" s="141">
        <v>0.75</v>
      </c>
      <c r="E6" s="142">
        <v>0.75700000000000001</v>
      </c>
      <c r="F6" s="143">
        <v>0.78900000000000003</v>
      </c>
      <c r="G6" s="143">
        <v>0.81799999999999995</v>
      </c>
      <c r="H6" s="143">
        <v>0.84799999999999998</v>
      </c>
      <c r="I6" s="144">
        <v>0.877</v>
      </c>
      <c r="J6" s="145">
        <v>0.90600000000000003</v>
      </c>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row>
    <row r="7" spans="1:72" ht="27.6">
      <c r="B7" s="35" t="s">
        <v>40</v>
      </c>
      <c r="C7" s="36" t="s">
        <v>48</v>
      </c>
      <c r="D7" s="38"/>
      <c r="E7" s="39">
        <v>0.78</v>
      </c>
      <c r="F7" s="40">
        <v>0.77700000000000002</v>
      </c>
      <c r="G7" s="40">
        <v>0.77200000000000002</v>
      </c>
      <c r="H7" s="40">
        <v>0.77</v>
      </c>
      <c r="I7" s="41">
        <v>0.76700000000000002</v>
      </c>
      <c r="J7" s="42">
        <v>0.76300000000000001</v>
      </c>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row>
    <row r="8" spans="1:72" ht="28.2" thickBot="1">
      <c r="B8" s="43" t="s">
        <v>41</v>
      </c>
      <c r="C8" s="44" t="s">
        <v>16</v>
      </c>
      <c r="D8" s="45"/>
      <c r="E8" s="46">
        <v>0.749</v>
      </c>
      <c r="F8" s="47">
        <v>0.78100000000000003</v>
      </c>
      <c r="G8" s="47">
        <v>0.80800000000000005</v>
      </c>
      <c r="H8" s="47">
        <v>0.83699999999999997</v>
      </c>
      <c r="I8" s="48">
        <v>0.86599999999999999</v>
      </c>
      <c r="J8" s="49">
        <v>0.89500000000000002</v>
      </c>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row>
    <row r="9" spans="1:72" ht="41.4">
      <c r="B9" s="146" t="s">
        <v>42</v>
      </c>
      <c r="C9" s="147" t="s">
        <v>62</v>
      </c>
      <c r="D9" s="148"/>
      <c r="E9" s="467">
        <v>0.68400000000000005</v>
      </c>
      <c r="F9" s="468">
        <v>0.72</v>
      </c>
      <c r="G9" s="468">
        <v>0.76200000000000001</v>
      </c>
      <c r="H9" s="468">
        <v>0.80100000000000005</v>
      </c>
      <c r="I9" s="469">
        <v>0.83899999999999997</v>
      </c>
      <c r="J9" s="470">
        <v>0.876</v>
      </c>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row>
    <row r="10" spans="1:72" ht="27.6">
      <c r="B10" s="35" t="s">
        <v>43</v>
      </c>
      <c r="C10" s="36" t="s">
        <v>63</v>
      </c>
      <c r="D10" s="38"/>
      <c r="E10" s="39">
        <v>0.76200000000000001</v>
      </c>
      <c r="F10" s="40">
        <v>0.80200000000000005</v>
      </c>
      <c r="G10" s="40">
        <v>0.84799999999999998</v>
      </c>
      <c r="H10" s="40">
        <v>0.89100000000000001</v>
      </c>
      <c r="I10" s="41">
        <v>0.93500000000000005</v>
      </c>
      <c r="J10" s="42">
        <v>0.97599999999999998</v>
      </c>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ht="42" thickBot="1">
      <c r="B11" s="50" t="s">
        <v>44</v>
      </c>
      <c r="C11" s="51" t="s">
        <v>64</v>
      </c>
      <c r="D11" s="52"/>
      <c r="E11" s="47">
        <v>0.53700000000000003</v>
      </c>
      <c r="F11" s="47">
        <v>0.56299999999999994</v>
      </c>
      <c r="G11" s="47">
        <v>0.59299999999999997</v>
      </c>
      <c r="H11" s="47">
        <v>0.622</v>
      </c>
      <c r="I11" s="48">
        <v>0.65100000000000002</v>
      </c>
      <c r="J11" s="49">
        <v>0.67900000000000005</v>
      </c>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c r="B13" s="6"/>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c r="B14" s="7"/>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c r="B15" s="7"/>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20" spans="2:10" ht="15.6">
      <c r="B20" s="30" t="s">
        <v>58</v>
      </c>
    </row>
    <row r="21" spans="2:10" ht="14.4" thickBot="1"/>
    <row r="22" spans="2:10" ht="42" thickBot="1">
      <c r="B22" s="32" t="s">
        <v>13</v>
      </c>
      <c r="C22" s="33" t="s">
        <v>65</v>
      </c>
      <c r="D22" s="34" t="s">
        <v>17</v>
      </c>
      <c r="E22" s="459" t="s">
        <v>24</v>
      </c>
      <c r="F22" s="460" t="s">
        <v>25</v>
      </c>
      <c r="G22" s="460" t="s">
        <v>26</v>
      </c>
      <c r="H22" s="460" t="s">
        <v>27</v>
      </c>
      <c r="I22" s="461" t="s">
        <v>28</v>
      </c>
      <c r="J22" s="462" t="s">
        <v>29</v>
      </c>
    </row>
    <row r="23" spans="2:10">
      <c r="B23" s="728" t="s">
        <v>38</v>
      </c>
      <c r="C23" s="36" t="s">
        <v>19</v>
      </c>
      <c r="D23" s="471"/>
      <c r="E23" s="472">
        <v>0.21</v>
      </c>
      <c r="F23" s="472">
        <v>0.221</v>
      </c>
      <c r="G23" s="472">
        <v>0.23100000000000001</v>
      </c>
      <c r="H23" s="472">
        <v>0.24099999999999999</v>
      </c>
      <c r="I23" s="472">
        <v>0.251</v>
      </c>
      <c r="J23" s="473">
        <v>0.26100000000000001</v>
      </c>
    </row>
    <row r="24" spans="2:10">
      <c r="B24" s="730"/>
      <c r="C24" s="36" t="s">
        <v>20</v>
      </c>
      <c r="D24" s="53"/>
      <c r="E24" s="54">
        <v>8.8999999999999996E-2</v>
      </c>
      <c r="F24" s="54">
        <v>0.09</v>
      </c>
      <c r="G24" s="54">
        <v>9.1999999999999998E-2</v>
      </c>
      <c r="H24" s="54">
        <v>9.4E-2</v>
      </c>
      <c r="I24" s="54">
        <v>9.6000000000000002E-2</v>
      </c>
      <c r="J24" s="55">
        <v>9.7000000000000003E-2</v>
      </c>
    </row>
    <row r="25" spans="2:10" ht="14.4" thickBot="1">
      <c r="B25" s="729"/>
      <c r="C25" s="44" t="s">
        <v>59</v>
      </c>
      <c r="D25" s="56"/>
      <c r="E25" s="57">
        <v>0.26</v>
      </c>
      <c r="F25" s="57">
        <v>0.26700000000000002</v>
      </c>
      <c r="G25" s="57">
        <v>0.27400000000000002</v>
      </c>
      <c r="H25" s="57">
        <v>0.28000000000000003</v>
      </c>
      <c r="I25" s="57">
        <v>0.28699999999999998</v>
      </c>
      <c r="J25" s="58">
        <v>0.29399999999999998</v>
      </c>
    </row>
    <row r="26" spans="2:10">
      <c r="B26" s="731" t="s">
        <v>39</v>
      </c>
      <c r="C26" s="133" t="s">
        <v>19</v>
      </c>
      <c r="D26" s="474">
        <v>0.53100000000000003</v>
      </c>
      <c r="E26" s="475">
        <v>0.53200000000000003</v>
      </c>
      <c r="F26" s="475">
        <v>0.56000000000000005</v>
      </c>
      <c r="G26" s="475">
        <v>0.58399999999999996</v>
      </c>
      <c r="H26" s="475">
        <v>0.61</v>
      </c>
      <c r="I26" s="475">
        <v>0.63500000000000001</v>
      </c>
      <c r="J26" s="476">
        <v>0.66</v>
      </c>
    </row>
    <row r="27" spans="2:10" ht="14.4" thickBot="1">
      <c r="B27" s="732"/>
      <c r="C27" s="134" t="s">
        <v>20</v>
      </c>
      <c r="D27" s="138">
        <v>0.219</v>
      </c>
      <c r="E27" s="136">
        <v>0.22500000000000001</v>
      </c>
      <c r="F27" s="136">
        <v>0.22900000000000001</v>
      </c>
      <c r="G27" s="136">
        <v>0.23400000000000001</v>
      </c>
      <c r="H27" s="136">
        <v>0.23799999999999999</v>
      </c>
      <c r="I27" s="136">
        <v>0.24199999999999999</v>
      </c>
      <c r="J27" s="137">
        <v>0.246</v>
      </c>
    </row>
    <row r="28" spans="2:10" ht="30" customHeight="1">
      <c r="B28" s="728" t="s">
        <v>40</v>
      </c>
      <c r="C28" s="59" t="s">
        <v>19</v>
      </c>
      <c r="D28" s="60"/>
      <c r="E28" s="61">
        <v>0.53600000000000003</v>
      </c>
      <c r="F28" s="61">
        <v>0.53</v>
      </c>
      <c r="G28" s="61">
        <v>0.52200000000000002</v>
      </c>
      <c r="H28" s="61">
        <v>0.51700000000000002</v>
      </c>
      <c r="I28" s="61">
        <v>0.51200000000000001</v>
      </c>
      <c r="J28" s="62">
        <v>0.505</v>
      </c>
    </row>
    <row r="29" spans="2:10" ht="14.4" thickBot="1">
      <c r="B29" s="729"/>
      <c r="C29" s="63" t="s">
        <v>20</v>
      </c>
      <c r="D29" s="64"/>
      <c r="E29" s="65">
        <v>0.24399999999999999</v>
      </c>
      <c r="F29" s="65">
        <v>0.247</v>
      </c>
      <c r="G29" s="65">
        <v>0.25</v>
      </c>
      <c r="H29" s="65">
        <v>0.253</v>
      </c>
      <c r="I29" s="65">
        <v>0.255</v>
      </c>
      <c r="J29" s="66">
        <v>0.25800000000000001</v>
      </c>
    </row>
    <row r="30" spans="2:10" ht="30" customHeight="1">
      <c r="B30" s="728" t="s">
        <v>41</v>
      </c>
      <c r="C30" s="59" t="s">
        <v>19</v>
      </c>
      <c r="D30" s="471"/>
      <c r="E30" s="472">
        <v>0.54</v>
      </c>
      <c r="F30" s="472">
        <v>0.56599999999999995</v>
      </c>
      <c r="G30" s="472">
        <v>0.58899999999999997</v>
      </c>
      <c r="H30" s="472">
        <v>0.61399999999999999</v>
      </c>
      <c r="I30" s="472">
        <v>0.63900000000000001</v>
      </c>
      <c r="J30" s="473">
        <v>0.66300000000000003</v>
      </c>
    </row>
    <row r="31" spans="2:10" ht="14.4" thickBot="1">
      <c r="B31" s="729"/>
      <c r="C31" s="63" t="s">
        <v>20</v>
      </c>
      <c r="D31" s="56"/>
      <c r="E31" s="67">
        <v>0.21</v>
      </c>
      <c r="F31" s="67">
        <v>0.214</v>
      </c>
      <c r="G31" s="67">
        <v>0.219</v>
      </c>
      <c r="H31" s="67">
        <v>0.223</v>
      </c>
      <c r="I31" s="67">
        <v>0.22800000000000001</v>
      </c>
      <c r="J31" s="68">
        <v>0.23200000000000001</v>
      </c>
    </row>
    <row r="32" spans="2:10">
      <c r="B32" s="731" t="s">
        <v>42</v>
      </c>
      <c r="C32" s="133" t="s">
        <v>60</v>
      </c>
      <c r="D32" s="474"/>
      <c r="E32" s="475">
        <v>0.67800000000000005</v>
      </c>
      <c r="F32" s="475">
        <v>0.71199999999999997</v>
      </c>
      <c r="G32" s="475">
        <v>0.753</v>
      </c>
      <c r="H32" s="475">
        <v>0.79200000000000004</v>
      </c>
      <c r="I32" s="475">
        <v>0.83</v>
      </c>
      <c r="J32" s="476">
        <v>0.86599999999999999</v>
      </c>
    </row>
    <row r="33" spans="2:10" ht="14.4" thickBot="1">
      <c r="B33" s="732"/>
      <c r="C33" s="134" t="s">
        <v>61</v>
      </c>
      <c r="D33" s="135"/>
      <c r="E33" s="136">
        <v>7.0000000000000001E-3</v>
      </c>
      <c r="F33" s="136">
        <v>7.0000000000000001E-3</v>
      </c>
      <c r="G33" s="136">
        <v>8.0000000000000002E-3</v>
      </c>
      <c r="H33" s="136">
        <v>8.9999999999999993E-3</v>
      </c>
      <c r="I33" s="136">
        <v>8.9999999999999993E-3</v>
      </c>
      <c r="J33" s="137">
        <v>0.01</v>
      </c>
    </row>
    <row r="34" spans="2:10" ht="30" customHeight="1">
      <c r="B34" s="728" t="s">
        <v>43</v>
      </c>
      <c r="C34" s="59" t="s">
        <v>60</v>
      </c>
      <c r="D34" s="471"/>
      <c r="E34" s="472">
        <v>0.75800000000000001</v>
      </c>
      <c r="F34" s="472">
        <v>0.79700000000000004</v>
      </c>
      <c r="G34" s="472">
        <v>0.84299999999999997</v>
      </c>
      <c r="H34" s="472">
        <v>0.88600000000000001</v>
      </c>
      <c r="I34" s="472">
        <v>0.92900000000000005</v>
      </c>
      <c r="J34" s="473">
        <v>0.97</v>
      </c>
    </row>
    <row r="35" spans="2:10" ht="14.4" thickBot="1">
      <c r="B35" s="729"/>
      <c r="C35" s="63" t="s">
        <v>61</v>
      </c>
      <c r="D35" s="56"/>
      <c r="E35" s="67">
        <v>4.0000000000000001E-3</v>
      </c>
      <c r="F35" s="67">
        <v>4.0000000000000001E-3</v>
      </c>
      <c r="G35" s="67">
        <v>5.0000000000000001E-3</v>
      </c>
      <c r="H35" s="67">
        <v>5.0000000000000001E-3</v>
      </c>
      <c r="I35" s="67">
        <v>5.0000000000000001E-3</v>
      </c>
      <c r="J35" s="68">
        <v>6.0000000000000001E-3</v>
      </c>
    </row>
    <row r="36" spans="2:10" ht="30" customHeight="1">
      <c r="B36" s="728" t="s">
        <v>44</v>
      </c>
      <c r="C36" s="59" t="s">
        <v>60</v>
      </c>
      <c r="D36" s="471"/>
      <c r="E36" s="472">
        <v>0.53200000000000003</v>
      </c>
      <c r="F36" s="472">
        <v>0.55700000000000005</v>
      </c>
      <c r="G36" s="472">
        <v>0.58699999999999997</v>
      </c>
      <c r="H36" s="472">
        <v>0.61499999999999999</v>
      </c>
      <c r="I36" s="472">
        <v>0.64400000000000002</v>
      </c>
      <c r="J36" s="473">
        <v>0.67100000000000004</v>
      </c>
    </row>
    <row r="37" spans="2:10" ht="14.4" thickBot="1">
      <c r="B37" s="729"/>
      <c r="C37" s="63" t="s">
        <v>61</v>
      </c>
      <c r="D37" s="56"/>
      <c r="E37" s="67">
        <v>5.0000000000000001E-3</v>
      </c>
      <c r="F37" s="67">
        <v>6.0000000000000001E-3</v>
      </c>
      <c r="G37" s="67">
        <v>6.0000000000000001E-3</v>
      </c>
      <c r="H37" s="67">
        <v>7.0000000000000001E-3</v>
      </c>
      <c r="I37" s="67">
        <v>7.0000000000000001E-3</v>
      </c>
      <c r="J37" s="68">
        <v>8.0000000000000002E-3</v>
      </c>
    </row>
  </sheetData>
  <mergeCells count="7">
    <mergeCell ref="B36:B37"/>
    <mergeCell ref="B23:B25"/>
    <mergeCell ref="B26:B27"/>
    <mergeCell ref="B28:B29"/>
    <mergeCell ref="B30:B31"/>
    <mergeCell ref="B32:B33"/>
    <mergeCell ref="B34:B3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A57"/>
  <sheetViews>
    <sheetView workbookViewId="0">
      <selection activeCell="BA50" sqref="BA50"/>
    </sheetView>
  </sheetViews>
  <sheetFormatPr baseColWidth="10" defaultColWidth="11.44140625" defaultRowHeight="14.4"/>
  <cols>
    <col min="1" max="1" width="11.44140625" style="10"/>
    <col min="2" max="2" width="40.109375" style="10" customWidth="1"/>
    <col min="3" max="53" width="6.88671875" style="11" customWidth="1"/>
    <col min="54" max="16384" width="11.44140625" style="10"/>
  </cols>
  <sheetData>
    <row r="1" spans="1:53" s="2" customFormat="1" ht="15.6">
      <c r="A1" s="31" t="s">
        <v>241</v>
      </c>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row>
    <row r="2" spans="1:53" s="2" customFormat="1" ht="15.6">
      <c r="B2" s="8"/>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row>
    <row r="3" spans="1:53" s="2" customFormat="1" thickBot="1">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row>
    <row r="4" spans="1:53" s="18" customFormat="1" ht="40.200000000000003" thickBot="1">
      <c r="B4" s="173" t="s">
        <v>177</v>
      </c>
      <c r="C4" s="448">
        <v>1940</v>
      </c>
      <c r="D4" s="449">
        <v>1941</v>
      </c>
      <c r="E4" s="449">
        <v>1942</v>
      </c>
      <c r="F4" s="449">
        <v>1943</v>
      </c>
      <c r="G4" s="449">
        <v>1944</v>
      </c>
      <c r="H4" s="449">
        <v>1945</v>
      </c>
      <c r="I4" s="449">
        <v>1946</v>
      </c>
      <c r="J4" s="449">
        <v>1947</v>
      </c>
      <c r="K4" s="449">
        <v>1948</v>
      </c>
      <c r="L4" s="449">
        <v>1949</v>
      </c>
      <c r="M4" s="449">
        <v>1950</v>
      </c>
      <c r="N4" s="449">
        <v>1951</v>
      </c>
      <c r="O4" s="449">
        <v>1952</v>
      </c>
      <c r="P4" s="449">
        <v>1953</v>
      </c>
      <c r="Q4" s="449">
        <v>1954</v>
      </c>
      <c r="R4" s="449">
        <v>1955</v>
      </c>
      <c r="S4" s="449">
        <v>1956</v>
      </c>
      <c r="T4" s="449">
        <v>1957</v>
      </c>
      <c r="U4" s="449">
        <v>1958</v>
      </c>
      <c r="V4" s="449">
        <v>1959</v>
      </c>
      <c r="W4" s="449">
        <v>1960</v>
      </c>
      <c r="X4" s="449">
        <v>1961</v>
      </c>
      <c r="Y4" s="449">
        <v>1962</v>
      </c>
      <c r="Z4" s="449">
        <v>1963</v>
      </c>
      <c r="AA4" s="449">
        <v>1964</v>
      </c>
      <c r="AB4" s="449">
        <v>1965</v>
      </c>
      <c r="AC4" s="449">
        <v>1966</v>
      </c>
      <c r="AD4" s="449">
        <v>1967</v>
      </c>
      <c r="AE4" s="449">
        <v>1968</v>
      </c>
      <c r="AF4" s="449">
        <v>1969</v>
      </c>
      <c r="AG4" s="449">
        <v>1970</v>
      </c>
      <c r="AH4" s="449">
        <v>1971</v>
      </c>
      <c r="AI4" s="449">
        <v>1972</v>
      </c>
      <c r="AJ4" s="449">
        <v>1973</v>
      </c>
      <c r="AK4" s="449">
        <v>1974</v>
      </c>
      <c r="AL4" s="449">
        <v>1975</v>
      </c>
      <c r="AM4" s="449">
        <v>1976</v>
      </c>
      <c r="AN4" s="449">
        <v>1977</v>
      </c>
      <c r="AO4" s="449">
        <v>1978</v>
      </c>
      <c r="AP4" s="449">
        <v>1979</v>
      </c>
      <c r="AQ4" s="449">
        <v>1980</v>
      </c>
      <c r="AR4" s="449">
        <v>1981</v>
      </c>
      <c r="AS4" s="449">
        <v>1982</v>
      </c>
      <c r="AT4" s="449">
        <v>1983</v>
      </c>
      <c r="AU4" s="449">
        <v>1984</v>
      </c>
      <c r="AV4" s="449">
        <v>1985</v>
      </c>
      <c r="AW4" s="449">
        <v>1986</v>
      </c>
      <c r="AX4" s="449">
        <v>1987</v>
      </c>
      <c r="AY4" s="449">
        <v>1988</v>
      </c>
      <c r="AZ4" s="449">
        <v>1989</v>
      </c>
      <c r="BA4" s="450">
        <v>1990</v>
      </c>
    </row>
    <row r="5" spans="1:53" s="18" customFormat="1" ht="13.8">
      <c r="B5" s="20" t="s">
        <v>54</v>
      </c>
      <c r="C5" s="21">
        <v>0.91500000000000004</v>
      </c>
      <c r="D5" s="455">
        <v>0.90600000000000003</v>
      </c>
      <c r="E5" s="455">
        <v>0.89300000000000002</v>
      </c>
      <c r="F5" s="455">
        <v>0.89300000000000002</v>
      </c>
      <c r="G5" s="455">
        <v>0.88100000000000001</v>
      </c>
      <c r="H5" s="455">
        <v>0.876</v>
      </c>
      <c r="I5" s="455">
        <v>0.871</v>
      </c>
      <c r="J5" s="455">
        <v>0.86699999999999999</v>
      </c>
      <c r="K5" s="455">
        <v>0.879</v>
      </c>
      <c r="L5" s="455">
        <v>0.878</v>
      </c>
      <c r="M5" s="455">
        <v>0.88200000000000001</v>
      </c>
      <c r="N5" s="455">
        <v>0.88</v>
      </c>
      <c r="O5" s="455">
        <v>0.88600000000000001</v>
      </c>
      <c r="P5" s="455">
        <v>0.88400000000000001</v>
      </c>
      <c r="Q5" s="455">
        <v>0.88700000000000001</v>
      </c>
      <c r="R5" s="455">
        <v>0.88200000000000001</v>
      </c>
      <c r="S5" s="455">
        <v>0.88100000000000001</v>
      </c>
      <c r="T5" s="455">
        <v>0.87</v>
      </c>
      <c r="U5" s="455">
        <v>0.876</v>
      </c>
      <c r="V5" s="455">
        <v>0.86299999999999999</v>
      </c>
      <c r="W5" s="455">
        <v>0.84799999999999998</v>
      </c>
      <c r="X5" s="455">
        <v>0.83299999999999996</v>
      </c>
      <c r="Y5" s="455">
        <v>0.82699999999999996</v>
      </c>
      <c r="Z5" s="455">
        <v>0.81799999999999995</v>
      </c>
      <c r="AA5" s="455">
        <v>0.81599999999999995</v>
      </c>
      <c r="AB5" s="455">
        <v>0.81</v>
      </c>
      <c r="AC5" s="455">
        <v>0.80400000000000005</v>
      </c>
      <c r="AD5" s="455">
        <v>0.79600000000000004</v>
      </c>
      <c r="AE5" s="455">
        <v>0.79</v>
      </c>
      <c r="AF5" s="455">
        <v>0.78500000000000003</v>
      </c>
      <c r="AG5" s="455">
        <v>0.78300000000000003</v>
      </c>
      <c r="AH5" s="455">
        <v>0.78100000000000003</v>
      </c>
      <c r="AI5" s="455">
        <v>0.78</v>
      </c>
      <c r="AJ5" s="455">
        <v>0.77900000000000003</v>
      </c>
      <c r="AK5" s="455">
        <v>0.77800000000000002</v>
      </c>
      <c r="AL5" s="455">
        <v>0.78100000000000003</v>
      </c>
      <c r="AM5" s="455">
        <v>0.78200000000000003</v>
      </c>
      <c r="AN5" s="455">
        <v>0.78</v>
      </c>
      <c r="AO5" s="455">
        <v>0.78300000000000003</v>
      </c>
      <c r="AP5" s="455">
        <v>0.78500000000000003</v>
      </c>
      <c r="AQ5" s="455">
        <v>0.78300000000000003</v>
      </c>
      <c r="AR5" s="455">
        <v>0.78500000000000003</v>
      </c>
      <c r="AS5" s="455">
        <v>0.78400000000000003</v>
      </c>
      <c r="AT5" s="455">
        <v>0.78500000000000003</v>
      </c>
      <c r="AU5" s="455">
        <v>0.78400000000000003</v>
      </c>
      <c r="AV5" s="455">
        <v>0.78300000000000003</v>
      </c>
      <c r="AW5" s="455">
        <v>0.78500000000000003</v>
      </c>
      <c r="AX5" s="455">
        <v>0.78300000000000003</v>
      </c>
      <c r="AY5" s="455">
        <v>0.78300000000000003</v>
      </c>
      <c r="AZ5" s="455">
        <v>0.78200000000000003</v>
      </c>
      <c r="BA5" s="456">
        <v>0.78200000000000003</v>
      </c>
    </row>
    <row r="6" spans="1:53" s="18" customFormat="1" ht="13.8">
      <c r="B6" s="22" t="s">
        <v>54</v>
      </c>
      <c r="C6" s="23">
        <v>0.91500000000000004</v>
      </c>
      <c r="D6" s="24">
        <v>0.90600000000000003</v>
      </c>
      <c r="E6" s="24">
        <v>0.89300000000000002</v>
      </c>
      <c r="F6" s="24">
        <v>0.89300000000000002</v>
      </c>
      <c r="G6" s="24">
        <v>0.88100000000000001</v>
      </c>
      <c r="H6" s="24">
        <v>0.876</v>
      </c>
      <c r="I6" s="24">
        <v>0.871</v>
      </c>
      <c r="J6" s="24">
        <v>0.86699999999999999</v>
      </c>
      <c r="K6" s="24">
        <v>0.88</v>
      </c>
      <c r="L6" s="24">
        <v>0.879</v>
      </c>
      <c r="M6" s="24">
        <v>0.88300000000000001</v>
      </c>
      <c r="N6" s="24">
        <v>0.88100000000000001</v>
      </c>
      <c r="O6" s="24">
        <v>0.88700000000000001</v>
      </c>
      <c r="P6" s="24">
        <v>0.88600000000000001</v>
      </c>
      <c r="Q6" s="24">
        <v>0.88800000000000001</v>
      </c>
      <c r="R6" s="24">
        <v>0.88400000000000001</v>
      </c>
      <c r="S6" s="24">
        <v>0.88400000000000001</v>
      </c>
      <c r="T6" s="24">
        <v>0.873</v>
      </c>
      <c r="U6" s="24">
        <v>0.88</v>
      </c>
      <c r="V6" s="24">
        <v>0.86799999999999999</v>
      </c>
      <c r="W6" s="24">
        <v>0.85299999999999998</v>
      </c>
      <c r="X6" s="24">
        <v>0.83899999999999997</v>
      </c>
      <c r="Y6" s="24">
        <v>0.83399999999999996</v>
      </c>
      <c r="Z6" s="24">
        <v>0.82699999999999996</v>
      </c>
      <c r="AA6" s="24">
        <v>0.82499999999999996</v>
      </c>
      <c r="AB6" s="24">
        <v>0.82</v>
      </c>
      <c r="AC6" s="24">
        <v>0.81499999999999995</v>
      </c>
      <c r="AD6" s="24">
        <v>0.80800000000000005</v>
      </c>
      <c r="AE6" s="24">
        <v>0.80300000000000005</v>
      </c>
      <c r="AF6" s="24">
        <v>0.79900000000000004</v>
      </c>
      <c r="AG6" s="24">
        <v>0.79800000000000004</v>
      </c>
      <c r="AH6" s="24">
        <v>0.79700000000000004</v>
      </c>
      <c r="AI6" s="24">
        <v>0.79800000000000004</v>
      </c>
      <c r="AJ6" s="24">
        <v>0.79700000000000004</v>
      </c>
      <c r="AK6" s="24">
        <v>0.79600000000000004</v>
      </c>
      <c r="AL6" s="24">
        <v>0.79900000000000004</v>
      </c>
      <c r="AM6" s="24">
        <v>0.8</v>
      </c>
      <c r="AN6" s="24">
        <v>0.79900000000000004</v>
      </c>
      <c r="AO6" s="24">
        <v>0.80200000000000005</v>
      </c>
      <c r="AP6" s="24">
        <v>0.80300000000000005</v>
      </c>
      <c r="AQ6" s="24">
        <v>0.80200000000000005</v>
      </c>
      <c r="AR6" s="24">
        <v>0.80300000000000005</v>
      </c>
      <c r="AS6" s="24">
        <v>0.80200000000000005</v>
      </c>
      <c r="AT6" s="24">
        <v>0.80300000000000005</v>
      </c>
      <c r="AU6" s="24">
        <v>0.80200000000000005</v>
      </c>
      <c r="AV6" s="24">
        <v>0.80200000000000005</v>
      </c>
      <c r="AW6" s="24">
        <v>0.80300000000000005</v>
      </c>
      <c r="AX6" s="24">
        <v>0.80200000000000005</v>
      </c>
      <c r="AY6" s="24">
        <v>0.80100000000000005</v>
      </c>
      <c r="AZ6" s="24">
        <v>0.80100000000000005</v>
      </c>
      <c r="BA6" s="25">
        <v>0.8</v>
      </c>
    </row>
    <row r="7" spans="1:53" s="18" customFormat="1" ht="13.8">
      <c r="B7" s="22" t="s">
        <v>55</v>
      </c>
      <c r="C7" s="21">
        <v>0.91500000000000004</v>
      </c>
      <c r="D7" s="455">
        <v>0.90600000000000003</v>
      </c>
      <c r="E7" s="455">
        <v>0.89300000000000002</v>
      </c>
      <c r="F7" s="455">
        <v>0.89300000000000002</v>
      </c>
      <c r="G7" s="455">
        <v>0.88100000000000001</v>
      </c>
      <c r="H7" s="455">
        <v>0.876</v>
      </c>
      <c r="I7" s="455">
        <v>0.87</v>
      </c>
      <c r="J7" s="455">
        <v>0.86699999999999999</v>
      </c>
      <c r="K7" s="455">
        <v>0.879</v>
      </c>
      <c r="L7" s="455">
        <v>0.879</v>
      </c>
      <c r="M7" s="455">
        <v>0.88300000000000001</v>
      </c>
      <c r="N7" s="455">
        <v>0.88200000000000001</v>
      </c>
      <c r="O7" s="455">
        <v>0.88800000000000001</v>
      </c>
      <c r="P7" s="455">
        <v>0.88700000000000001</v>
      </c>
      <c r="Q7" s="455">
        <v>0.89</v>
      </c>
      <c r="R7" s="455">
        <v>0.88700000000000001</v>
      </c>
      <c r="S7" s="455">
        <v>0.88800000000000001</v>
      </c>
      <c r="T7" s="455">
        <v>0.878</v>
      </c>
      <c r="U7" s="455">
        <v>0.88600000000000001</v>
      </c>
      <c r="V7" s="455">
        <v>0.875</v>
      </c>
      <c r="W7" s="455">
        <v>0.86099999999999999</v>
      </c>
      <c r="X7" s="455">
        <v>0.84799999999999998</v>
      </c>
      <c r="Y7" s="455">
        <v>0.84499999999999997</v>
      </c>
      <c r="Z7" s="455">
        <v>0.83799999999999997</v>
      </c>
      <c r="AA7" s="455">
        <v>0.83899999999999997</v>
      </c>
      <c r="AB7" s="455">
        <v>0.83499999999999996</v>
      </c>
      <c r="AC7" s="455">
        <v>0.83199999999999996</v>
      </c>
      <c r="AD7" s="455">
        <v>0.82599999999999996</v>
      </c>
      <c r="AE7" s="455">
        <v>0.82499999999999996</v>
      </c>
      <c r="AF7" s="455">
        <v>0.82399999999999995</v>
      </c>
      <c r="AG7" s="455">
        <v>0.82299999999999995</v>
      </c>
      <c r="AH7" s="455">
        <v>0.82399999999999995</v>
      </c>
      <c r="AI7" s="455">
        <v>0.82699999999999996</v>
      </c>
      <c r="AJ7" s="455">
        <v>0.82699999999999996</v>
      </c>
      <c r="AK7" s="455">
        <v>0.82599999999999996</v>
      </c>
      <c r="AL7" s="455">
        <v>0.82799999999999996</v>
      </c>
      <c r="AM7" s="455">
        <v>0.82899999999999996</v>
      </c>
      <c r="AN7" s="455">
        <v>0.82799999999999996</v>
      </c>
      <c r="AO7" s="455">
        <v>0.83099999999999996</v>
      </c>
      <c r="AP7" s="455">
        <v>0.83199999999999996</v>
      </c>
      <c r="AQ7" s="455">
        <v>0.83099999999999996</v>
      </c>
      <c r="AR7" s="455">
        <v>0.83099999999999996</v>
      </c>
      <c r="AS7" s="455">
        <v>0.83099999999999996</v>
      </c>
      <c r="AT7" s="455">
        <v>0.83199999999999996</v>
      </c>
      <c r="AU7" s="455">
        <v>0.83099999999999996</v>
      </c>
      <c r="AV7" s="455">
        <v>0.83099999999999996</v>
      </c>
      <c r="AW7" s="455">
        <v>0.83199999999999996</v>
      </c>
      <c r="AX7" s="455">
        <v>0.83099999999999996</v>
      </c>
      <c r="AY7" s="455">
        <v>0.83</v>
      </c>
      <c r="AZ7" s="455">
        <v>0.83</v>
      </c>
      <c r="BA7" s="456">
        <v>0.82899999999999996</v>
      </c>
    </row>
    <row r="8" spans="1:53" s="18" customFormat="1" ht="13.8">
      <c r="B8" s="22" t="s">
        <v>56</v>
      </c>
      <c r="C8" s="21">
        <v>0.91500000000000004</v>
      </c>
      <c r="D8" s="455">
        <v>0.90600000000000003</v>
      </c>
      <c r="E8" s="455">
        <v>0.89300000000000002</v>
      </c>
      <c r="F8" s="455">
        <v>0.89300000000000002</v>
      </c>
      <c r="G8" s="455">
        <v>0.88100000000000001</v>
      </c>
      <c r="H8" s="455">
        <v>0.876</v>
      </c>
      <c r="I8" s="455">
        <v>0.87</v>
      </c>
      <c r="J8" s="455">
        <v>0.86699999999999999</v>
      </c>
      <c r="K8" s="455">
        <v>0.88</v>
      </c>
      <c r="L8" s="455">
        <v>0.879</v>
      </c>
      <c r="M8" s="455">
        <v>0.88400000000000001</v>
      </c>
      <c r="N8" s="455">
        <v>0.88300000000000001</v>
      </c>
      <c r="O8" s="455">
        <v>0.88900000000000001</v>
      </c>
      <c r="P8" s="455">
        <v>0.88900000000000001</v>
      </c>
      <c r="Q8" s="455">
        <v>0.89300000000000002</v>
      </c>
      <c r="R8" s="455">
        <v>0.89</v>
      </c>
      <c r="S8" s="455">
        <v>0.89200000000000002</v>
      </c>
      <c r="T8" s="455">
        <v>0.88200000000000001</v>
      </c>
      <c r="U8" s="455">
        <v>0.89100000000000001</v>
      </c>
      <c r="V8" s="455">
        <v>0.88100000000000001</v>
      </c>
      <c r="W8" s="455">
        <v>0.86799999999999999</v>
      </c>
      <c r="X8" s="455">
        <v>0.85599999999999998</v>
      </c>
      <c r="Y8" s="455">
        <v>0.85399999999999998</v>
      </c>
      <c r="Z8" s="455">
        <v>0.84799999999999998</v>
      </c>
      <c r="AA8" s="455">
        <v>0.85</v>
      </c>
      <c r="AB8" s="455">
        <v>0.84699999999999998</v>
      </c>
      <c r="AC8" s="455">
        <v>0.84499999999999997</v>
      </c>
      <c r="AD8" s="455">
        <v>0.84099999999999997</v>
      </c>
      <c r="AE8" s="455">
        <v>0.84</v>
      </c>
      <c r="AF8" s="455">
        <v>0.84199999999999997</v>
      </c>
      <c r="AG8" s="455">
        <v>0.84299999999999997</v>
      </c>
      <c r="AH8" s="455">
        <v>0.84499999999999997</v>
      </c>
      <c r="AI8" s="455">
        <v>0.84799999999999998</v>
      </c>
      <c r="AJ8" s="455">
        <v>0.84699999999999998</v>
      </c>
      <c r="AK8" s="455">
        <v>0.84599999999999997</v>
      </c>
      <c r="AL8" s="455">
        <v>0.84899999999999998</v>
      </c>
      <c r="AM8" s="455">
        <v>0.84899999999999998</v>
      </c>
      <c r="AN8" s="455">
        <v>0.84799999999999998</v>
      </c>
      <c r="AO8" s="455">
        <v>0.85099999999999998</v>
      </c>
      <c r="AP8" s="455">
        <v>0.85099999999999998</v>
      </c>
      <c r="AQ8" s="455">
        <v>0.85099999999999998</v>
      </c>
      <c r="AR8" s="455">
        <v>0.85099999999999998</v>
      </c>
      <c r="AS8" s="455">
        <v>0.85099999999999998</v>
      </c>
      <c r="AT8" s="455">
        <v>0.85099999999999998</v>
      </c>
      <c r="AU8" s="455">
        <v>0.85099999999999998</v>
      </c>
      <c r="AV8" s="455">
        <v>0.85099999999999998</v>
      </c>
      <c r="AW8" s="455">
        <v>0.85099999999999998</v>
      </c>
      <c r="AX8" s="455">
        <v>0.85099999999999998</v>
      </c>
      <c r="AY8" s="455">
        <v>0.85</v>
      </c>
      <c r="AZ8" s="455">
        <v>0.85</v>
      </c>
      <c r="BA8" s="456">
        <v>0.84899999999999998</v>
      </c>
    </row>
    <row r="9" spans="1:53" s="18" customFormat="1" thickBot="1">
      <c r="B9" s="26" t="s">
        <v>57</v>
      </c>
      <c r="C9" s="27">
        <v>0.91500000000000004</v>
      </c>
      <c r="D9" s="457">
        <v>0.90600000000000003</v>
      </c>
      <c r="E9" s="457">
        <v>0.89300000000000002</v>
      </c>
      <c r="F9" s="457">
        <v>0.89300000000000002</v>
      </c>
      <c r="G9" s="457">
        <v>0.88100000000000001</v>
      </c>
      <c r="H9" s="457">
        <v>0.876</v>
      </c>
      <c r="I9" s="457">
        <v>0.871</v>
      </c>
      <c r="J9" s="457">
        <v>0.86799999999999999</v>
      </c>
      <c r="K9" s="457">
        <v>0.88100000000000001</v>
      </c>
      <c r="L9" s="457">
        <v>0.88100000000000001</v>
      </c>
      <c r="M9" s="457">
        <v>0.88600000000000001</v>
      </c>
      <c r="N9" s="457">
        <v>0.88600000000000001</v>
      </c>
      <c r="O9" s="457">
        <v>0.89300000000000002</v>
      </c>
      <c r="P9" s="457">
        <v>0.89400000000000002</v>
      </c>
      <c r="Q9" s="457">
        <v>0.89900000000000002</v>
      </c>
      <c r="R9" s="457">
        <v>0.89800000000000002</v>
      </c>
      <c r="S9" s="457">
        <v>0.9</v>
      </c>
      <c r="T9" s="457">
        <v>0.89300000000000002</v>
      </c>
      <c r="U9" s="457">
        <v>0.90300000000000002</v>
      </c>
      <c r="V9" s="457">
        <v>0.89400000000000002</v>
      </c>
      <c r="W9" s="457">
        <v>0.88300000000000001</v>
      </c>
      <c r="X9" s="457">
        <v>0.873</v>
      </c>
      <c r="Y9" s="457">
        <v>0.872</v>
      </c>
      <c r="Z9" s="457">
        <v>0.86899999999999999</v>
      </c>
      <c r="AA9" s="457">
        <v>0.872</v>
      </c>
      <c r="AB9" s="457">
        <v>0.872</v>
      </c>
      <c r="AC9" s="457">
        <v>0.872</v>
      </c>
      <c r="AD9" s="457">
        <v>0.87</v>
      </c>
      <c r="AE9" s="457">
        <v>0.871</v>
      </c>
      <c r="AF9" s="457">
        <v>0.874</v>
      </c>
      <c r="AG9" s="457">
        <v>0.875</v>
      </c>
      <c r="AH9" s="457">
        <v>0.877</v>
      </c>
      <c r="AI9" s="457">
        <v>0.88</v>
      </c>
      <c r="AJ9" s="457">
        <v>0.879</v>
      </c>
      <c r="AK9" s="457">
        <v>0.879</v>
      </c>
      <c r="AL9" s="457">
        <v>0.88</v>
      </c>
      <c r="AM9" s="457">
        <v>0.88100000000000001</v>
      </c>
      <c r="AN9" s="457">
        <v>0.88</v>
      </c>
      <c r="AO9" s="457">
        <v>0.88200000000000001</v>
      </c>
      <c r="AP9" s="457">
        <v>0.88300000000000001</v>
      </c>
      <c r="AQ9" s="457">
        <v>0.88200000000000001</v>
      </c>
      <c r="AR9" s="457">
        <v>0.88300000000000001</v>
      </c>
      <c r="AS9" s="457">
        <v>0.88200000000000001</v>
      </c>
      <c r="AT9" s="457">
        <v>0.88300000000000001</v>
      </c>
      <c r="AU9" s="457">
        <v>0.88200000000000001</v>
      </c>
      <c r="AV9" s="457">
        <v>0.88200000000000001</v>
      </c>
      <c r="AW9" s="457">
        <v>0.88300000000000001</v>
      </c>
      <c r="AX9" s="457">
        <v>0.88200000000000001</v>
      </c>
      <c r="AY9" s="457">
        <v>0.88200000000000001</v>
      </c>
      <c r="AZ9" s="457">
        <v>0.88100000000000001</v>
      </c>
      <c r="BA9" s="458">
        <v>0.88100000000000001</v>
      </c>
    </row>
    <row r="10" spans="1:53" s="18" customFormat="1" ht="27" thickBot="1">
      <c r="B10" s="173" t="s">
        <v>178</v>
      </c>
      <c r="C10" s="448">
        <v>1940</v>
      </c>
      <c r="D10" s="449">
        <v>1941</v>
      </c>
      <c r="E10" s="449">
        <v>1942</v>
      </c>
      <c r="F10" s="449">
        <v>1943</v>
      </c>
      <c r="G10" s="449">
        <v>1944</v>
      </c>
      <c r="H10" s="449">
        <v>1945</v>
      </c>
      <c r="I10" s="449">
        <v>1946</v>
      </c>
      <c r="J10" s="449">
        <v>1947</v>
      </c>
      <c r="K10" s="449">
        <v>1948</v>
      </c>
      <c r="L10" s="449">
        <v>1949</v>
      </c>
      <c r="M10" s="449">
        <v>1950</v>
      </c>
      <c r="N10" s="449">
        <v>1951</v>
      </c>
      <c r="O10" s="449">
        <v>1952</v>
      </c>
      <c r="P10" s="449">
        <v>1953</v>
      </c>
      <c r="Q10" s="449">
        <v>1954</v>
      </c>
      <c r="R10" s="449">
        <v>1955</v>
      </c>
      <c r="S10" s="449">
        <v>1956</v>
      </c>
      <c r="T10" s="449">
        <v>1957</v>
      </c>
      <c r="U10" s="449">
        <v>1958</v>
      </c>
      <c r="V10" s="449">
        <v>1959</v>
      </c>
      <c r="W10" s="449">
        <v>1960</v>
      </c>
      <c r="X10" s="449">
        <v>1961</v>
      </c>
      <c r="Y10" s="449">
        <v>1962</v>
      </c>
      <c r="Z10" s="449">
        <v>1963</v>
      </c>
      <c r="AA10" s="449">
        <v>1964</v>
      </c>
      <c r="AB10" s="449">
        <v>1965</v>
      </c>
      <c r="AC10" s="449">
        <v>1966</v>
      </c>
      <c r="AD10" s="449">
        <v>1967</v>
      </c>
      <c r="AE10" s="449">
        <v>1968</v>
      </c>
      <c r="AF10" s="449">
        <v>1969</v>
      </c>
      <c r="AG10" s="449">
        <v>1970</v>
      </c>
      <c r="AH10" s="449">
        <v>1971</v>
      </c>
      <c r="AI10" s="449">
        <v>1972</v>
      </c>
      <c r="AJ10" s="449">
        <v>1973</v>
      </c>
      <c r="AK10" s="449">
        <v>1974</v>
      </c>
      <c r="AL10" s="449">
        <v>1975</v>
      </c>
      <c r="AM10" s="449">
        <v>1976</v>
      </c>
      <c r="AN10" s="449">
        <v>1977</v>
      </c>
      <c r="AO10" s="449">
        <v>1978</v>
      </c>
      <c r="AP10" s="449">
        <v>1979</v>
      </c>
      <c r="AQ10" s="449">
        <v>1980</v>
      </c>
      <c r="AR10" s="449">
        <v>1981</v>
      </c>
      <c r="AS10" s="449">
        <v>1982</v>
      </c>
      <c r="AT10" s="449">
        <v>1983</v>
      </c>
      <c r="AU10" s="449">
        <v>1984</v>
      </c>
      <c r="AV10" s="449">
        <v>1985</v>
      </c>
      <c r="AW10" s="449">
        <v>1986</v>
      </c>
      <c r="AX10" s="449">
        <v>1987</v>
      </c>
      <c r="AY10" s="449">
        <v>1988</v>
      </c>
      <c r="AZ10" s="449">
        <v>1989</v>
      </c>
      <c r="BA10" s="450">
        <v>1990</v>
      </c>
    </row>
    <row r="11" spans="1:53" s="18" customFormat="1" ht="13.8">
      <c r="B11" s="20" t="s">
        <v>54</v>
      </c>
      <c r="C11" s="21">
        <v>0.76100000000000001</v>
      </c>
      <c r="D11" s="455">
        <v>0.76400000000000001</v>
      </c>
      <c r="E11" s="455">
        <v>0.76200000000000001</v>
      </c>
      <c r="F11" s="455">
        <v>0.76100000000000001</v>
      </c>
      <c r="G11" s="455">
        <v>0.76100000000000001</v>
      </c>
      <c r="H11" s="455">
        <v>0.76</v>
      </c>
      <c r="I11" s="455">
        <v>0.76</v>
      </c>
      <c r="J11" s="455">
        <v>0.75700000000000001</v>
      </c>
      <c r="K11" s="455">
        <v>0.755</v>
      </c>
      <c r="L11" s="455">
        <v>0.754</v>
      </c>
      <c r="M11" s="455">
        <v>0.751</v>
      </c>
      <c r="N11" s="455">
        <v>0.749</v>
      </c>
      <c r="O11" s="455">
        <v>0.746</v>
      </c>
      <c r="P11" s="455">
        <v>0.74199999999999999</v>
      </c>
      <c r="Q11" s="455">
        <v>0.73699999999999999</v>
      </c>
      <c r="R11" s="455">
        <v>0.73099999999999998</v>
      </c>
      <c r="S11" s="455">
        <v>0.72499999999999998</v>
      </c>
      <c r="T11" s="455">
        <v>0.72199999999999998</v>
      </c>
      <c r="U11" s="455">
        <v>0.71899999999999997</v>
      </c>
      <c r="V11" s="455">
        <v>0.71399999999999997</v>
      </c>
      <c r="W11" s="455">
        <v>0.71</v>
      </c>
      <c r="X11" s="455">
        <v>0.70299999999999996</v>
      </c>
      <c r="Y11" s="455">
        <v>0.69599999999999995</v>
      </c>
      <c r="Z11" s="455">
        <v>0.68899999999999995</v>
      </c>
      <c r="AA11" s="455">
        <v>0.68200000000000005</v>
      </c>
      <c r="AB11" s="455">
        <v>0.67500000000000004</v>
      </c>
      <c r="AC11" s="455">
        <v>0.66800000000000004</v>
      </c>
      <c r="AD11" s="455">
        <v>0.66</v>
      </c>
      <c r="AE11" s="455">
        <v>0.65300000000000002</v>
      </c>
      <c r="AF11" s="455">
        <v>0.64400000000000002</v>
      </c>
      <c r="AG11" s="455">
        <v>0.63600000000000001</v>
      </c>
      <c r="AH11" s="455">
        <v>0.626</v>
      </c>
      <c r="AI11" s="455">
        <v>0.622</v>
      </c>
      <c r="AJ11" s="455">
        <v>0.61499999999999999</v>
      </c>
      <c r="AK11" s="455">
        <v>0.60699999999999998</v>
      </c>
      <c r="AL11" s="455">
        <v>0.59899999999999998</v>
      </c>
      <c r="AM11" s="455">
        <v>0.59799999999999998</v>
      </c>
      <c r="AN11" s="455">
        <v>0.59099999999999997</v>
      </c>
      <c r="AO11" s="455">
        <v>0.58399999999999996</v>
      </c>
      <c r="AP11" s="455">
        <v>0.57799999999999996</v>
      </c>
      <c r="AQ11" s="455">
        <v>0.57099999999999995</v>
      </c>
      <c r="AR11" s="455">
        <v>0.57099999999999995</v>
      </c>
      <c r="AS11" s="455">
        <v>0.56599999999999995</v>
      </c>
      <c r="AT11" s="455">
        <v>0.56200000000000006</v>
      </c>
      <c r="AU11" s="455">
        <v>0.55900000000000005</v>
      </c>
      <c r="AV11" s="455">
        <v>0.55600000000000005</v>
      </c>
      <c r="AW11" s="455">
        <v>0.55300000000000005</v>
      </c>
      <c r="AX11" s="455">
        <v>0.55000000000000004</v>
      </c>
      <c r="AY11" s="455">
        <v>0.54900000000000004</v>
      </c>
      <c r="AZ11" s="455">
        <v>0.54700000000000004</v>
      </c>
      <c r="BA11" s="456">
        <v>0.54600000000000004</v>
      </c>
    </row>
    <row r="12" spans="1:53" s="18" customFormat="1" ht="13.8">
      <c r="B12" s="22" t="s">
        <v>54</v>
      </c>
      <c r="C12" s="23">
        <v>0.76100000000000001</v>
      </c>
      <c r="D12" s="24">
        <v>0.76400000000000001</v>
      </c>
      <c r="E12" s="24">
        <v>0.76200000000000001</v>
      </c>
      <c r="F12" s="24">
        <v>0.76100000000000001</v>
      </c>
      <c r="G12" s="24">
        <v>0.76100000000000001</v>
      </c>
      <c r="H12" s="24">
        <v>0.76</v>
      </c>
      <c r="I12" s="24">
        <v>0.76</v>
      </c>
      <c r="J12" s="24">
        <v>0.75700000000000001</v>
      </c>
      <c r="K12" s="24">
        <v>0.755</v>
      </c>
      <c r="L12" s="24">
        <v>0.754</v>
      </c>
      <c r="M12" s="24">
        <v>0.751</v>
      </c>
      <c r="N12" s="24">
        <v>0.75</v>
      </c>
      <c r="O12" s="24">
        <v>0.747</v>
      </c>
      <c r="P12" s="24">
        <v>0.74299999999999999</v>
      </c>
      <c r="Q12" s="24">
        <v>0.73799999999999999</v>
      </c>
      <c r="R12" s="24">
        <v>0.73299999999999998</v>
      </c>
      <c r="S12" s="24">
        <v>0.72699999999999998</v>
      </c>
      <c r="T12" s="24">
        <v>0.72499999999999998</v>
      </c>
      <c r="U12" s="24">
        <v>0.72199999999999998</v>
      </c>
      <c r="V12" s="24">
        <v>0.71799999999999997</v>
      </c>
      <c r="W12" s="24">
        <v>0.71399999999999997</v>
      </c>
      <c r="X12" s="24">
        <v>0.70799999999999996</v>
      </c>
      <c r="Y12" s="24">
        <v>0.70199999999999996</v>
      </c>
      <c r="Z12" s="24">
        <v>0.69599999999999995</v>
      </c>
      <c r="AA12" s="24">
        <v>0.69</v>
      </c>
      <c r="AB12" s="24">
        <v>0.68400000000000005</v>
      </c>
      <c r="AC12" s="24">
        <v>0.67700000000000005</v>
      </c>
      <c r="AD12" s="24">
        <v>0.67</v>
      </c>
      <c r="AE12" s="24">
        <v>0.66400000000000003</v>
      </c>
      <c r="AF12" s="24">
        <v>0.65600000000000003</v>
      </c>
      <c r="AG12" s="24">
        <v>0.64900000000000002</v>
      </c>
      <c r="AH12" s="24">
        <v>0.64100000000000001</v>
      </c>
      <c r="AI12" s="24">
        <v>0.63800000000000001</v>
      </c>
      <c r="AJ12" s="24">
        <v>0.63200000000000001</v>
      </c>
      <c r="AK12" s="24">
        <v>0.624</v>
      </c>
      <c r="AL12" s="24">
        <v>0.61799999999999999</v>
      </c>
      <c r="AM12" s="24">
        <v>0.61799999999999999</v>
      </c>
      <c r="AN12" s="24">
        <v>0.61199999999999999</v>
      </c>
      <c r="AO12" s="24">
        <v>0.60599999999999998</v>
      </c>
      <c r="AP12" s="24">
        <v>0.6</v>
      </c>
      <c r="AQ12" s="24">
        <v>0.59399999999999997</v>
      </c>
      <c r="AR12" s="24">
        <v>0.59499999999999997</v>
      </c>
      <c r="AS12" s="24">
        <v>0.59</v>
      </c>
      <c r="AT12" s="24">
        <v>0.58699999999999997</v>
      </c>
      <c r="AU12" s="24">
        <v>0.58399999999999996</v>
      </c>
      <c r="AV12" s="24">
        <v>0.58099999999999996</v>
      </c>
      <c r="AW12" s="24">
        <v>0.57899999999999996</v>
      </c>
      <c r="AX12" s="24">
        <v>0.57699999999999996</v>
      </c>
      <c r="AY12" s="24">
        <v>0.57499999999999996</v>
      </c>
      <c r="AZ12" s="24">
        <v>0.57399999999999995</v>
      </c>
      <c r="BA12" s="25">
        <v>0.57299999999999995</v>
      </c>
    </row>
    <row r="13" spans="1:53" s="18" customFormat="1" ht="13.8">
      <c r="B13" s="22" t="s">
        <v>55</v>
      </c>
      <c r="C13" s="21">
        <v>0.76100000000000001</v>
      </c>
      <c r="D13" s="455">
        <v>0.76400000000000001</v>
      </c>
      <c r="E13" s="455">
        <v>0.76200000000000001</v>
      </c>
      <c r="F13" s="455">
        <v>0.76100000000000001</v>
      </c>
      <c r="G13" s="455">
        <v>0.76100000000000001</v>
      </c>
      <c r="H13" s="455">
        <v>0.76</v>
      </c>
      <c r="I13" s="455">
        <v>0.76</v>
      </c>
      <c r="J13" s="455">
        <v>0.75700000000000001</v>
      </c>
      <c r="K13" s="455">
        <v>0.755</v>
      </c>
      <c r="L13" s="455">
        <v>0.754</v>
      </c>
      <c r="M13" s="455">
        <v>0.751</v>
      </c>
      <c r="N13" s="455">
        <v>0.75</v>
      </c>
      <c r="O13" s="455">
        <v>0.748</v>
      </c>
      <c r="P13" s="455">
        <v>0.74399999999999999</v>
      </c>
      <c r="Q13" s="455">
        <v>0.74</v>
      </c>
      <c r="R13" s="455">
        <v>0.73499999999999999</v>
      </c>
      <c r="S13" s="455">
        <v>0.73</v>
      </c>
      <c r="T13" s="455">
        <v>0.72899999999999998</v>
      </c>
      <c r="U13" s="455">
        <v>0.72699999999999998</v>
      </c>
      <c r="V13" s="455">
        <v>0.72399999999999998</v>
      </c>
      <c r="W13" s="455">
        <v>0.72099999999999997</v>
      </c>
      <c r="X13" s="455">
        <v>0.71599999999999997</v>
      </c>
      <c r="Y13" s="455">
        <v>0.71</v>
      </c>
      <c r="Z13" s="455">
        <v>0.70599999999999996</v>
      </c>
      <c r="AA13" s="455">
        <v>0.70099999999999996</v>
      </c>
      <c r="AB13" s="455">
        <v>0.69599999999999995</v>
      </c>
      <c r="AC13" s="455">
        <v>0.69099999999999995</v>
      </c>
      <c r="AD13" s="455">
        <v>0.68500000000000005</v>
      </c>
      <c r="AE13" s="455">
        <v>0.68</v>
      </c>
      <c r="AF13" s="455">
        <v>0.67500000000000004</v>
      </c>
      <c r="AG13" s="455">
        <v>0.66900000000000004</v>
      </c>
      <c r="AH13" s="455">
        <v>0.66300000000000003</v>
      </c>
      <c r="AI13" s="455">
        <v>0.66300000000000003</v>
      </c>
      <c r="AJ13" s="455">
        <v>0.65800000000000003</v>
      </c>
      <c r="AK13" s="455">
        <v>0.65200000000000002</v>
      </c>
      <c r="AL13" s="455">
        <v>0.64800000000000002</v>
      </c>
      <c r="AM13" s="455">
        <v>0.64900000000000002</v>
      </c>
      <c r="AN13" s="455">
        <v>0.64500000000000002</v>
      </c>
      <c r="AO13" s="455">
        <v>0.64100000000000001</v>
      </c>
      <c r="AP13" s="455">
        <v>0.63600000000000001</v>
      </c>
      <c r="AQ13" s="455">
        <v>0.63100000000000001</v>
      </c>
      <c r="AR13" s="455">
        <v>0.63300000000000001</v>
      </c>
      <c r="AS13" s="455">
        <v>0.629</v>
      </c>
      <c r="AT13" s="455">
        <v>0.626</v>
      </c>
      <c r="AU13" s="455">
        <v>0.624</v>
      </c>
      <c r="AV13" s="455">
        <v>0.622</v>
      </c>
      <c r="AW13" s="455">
        <v>0.62</v>
      </c>
      <c r="AX13" s="455">
        <v>0.61899999999999999</v>
      </c>
      <c r="AY13" s="455">
        <v>0.61799999999999999</v>
      </c>
      <c r="AZ13" s="455">
        <v>0.61699999999999999</v>
      </c>
      <c r="BA13" s="456">
        <v>0.61699999999999999</v>
      </c>
    </row>
    <row r="14" spans="1:53" s="18" customFormat="1" ht="13.8">
      <c r="B14" s="22" t="s">
        <v>56</v>
      </c>
      <c r="C14" s="21">
        <v>0.76100000000000001</v>
      </c>
      <c r="D14" s="455">
        <v>0.76400000000000001</v>
      </c>
      <c r="E14" s="455">
        <v>0.76200000000000001</v>
      </c>
      <c r="F14" s="455">
        <v>0.76100000000000001</v>
      </c>
      <c r="G14" s="455">
        <v>0.76100000000000001</v>
      </c>
      <c r="H14" s="455">
        <v>0.76</v>
      </c>
      <c r="I14" s="455">
        <v>0.76</v>
      </c>
      <c r="J14" s="455">
        <v>0.75700000000000001</v>
      </c>
      <c r="K14" s="455">
        <v>0.755</v>
      </c>
      <c r="L14" s="455">
        <v>0.754</v>
      </c>
      <c r="M14" s="455">
        <v>0.752</v>
      </c>
      <c r="N14" s="455">
        <v>0.751</v>
      </c>
      <c r="O14" s="455">
        <v>0.749</v>
      </c>
      <c r="P14" s="455">
        <v>0.746</v>
      </c>
      <c r="Q14" s="455">
        <v>0.74199999999999999</v>
      </c>
      <c r="R14" s="455">
        <v>0.73799999999999999</v>
      </c>
      <c r="S14" s="455">
        <v>0.73399999999999999</v>
      </c>
      <c r="T14" s="455">
        <v>0.73299999999999998</v>
      </c>
      <c r="U14" s="455">
        <v>0.73099999999999998</v>
      </c>
      <c r="V14" s="455">
        <v>0.72899999999999998</v>
      </c>
      <c r="W14" s="455">
        <v>0.72699999999999998</v>
      </c>
      <c r="X14" s="455">
        <v>0.72199999999999998</v>
      </c>
      <c r="Y14" s="455">
        <v>0.71799999999999997</v>
      </c>
      <c r="Z14" s="455">
        <v>0.71399999999999997</v>
      </c>
      <c r="AA14" s="455">
        <v>0.71</v>
      </c>
      <c r="AB14" s="455">
        <v>0.70599999999999996</v>
      </c>
      <c r="AC14" s="455">
        <v>0.70199999999999996</v>
      </c>
      <c r="AD14" s="455">
        <v>0.69799999999999995</v>
      </c>
      <c r="AE14" s="455">
        <v>0.69399999999999995</v>
      </c>
      <c r="AF14" s="455">
        <v>0.68899999999999995</v>
      </c>
      <c r="AG14" s="455">
        <v>0.68500000000000005</v>
      </c>
      <c r="AH14" s="455">
        <v>0.68</v>
      </c>
      <c r="AI14" s="455">
        <v>0.68200000000000005</v>
      </c>
      <c r="AJ14" s="455">
        <v>0.67800000000000005</v>
      </c>
      <c r="AK14" s="455">
        <v>0.67400000000000004</v>
      </c>
      <c r="AL14" s="455">
        <v>0.67</v>
      </c>
      <c r="AM14" s="455">
        <v>0.67300000000000004</v>
      </c>
      <c r="AN14" s="455">
        <v>0.67</v>
      </c>
      <c r="AO14" s="455">
        <v>0.66700000000000004</v>
      </c>
      <c r="AP14" s="455">
        <v>0.66300000000000003</v>
      </c>
      <c r="AQ14" s="455">
        <v>0.65800000000000003</v>
      </c>
      <c r="AR14" s="455">
        <v>0.66100000000000003</v>
      </c>
      <c r="AS14" s="455">
        <v>0.65700000000000003</v>
      </c>
      <c r="AT14" s="455">
        <v>0.65500000000000003</v>
      </c>
      <c r="AU14" s="455">
        <v>0.65400000000000003</v>
      </c>
      <c r="AV14" s="455">
        <v>0.65200000000000002</v>
      </c>
      <c r="AW14" s="455">
        <v>0.65100000000000002</v>
      </c>
      <c r="AX14" s="455">
        <v>0.65</v>
      </c>
      <c r="AY14" s="455">
        <v>0.64900000000000002</v>
      </c>
      <c r="AZ14" s="455">
        <v>0.64900000000000002</v>
      </c>
      <c r="BA14" s="456">
        <v>0.64800000000000002</v>
      </c>
    </row>
    <row r="15" spans="1:53" s="18" customFormat="1" thickBot="1">
      <c r="B15" s="26" t="s">
        <v>57</v>
      </c>
      <c r="C15" s="27">
        <v>0.76100000000000001</v>
      </c>
      <c r="D15" s="457">
        <v>0.76400000000000001</v>
      </c>
      <c r="E15" s="457">
        <v>0.76200000000000001</v>
      </c>
      <c r="F15" s="457">
        <v>0.76100000000000001</v>
      </c>
      <c r="G15" s="457">
        <v>0.76100000000000001</v>
      </c>
      <c r="H15" s="457">
        <v>0.76</v>
      </c>
      <c r="I15" s="457">
        <v>0.76</v>
      </c>
      <c r="J15" s="457">
        <v>0.75800000000000001</v>
      </c>
      <c r="K15" s="457">
        <v>0.75600000000000001</v>
      </c>
      <c r="L15" s="457">
        <v>0.75600000000000001</v>
      </c>
      <c r="M15" s="457">
        <v>0.754</v>
      </c>
      <c r="N15" s="457">
        <v>0.753</v>
      </c>
      <c r="O15" s="457">
        <v>0.752</v>
      </c>
      <c r="P15" s="457">
        <v>0.75</v>
      </c>
      <c r="Q15" s="457">
        <v>0.747</v>
      </c>
      <c r="R15" s="457">
        <v>0.74399999999999999</v>
      </c>
      <c r="S15" s="457">
        <v>0.74099999999999999</v>
      </c>
      <c r="T15" s="457">
        <v>0.74099999999999999</v>
      </c>
      <c r="U15" s="457">
        <v>0.74099999999999999</v>
      </c>
      <c r="V15" s="457">
        <v>0.74</v>
      </c>
      <c r="W15" s="457">
        <v>0.73899999999999999</v>
      </c>
      <c r="X15" s="457">
        <v>0.73599999999999999</v>
      </c>
      <c r="Y15" s="457">
        <v>0.73299999999999998</v>
      </c>
      <c r="Z15" s="457">
        <v>0.73099999999999998</v>
      </c>
      <c r="AA15" s="457">
        <v>0.72899999999999998</v>
      </c>
      <c r="AB15" s="457">
        <v>0.72699999999999998</v>
      </c>
      <c r="AC15" s="457">
        <v>0.72499999999999998</v>
      </c>
      <c r="AD15" s="457">
        <v>0.72199999999999998</v>
      </c>
      <c r="AE15" s="457">
        <v>0.72</v>
      </c>
      <c r="AF15" s="457">
        <v>0.71799999999999997</v>
      </c>
      <c r="AG15" s="457">
        <v>0.71599999999999997</v>
      </c>
      <c r="AH15" s="457">
        <v>0.71399999999999997</v>
      </c>
      <c r="AI15" s="457">
        <v>0.71699999999999997</v>
      </c>
      <c r="AJ15" s="457">
        <v>0.71499999999999997</v>
      </c>
      <c r="AK15" s="457">
        <v>0.71199999999999997</v>
      </c>
      <c r="AL15" s="457">
        <v>0.71099999999999997</v>
      </c>
      <c r="AM15" s="457">
        <v>0.71499999999999997</v>
      </c>
      <c r="AN15" s="457">
        <v>0.71299999999999997</v>
      </c>
      <c r="AO15" s="457">
        <v>0.71099999999999997</v>
      </c>
      <c r="AP15" s="457">
        <v>0.70799999999999996</v>
      </c>
      <c r="AQ15" s="457">
        <v>0.70499999999999996</v>
      </c>
      <c r="AR15" s="457">
        <v>0.70799999999999996</v>
      </c>
      <c r="AS15" s="457">
        <v>0.70499999999999996</v>
      </c>
      <c r="AT15" s="457">
        <v>0.70399999999999996</v>
      </c>
      <c r="AU15" s="457">
        <v>0.70299999999999996</v>
      </c>
      <c r="AV15" s="457">
        <v>0.70199999999999996</v>
      </c>
      <c r="AW15" s="457">
        <v>0.70199999999999996</v>
      </c>
      <c r="AX15" s="457">
        <v>0.70099999999999996</v>
      </c>
      <c r="AY15" s="457">
        <v>0.70099999999999996</v>
      </c>
      <c r="AZ15" s="457">
        <v>0.70099999999999996</v>
      </c>
      <c r="BA15" s="458">
        <v>0.70099999999999996</v>
      </c>
    </row>
    <row r="16" spans="1:53" s="18" customFormat="1" ht="13.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row>
    <row r="17" spans="2:53" s="2" customFormat="1" ht="13.8">
      <c r="B17" s="6"/>
    </row>
    <row r="18" spans="2:53" s="2" customFormat="1" ht="13.8">
      <c r="B18" s="6"/>
    </row>
    <row r="19" spans="2:53" s="2" customFormat="1" ht="13.8">
      <c r="B19" s="6"/>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row>
    <row r="20" spans="2:53" s="2" customFormat="1" ht="13.8">
      <c r="B20" s="6"/>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row>
    <row r="21" spans="2:53" s="14" customFormat="1" ht="55.5" customHeight="1">
      <c r="C21" s="733" t="s">
        <v>177</v>
      </c>
      <c r="D21" s="733"/>
      <c r="E21" s="733"/>
      <c r="F21" s="733"/>
      <c r="G21" s="733"/>
      <c r="H21" s="733"/>
      <c r="I21" s="174"/>
      <c r="J21" s="733" t="s">
        <v>178</v>
      </c>
      <c r="K21" s="733"/>
      <c r="L21" s="733"/>
      <c r="M21" s="733"/>
      <c r="N21" s="733"/>
      <c r="O21" s="733"/>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4"/>
      <c r="BA21" s="174"/>
    </row>
    <row r="22" spans="2:53" s="2" customFormat="1" ht="13.8">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row>
    <row r="23" spans="2:53" s="2" customFormat="1" ht="13.8">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row>
    <row r="24" spans="2:53" s="2" customFormat="1" ht="13.8">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row>
    <row r="25" spans="2:53" s="2" customFormat="1" ht="13.8">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row>
    <row r="26" spans="2:53" s="2" customFormat="1" ht="13.8">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row>
    <row r="27" spans="2:53" s="2" customFormat="1" ht="13.8">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row>
    <row r="28" spans="2:53" s="2" customFormat="1" ht="13.8">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row>
    <row r="29" spans="2:53" s="2" customFormat="1" ht="13.8">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row>
    <row r="30" spans="2:53" s="2" customFormat="1" ht="13.8">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row>
    <row r="31" spans="2:53" s="2" customFormat="1" ht="13.8">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row>
    <row r="32" spans="2:53" s="2" customFormat="1" ht="13.8">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row>
    <row r="33" spans="2:53" s="2" customFormat="1" ht="13.8">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row>
    <row r="34" spans="2:53" s="2" customFormat="1" ht="13.8">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row>
    <row r="35" spans="2:53" s="2" customFormat="1" ht="13.8">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row>
    <row r="36" spans="2:53" s="2" customFormat="1" ht="15.6">
      <c r="B36" s="30" t="s">
        <v>179</v>
      </c>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row>
    <row r="37" spans="2:53" s="2" customFormat="1" thickBot="1">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row>
    <row r="38" spans="2:53" s="2" customFormat="1" thickBot="1">
      <c r="B38" s="19" t="s">
        <v>19</v>
      </c>
      <c r="C38" s="448">
        <v>1940</v>
      </c>
      <c r="D38" s="449">
        <v>1941</v>
      </c>
      <c r="E38" s="449">
        <v>1942</v>
      </c>
      <c r="F38" s="449">
        <v>1943</v>
      </c>
      <c r="G38" s="449">
        <v>1944</v>
      </c>
      <c r="H38" s="449">
        <v>1945</v>
      </c>
      <c r="I38" s="449">
        <v>1946</v>
      </c>
      <c r="J38" s="449">
        <v>1947</v>
      </c>
      <c r="K38" s="449">
        <v>1948</v>
      </c>
      <c r="L38" s="449">
        <v>1949</v>
      </c>
      <c r="M38" s="449">
        <v>1950</v>
      </c>
      <c r="N38" s="449">
        <v>1951</v>
      </c>
      <c r="O38" s="449">
        <v>1952</v>
      </c>
      <c r="P38" s="449">
        <v>1953</v>
      </c>
      <c r="Q38" s="449">
        <v>1954</v>
      </c>
      <c r="R38" s="449">
        <v>1955</v>
      </c>
      <c r="S38" s="449">
        <v>1956</v>
      </c>
      <c r="T38" s="449">
        <v>1957</v>
      </c>
      <c r="U38" s="449">
        <v>1958</v>
      </c>
      <c r="V38" s="449">
        <v>1959</v>
      </c>
      <c r="W38" s="449">
        <v>1960</v>
      </c>
      <c r="X38" s="449">
        <v>1961</v>
      </c>
      <c r="Y38" s="449">
        <v>1962</v>
      </c>
      <c r="Z38" s="449">
        <v>1963</v>
      </c>
      <c r="AA38" s="449">
        <v>1964</v>
      </c>
      <c r="AB38" s="449">
        <v>1965</v>
      </c>
      <c r="AC38" s="449">
        <v>1966</v>
      </c>
      <c r="AD38" s="449">
        <v>1967</v>
      </c>
      <c r="AE38" s="449">
        <v>1968</v>
      </c>
      <c r="AF38" s="449">
        <v>1969</v>
      </c>
      <c r="AG38" s="449">
        <v>1970</v>
      </c>
      <c r="AH38" s="449">
        <v>1971</v>
      </c>
      <c r="AI38" s="449">
        <v>1972</v>
      </c>
      <c r="AJ38" s="449">
        <v>1973</v>
      </c>
      <c r="AK38" s="449">
        <v>1974</v>
      </c>
      <c r="AL38" s="449">
        <v>1975</v>
      </c>
      <c r="AM38" s="449">
        <v>1976</v>
      </c>
      <c r="AN38" s="449">
        <v>1977</v>
      </c>
      <c r="AO38" s="449">
        <v>1978</v>
      </c>
      <c r="AP38" s="449">
        <v>1979</v>
      </c>
      <c r="AQ38" s="449">
        <v>1980</v>
      </c>
      <c r="AR38" s="449">
        <v>1981</v>
      </c>
      <c r="AS38" s="449">
        <v>1982</v>
      </c>
      <c r="AT38" s="449">
        <v>1983</v>
      </c>
      <c r="AU38" s="449">
        <v>1984</v>
      </c>
      <c r="AV38" s="449">
        <v>1985</v>
      </c>
      <c r="AW38" s="449">
        <v>1986</v>
      </c>
      <c r="AX38" s="449">
        <v>1987</v>
      </c>
      <c r="AY38" s="449">
        <v>1988</v>
      </c>
      <c r="AZ38" s="449">
        <v>1989</v>
      </c>
      <c r="BA38" s="450">
        <v>1990</v>
      </c>
    </row>
    <row r="39" spans="2:53" s="2" customFormat="1" ht="13.8">
      <c r="B39" s="20" t="s">
        <v>1</v>
      </c>
      <c r="C39" s="21">
        <v>0.56000000000000005</v>
      </c>
      <c r="D39" s="455">
        <v>0.55900000000000005</v>
      </c>
      <c r="E39" s="455">
        <v>0.55500000000000005</v>
      </c>
      <c r="F39" s="455">
        <v>0.55000000000000004</v>
      </c>
      <c r="G39" s="455">
        <v>0.54700000000000004</v>
      </c>
      <c r="H39" s="455">
        <v>0.54300000000000004</v>
      </c>
      <c r="I39" s="455">
        <v>0.54100000000000004</v>
      </c>
      <c r="J39" s="455">
        <v>0.53600000000000003</v>
      </c>
      <c r="K39" s="455">
        <v>0.53300000000000003</v>
      </c>
      <c r="L39" s="455">
        <v>0.53100000000000003</v>
      </c>
      <c r="M39" s="455">
        <v>0.52700000000000002</v>
      </c>
      <c r="N39" s="455">
        <v>0.52400000000000002</v>
      </c>
      <c r="O39" s="455">
        <v>0.52200000000000002</v>
      </c>
      <c r="P39" s="455">
        <v>0.51900000000000002</v>
      </c>
      <c r="Q39" s="455">
        <v>0.51500000000000001</v>
      </c>
      <c r="R39" s="455">
        <v>0.51100000000000001</v>
      </c>
      <c r="S39" s="455">
        <v>0.50700000000000001</v>
      </c>
      <c r="T39" s="455">
        <v>0.50600000000000001</v>
      </c>
      <c r="U39" s="455">
        <v>0.504</v>
      </c>
      <c r="V39" s="455">
        <v>0.503</v>
      </c>
      <c r="W39" s="455">
        <v>0.501</v>
      </c>
      <c r="X39" s="455">
        <v>0.497</v>
      </c>
      <c r="Y39" s="455">
        <v>0.49299999999999999</v>
      </c>
      <c r="Z39" s="455">
        <v>0.48899999999999999</v>
      </c>
      <c r="AA39" s="455">
        <v>0.48499999999999999</v>
      </c>
      <c r="AB39" s="455">
        <v>0.48099999999999998</v>
      </c>
      <c r="AC39" s="455">
        <v>0.47699999999999998</v>
      </c>
      <c r="AD39" s="455">
        <v>0.47199999999999998</v>
      </c>
      <c r="AE39" s="455">
        <v>0.46700000000000003</v>
      </c>
      <c r="AF39" s="455">
        <v>0.46100000000000002</v>
      </c>
      <c r="AG39" s="455">
        <v>0.45500000000000002</v>
      </c>
      <c r="AH39" s="455">
        <v>0.44800000000000001</v>
      </c>
      <c r="AI39" s="455">
        <v>0.44600000000000001</v>
      </c>
      <c r="AJ39" s="455">
        <v>0.441</v>
      </c>
      <c r="AK39" s="455">
        <v>0.436</v>
      </c>
      <c r="AL39" s="455">
        <v>0.42899999999999999</v>
      </c>
      <c r="AM39" s="455">
        <v>0.43</v>
      </c>
      <c r="AN39" s="455">
        <v>0.42599999999999999</v>
      </c>
      <c r="AO39" s="455">
        <v>0.41899999999999998</v>
      </c>
      <c r="AP39" s="455">
        <v>0.41399999999999998</v>
      </c>
      <c r="AQ39" s="455">
        <v>0.41</v>
      </c>
      <c r="AR39" s="455">
        <v>0.41099999999999998</v>
      </c>
      <c r="AS39" s="455">
        <v>0.40799999999999997</v>
      </c>
      <c r="AT39" s="455">
        <v>0.40400000000000003</v>
      </c>
      <c r="AU39" s="455">
        <v>0.40200000000000002</v>
      </c>
      <c r="AV39" s="455">
        <v>0.40100000000000002</v>
      </c>
      <c r="AW39" s="455">
        <v>0.39800000000000002</v>
      </c>
      <c r="AX39" s="455">
        <v>0.39700000000000002</v>
      </c>
      <c r="AY39" s="455">
        <v>0.39600000000000002</v>
      </c>
      <c r="AZ39" s="455">
        <v>0.39500000000000002</v>
      </c>
      <c r="BA39" s="456">
        <v>0.39400000000000002</v>
      </c>
    </row>
    <row r="40" spans="2:53" s="2" customFormat="1" ht="13.8">
      <c r="B40" s="22" t="s">
        <v>0</v>
      </c>
      <c r="C40" s="23">
        <v>0.56000000000000005</v>
      </c>
      <c r="D40" s="24">
        <v>0.55900000000000005</v>
      </c>
      <c r="E40" s="24">
        <v>0.55500000000000005</v>
      </c>
      <c r="F40" s="24">
        <v>0.55000000000000004</v>
      </c>
      <c r="G40" s="24">
        <v>0.54700000000000004</v>
      </c>
      <c r="H40" s="24">
        <v>0.54300000000000004</v>
      </c>
      <c r="I40" s="24">
        <v>0.54100000000000004</v>
      </c>
      <c r="J40" s="24">
        <v>0.53600000000000003</v>
      </c>
      <c r="K40" s="24">
        <v>0.53300000000000003</v>
      </c>
      <c r="L40" s="24">
        <v>0.53100000000000003</v>
      </c>
      <c r="M40" s="24">
        <v>0.52700000000000002</v>
      </c>
      <c r="N40" s="24">
        <v>0.52500000000000002</v>
      </c>
      <c r="O40" s="24">
        <v>0.52200000000000002</v>
      </c>
      <c r="P40" s="24">
        <v>0.51900000000000002</v>
      </c>
      <c r="Q40" s="24">
        <v>0.51600000000000001</v>
      </c>
      <c r="R40" s="24">
        <v>0.51200000000000001</v>
      </c>
      <c r="S40" s="24">
        <v>0.50800000000000001</v>
      </c>
      <c r="T40" s="24">
        <v>0.50800000000000001</v>
      </c>
      <c r="U40" s="24">
        <v>0.50700000000000001</v>
      </c>
      <c r="V40" s="24">
        <v>0.505</v>
      </c>
      <c r="W40" s="24">
        <v>0.504</v>
      </c>
      <c r="X40" s="24">
        <v>0.5</v>
      </c>
      <c r="Y40" s="24">
        <v>0.497</v>
      </c>
      <c r="Z40" s="24">
        <v>0.49399999999999999</v>
      </c>
      <c r="AA40" s="24">
        <v>0.49</v>
      </c>
      <c r="AB40" s="24">
        <v>0.48699999999999999</v>
      </c>
      <c r="AC40" s="24">
        <v>0.48299999999999998</v>
      </c>
      <c r="AD40" s="24">
        <v>0.47899999999999998</v>
      </c>
      <c r="AE40" s="24">
        <v>0.47499999999999998</v>
      </c>
      <c r="AF40" s="24">
        <v>0.46899999999999997</v>
      </c>
      <c r="AG40" s="24">
        <v>0.46400000000000002</v>
      </c>
      <c r="AH40" s="24">
        <v>0.45800000000000002</v>
      </c>
      <c r="AI40" s="24">
        <v>0.45700000000000002</v>
      </c>
      <c r="AJ40" s="24">
        <v>0.45300000000000001</v>
      </c>
      <c r="AK40" s="24">
        <v>0.44900000000000001</v>
      </c>
      <c r="AL40" s="24">
        <v>0.443</v>
      </c>
      <c r="AM40" s="24">
        <v>0.44400000000000001</v>
      </c>
      <c r="AN40" s="24">
        <v>0.44</v>
      </c>
      <c r="AO40" s="24">
        <v>0.434</v>
      </c>
      <c r="AP40" s="24">
        <v>0.43</v>
      </c>
      <c r="AQ40" s="24">
        <v>0.42599999999999999</v>
      </c>
      <c r="AR40" s="24">
        <v>0.42799999999999999</v>
      </c>
      <c r="AS40" s="24">
        <v>0.42499999999999999</v>
      </c>
      <c r="AT40" s="24">
        <v>0.42199999999999999</v>
      </c>
      <c r="AU40" s="24">
        <v>0.42</v>
      </c>
      <c r="AV40" s="24">
        <v>0.41899999999999998</v>
      </c>
      <c r="AW40" s="24">
        <v>0.41599999999999998</v>
      </c>
      <c r="AX40" s="24">
        <v>0.41499999999999998</v>
      </c>
      <c r="AY40" s="24">
        <v>0.41399999999999998</v>
      </c>
      <c r="AZ40" s="24">
        <v>0.41399999999999998</v>
      </c>
      <c r="BA40" s="25">
        <v>0.41299999999999998</v>
      </c>
    </row>
    <row r="41" spans="2:53" s="2" customFormat="1" ht="13.8">
      <c r="B41" s="22" t="s">
        <v>2</v>
      </c>
      <c r="C41" s="21">
        <v>0.56000000000000005</v>
      </c>
      <c r="D41" s="455">
        <v>0.55900000000000005</v>
      </c>
      <c r="E41" s="455">
        <v>0.55500000000000005</v>
      </c>
      <c r="F41" s="455">
        <v>0.55000000000000004</v>
      </c>
      <c r="G41" s="455">
        <v>0.54700000000000004</v>
      </c>
      <c r="H41" s="455">
        <v>0.54300000000000004</v>
      </c>
      <c r="I41" s="455">
        <v>0.54</v>
      </c>
      <c r="J41" s="455">
        <v>0.53600000000000003</v>
      </c>
      <c r="K41" s="455">
        <v>0.53300000000000003</v>
      </c>
      <c r="L41" s="455">
        <v>0.53100000000000003</v>
      </c>
      <c r="M41" s="455">
        <v>0.52700000000000002</v>
      </c>
      <c r="N41" s="455">
        <v>0.52500000000000002</v>
      </c>
      <c r="O41" s="455">
        <v>0.52300000000000002</v>
      </c>
      <c r="P41" s="455">
        <v>0.52</v>
      </c>
      <c r="Q41" s="455">
        <v>0.51700000000000002</v>
      </c>
      <c r="R41" s="455">
        <v>0.51400000000000001</v>
      </c>
      <c r="S41" s="455">
        <v>0.51</v>
      </c>
      <c r="T41" s="455">
        <v>0.51100000000000001</v>
      </c>
      <c r="U41" s="455">
        <v>0.51</v>
      </c>
      <c r="V41" s="455">
        <v>0.50900000000000001</v>
      </c>
      <c r="W41" s="455">
        <v>0.50800000000000001</v>
      </c>
      <c r="X41" s="455">
        <v>0.50600000000000001</v>
      </c>
      <c r="Y41" s="455">
        <v>0.503</v>
      </c>
      <c r="Z41" s="455">
        <v>0.501</v>
      </c>
      <c r="AA41" s="455">
        <v>0.498</v>
      </c>
      <c r="AB41" s="455">
        <v>0.496</v>
      </c>
      <c r="AC41" s="455">
        <v>0.49299999999999999</v>
      </c>
      <c r="AD41" s="455">
        <v>0.49</v>
      </c>
      <c r="AE41" s="455">
        <v>0.48699999999999999</v>
      </c>
      <c r="AF41" s="455">
        <v>0.48299999999999998</v>
      </c>
      <c r="AG41" s="455">
        <v>0.47899999999999998</v>
      </c>
      <c r="AH41" s="455">
        <v>0.47399999999999998</v>
      </c>
      <c r="AI41" s="455">
        <v>0.47499999999999998</v>
      </c>
      <c r="AJ41" s="455">
        <v>0.47199999999999998</v>
      </c>
      <c r="AK41" s="455">
        <v>0.46899999999999997</v>
      </c>
      <c r="AL41" s="455">
        <v>0.46400000000000002</v>
      </c>
      <c r="AM41" s="455">
        <v>0.46700000000000003</v>
      </c>
      <c r="AN41" s="455">
        <v>0.46400000000000002</v>
      </c>
      <c r="AO41" s="455">
        <v>0.45900000000000002</v>
      </c>
      <c r="AP41" s="455">
        <v>0.45500000000000002</v>
      </c>
      <c r="AQ41" s="455">
        <v>0.45200000000000001</v>
      </c>
      <c r="AR41" s="455">
        <v>0.45500000000000002</v>
      </c>
      <c r="AS41" s="455">
        <v>0.45200000000000001</v>
      </c>
      <c r="AT41" s="455">
        <v>0.45</v>
      </c>
      <c r="AU41" s="455">
        <v>0.44900000000000001</v>
      </c>
      <c r="AV41" s="455">
        <v>0.44800000000000001</v>
      </c>
      <c r="AW41" s="455">
        <v>0.44600000000000001</v>
      </c>
      <c r="AX41" s="455">
        <v>0.44500000000000001</v>
      </c>
      <c r="AY41" s="455">
        <v>0.44500000000000001</v>
      </c>
      <c r="AZ41" s="455">
        <v>0.44400000000000001</v>
      </c>
      <c r="BA41" s="456">
        <v>0.44400000000000001</v>
      </c>
    </row>
    <row r="42" spans="2:53" s="2" customFormat="1" ht="13.8">
      <c r="B42" s="22" t="s">
        <v>3</v>
      </c>
      <c r="C42" s="21">
        <v>0.56000000000000005</v>
      </c>
      <c r="D42" s="455">
        <v>0.55900000000000005</v>
      </c>
      <c r="E42" s="455">
        <v>0.55500000000000005</v>
      </c>
      <c r="F42" s="455">
        <v>0.55000000000000004</v>
      </c>
      <c r="G42" s="455">
        <v>0.54700000000000004</v>
      </c>
      <c r="H42" s="455">
        <v>0.54300000000000004</v>
      </c>
      <c r="I42" s="455">
        <v>0.54</v>
      </c>
      <c r="J42" s="455">
        <v>0.53600000000000003</v>
      </c>
      <c r="K42" s="455">
        <v>0.53300000000000003</v>
      </c>
      <c r="L42" s="455">
        <v>0.53100000000000003</v>
      </c>
      <c r="M42" s="455">
        <v>0.52700000000000002</v>
      </c>
      <c r="N42" s="455">
        <v>0.52600000000000002</v>
      </c>
      <c r="O42" s="455">
        <v>0.52300000000000002</v>
      </c>
      <c r="P42" s="455">
        <v>0.52100000000000002</v>
      </c>
      <c r="Q42" s="455">
        <v>0.51900000000000002</v>
      </c>
      <c r="R42" s="455">
        <v>0.51600000000000001</v>
      </c>
      <c r="S42" s="455">
        <v>0.51300000000000001</v>
      </c>
      <c r="T42" s="455">
        <v>0.51300000000000001</v>
      </c>
      <c r="U42" s="455">
        <v>0.51300000000000001</v>
      </c>
      <c r="V42" s="455">
        <v>0.51300000000000001</v>
      </c>
      <c r="W42" s="455">
        <v>0.51300000000000001</v>
      </c>
      <c r="X42" s="455">
        <v>0.51</v>
      </c>
      <c r="Y42" s="455">
        <v>0.50800000000000001</v>
      </c>
      <c r="Z42" s="455">
        <v>0.50700000000000001</v>
      </c>
      <c r="AA42" s="455">
        <v>0.505</v>
      </c>
      <c r="AB42" s="455">
        <v>0.503</v>
      </c>
      <c r="AC42" s="455">
        <v>0.501</v>
      </c>
      <c r="AD42" s="455">
        <v>0.499</v>
      </c>
      <c r="AE42" s="455">
        <v>0.497</v>
      </c>
      <c r="AF42" s="455">
        <v>0.49299999999999999</v>
      </c>
      <c r="AG42" s="455">
        <v>0.49</v>
      </c>
      <c r="AH42" s="455">
        <v>0.48699999999999999</v>
      </c>
      <c r="AI42" s="455">
        <v>0.48899999999999999</v>
      </c>
      <c r="AJ42" s="455">
        <v>0.48699999999999999</v>
      </c>
      <c r="AK42" s="455">
        <v>0.48499999999999999</v>
      </c>
      <c r="AL42" s="455">
        <v>0.48</v>
      </c>
      <c r="AM42" s="455">
        <v>0.48399999999999999</v>
      </c>
      <c r="AN42" s="455">
        <v>0.48199999999999998</v>
      </c>
      <c r="AO42" s="455">
        <v>0.47799999999999998</v>
      </c>
      <c r="AP42" s="455">
        <v>0.47399999999999998</v>
      </c>
      <c r="AQ42" s="455">
        <v>0.47199999999999998</v>
      </c>
      <c r="AR42" s="455">
        <v>0.47399999999999998</v>
      </c>
      <c r="AS42" s="455">
        <v>0.47199999999999998</v>
      </c>
      <c r="AT42" s="455">
        <v>0.47</v>
      </c>
      <c r="AU42" s="455">
        <v>0.47</v>
      </c>
      <c r="AV42" s="455">
        <v>0.46899999999999997</v>
      </c>
      <c r="AW42" s="455">
        <v>0.46700000000000003</v>
      </c>
      <c r="AX42" s="455">
        <v>0.46700000000000003</v>
      </c>
      <c r="AY42" s="455">
        <v>0.46700000000000003</v>
      </c>
      <c r="AZ42" s="455">
        <v>0.46600000000000003</v>
      </c>
      <c r="BA42" s="456">
        <v>0.46600000000000003</v>
      </c>
    </row>
    <row r="43" spans="2:53" s="2" customFormat="1" thickBot="1">
      <c r="B43" s="26" t="s">
        <v>4</v>
      </c>
      <c r="C43" s="27">
        <v>0.56000000000000005</v>
      </c>
      <c r="D43" s="457">
        <v>0.55900000000000005</v>
      </c>
      <c r="E43" s="457">
        <v>0.55500000000000005</v>
      </c>
      <c r="F43" s="457">
        <v>0.55000000000000004</v>
      </c>
      <c r="G43" s="457">
        <v>0.54700000000000004</v>
      </c>
      <c r="H43" s="457">
        <v>0.54300000000000004</v>
      </c>
      <c r="I43" s="457">
        <v>0.54100000000000004</v>
      </c>
      <c r="J43" s="457">
        <v>0.53700000000000003</v>
      </c>
      <c r="K43" s="457">
        <v>0.53400000000000003</v>
      </c>
      <c r="L43" s="457">
        <v>0.53200000000000003</v>
      </c>
      <c r="M43" s="457">
        <v>0.52900000000000003</v>
      </c>
      <c r="N43" s="457">
        <v>0.52700000000000002</v>
      </c>
      <c r="O43" s="457">
        <v>0.52600000000000002</v>
      </c>
      <c r="P43" s="457">
        <v>0.52400000000000002</v>
      </c>
      <c r="Q43" s="457">
        <v>0.52200000000000002</v>
      </c>
      <c r="R43" s="457">
        <v>0.52</v>
      </c>
      <c r="S43" s="457">
        <v>0.51800000000000002</v>
      </c>
      <c r="T43" s="457">
        <v>0.51900000000000002</v>
      </c>
      <c r="U43" s="457">
        <v>0.52</v>
      </c>
      <c r="V43" s="457">
        <v>0.52100000000000002</v>
      </c>
      <c r="W43" s="457">
        <v>0.52100000000000002</v>
      </c>
      <c r="X43" s="457">
        <v>0.52</v>
      </c>
      <c r="Y43" s="457">
        <v>0.51900000000000002</v>
      </c>
      <c r="Z43" s="457">
        <v>0.51900000000000002</v>
      </c>
      <c r="AA43" s="457">
        <v>0.51800000000000002</v>
      </c>
      <c r="AB43" s="457">
        <v>0.51800000000000002</v>
      </c>
      <c r="AC43" s="457">
        <v>0.51700000000000002</v>
      </c>
      <c r="AD43" s="457">
        <v>0.51600000000000001</v>
      </c>
      <c r="AE43" s="457">
        <v>0.51500000000000001</v>
      </c>
      <c r="AF43" s="457">
        <v>0.51400000000000001</v>
      </c>
      <c r="AG43" s="457">
        <v>0.51200000000000001</v>
      </c>
      <c r="AH43" s="457">
        <v>0.51100000000000001</v>
      </c>
      <c r="AI43" s="457">
        <v>0.51400000000000001</v>
      </c>
      <c r="AJ43" s="457">
        <v>0.51300000000000001</v>
      </c>
      <c r="AK43" s="457">
        <v>0.51200000000000001</v>
      </c>
      <c r="AL43" s="457">
        <v>0.50900000000000001</v>
      </c>
      <c r="AM43" s="457">
        <v>0.51400000000000001</v>
      </c>
      <c r="AN43" s="457">
        <v>0.51300000000000001</v>
      </c>
      <c r="AO43" s="457">
        <v>0.50900000000000001</v>
      </c>
      <c r="AP43" s="457">
        <v>0.50700000000000001</v>
      </c>
      <c r="AQ43" s="457">
        <v>0.505</v>
      </c>
      <c r="AR43" s="457">
        <v>0.50800000000000001</v>
      </c>
      <c r="AS43" s="457">
        <v>0.50600000000000001</v>
      </c>
      <c r="AT43" s="457">
        <v>0.505</v>
      </c>
      <c r="AU43" s="457">
        <v>0.504</v>
      </c>
      <c r="AV43" s="457">
        <v>0.504</v>
      </c>
      <c r="AW43" s="457">
        <v>0.503</v>
      </c>
      <c r="AX43" s="457">
        <v>0.502</v>
      </c>
      <c r="AY43" s="457">
        <v>0.502</v>
      </c>
      <c r="AZ43" s="457">
        <v>0.502</v>
      </c>
      <c r="BA43" s="458">
        <v>0.503</v>
      </c>
    </row>
    <row r="44" spans="2:53" ht="15" thickBot="1">
      <c r="B44"/>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row>
    <row r="45" spans="2:53" s="2" customFormat="1" thickBot="1">
      <c r="B45" s="19" t="s">
        <v>20</v>
      </c>
      <c r="C45" s="448">
        <v>1940</v>
      </c>
      <c r="D45" s="449">
        <v>1941</v>
      </c>
      <c r="E45" s="449">
        <v>1942</v>
      </c>
      <c r="F45" s="449">
        <v>1943</v>
      </c>
      <c r="G45" s="449">
        <v>1944</v>
      </c>
      <c r="H45" s="449">
        <v>1945</v>
      </c>
      <c r="I45" s="449">
        <v>1946</v>
      </c>
      <c r="J45" s="449">
        <v>1947</v>
      </c>
      <c r="K45" s="449">
        <v>1948</v>
      </c>
      <c r="L45" s="449">
        <v>1949</v>
      </c>
      <c r="M45" s="449">
        <v>1950</v>
      </c>
      <c r="N45" s="449">
        <v>1951</v>
      </c>
      <c r="O45" s="449">
        <v>1952</v>
      </c>
      <c r="P45" s="449">
        <v>1953</v>
      </c>
      <c r="Q45" s="449">
        <v>1954</v>
      </c>
      <c r="R45" s="449">
        <v>1955</v>
      </c>
      <c r="S45" s="449">
        <v>1956</v>
      </c>
      <c r="T45" s="449">
        <v>1957</v>
      </c>
      <c r="U45" s="449">
        <v>1958</v>
      </c>
      <c r="V45" s="449">
        <v>1959</v>
      </c>
      <c r="W45" s="449">
        <v>1960</v>
      </c>
      <c r="X45" s="449">
        <v>1961</v>
      </c>
      <c r="Y45" s="449">
        <v>1962</v>
      </c>
      <c r="Z45" s="449">
        <v>1963</v>
      </c>
      <c r="AA45" s="449">
        <v>1964</v>
      </c>
      <c r="AB45" s="449">
        <v>1965</v>
      </c>
      <c r="AC45" s="449">
        <v>1966</v>
      </c>
      <c r="AD45" s="449">
        <v>1967</v>
      </c>
      <c r="AE45" s="449">
        <v>1968</v>
      </c>
      <c r="AF45" s="449">
        <v>1969</v>
      </c>
      <c r="AG45" s="449">
        <v>1970</v>
      </c>
      <c r="AH45" s="449">
        <v>1971</v>
      </c>
      <c r="AI45" s="449">
        <v>1972</v>
      </c>
      <c r="AJ45" s="449">
        <v>1973</v>
      </c>
      <c r="AK45" s="449">
        <v>1974</v>
      </c>
      <c r="AL45" s="449">
        <v>1975</v>
      </c>
      <c r="AM45" s="449">
        <v>1976</v>
      </c>
      <c r="AN45" s="449">
        <v>1977</v>
      </c>
      <c r="AO45" s="449">
        <v>1978</v>
      </c>
      <c r="AP45" s="449">
        <v>1979</v>
      </c>
      <c r="AQ45" s="449">
        <v>1980</v>
      </c>
      <c r="AR45" s="449">
        <v>1981</v>
      </c>
      <c r="AS45" s="449">
        <v>1982</v>
      </c>
      <c r="AT45" s="449">
        <v>1983</v>
      </c>
      <c r="AU45" s="449">
        <v>1984</v>
      </c>
      <c r="AV45" s="449">
        <v>1985</v>
      </c>
      <c r="AW45" s="449">
        <v>1986</v>
      </c>
      <c r="AX45" s="449">
        <v>1987</v>
      </c>
      <c r="AY45" s="449">
        <v>1988</v>
      </c>
      <c r="AZ45" s="449">
        <v>1989</v>
      </c>
      <c r="BA45" s="450">
        <v>1990</v>
      </c>
    </row>
    <row r="46" spans="2:53" s="2" customFormat="1" ht="13.8">
      <c r="B46" s="20" t="s">
        <v>1</v>
      </c>
      <c r="C46" s="21">
        <v>0.20100000000000001</v>
      </c>
      <c r="D46" s="455">
        <v>0.20399999999999999</v>
      </c>
      <c r="E46" s="455">
        <v>0.20799999999999999</v>
      </c>
      <c r="F46" s="455">
        <v>0.21099999999999999</v>
      </c>
      <c r="G46" s="455">
        <v>0.214</v>
      </c>
      <c r="H46" s="455">
        <v>0.217</v>
      </c>
      <c r="I46" s="455">
        <v>0.219</v>
      </c>
      <c r="J46" s="455">
        <v>0.221</v>
      </c>
      <c r="K46" s="455">
        <v>0.222</v>
      </c>
      <c r="L46" s="455">
        <v>0.223</v>
      </c>
      <c r="M46" s="455">
        <v>0.224</v>
      </c>
      <c r="N46" s="455">
        <v>0.22500000000000001</v>
      </c>
      <c r="O46" s="455">
        <v>0.224</v>
      </c>
      <c r="P46" s="455">
        <v>0.223</v>
      </c>
      <c r="Q46" s="455">
        <v>0.222</v>
      </c>
      <c r="R46" s="455">
        <v>0.22</v>
      </c>
      <c r="S46" s="455">
        <v>0.218</v>
      </c>
      <c r="T46" s="455">
        <v>0.216</v>
      </c>
      <c r="U46" s="455">
        <v>0.214</v>
      </c>
      <c r="V46" s="455">
        <v>0.21199999999999999</v>
      </c>
      <c r="W46" s="455">
        <v>0.20899999999999999</v>
      </c>
      <c r="X46" s="455">
        <v>0.20599999999999999</v>
      </c>
      <c r="Y46" s="455">
        <v>0.20300000000000001</v>
      </c>
      <c r="Z46" s="455">
        <v>0.2</v>
      </c>
      <c r="AA46" s="455">
        <v>0.19700000000000001</v>
      </c>
      <c r="AB46" s="455">
        <v>0.19400000000000001</v>
      </c>
      <c r="AC46" s="455">
        <v>0.191</v>
      </c>
      <c r="AD46" s="455">
        <v>0.188</v>
      </c>
      <c r="AE46" s="455">
        <v>0.185</v>
      </c>
      <c r="AF46" s="455">
        <v>0.183</v>
      </c>
      <c r="AG46" s="455">
        <v>0.18099999999999999</v>
      </c>
      <c r="AH46" s="455">
        <v>0.17799999999999999</v>
      </c>
      <c r="AI46" s="455">
        <v>0.17699999999999999</v>
      </c>
      <c r="AJ46" s="455">
        <v>0.17399999999999999</v>
      </c>
      <c r="AK46" s="455">
        <v>0.17</v>
      </c>
      <c r="AL46" s="455">
        <v>0.16900000000000001</v>
      </c>
      <c r="AM46" s="455">
        <v>0.16800000000000001</v>
      </c>
      <c r="AN46" s="455">
        <v>0.16600000000000001</v>
      </c>
      <c r="AO46" s="455">
        <v>0.16500000000000001</v>
      </c>
      <c r="AP46" s="455">
        <v>0.16400000000000001</v>
      </c>
      <c r="AQ46" s="455">
        <v>0.16200000000000001</v>
      </c>
      <c r="AR46" s="455">
        <v>0.16</v>
      </c>
      <c r="AS46" s="455">
        <v>0.158</v>
      </c>
      <c r="AT46" s="455">
        <v>0.158</v>
      </c>
      <c r="AU46" s="455">
        <v>0.156</v>
      </c>
      <c r="AV46" s="455">
        <v>0.155</v>
      </c>
      <c r="AW46" s="455">
        <v>0.155</v>
      </c>
      <c r="AX46" s="455">
        <v>0.154</v>
      </c>
      <c r="AY46" s="455">
        <v>0.153</v>
      </c>
      <c r="AZ46" s="455">
        <v>0.152</v>
      </c>
      <c r="BA46" s="456">
        <v>0.151</v>
      </c>
    </row>
    <row r="47" spans="2:53" s="2" customFormat="1" ht="13.8">
      <c r="B47" s="22" t="s">
        <v>0</v>
      </c>
      <c r="C47" s="23">
        <v>0.20100000000000001</v>
      </c>
      <c r="D47" s="24">
        <v>0.20399999999999999</v>
      </c>
      <c r="E47" s="24">
        <v>0.20799999999999999</v>
      </c>
      <c r="F47" s="24">
        <v>0.21099999999999999</v>
      </c>
      <c r="G47" s="24">
        <v>0.214</v>
      </c>
      <c r="H47" s="24">
        <v>0.217</v>
      </c>
      <c r="I47" s="24">
        <v>0.219</v>
      </c>
      <c r="J47" s="24">
        <v>0.221</v>
      </c>
      <c r="K47" s="24">
        <v>0.222</v>
      </c>
      <c r="L47" s="24">
        <v>0.223</v>
      </c>
      <c r="M47" s="24">
        <v>0.224</v>
      </c>
      <c r="N47" s="24">
        <v>0.22500000000000001</v>
      </c>
      <c r="O47" s="24">
        <v>0.22500000000000001</v>
      </c>
      <c r="P47" s="24">
        <v>0.224</v>
      </c>
      <c r="Q47" s="24">
        <v>0.222</v>
      </c>
      <c r="R47" s="24">
        <v>0.221</v>
      </c>
      <c r="S47" s="24">
        <v>0.219</v>
      </c>
      <c r="T47" s="24">
        <v>0.217</v>
      </c>
      <c r="U47" s="24">
        <v>0.215</v>
      </c>
      <c r="V47" s="24">
        <v>0.21299999999999999</v>
      </c>
      <c r="W47" s="24">
        <v>0.21</v>
      </c>
      <c r="X47" s="24">
        <v>0.20799999999999999</v>
      </c>
      <c r="Y47" s="24">
        <v>0.20499999999999999</v>
      </c>
      <c r="Z47" s="24">
        <v>0.20200000000000001</v>
      </c>
      <c r="AA47" s="24">
        <v>0.19900000000000001</v>
      </c>
      <c r="AB47" s="24">
        <v>0.19700000000000001</v>
      </c>
      <c r="AC47" s="24">
        <v>0.19400000000000001</v>
      </c>
      <c r="AD47" s="24">
        <v>0.191</v>
      </c>
      <c r="AE47" s="24">
        <v>0.189</v>
      </c>
      <c r="AF47" s="24">
        <v>0.186</v>
      </c>
      <c r="AG47" s="24">
        <v>0.185</v>
      </c>
      <c r="AH47" s="24">
        <v>0.182</v>
      </c>
      <c r="AI47" s="24">
        <v>0.18099999999999999</v>
      </c>
      <c r="AJ47" s="24">
        <v>0.17799999999999999</v>
      </c>
      <c r="AK47" s="24">
        <v>0.17499999999999999</v>
      </c>
      <c r="AL47" s="24">
        <v>0.17499999999999999</v>
      </c>
      <c r="AM47" s="24">
        <v>0.17399999999999999</v>
      </c>
      <c r="AN47" s="24">
        <v>0.17199999999999999</v>
      </c>
      <c r="AO47" s="24">
        <v>0.17100000000000001</v>
      </c>
      <c r="AP47" s="24">
        <v>0.17</v>
      </c>
      <c r="AQ47" s="24">
        <v>0.16800000000000001</v>
      </c>
      <c r="AR47" s="24">
        <v>0.16700000000000001</v>
      </c>
      <c r="AS47" s="24">
        <v>0.16500000000000001</v>
      </c>
      <c r="AT47" s="24">
        <v>0.16500000000000001</v>
      </c>
      <c r="AU47" s="24">
        <v>0.16400000000000001</v>
      </c>
      <c r="AV47" s="24">
        <v>0.16300000000000001</v>
      </c>
      <c r="AW47" s="24">
        <v>0.16200000000000001</v>
      </c>
      <c r="AX47" s="24">
        <v>0.161</v>
      </c>
      <c r="AY47" s="24">
        <v>0.161</v>
      </c>
      <c r="AZ47" s="24">
        <v>0.16</v>
      </c>
      <c r="BA47" s="25">
        <v>0.159</v>
      </c>
    </row>
    <row r="48" spans="2:53" s="2" customFormat="1" ht="13.8">
      <c r="B48" s="22" t="s">
        <v>2</v>
      </c>
      <c r="C48" s="21">
        <v>0.20100000000000001</v>
      </c>
      <c r="D48" s="455">
        <v>0.20399999999999999</v>
      </c>
      <c r="E48" s="455">
        <v>0.20799999999999999</v>
      </c>
      <c r="F48" s="455">
        <v>0.21099999999999999</v>
      </c>
      <c r="G48" s="455">
        <v>0.214</v>
      </c>
      <c r="H48" s="455">
        <v>0.217</v>
      </c>
      <c r="I48" s="455">
        <v>0.219</v>
      </c>
      <c r="J48" s="455">
        <v>0.221</v>
      </c>
      <c r="K48" s="455">
        <v>0.222</v>
      </c>
      <c r="L48" s="455">
        <v>0.223</v>
      </c>
      <c r="M48" s="455">
        <v>0.224</v>
      </c>
      <c r="N48" s="455">
        <v>0.22500000000000001</v>
      </c>
      <c r="O48" s="455">
        <v>0.22500000000000001</v>
      </c>
      <c r="P48" s="455">
        <v>0.224</v>
      </c>
      <c r="Q48" s="455">
        <v>0.223</v>
      </c>
      <c r="R48" s="455">
        <v>0.221</v>
      </c>
      <c r="S48" s="455">
        <v>0.22</v>
      </c>
      <c r="T48" s="455">
        <v>0.218</v>
      </c>
      <c r="U48" s="455">
        <v>0.217</v>
      </c>
      <c r="V48" s="455">
        <v>0.214</v>
      </c>
      <c r="W48" s="455">
        <v>0.21199999999999999</v>
      </c>
      <c r="X48" s="455">
        <v>0.21</v>
      </c>
      <c r="Y48" s="455">
        <v>0.20699999999999999</v>
      </c>
      <c r="Z48" s="455">
        <v>0.20499999999999999</v>
      </c>
      <c r="AA48" s="455">
        <v>0.20300000000000001</v>
      </c>
      <c r="AB48" s="455">
        <v>0.2</v>
      </c>
      <c r="AC48" s="455">
        <v>0.19800000000000001</v>
      </c>
      <c r="AD48" s="455">
        <v>0.19500000000000001</v>
      </c>
      <c r="AE48" s="455">
        <v>0.193</v>
      </c>
      <c r="AF48" s="455">
        <v>0.192</v>
      </c>
      <c r="AG48" s="455">
        <v>0.191</v>
      </c>
      <c r="AH48" s="455">
        <v>0.189</v>
      </c>
      <c r="AI48" s="455">
        <v>0.188</v>
      </c>
      <c r="AJ48" s="455">
        <v>0.186</v>
      </c>
      <c r="AK48" s="455">
        <v>0.183</v>
      </c>
      <c r="AL48" s="455">
        <v>0.183</v>
      </c>
      <c r="AM48" s="455">
        <v>0.183</v>
      </c>
      <c r="AN48" s="455">
        <v>0.18099999999999999</v>
      </c>
      <c r="AO48" s="455">
        <v>0.18099999999999999</v>
      </c>
      <c r="AP48" s="455">
        <v>0.18099999999999999</v>
      </c>
      <c r="AQ48" s="455">
        <v>0.17899999999999999</v>
      </c>
      <c r="AR48" s="455">
        <v>0.17799999999999999</v>
      </c>
      <c r="AS48" s="455">
        <v>0.17699999999999999</v>
      </c>
      <c r="AT48" s="455">
        <v>0.17599999999999999</v>
      </c>
      <c r="AU48" s="455">
        <v>0.17599999999999999</v>
      </c>
      <c r="AV48" s="455">
        <v>0.17499999999999999</v>
      </c>
      <c r="AW48" s="455">
        <v>0.17499999999999999</v>
      </c>
      <c r="AX48" s="455">
        <v>0.17399999999999999</v>
      </c>
      <c r="AY48" s="455">
        <v>0.17299999999999999</v>
      </c>
      <c r="AZ48" s="455">
        <v>0.17299999999999999</v>
      </c>
      <c r="BA48" s="456">
        <v>0.17199999999999999</v>
      </c>
    </row>
    <row r="49" spans="2:53" s="2" customFormat="1" ht="13.8">
      <c r="B49" s="22" t="s">
        <v>3</v>
      </c>
      <c r="C49" s="21">
        <v>0.20100000000000001</v>
      </c>
      <c r="D49" s="455">
        <v>0.20399999999999999</v>
      </c>
      <c r="E49" s="455">
        <v>0.20799999999999999</v>
      </c>
      <c r="F49" s="455">
        <v>0.21099999999999999</v>
      </c>
      <c r="G49" s="455">
        <v>0.214</v>
      </c>
      <c r="H49" s="455">
        <v>0.217</v>
      </c>
      <c r="I49" s="455">
        <v>0.219</v>
      </c>
      <c r="J49" s="455">
        <v>0.221</v>
      </c>
      <c r="K49" s="455">
        <v>0.222</v>
      </c>
      <c r="L49" s="455">
        <v>0.223</v>
      </c>
      <c r="M49" s="455">
        <v>0.224</v>
      </c>
      <c r="N49" s="455">
        <v>0.22500000000000001</v>
      </c>
      <c r="O49" s="455">
        <v>0.22500000000000001</v>
      </c>
      <c r="P49" s="455">
        <v>0.224</v>
      </c>
      <c r="Q49" s="455">
        <v>0.223</v>
      </c>
      <c r="R49" s="455">
        <v>0.222</v>
      </c>
      <c r="S49" s="455">
        <v>0.221</v>
      </c>
      <c r="T49" s="455">
        <v>0.219</v>
      </c>
      <c r="U49" s="455">
        <v>0.218</v>
      </c>
      <c r="V49" s="455">
        <v>0.216</v>
      </c>
      <c r="W49" s="455">
        <v>0.214</v>
      </c>
      <c r="X49" s="455">
        <v>0.21199999999999999</v>
      </c>
      <c r="Y49" s="455">
        <v>0.21</v>
      </c>
      <c r="Z49" s="455">
        <v>0.20699999999999999</v>
      </c>
      <c r="AA49" s="455">
        <v>0.20499999999999999</v>
      </c>
      <c r="AB49" s="455">
        <v>0.20300000000000001</v>
      </c>
      <c r="AC49" s="455">
        <v>0.20100000000000001</v>
      </c>
      <c r="AD49" s="455">
        <v>0.19900000000000001</v>
      </c>
      <c r="AE49" s="455">
        <v>0.19700000000000001</v>
      </c>
      <c r="AF49" s="455">
        <v>0.19600000000000001</v>
      </c>
      <c r="AG49" s="455">
        <v>0.19500000000000001</v>
      </c>
      <c r="AH49" s="455">
        <v>0.19400000000000001</v>
      </c>
      <c r="AI49" s="455">
        <v>0.19400000000000001</v>
      </c>
      <c r="AJ49" s="455">
        <v>0.191</v>
      </c>
      <c r="AK49" s="455">
        <v>0.189</v>
      </c>
      <c r="AL49" s="455">
        <v>0.19</v>
      </c>
      <c r="AM49" s="455">
        <v>0.189</v>
      </c>
      <c r="AN49" s="455">
        <v>0.188</v>
      </c>
      <c r="AO49" s="455">
        <v>0.189</v>
      </c>
      <c r="AP49" s="455">
        <v>0.188</v>
      </c>
      <c r="AQ49" s="455">
        <v>0.187</v>
      </c>
      <c r="AR49" s="455">
        <v>0.186</v>
      </c>
      <c r="AS49" s="455">
        <v>0.185</v>
      </c>
      <c r="AT49" s="455">
        <v>0.185</v>
      </c>
      <c r="AU49" s="455">
        <v>0.184</v>
      </c>
      <c r="AV49" s="455">
        <v>0.183</v>
      </c>
      <c r="AW49" s="455">
        <v>0.184</v>
      </c>
      <c r="AX49" s="455">
        <v>0.183</v>
      </c>
      <c r="AY49" s="455">
        <v>0.183</v>
      </c>
      <c r="AZ49" s="455">
        <v>0.182</v>
      </c>
      <c r="BA49" s="456">
        <v>0.182</v>
      </c>
    </row>
    <row r="50" spans="2:53" s="2" customFormat="1" thickBot="1">
      <c r="B50" s="26" t="s">
        <v>4</v>
      </c>
      <c r="C50" s="27">
        <v>0.20100000000000001</v>
      </c>
      <c r="D50" s="457">
        <v>0.20399999999999999</v>
      </c>
      <c r="E50" s="457">
        <v>0.20799999999999999</v>
      </c>
      <c r="F50" s="457">
        <v>0.21099999999999999</v>
      </c>
      <c r="G50" s="457">
        <v>0.214</v>
      </c>
      <c r="H50" s="457">
        <v>0.217</v>
      </c>
      <c r="I50" s="457">
        <v>0.219</v>
      </c>
      <c r="J50" s="457">
        <v>0.221</v>
      </c>
      <c r="K50" s="457">
        <v>0.222</v>
      </c>
      <c r="L50" s="457">
        <v>0.224</v>
      </c>
      <c r="M50" s="457">
        <v>0.22500000000000001</v>
      </c>
      <c r="N50" s="457">
        <v>0.22600000000000001</v>
      </c>
      <c r="O50" s="457">
        <v>0.22600000000000001</v>
      </c>
      <c r="P50" s="457">
        <v>0.22600000000000001</v>
      </c>
      <c r="Q50" s="457">
        <v>0.22500000000000001</v>
      </c>
      <c r="R50" s="457">
        <v>0.224</v>
      </c>
      <c r="S50" s="457">
        <v>0.223</v>
      </c>
      <c r="T50" s="457">
        <v>0.222</v>
      </c>
      <c r="U50" s="457">
        <v>0.221</v>
      </c>
      <c r="V50" s="457">
        <v>0.219</v>
      </c>
      <c r="W50" s="457">
        <v>0.218</v>
      </c>
      <c r="X50" s="457">
        <v>0.216</v>
      </c>
      <c r="Y50" s="457">
        <v>0.214</v>
      </c>
      <c r="Z50" s="457">
        <v>0.21199999999999999</v>
      </c>
      <c r="AA50" s="457">
        <v>0.21099999999999999</v>
      </c>
      <c r="AB50" s="457">
        <v>0.20899999999999999</v>
      </c>
      <c r="AC50" s="457">
        <v>0.20799999999999999</v>
      </c>
      <c r="AD50" s="457">
        <v>0.20599999999999999</v>
      </c>
      <c r="AE50" s="457">
        <v>0.20499999999999999</v>
      </c>
      <c r="AF50" s="457">
        <v>0.20399999999999999</v>
      </c>
      <c r="AG50" s="457">
        <v>0.20399999999999999</v>
      </c>
      <c r="AH50" s="457">
        <v>0.20300000000000001</v>
      </c>
      <c r="AI50" s="457">
        <v>0.20399999999999999</v>
      </c>
      <c r="AJ50" s="457">
        <v>0.20200000000000001</v>
      </c>
      <c r="AK50" s="457">
        <v>0.2</v>
      </c>
      <c r="AL50" s="457">
        <v>0.20100000000000001</v>
      </c>
      <c r="AM50" s="457">
        <v>0.20200000000000001</v>
      </c>
      <c r="AN50" s="457">
        <v>0.2</v>
      </c>
      <c r="AO50" s="457">
        <v>0.20200000000000001</v>
      </c>
      <c r="AP50" s="457">
        <v>0.20200000000000001</v>
      </c>
      <c r="AQ50" s="457">
        <v>0.2</v>
      </c>
      <c r="AR50" s="457">
        <v>0.2</v>
      </c>
      <c r="AS50" s="457">
        <v>0.19900000000000001</v>
      </c>
      <c r="AT50" s="457">
        <v>0.19900000000000001</v>
      </c>
      <c r="AU50" s="457">
        <v>0.19900000000000001</v>
      </c>
      <c r="AV50" s="457">
        <v>0.19800000000000001</v>
      </c>
      <c r="AW50" s="457">
        <v>0.19900000000000001</v>
      </c>
      <c r="AX50" s="457">
        <v>0.19900000000000001</v>
      </c>
      <c r="AY50" s="457">
        <v>0.19800000000000001</v>
      </c>
      <c r="AZ50" s="457">
        <v>0.19800000000000001</v>
      </c>
      <c r="BA50" s="458">
        <v>0.19800000000000001</v>
      </c>
    </row>
    <row r="53" spans="2:53">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0"/>
      <c r="AU53" s="10"/>
      <c r="AV53" s="10"/>
      <c r="AW53" s="10"/>
      <c r="AX53" s="10"/>
      <c r="AY53" s="10"/>
      <c r="AZ53" s="10"/>
      <c r="BA53" s="10"/>
    </row>
    <row r="54" spans="2:53">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0"/>
      <c r="AU54" s="10"/>
      <c r="AV54" s="10"/>
      <c r="AW54" s="10"/>
      <c r="AX54" s="10"/>
      <c r="AY54" s="10"/>
      <c r="AZ54" s="10"/>
      <c r="BA54" s="10"/>
    </row>
    <row r="55" spans="2:53">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0"/>
      <c r="AU55" s="10"/>
      <c r="AV55" s="10"/>
      <c r="AW55" s="10"/>
      <c r="AX55" s="10"/>
      <c r="AY55" s="10"/>
      <c r="AZ55" s="10"/>
      <c r="BA55" s="10"/>
    </row>
    <row r="56" spans="2:53">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0"/>
      <c r="AU56" s="10"/>
      <c r="AV56" s="10"/>
      <c r="AW56" s="10"/>
      <c r="AX56" s="10"/>
      <c r="AY56" s="10"/>
      <c r="AZ56" s="10"/>
      <c r="BA56" s="10"/>
    </row>
    <row r="57" spans="2:53">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0"/>
      <c r="AU57" s="10"/>
      <c r="AV57" s="10"/>
      <c r="AW57" s="10"/>
      <c r="AX57" s="10"/>
      <c r="AY57" s="10"/>
      <c r="AZ57" s="10"/>
      <c r="BA57" s="10"/>
    </row>
  </sheetData>
  <mergeCells count="2">
    <mergeCell ref="C21:H21"/>
    <mergeCell ref="J21:O2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6"/>
  <sheetViews>
    <sheetView workbookViewId="0">
      <selection activeCell="C4" sqref="C4"/>
    </sheetView>
  </sheetViews>
  <sheetFormatPr baseColWidth="10" defaultRowHeight="14.4"/>
  <cols>
    <col min="2" max="2" width="14.5546875" customWidth="1"/>
  </cols>
  <sheetData>
    <row r="1" spans="1:13" ht="15.6">
      <c r="A1" s="31" t="s">
        <v>242</v>
      </c>
    </row>
    <row r="2" spans="1:13" ht="15" thickBot="1"/>
    <row r="3" spans="1:13" s="2" customFormat="1" ht="39" customHeight="1" thickBot="1">
      <c r="A3" s="103"/>
      <c r="B3" s="117"/>
      <c r="C3" s="434">
        <v>1926</v>
      </c>
      <c r="D3" s="435">
        <v>1928</v>
      </c>
      <c r="E3" s="435">
        <v>1930</v>
      </c>
      <c r="F3" s="435">
        <v>1932</v>
      </c>
      <c r="G3" s="435">
        <v>1934</v>
      </c>
      <c r="H3" s="435">
        <v>1936</v>
      </c>
      <c r="I3" s="435">
        <v>1938</v>
      </c>
      <c r="J3" s="435">
        <v>1940</v>
      </c>
      <c r="K3" s="435">
        <v>1942</v>
      </c>
      <c r="L3" s="435">
        <v>1944</v>
      </c>
      <c r="M3" s="436">
        <v>1946</v>
      </c>
    </row>
    <row r="4" spans="1:13" s="2" customFormat="1" ht="13.8">
      <c r="A4" s="103"/>
      <c r="B4" s="121" t="s">
        <v>5</v>
      </c>
      <c r="C4" s="122">
        <v>0.43</v>
      </c>
      <c r="D4" s="123">
        <v>0.46200000000000002</v>
      </c>
      <c r="E4" s="123">
        <v>0.46500000000000002</v>
      </c>
      <c r="F4" s="123">
        <v>0.47</v>
      </c>
      <c r="G4" s="123">
        <v>0.47399999999999998</v>
      </c>
      <c r="H4" s="123">
        <v>0.47</v>
      </c>
      <c r="I4" s="123">
        <v>0.46700000000000003</v>
      </c>
      <c r="J4" s="123">
        <v>0.47499999999999998</v>
      </c>
      <c r="K4" s="123">
        <v>0.46100000000000002</v>
      </c>
      <c r="L4" s="123">
        <v>0.47099999999999997</v>
      </c>
      <c r="M4" s="124">
        <v>0.48699999999999999</v>
      </c>
    </row>
    <row r="5" spans="1:13" s="2" customFormat="1" ht="13.8">
      <c r="A5" s="103"/>
      <c r="B5" s="125" t="s">
        <v>6</v>
      </c>
      <c r="C5" s="477">
        <v>0.34599999999999997</v>
      </c>
      <c r="D5" s="478">
        <v>0.372</v>
      </c>
      <c r="E5" s="478">
        <v>0.37</v>
      </c>
      <c r="F5" s="478">
        <v>0.377</v>
      </c>
      <c r="G5" s="478">
        <v>0.39900000000000002</v>
      </c>
      <c r="H5" s="478">
        <v>0.39200000000000002</v>
      </c>
      <c r="I5" s="478">
        <v>0.40600000000000003</v>
      </c>
      <c r="J5" s="478">
        <v>0.41699999999999998</v>
      </c>
      <c r="K5" s="478">
        <v>0.41799999999999998</v>
      </c>
      <c r="L5" s="478">
        <v>0.43</v>
      </c>
      <c r="M5" s="479">
        <v>0.44400000000000001</v>
      </c>
    </row>
    <row r="6" spans="1:13" s="2" customFormat="1" thickBot="1">
      <c r="A6" s="103"/>
      <c r="B6" s="129" t="s">
        <v>7</v>
      </c>
      <c r="C6" s="480">
        <v>0.53400000000000003</v>
      </c>
      <c r="D6" s="481">
        <v>0.54800000000000004</v>
      </c>
      <c r="E6" s="481">
        <v>0.54400000000000004</v>
      </c>
      <c r="F6" s="481">
        <v>0.54100000000000004</v>
      </c>
      <c r="G6" s="481">
        <v>0.55300000000000005</v>
      </c>
      <c r="H6" s="481">
        <v>0.57099999999999995</v>
      </c>
      <c r="I6" s="481">
        <v>0.57199999999999995</v>
      </c>
      <c r="J6" s="481">
        <v>0.58699999999999997</v>
      </c>
      <c r="K6" s="481">
        <v>0.57899999999999996</v>
      </c>
      <c r="L6" s="481">
        <v>0.59399999999999997</v>
      </c>
      <c r="M6" s="482">
        <v>0.59899999999999998</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A48"/>
  <sheetViews>
    <sheetView topLeftCell="A13" workbookViewId="0">
      <selection activeCell="AJ41" sqref="AJ41"/>
    </sheetView>
  </sheetViews>
  <sheetFormatPr baseColWidth="10" defaultColWidth="11.44140625" defaultRowHeight="13.8"/>
  <cols>
    <col min="1" max="1" width="11.44140625" style="2"/>
    <col min="2" max="2" width="40.109375" style="2" customWidth="1"/>
    <col min="3" max="53" width="6.88671875" style="5" customWidth="1"/>
    <col min="54" max="16384" width="11.44140625" style="2"/>
  </cols>
  <sheetData>
    <row r="1" spans="1:53" ht="15.6">
      <c r="A1" s="31" t="s">
        <v>210</v>
      </c>
    </row>
    <row r="2" spans="1:53" ht="15.6">
      <c r="B2" s="8"/>
    </row>
    <row r="3" spans="1:53" ht="14.4" thickBot="1"/>
    <row r="4" spans="1:53" ht="14.4" thickBot="1">
      <c r="B4" s="9"/>
      <c r="C4" s="448">
        <v>1940</v>
      </c>
      <c r="D4" s="449">
        <v>1941</v>
      </c>
      <c r="E4" s="449">
        <v>1942</v>
      </c>
      <c r="F4" s="449">
        <v>1943</v>
      </c>
      <c r="G4" s="449">
        <v>1944</v>
      </c>
      <c r="H4" s="449">
        <v>1945</v>
      </c>
      <c r="I4" s="449">
        <v>1946</v>
      </c>
      <c r="J4" s="449">
        <v>1947</v>
      </c>
      <c r="K4" s="449">
        <v>1948</v>
      </c>
      <c r="L4" s="449">
        <v>1949</v>
      </c>
      <c r="M4" s="449">
        <v>1950</v>
      </c>
      <c r="N4" s="449">
        <v>1951</v>
      </c>
      <c r="O4" s="449">
        <v>1952</v>
      </c>
      <c r="P4" s="449">
        <v>1953</v>
      </c>
      <c r="Q4" s="449">
        <v>1954</v>
      </c>
      <c r="R4" s="449">
        <v>1955</v>
      </c>
      <c r="S4" s="449">
        <v>1956</v>
      </c>
      <c r="T4" s="449">
        <v>1957</v>
      </c>
      <c r="U4" s="449">
        <v>1958</v>
      </c>
      <c r="V4" s="449">
        <v>1959</v>
      </c>
      <c r="W4" s="449">
        <v>1960</v>
      </c>
      <c r="X4" s="449">
        <v>1961</v>
      </c>
      <c r="Y4" s="449">
        <v>1962</v>
      </c>
      <c r="Z4" s="449">
        <v>1963</v>
      </c>
      <c r="AA4" s="449">
        <v>1964</v>
      </c>
      <c r="AB4" s="449">
        <v>1965</v>
      </c>
      <c r="AC4" s="449">
        <v>1966</v>
      </c>
      <c r="AD4" s="449">
        <v>1967</v>
      </c>
      <c r="AE4" s="449">
        <v>1968</v>
      </c>
      <c r="AF4" s="449">
        <v>1969</v>
      </c>
      <c r="AG4" s="449">
        <v>1970</v>
      </c>
      <c r="AH4" s="449">
        <v>1971</v>
      </c>
      <c r="AI4" s="449">
        <v>1972</v>
      </c>
      <c r="AJ4" s="449">
        <v>1973</v>
      </c>
      <c r="AK4" s="449">
        <v>1974</v>
      </c>
      <c r="AL4" s="449">
        <v>1975</v>
      </c>
      <c r="AM4" s="449">
        <v>1976</v>
      </c>
      <c r="AN4" s="449">
        <v>1977</v>
      </c>
      <c r="AO4" s="449">
        <v>1978</v>
      </c>
      <c r="AP4" s="449">
        <v>1979</v>
      </c>
      <c r="AQ4" s="449">
        <v>1980</v>
      </c>
      <c r="AR4" s="449">
        <v>1981</v>
      </c>
      <c r="AS4" s="449">
        <v>1982</v>
      </c>
      <c r="AT4" s="449">
        <v>1983</v>
      </c>
      <c r="AU4" s="449">
        <v>1984</v>
      </c>
      <c r="AV4" s="449">
        <v>1985</v>
      </c>
      <c r="AW4" s="449">
        <v>1986</v>
      </c>
      <c r="AX4" s="449">
        <v>1987</v>
      </c>
      <c r="AY4" s="449">
        <v>1988</v>
      </c>
      <c r="AZ4" s="449">
        <v>1989</v>
      </c>
      <c r="BA4" s="450">
        <v>1990</v>
      </c>
    </row>
    <row r="5" spans="1:53">
      <c r="B5" s="20" t="s">
        <v>54</v>
      </c>
      <c r="C5" s="483">
        <v>0.82799999999999996</v>
      </c>
      <c r="D5" s="484">
        <v>0.82399999999999995</v>
      </c>
      <c r="E5" s="484">
        <v>0.82299999999999995</v>
      </c>
      <c r="F5" s="484">
        <v>0.82199999999999995</v>
      </c>
      <c r="G5" s="484">
        <v>0.82699999999999996</v>
      </c>
      <c r="H5" s="484">
        <v>0.81899999999999995</v>
      </c>
      <c r="I5" s="484">
        <v>0.83</v>
      </c>
      <c r="J5" s="484">
        <v>0.82599999999999996</v>
      </c>
      <c r="K5" s="484">
        <v>0.83299999999999996</v>
      </c>
      <c r="L5" s="484">
        <v>0.83299999999999996</v>
      </c>
      <c r="M5" s="484">
        <v>0.83399999999999996</v>
      </c>
      <c r="N5" s="484">
        <v>0.83699999999999997</v>
      </c>
      <c r="O5" s="484">
        <v>0.83499999999999996</v>
      </c>
      <c r="P5" s="484">
        <v>0.83499999999999996</v>
      </c>
      <c r="Q5" s="484">
        <v>0.82199999999999995</v>
      </c>
      <c r="R5" s="484">
        <v>0.83199999999999996</v>
      </c>
      <c r="S5" s="484">
        <v>0.83</v>
      </c>
      <c r="T5" s="484">
        <v>0.82699999999999996</v>
      </c>
      <c r="U5" s="484">
        <v>0.82399999999999995</v>
      </c>
      <c r="V5" s="484">
        <v>0.81899999999999995</v>
      </c>
      <c r="W5" s="484">
        <v>0.81599999999999995</v>
      </c>
      <c r="X5" s="484">
        <v>0.81200000000000006</v>
      </c>
      <c r="Y5" s="484">
        <v>0.80600000000000005</v>
      </c>
      <c r="Z5" s="484">
        <v>0.79900000000000004</v>
      </c>
      <c r="AA5" s="484">
        <v>0.79200000000000004</v>
      </c>
      <c r="AB5" s="484">
        <v>0.78300000000000003</v>
      </c>
      <c r="AC5" s="484">
        <v>0.77300000000000002</v>
      </c>
      <c r="AD5" s="484">
        <v>0.76500000000000001</v>
      </c>
      <c r="AE5" s="484">
        <v>0.75700000000000001</v>
      </c>
      <c r="AF5" s="484">
        <v>0.748</v>
      </c>
      <c r="AG5" s="484">
        <v>0.74199999999999999</v>
      </c>
      <c r="AH5" s="484">
        <v>0.73399999999999999</v>
      </c>
      <c r="AI5" s="484">
        <v>0.72699999999999998</v>
      </c>
      <c r="AJ5" s="484">
        <v>0.72099999999999997</v>
      </c>
      <c r="AK5" s="484">
        <v>0.71499999999999997</v>
      </c>
      <c r="AL5" s="484">
        <v>0.71</v>
      </c>
      <c r="AM5" s="484">
        <v>0.70499999999999996</v>
      </c>
      <c r="AN5" s="484">
        <v>0.7</v>
      </c>
      <c r="AO5" s="484">
        <v>0.69499999999999995</v>
      </c>
      <c r="AP5" s="484">
        <v>0.69099999999999995</v>
      </c>
      <c r="AQ5" s="484">
        <v>0.68700000000000006</v>
      </c>
      <c r="AR5" s="484">
        <v>0.68400000000000005</v>
      </c>
      <c r="AS5" s="484">
        <v>0.68100000000000005</v>
      </c>
      <c r="AT5" s="484">
        <v>0.67900000000000005</v>
      </c>
      <c r="AU5" s="484">
        <v>0.67700000000000005</v>
      </c>
      <c r="AV5" s="484">
        <v>0.67500000000000004</v>
      </c>
      <c r="AW5" s="484">
        <v>0.67400000000000004</v>
      </c>
      <c r="AX5" s="484">
        <v>0.67200000000000004</v>
      </c>
      <c r="AY5" s="484">
        <v>0.67100000000000004</v>
      </c>
      <c r="AZ5" s="484">
        <v>0.67</v>
      </c>
      <c r="BA5" s="485">
        <v>0.66900000000000004</v>
      </c>
    </row>
    <row r="6" spans="1:53">
      <c r="B6" s="22" t="s">
        <v>54</v>
      </c>
      <c r="C6" s="23">
        <v>0.82799999999999996</v>
      </c>
      <c r="D6" s="24">
        <v>0.82399999999999995</v>
      </c>
      <c r="E6" s="24">
        <v>0.82299999999999995</v>
      </c>
      <c r="F6" s="24">
        <v>0.82199999999999995</v>
      </c>
      <c r="G6" s="24">
        <v>0.82699999999999996</v>
      </c>
      <c r="H6" s="24">
        <v>0.81899999999999995</v>
      </c>
      <c r="I6" s="24">
        <v>0.83</v>
      </c>
      <c r="J6" s="24">
        <v>0.82599999999999996</v>
      </c>
      <c r="K6" s="24">
        <v>0.83299999999999996</v>
      </c>
      <c r="L6" s="24">
        <v>0.83299999999999996</v>
      </c>
      <c r="M6" s="24">
        <v>0.83399999999999996</v>
      </c>
      <c r="N6" s="24">
        <v>0.83699999999999997</v>
      </c>
      <c r="O6" s="24">
        <v>0.83499999999999996</v>
      </c>
      <c r="P6" s="24">
        <v>0.83499999999999996</v>
      </c>
      <c r="Q6" s="24">
        <v>0.82199999999999995</v>
      </c>
      <c r="R6" s="24">
        <v>0.83199999999999996</v>
      </c>
      <c r="S6" s="24">
        <v>0.83</v>
      </c>
      <c r="T6" s="24">
        <v>0.82699999999999996</v>
      </c>
      <c r="U6" s="24">
        <v>0.82399999999999995</v>
      </c>
      <c r="V6" s="24">
        <v>0.81899999999999995</v>
      </c>
      <c r="W6" s="24">
        <v>0.81699999999999995</v>
      </c>
      <c r="X6" s="24">
        <v>0.81399999999999995</v>
      </c>
      <c r="Y6" s="24">
        <v>0.80900000000000005</v>
      </c>
      <c r="Z6" s="24">
        <v>0.80200000000000005</v>
      </c>
      <c r="AA6" s="24">
        <v>0.79700000000000004</v>
      </c>
      <c r="AB6" s="24">
        <v>0.78900000000000003</v>
      </c>
      <c r="AC6" s="24">
        <v>0.78</v>
      </c>
      <c r="AD6" s="24">
        <v>0.77400000000000002</v>
      </c>
      <c r="AE6" s="24">
        <v>0.76600000000000001</v>
      </c>
      <c r="AF6" s="24">
        <v>0.75900000000000001</v>
      </c>
      <c r="AG6" s="24">
        <v>0.752</v>
      </c>
      <c r="AH6" s="24">
        <v>0.746</v>
      </c>
      <c r="AI6" s="24">
        <v>0.74</v>
      </c>
      <c r="AJ6" s="24">
        <v>0.73499999999999999</v>
      </c>
      <c r="AK6" s="24">
        <v>0.73</v>
      </c>
      <c r="AL6" s="24">
        <v>0.72399999999999998</v>
      </c>
      <c r="AM6" s="24">
        <v>0.72</v>
      </c>
      <c r="AN6" s="24">
        <v>0.71499999999999997</v>
      </c>
      <c r="AO6" s="24">
        <v>0.71099999999999997</v>
      </c>
      <c r="AP6" s="24">
        <v>0.70699999999999996</v>
      </c>
      <c r="AQ6" s="24">
        <v>0.70399999999999996</v>
      </c>
      <c r="AR6" s="24">
        <v>0.70099999999999996</v>
      </c>
      <c r="AS6" s="24">
        <v>0.69799999999999995</v>
      </c>
      <c r="AT6" s="24">
        <v>0.69699999999999995</v>
      </c>
      <c r="AU6" s="24">
        <v>0.69399999999999995</v>
      </c>
      <c r="AV6" s="24">
        <v>0.69299999999999995</v>
      </c>
      <c r="AW6" s="24">
        <v>0.69199999999999995</v>
      </c>
      <c r="AX6" s="24">
        <v>0.69</v>
      </c>
      <c r="AY6" s="24">
        <v>0.68899999999999995</v>
      </c>
      <c r="AZ6" s="24">
        <v>0.68799999999999994</v>
      </c>
      <c r="BA6" s="25">
        <v>0.68700000000000006</v>
      </c>
    </row>
    <row r="7" spans="1:53">
      <c r="B7" s="22" t="s">
        <v>55</v>
      </c>
      <c r="C7" s="483">
        <v>0.82799999999999996</v>
      </c>
      <c r="D7" s="484">
        <v>0.82399999999999995</v>
      </c>
      <c r="E7" s="484">
        <v>0.82299999999999995</v>
      </c>
      <c r="F7" s="484">
        <v>0.82199999999999995</v>
      </c>
      <c r="G7" s="484">
        <v>0.82699999999999996</v>
      </c>
      <c r="H7" s="484">
        <v>0.81899999999999995</v>
      </c>
      <c r="I7" s="484">
        <v>0.83</v>
      </c>
      <c r="J7" s="484">
        <v>0.82599999999999996</v>
      </c>
      <c r="K7" s="484">
        <v>0.83299999999999996</v>
      </c>
      <c r="L7" s="484">
        <v>0.83299999999999996</v>
      </c>
      <c r="M7" s="484">
        <v>0.83399999999999996</v>
      </c>
      <c r="N7" s="484">
        <v>0.83699999999999997</v>
      </c>
      <c r="O7" s="484">
        <v>0.83499999999999996</v>
      </c>
      <c r="P7" s="484">
        <v>0.83499999999999996</v>
      </c>
      <c r="Q7" s="484">
        <v>0.82199999999999995</v>
      </c>
      <c r="R7" s="484">
        <v>0.83199999999999996</v>
      </c>
      <c r="S7" s="484">
        <v>0.83</v>
      </c>
      <c r="T7" s="484">
        <v>0.82699999999999996</v>
      </c>
      <c r="U7" s="484">
        <v>0.82399999999999995</v>
      </c>
      <c r="V7" s="484">
        <v>0.82</v>
      </c>
      <c r="W7" s="484">
        <v>0.81799999999999995</v>
      </c>
      <c r="X7" s="484">
        <v>0.81699999999999995</v>
      </c>
      <c r="Y7" s="484">
        <v>0.81299999999999994</v>
      </c>
      <c r="Z7" s="484">
        <v>0.80700000000000005</v>
      </c>
      <c r="AA7" s="484">
        <v>0.80400000000000005</v>
      </c>
      <c r="AB7" s="484">
        <v>0.79700000000000004</v>
      </c>
      <c r="AC7" s="484">
        <v>0.79100000000000004</v>
      </c>
      <c r="AD7" s="484">
        <v>0.78600000000000003</v>
      </c>
      <c r="AE7" s="484">
        <v>0.78</v>
      </c>
      <c r="AF7" s="484">
        <v>0.77400000000000002</v>
      </c>
      <c r="AG7" s="484">
        <v>0.76900000000000002</v>
      </c>
      <c r="AH7" s="484">
        <v>0.76500000000000001</v>
      </c>
      <c r="AI7" s="484">
        <v>0.75900000000000001</v>
      </c>
      <c r="AJ7" s="484">
        <v>0.755</v>
      </c>
      <c r="AK7" s="484">
        <v>0.751</v>
      </c>
      <c r="AL7" s="484">
        <v>0.747</v>
      </c>
      <c r="AM7" s="484">
        <v>0.74299999999999999</v>
      </c>
      <c r="AN7" s="484">
        <v>0.73899999999999999</v>
      </c>
      <c r="AO7" s="484">
        <v>0.73599999999999999</v>
      </c>
      <c r="AP7" s="484">
        <v>0.73299999999999998</v>
      </c>
      <c r="AQ7" s="484">
        <v>0.73</v>
      </c>
      <c r="AR7" s="484">
        <v>0.72699999999999998</v>
      </c>
      <c r="AS7" s="484">
        <v>0.72599999999999998</v>
      </c>
      <c r="AT7" s="484">
        <v>0.72399999999999998</v>
      </c>
      <c r="AU7" s="484">
        <v>0.72199999999999998</v>
      </c>
      <c r="AV7" s="484">
        <v>0.72099999999999997</v>
      </c>
      <c r="AW7" s="484">
        <v>0.72</v>
      </c>
      <c r="AX7" s="484">
        <v>0.71799999999999997</v>
      </c>
      <c r="AY7" s="484">
        <v>0.71799999999999997</v>
      </c>
      <c r="AZ7" s="484">
        <v>0.71699999999999997</v>
      </c>
      <c r="BA7" s="485">
        <v>0.71599999999999997</v>
      </c>
    </row>
    <row r="8" spans="1:53">
      <c r="B8" s="22" t="s">
        <v>56</v>
      </c>
      <c r="C8" s="483">
        <v>0.82799999999999996</v>
      </c>
      <c r="D8" s="484">
        <v>0.82399999999999995</v>
      </c>
      <c r="E8" s="484">
        <v>0.82299999999999995</v>
      </c>
      <c r="F8" s="484">
        <v>0.82199999999999995</v>
      </c>
      <c r="G8" s="484">
        <v>0.82699999999999996</v>
      </c>
      <c r="H8" s="484">
        <v>0.81899999999999995</v>
      </c>
      <c r="I8" s="484">
        <v>0.83</v>
      </c>
      <c r="J8" s="484">
        <v>0.82599999999999996</v>
      </c>
      <c r="K8" s="484">
        <v>0.83299999999999996</v>
      </c>
      <c r="L8" s="484">
        <v>0.83299999999999996</v>
      </c>
      <c r="M8" s="484">
        <v>0.83399999999999996</v>
      </c>
      <c r="N8" s="484">
        <v>0.83699999999999997</v>
      </c>
      <c r="O8" s="484">
        <v>0.83499999999999996</v>
      </c>
      <c r="P8" s="484">
        <v>0.83499999999999996</v>
      </c>
      <c r="Q8" s="484">
        <v>0.82199999999999995</v>
      </c>
      <c r="R8" s="484">
        <v>0.83199999999999996</v>
      </c>
      <c r="S8" s="484">
        <v>0.83</v>
      </c>
      <c r="T8" s="484">
        <v>0.82699999999999996</v>
      </c>
      <c r="U8" s="484">
        <v>0.82499999999999996</v>
      </c>
      <c r="V8" s="484">
        <v>0.82099999999999995</v>
      </c>
      <c r="W8" s="484">
        <v>0.81899999999999995</v>
      </c>
      <c r="X8" s="484">
        <v>0.81799999999999995</v>
      </c>
      <c r="Y8" s="484">
        <v>0.81499999999999995</v>
      </c>
      <c r="Z8" s="484">
        <v>0.81100000000000005</v>
      </c>
      <c r="AA8" s="484">
        <v>0.80800000000000005</v>
      </c>
      <c r="AB8" s="484">
        <v>0.80300000000000005</v>
      </c>
      <c r="AC8" s="484">
        <v>0.79800000000000004</v>
      </c>
      <c r="AD8" s="484">
        <v>0.79400000000000004</v>
      </c>
      <c r="AE8" s="484">
        <v>0.78900000000000003</v>
      </c>
      <c r="AF8" s="484">
        <v>0.78400000000000003</v>
      </c>
      <c r="AG8" s="484">
        <v>0.78100000000000003</v>
      </c>
      <c r="AH8" s="484">
        <v>0.77700000000000002</v>
      </c>
      <c r="AI8" s="484">
        <v>0.77200000000000002</v>
      </c>
      <c r="AJ8" s="484">
        <v>0.77</v>
      </c>
      <c r="AK8" s="484">
        <v>0.76600000000000001</v>
      </c>
      <c r="AL8" s="484">
        <v>0.76200000000000001</v>
      </c>
      <c r="AM8" s="484">
        <v>0.75900000000000001</v>
      </c>
      <c r="AN8" s="484">
        <v>0.75600000000000001</v>
      </c>
      <c r="AO8" s="484">
        <v>0.753</v>
      </c>
      <c r="AP8" s="484">
        <v>0.75</v>
      </c>
      <c r="AQ8" s="484">
        <v>0.748</v>
      </c>
      <c r="AR8" s="484">
        <v>0.746</v>
      </c>
      <c r="AS8" s="484">
        <v>0.74399999999999999</v>
      </c>
      <c r="AT8" s="484">
        <v>0.74299999999999999</v>
      </c>
      <c r="AU8" s="484">
        <v>0.74099999999999999</v>
      </c>
      <c r="AV8" s="484">
        <v>0.74</v>
      </c>
      <c r="AW8" s="484">
        <v>0.73899999999999999</v>
      </c>
      <c r="AX8" s="484">
        <v>0.73799999999999999</v>
      </c>
      <c r="AY8" s="484">
        <v>0.73699999999999999</v>
      </c>
      <c r="AZ8" s="484">
        <v>0.73699999999999999</v>
      </c>
      <c r="BA8" s="485">
        <v>0.73599999999999999</v>
      </c>
    </row>
    <row r="9" spans="1:53" ht="14.4" thickBot="1">
      <c r="B9" s="26" t="s">
        <v>57</v>
      </c>
      <c r="C9" s="27">
        <v>0.82799999999999996</v>
      </c>
      <c r="D9" s="486">
        <v>0.82399999999999995</v>
      </c>
      <c r="E9" s="486">
        <v>0.82299999999999995</v>
      </c>
      <c r="F9" s="486">
        <v>0.82199999999999995</v>
      </c>
      <c r="G9" s="486">
        <v>0.82699999999999996</v>
      </c>
      <c r="H9" s="486">
        <v>0.81899999999999995</v>
      </c>
      <c r="I9" s="486">
        <v>0.83</v>
      </c>
      <c r="J9" s="486">
        <v>0.82599999999999996</v>
      </c>
      <c r="K9" s="486">
        <v>0.83299999999999996</v>
      </c>
      <c r="L9" s="486">
        <v>0.83299999999999996</v>
      </c>
      <c r="M9" s="486">
        <v>0.83399999999999996</v>
      </c>
      <c r="N9" s="486">
        <v>0.83699999999999997</v>
      </c>
      <c r="O9" s="486">
        <v>0.83499999999999996</v>
      </c>
      <c r="P9" s="486">
        <v>0.83499999999999996</v>
      </c>
      <c r="Q9" s="486">
        <v>0.82199999999999995</v>
      </c>
      <c r="R9" s="486">
        <v>0.83199999999999996</v>
      </c>
      <c r="S9" s="486">
        <v>0.83</v>
      </c>
      <c r="T9" s="486">
        <v>0.82699999999999996</v>
      </c>
      <c r="U9" s="486">
        <v>0.82499999999999996</v>
      </c>
      <c r="V9" s="486">
        <v>0.82199999999999995</v>
      </c>
      <c r="W9" s="486">
        <v>0.82099999999999995</v>
      </c>
      <c r="X9" s="486">
        <v>0.82099999999999995</v>
      </c>
      <c r="Y9" s="486">
        <v>0.81899999999999995</v>
      </c>
      <c r="Z9" s="486">
        <v>0.81599999999999995</v>
      </c>
      <c r="AA9" s="486">
        <v>0.81499999999999995</v>
      </c>
      <c r="AB9" s="486">
        <v>0.81200000000000006</v>
      </c>
      <c r="AC9" s="486">
        <v>0.80900000000000005</v>
      </c>
      <c r="AD9" s="486">
        <v>0.80700000000000005</v>
      </c>
      <c r="AE9" s="486">
        <v>0.80400000000000005</v>
      </c>
      <c r="AF9" s="486">
        <v>0.8</v>
      </c>
      <c r="AG9" s="486">
        <v>0.79800000000000004</v>
      </c>
      <c r="AH9" s="486">
        <v>0.79600000000000004</v>
      </c>
      <c r="AI9" s="486">
        <v>0.79300000000000004</v>
      </c>
      <c r="AJ9" s="486">
        <v>0.79100000000000004</v>
      </c>
      <c r="AK9" s="486">
        <v>0.78900000000000003</v>
      </c>
      <c r="AL9" s="486">
        <v>0.78600000000000003</v>
      </c>
      <c r="AM9" s="486">
        <v>0.78400000000000003</v>
      </c>
      <c r="AN9" s="486">
        <v>0.78200000000000003</v>
      </c>
      <c r="AO9" s="486">
        <v>0.78</v>
      </c>
      <c r="AP9" s="486">
        <v>0.77800000000000002</v>
      </c>
      <c r="AQ9" s="486">
        <v>0.77600000000000002</v>
      </c>
      <c r="AR9" s="486">
        <v>0.77500000000000002</v>
      </c>
      <c r="AS9" s="486">
        <v>0.77300000000000002</v>
      </c>
      <c r="AT9" s="486">
        <v>0.77300000000000002</v>
      </c>
      <c r="AU9" s="486">
        <v>0.77100000000000002</v>
      </c>
      <c r="AV9" s="486">
        <v>0.77100000000000002</v>
      </c>
      <c r="AW9" s="486">
        <v>0.77</v>
      </c>
      <c r="AX9" s="486">
        <v>0.76900000000000002</v>
      </c>
      <c r="AY9" s="486">
        <v>0.76900000000000002</v>
      </c>
      <c r="AZ9" s="486">
        <v>0.76800000000000002</v>
      </c>
      <c r="BA9" s="487">
        <v>0.76800000000000002</v>
      </c>
    </row>
    <row r="11" spans="1:53">
      <c r="B11" s="6"/>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row>
    <row r="12" spans="1:53">
      <c r="B12" s="6"/>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row>
    <row r="13" spans="1:53">
      <c r="B13" s="6"/>
    </row>
    <row r="14" spans="1:53">
      <c r="B14" s="6"/>
    </row>
    <row r="27" spans="2:53" ht="15.6">
      <c r="B27" s="30" t="s">
        <v>21</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row>
    <row r="28" spans="2:53" ht="14.4" thickBot="1">
      <c r="B28" s="1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row>
    <row r="29" spans="2:53" ht="14.4" thickBot="1">
      <c r="B29" s="19" t="s">
        <v>19</v>
      </c>
      <c r="C29" s="448">
        <v>1940</v>
      </c>
      <c r="D29" s="449">
        <v>1941</v>
      </c>
      <c r="E29" s="449">
        <v>1942</v>
      </c>
      <c r="F29" s="449">
        <v>1943</v>
      </c>
      <c r="G29" s="449">
        <v>1944</v>
      </c>
      <c r="H29" s="449">
        <v>1945</v>
      </c>
      <c r="I29" s="449">
        <v>1946</v>
      </c>
      <c r="J29" s="449">
        <v>1947</v>
      </c>
      <c r="K29" s="449">
        <v>1948</v>
      </c>
      <c r="L29" s="449">
        <v>1949</v>
      </c>
      <c r="M29" s="449">
        <v>1950</v>
      </c>
      <c r="N29" s="449">
        <v>1951</v>
      </c>
      <c r="O29" s="449">
        <v>1952</v>
      </c>
      <c r="P29" s="449">
        <v>1953</v>
      </c>
      <c r="Q29" s="449">
        <v>1954</v>
      </c>
      <c r="R29" s="449">
        <v>1955</v>
      </c>
      <c r="S29" s="449">
        <v>1956</v>
      </c>
      <c r="T29" s="449">
        <v>1957</v>
      </c>
      <c r="U29" s="449">
        <v>1958</v>
      </c>
      <c r="V29" s="449">
        <v>1959</v>
      </c>
      <c r="W29" s="449">
        <v>1960</v>
      </c>
      <c r="X29" s="449">
        <v>1961</v>
      </c>
      <c r="Y29" s="449">
        <v>1962</v>
      </c>
      <c r="Z29" s="449">
        <v>1963</v>
      </c>
      <c r="AA29" s="449">
        <v>1964</v>
      </c>
      <c r="AB29" s="449">
        <v>1965</v>
      </c>
      <c r="AC29" s="449">
        <v>1966</v>
      </c>
      <c r="AD29" s="449">
        <v>1967</v>
      </c>
      <c r="AE29" s="449">
        <v>1968</v>
      </c>
      <c r="AF29" s="449">
        <v>1969</v>
      </c>
      <c r="AG29" s="449">
        <v>1970</v>
      </c>
      <c r="AH29" s="449">
        <v>1971</v>
      </c>
      <c r="AI29" s="449">
        <v>1972</v>
      </c>
      <c r="AJ29" s="449">
        <v>1973</v>
      </c>
      <c r="AK29" s="449">
        <v>1974</v>
      </c>
      <c r="AL29" s="449">
        <v>1975</v>
      </c>
      <c r="AM29" s="449">
        <v>1976</v>
      </c>
      <c r="AN29" s="449">
        <v>1977</v>
      </c>
      <c r="AO29" s="449">
        <v>1978</v>
      </c>
      <c r="AP29" s="449">
        <v>1979</v>
      </c>
      <c r="AQ29" s="449">
        <v>1980</v>
      </c>
      <c r="AR29" s="449">
        <v>1981</v>
      </c>
      <c r="AS29" s="449">
        <v>1982</v>
      </c>
      <c r="AT29" s="449">
        <v>1983</v>
      </c>
      <c r="AU29" s="449">
        <v>1984</v>
      </c>
      <c r="AV29" s="449">
        <v>1985</v>
      </c>
      <c r="AW29" s="449">
        <v>1986</v>
      </c>
      <c r="AX29" s="449">
        <v>1987</v>
      </c>
      <c r="AY29" s="449">
        <v>1988</v>
      </c>
      <c r="AZ29" s="449">
        <v>1989</v>
      </c>
      <c r="BA29" s="450">
        <v>1990</v>
      </c>
    </row>
    <row r="30" spans="2:53">
      <c r="B30" s="20" t="s">
        <v>54</v>
      </c>
      <c r="C30" s="483">
        <v>0.59199999999999997</v>
      </c>
      <c r="D30" s="484">
        <v>0.58699999999999997</v>
      </c>
      <c r="E30" s="484">
        <v>0.58399999999999996</v>
      </c>
      <c r="F30" s="484">
        <v>0.58099999999999996</v>
      </c>
      <c r="G30" s="484">
        <v>0.58799999999999997</v>
      </c>
      <c r="H30" s="484">
        <v>0.58099999999999996</v>
      </c>
      <c r="I30" s="484">
        <v>0.59099999999999997</v>
      </c>
      <c r="J30" s="484">
        <v>0.58699999999999997</v>
      </c>
      <c r="K30" s="484">
        <v>0.59499999999999997</v>
      </c>
      <c r="L30" s="484">
        <v>0.59199999999999997</v>
      </c>
      <c r="M30" s="484">
        <v>0.59099999999999997</v>
      </c>
      <c r="N30" s="484">
        <v>0.59099999999999997</v>
      </c>
      <c r="O30" s="484">
        <v>0.58599999999999997</v>
      </c>
      <c r="P30" s="484">
        <v>0.58299999999999996</v>
      </c>
      <c r="Q30" s="484">
        <v>0.57199999999999995</v>
      </c>
      <c r="R30" s="484">
        <v>0.57599999999999996</v>
      </c>
      <c r="S30" s="484">
        <v>0.57399999999999995</v>
      </c>
      <c r="T30" s="484">
        <v>0.57099999999999995</v>
      </c>
      <c r="U30" s="484">
        <v>0.56699999999999995</v>
      </c>
      <c r="V30" s="484">
        <v>0.56299999999999994</v>
      </c>
      <c r="W30" s="484">
        <v>0.56100000000000005</v>
      </c>
      <c r="X30" s="484">
        <v>0.55800000000000005</v>
      </c>
      <c r="Y30" s="484">
        <v>0.55400000000000005</v>
      </c>
      <c r="Z30" s="484">
        <v>0.54900000000000004</v>
      </c>
      <c r="AA30" s="484">
        <v>0.54500000000000004</v>
      </c>
      <c r="AB30" s="484">
        <v>0.53900000000000003</v>
      </c>
      <c r="AC30" s="484">
        <v>0.53300000000000003</v>
      </c>
      <c r="AD30" s="484">
        <v>0.52700000000000002</v>
      </c>
      <c r="AE30" s="484">
        <v>0.52200000000000002</v>
      </c>
      <c r="AF30" s="484">
        <v>0.51700000000000002</v>
      </c>
      <c r="AG30" s="484">
        <v>0.51200000000000001</v>
      </c>
      <c r="AH30" s="484">
        <v>0.50700000000000001</v>
      </c>
      <c r="AI30" s="484">
        <v>0.502</v>
      </c>
      <c r="AJ30" s="484">
        <v>0.498</v>
      </c>
      <c r="AK30" s="484">
        <v>0.49399999999999999</v>
      </c>
      <c r="AL30" s="484">
        <v>0.49099999999999999</v>
      </c>
      <c r="AM30" s="484">
        <v>0.48799999999999999</v>
      </c>
      <c r="AN30" s="484">
        <v>0.48499999999999999</v>
      </c>
      <c r="AO30" s="484">
        <v>0.48299999999999998</v>
      </c>
      <c r="AP30" s="484">
        <v>0.48099999999999998</v>
      </c>
      <c r="AQ30" s="484">
        <v>0.47899999999999998</v>
      </c>
      <c r="AR30" s="484">
        <v>0.47799999999999998</v>
      </c>
      <c r="AS30" s="484">
        <v>0.47599999999999998</v>
      </c>
      <c r="AT30" s="484">
        <v>0.47499999999999998</v>
      </c>
      <c r="AU30" s="484">
        <v>0.47499999999999998</v>
      </c>
      <c r="AV30" s="484">
        <v>0.47399999999999998</v>
      </c>
      <c r="AW30" s="484">
        <v>0.47399999999999998</v>
      </c>
      <c r="AX30" s="484">
        <v>0.47399999999999998</v>
      </c>
      <c r="AY30" s="484">
        <v>0.47299999999999998</v>
      </c>
      <c r="AZ30" s="484">
        <v>0.47299999999999998</v>
      </c>
      <c r="BA30" s="485">
        <v>0.47299999999999998</v>
      </c>
    </row>
    <row r="31" spans="2:53">
      <c r="B31" s="22" t="s">
        <v>54</v>
      </c>
      <c r="C31" s="23">
        <v>0.59199999999999997</v>
      </c>
      <c r="D31" s="24">
        <v>0.58699999999999997</v>
      </c>
      <c r="E31" s="24">
        <v>0.58399999999999996</v>
      </c>
      <c r="F31" s="24">
        <v>0.58099999999999996</v>
      </c>
      <c r="G31" s="24">
        <v>0.58799999999999997</v>
      </c>
      <c r="H31" s="24">
        <v>0.58099999999999996</v>
      </c>
      <c r="I31" s="24">
        <v>0.59099999999999997</v>
      </c>
      <c r="J31" s="24">
        <v>0.58699999999999997</v>
      </c>
      <c r="K31" s="24">
        <v>0.59499999999999997</v>
      </c>
      <c r="L31" s="24">
        <v>0.59199999999999997</v>
      </c>
      <c r="M31" s="24">
        <v>0.59099999999999997</v>
      </c>
      <c r="N31" s="24">
        <v>0.59099999999999997</v>
      </c>
      <c r="O31" s="24">
        <v>0.58599999999999997</v>
      </c>
      <c r="P31" s="24">
        <v>0.58299999999999996</v>
      </c>
      <c r="Q31" s="24">
        <v>0.57199999999999995</v>
      </c>
      <c r="R31" s="24">
        <v>0.57599999999999996</v>
      </c>
      <c r="S31" s="24">
        <v>0.57399999999999995</v>
      </c>
      <c r="T31" s="24">
        <v>0.57099999999999995</v>
      </c>
      <c r="U31" s="24">
        <v>0.56699999999999995</v>
      </c>
      <c r="V31" s="24">
        <v>0.56299999999999994</v>
      </c>
      <c r="W31" s="24">
        <v>0.56200000000000006</v>
      </c>
      <c r="X31" s="24">
        <v>0.55900000000000005</v>
      </c>
      <c r="Y31" s="24">
        <v>0.55600000000000005</v>
      </c>
      <c r="Z31" s="24">
        <v>0.55200000000000005</v>
      </c>
      <c r="AA31" s="24">
        <v>0.54800000000000004</v>
      </c>
      <c r="AB31" s="24">
        <v>0.54300000000000004</v>
      </c>
      <c r="AC31" s="24">
        <v>0.53800000000000003</v>
      </c>
      <c r="AD31" s="24">
        <v>0.53300000000000003</v>
      </c>
      <c r="AE31" s="24">
        <v>0.52800000000000002</v>
      </c>
      <c r="AF31" s="24">
        <v>0.52400000000000002</v>
      </c>
      <c r="AG31" s="24">
        <v>0.51900000000000002</v>
      </c>
      <c r="AH31" s="24">
        <v>0.51500000000000001</v>
      </c>
      <c r="AI31" s="24">
        <v>0.51100000000000001</v>
      </c>
      <c r="AJ31" s="24">
        <v>0.50700000000000001</v>
      </c>
      <c r="AK31" s="24">
        <v>0.504</v>
      </c>
      <c r="AL31" s="24">
        <v>0.501</v>
      </c>
      <c r="AM31" s="24">
        <v>0.498</v>
      </c>
      <c r="AN31" s="24">
        <v>0.496</v>
      </c>
      <c r="AO31" s="24">
        <v>0.49299999999999999</v>
      </c>
      <c r="AP31" s="24">
        <v>0.49099999999999999</v>
      </c>
      <c r="AQ31" s="24">
        <v>0.49</v>
      </c>
      <c r="AR31" s="24">
        <v>0.48799999999999999</v>
      </c>
      <c r="AS31" s="24">
        <v>0.48699999999999999</v>
      </c>
      <c r="AT31" s="24">
        <v>0.48599999999999999</v>
      </c>
      <c r="AU31" s="24">
        <v>0.48599999999999999</v>
      </c>
      <c r="AV31" s="24">
        <v>0.48499999999999999</v>
      </c>
      <c r="AW31" s="24">
        <v>0.48499999999999999</v>
      </c>
      <c r="AX31" s="24">
        <v>0.48499999999999999</v>
      </c>
      <c r="AY31" s="24">
        <v>0.48499999999999999</v>
      </c>
      <c r="AZ31" s="24">
        <v>0.48499999999999999</v>
      </c>
      <c r="BA31" s="25">
        <v>0.48499999999999999</v>
      </c>
    </row>
    <row r="32" spans="2:53">
      <c r="B32" s="22" t="s">
        <v>55</v>
      </c>
      <c r="C32" s="483">
        <v>0.59199999999999997</v>
      </c>
      <c r="D32" s="484">
        <v>0.58699999999999997</v>
      </c>
      <c r="E32" s="484">
        <v>0.58399999999999996</v>
      </c>
      <c r="F32" s="484">
        <v>0.58099999999999996</v>
      </c>
      <c r="G32" s="484">
        <v>0.58799999999999997</v>
      </c>
      <c r="H32" s="484">
        <v>0.58099999999999996</v>
      </c>
      <c r="I32" s="484">
        <v>0.59099999999999997</v>
      </c>
      <c r="J32" s="484">
        <v>0.58699999999999997</v>
      </c>
      <c r="K32" s="484">
        <v>0.59499999999999997</v>
      </c>
      <c r="L32" s="484">
        <v>0.59199999999999997</v>
      </c>
      <c r="M32" s="484">
        <v>0.59099999999999997</v>
      </c>
      <c r="N32" s="484">
        <v>0.59099999999999997</v>
      </c>
      <c r="O32" s="484">
        <v>0.58599999999999997</v>
      </c>
      <c r="P32" s="484">
        <v>0.58299999999999996</v>
      </c>
      <c r="Q32" s="484">
        <v>0.57199999999999995</v>
      </c>
      <c r="R32" s="484">
        <v>0.57599999999999996</v>
      </c>
      <c r="S32" s="484">
        <v>0.57399999999999995</v>
      </c>
      <c r="T32" s="484">
        <v>0.57099999999999995</v>
      </c>
      <c r="U32" s="484">
        <v>0.56699999999999995</v>
      </c>
      <c r="V32" s="484">
        <v>0.56399999999999995</v>
      </c>
      <c r="W32" s="484">
        <v>0.56299999999999994</v>
      </c>
      <c r="X32" s="484">
        <v>0.56100000000000005</v>
      </c>
      <c r="Y32" s="484">
        <v>0.55900000000000005</v>
      </c>
      <c r="Z32" s="484">
        <v>0.55500000000000005</v>
      </c>
      <c r="AA32" s="484">
        <v>0.55200000000000005</v>
      </c>
      <c r="AB32" s="484">
        <v>0.54900000000000004</v>
      </c>
      <c r="AC32" s="484">
        <v>0.54500000000000004</v>
      </c>
      <c r="AD32" s="484">
        <v>0.54100000000000004</v>
      </c>
      <c r="AE32" s="484">
        <v>0.53800000000000003</v>
      </c>
      <c r="AF32" s="484">
        <v>0.53400000000000003</v>
      </c>
      <c r="AG32" s="484">
        <v>0.53</v>
      </c>
      <c r="AH32" s="484">
        <v>0.52700000000000002</v>
      </c>
      <c r="AI32" s="484">
        <v>0.52400000000000002</v>
      </c>
      <c r="AJ32" s="484">
        <v>0.52100000000000002</v>
      </c>
      <c r="AK32" s="484">
        <v>0.51800000000000002</v>
      </c>
      <c r="AL32" s="484">
        <v>0.51500000000000001</v>
      </c>
      <c r="AM32" s="484">
        <v>0.51300000000000001</v>
      </c>
      <c r="AN32" s="484">
        <v>0.51100000000000001</v>
      </c>
      <c r="AO32" s="484">
        <v>0.50900000000000001</v>
      </c>
      <c r="AP32" s="484">
        <v>0.50800000000000001</v>
      </c>
      <c r="AQ32" s="484">
        <v>0.50700000000000001</v>
      </c>
      <c r="AR32" s="484">
        <v>0.505</v>
      </c>
      <c r="AS32" s="484">
        <v>0.505</v>
      </c>
      <c r="AT32" s="484">
        <v>0.504</v>
      </c>
      <c r="AU32" s="484">
        <v>0.503</v>
      </c>
      <c r="AV32" s="484">
        <v>0.503</v>
      </c>
      <c r="AW32" s="484">
        <v>0.503</v>
      </c>
      <c r="AX32" s="484">
        <v>0.502</v>
      </c>
      <c r="AY32" s="484">
        <v>0.502</v>
      </c>
      <c r="AZ32" s="484">
        <v>0.502</v>
      </c>
      <c r="BA32" s="485">
        <v>0.502</v>
      </c>
    </row>
    <row r="33" spans="2:53">
      <c r="B33" s="22" t="s">
        <v>56</v>
      </c>
      <c r="C33" s="483">
        <v>0.59199999999999997</v>
      </c>
      <c r="D33" s="484">
        <v>0.58699999999999997</v>
      </c>
      <c r="E33" s="484">
        <v>0.58399999999999996</v>
      </c>
      <c r="F33" s="484">
        <v>0.58099999999999996</v>
      </c>
      <c r="G33" s="484">
        <v>0.58799999999999997</v>
      </c>
      <c r="H33" s="484">
        <v>0.58099999999999996</v>
      </c>
      <c r="I33" s="484">
        <v>0.59099999999999997</v>
      </c>
      <c r="J33" s="484">
        <v>0.58699999999999997</v>
      </c>
      <c r="K33" s="484">
        <v>0.59499999999999997</v>
      </c>
      <c r="L33" s="484">
        <v>0.59199999999999997</v>
      </c>
      <c r="M33" s="484">
        <v>0.59099999999999997</v>
      </c>
      <c r="N33" s="484">
        <v>0.59099999999999997</v>
      </c>
      <c r="O33" s="484">
        <v>0.58599999999999997</v>
      </c>
      <c r="P33" s="484">
        <v>0.58299999999999996</v>
      </c>
      <c r="Q33" s="484">
        <v>0.57199999999999995</v>
      </c>
      <c r="R33" s="484">
        <v>0.57599999999999996</v>
      </c>
      <c r="S33" s="484">
        <v>0.57399999999999995</v>
      </c>
      <c r="T33" s="484">
        <v>0.57099999999999995</v>
      </c>
      <c r="U33" s="484">
        <v>0.56699999999999995</v>
      </c>
      <c r="V33" s="484">
        <v>0.56399999999999995</v>
      </c>
      <c r="W33" s="484">
        <v>0.56299999999999994</v>
      </c>
      <c r="X33" s="484">
        <v>0.56200000000000006</v>
      </c>
      <c r="Y33" s="484">
        <v>0.56000000000000005</v>
      </c>
      <c r="Z33" s="484">
        <v>0.55800000000000005</v>
      </c>
      <c r="AA33" s="484">
        <v>0.55500000000000005</v>
      </c>
      <c r="AB33" s="484">
        <v>0.55300000000000005</v>
      </c>
      <c r="AC33" s="484">
        <v>0.55000000000000004</v>
      </c>
      <c r="AD33" s="484">
        <v>0.54700000000000004</v>
      </c>
      <c r="AE33" s="484">
        <v>0.54400000000000004</v>
      </c>
      <c r="AF33" s="484">
        <v>0.54100000000000004</v>
      </c>
      <c r="AG33" s="484">
        <v>0.53800000000000003</v>
      </c>
      <c r="AH33" s="484">
        <v>0.53500000000000003</v>
      </c>
      <c r="AI33" s="484">
        <v>0.53300000000000003</v>
      </c>
      <c r="AJ33" s="484">
        <v>0.53</v>
      </c>
      <c r="AK33" s="484">
        <v>0.52800000000000002</v>
      </c>
      <c r="AL33" s="484">
        <v>0.52600000000000002</v>
      </c>
      <c r="AM33" s="484">
        <v>0.52400000000000002</v>
      </c>
      <c r="AN33" s="484">
        <v>0.52200000000000002</v>
      </c>
      <c r="AO33" s="484">
        <v>0.52100000000000002</v>
      </c>
      <c r="AP33" s="484">
        <v>0.51900000000000002</v>
      </c>
      <c r="AQ33" s="484">
        <v>0.51800000000000002</v>
      </c>
      <c r="AR33" s="484">
        <v>0.51700000000000002</v>
      </c>
      <c r="AS33" s="484">
        <v>0.51700000000000002</v>
      </c>
      <c r="AT33" s="484">
        <v>0.51600000000000001</v>
      </c>
      <c r="AU33" s="484">
        <v>0.51500000000000001</v>
      </c>
      <c r="AV33" s="484">
        <v>0.51500000000000001</v>
      </c>
      <c r="AW33" s="484">
        <v>0.51500000000000001</v>
      </c>
      <c r="AX33" s="484">
        <v>0.51500000000000001</v>
      </c>
      <c r="AY33" s="484">
        <v>0.51500000000000001</v>
      </c>
      <c r="AZ33" s="484">
        <v>0.51500000000000001</v>
      </c>
      <c r="BA33" s="485">
        <v>0.51500000000000001</v>
      </c>
    </row>
    <row r="34" spans="2:53" ht="14.4" thickBot="1">
      <c r="B34" s="26" t="s">
        <v>57</v>
      </c>
      <c r="C34" s="27">
        <v>0.59199999999999997</v>
      </c>
      <c r="D34" s="486">
        <v>0.58699999999999997</v>
      </c>
      <c r="E34" s="486">
        <v>0.58399999999999996</v>
      </c>
      <c r="F34" s="486">
        <v>0.58099999999999996</v>
      </c>
      <c r="G34" s="486">
        <v>0.58799999999999997</v>
      </c>
      <c r="H34" s="486">
        <v>0.58099999999999996</v>
      </c>
      <c r="I34" s="486">
        <v>0.59099999999999997</v>
      </c>
      <c r="J34" s="486">
        <v>0.58699999999999997</v>
      </c>
      <c r="K34" s="486">
        <v>0.59499999999999997</v>
      </c>
      <c r="L34" s="486">
        <v>0.59199999999999997</v>
      </c>
      <c r="M34" s="486">
        <v>0.59099999999999997</v>
      </c>
      <c r="N34" s="486">
        <v>0.59099999999999997</v>
      </c>
      <c r="O34" s="486">
        <v>0.58599999999999997</v>
      </c>
      <c r="P34" s="486">
        <v>0.58299999999999996</v>
      </c>
      <c r="Q34" s="486">
        <v>0.57199999999999995</v>
      </c>
      <c r="R34" s="486">
        <v>0.57599999999999996</v>
      </c>
      <c r="S34" s="486">
        <v>0.57399999999999995</v>
      </c>
      <c r="T34" s="486">
        <v>0.57099999999999995</v>
      </c>
      <c r="U34" s="486">
        <v>0.56799999999999995</v>
      </c>
      <c r="V34" s="486">
        <v>0.56499999999999995</v>
      </c>
      <c r="W34" s="486">
        <v>0.56399999999999995</v>
      </c>
      <c r="X34" s="486">
        <v>0.56399999999999995</v>
      </c>
      <c r="Y34" s="486">
        <v>0.56299999999999994</v>
      </c>
      <c r="Z34" s="486">
        <v>0.56100000000000005</v>
      </c>
      <c r="AA34" s="486">
        <v>0.56000000000000005</v>
      </c>
      <c r="AB34" s="486">
        <v>0.55900000000000005</v>
      </c>
      <c r="AC34" s="486">
        <v>0.55700000000000005</v>
      </c>
      <c r="AD34" s="486">
        <v>0.55500000000000005</v>
      </c>
      <c r="AE34" s="486">
        <v>0.55400000000000005</v>
      </c>
      <c r="AF34" s="486">
        <v>0.55200000000000005</v>
      </c>
      <c r="AG34" s="486">
        <v>0.55000000000000004</v>
      </c>
      <c r="AH34" s="486">
        <v>0.54800000000000004</v>
      </c>
      <c r="AI34" s="486">
        <v>0.54600000000000004</v>
      </c>
      <c r="AJ34" s="486">
        <v>0.54400000000000004</v>
      </c>
      <c r="AK34" s="486">
        <v>0.54300000000000004</v>
      </c>
      <c r="AL34" s="486">
        <v>0.54100000000000004</v>
      </c>
      <c r="AM34" s="486">
        <v>0.54</v>
      </c>
      <c r="AN34" s="486">
        <v>0.53900000000000003</v>
      </c>
      <c r="AO34" s="486">
        <v>0.53800000000000003</v>
      </c>
      <c r="AP34" s="486">
        <v>0.53700000000000003</v>
      </c>
      <c r="AQ34" s="486">
        <v>0.53600000000000003</v>
      </c>
      <c r="AR34" s="486">
        <v>0.53500000000000003</v>
      </c>
      <c r="AS34" s="486">
        <v>0.53500000000000003</v>
      </c>
      <c r="AT34" s="486">
        <v>0.53500000000000003</v>
      </c>
      <c r="AU34" s="486">
        <v>0.53400000000000003</v>
      </c>
      <c r="AV34" s="486">
        <v>0.53400000000000003</v>
      </c>
      <c r="AW34" s="486">
        <v>0.53400000000000003</v>
      </c>
      <c r="AX34" s="486">
        <v>0.53400000000000003</v>
      </c>
      <c r="AY34" s="486">
        <v>0.53400000000000003</v>
      </c>
      <c r="AZ34" s="486">
        <v>0.53400000000000003</v>
      </c>
      <c r="BA34" s="487">
        <v>0.53400000000000003</v>
      </c>
    </row>
    <row r="35" spans="2:53" ht="14.4" thickBot="1">
      <c r="B35" s="1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row>
    <row r="36" spans="2:53" ht="14.4" thickBot="1">
      <c r="B36" s="19" t="s">
        <v>20</v>
      </c>
      <c r="C36" s="448">
        <v>1940</v>
      </c>
      <c r="D36" s="449">
        <v>1941</v>
      </c>
      <c r="E36" s="449">
        <v>1942</v>
      </c>
      <c r="F36" s="449">
        <v>1943</v>
      </c>
      <c r="G36" s="449">
        <v>1944</v>
      </c>
      <c r="H36" s="449">
        <v>1945</v>
      </c>
      <c r="I36" s="449">
        <v>1946</v>
      </c>
      <c r="J36" s="449">
        <v>1947</v>
      </c>
      <c r="K36" s="449">
        <v>1948</v>
      </c>
      <c r="L36" s="449">
        <v>1949</v>
      </c>
      <c r="M36" s="449">
        <v>1950</v>
      </c>
      <c r="N36" s="449">
        <v>1951</v>
      </c>
      <c r="O36" s="449">
        <v>1952</v>
      </c>
      <c r="P36" s="449">
        <v>1953</v>
      </c>
      <c r="Q36" s="449">
        <v>1954</v>
      </c>
      <c r="R36" s="449">
        <v>1955</v>
      </c>
      <c r="S36" s="449">
        <v>1956</v>
      </c>
      <c r="T36" s="449">
        <v>1957</v>
      </c>
      <c r="U36" s="449">
        <v>1958</v>
      </c>
      <c r="V36" s="449">
        <v>1959</v>
      </c>
      <c r="W36" s="449">
        <v>1960</v>
      </c>
      <c r="X36" s="449">
        <v>1961</v>
      </c>
      <c r="Y36" s="449">
        <v>1962</v>
      </c>
      <c r="Z36" s="449">
        <v>1963</v>
      </c>
      <c r="AA36" s="449">
        <v>1964</v>
      </c>
      <c r="AB36" s="449">
        <v>1965</v>
      </c>
      <c r="AC36" s="449">
        <v>1966</v>
      </c>
      <c r="AD36" s="449">
        <v>1967</v>
      </c>
      <c r="AE36" s="449">
        <v>1968</v>
      </c>
      <c r="AF36" s="449">
        <v>1969</v>
      </c>
      <c r="AG36" s="449">
        <v>1970</v>
      </c>
      <c r="AH36" s="449">
        <v>1971</v>
      </c>
      <c r="AI36" s="449">
        <v>1972</v>
      </c>
      <c r="AJ36" s="449">
        <v>1973</v>
      </c>
      <c r="AK36" s="449">
        <v>1974</v>
      </c>
      <c r="AL36" s="449">
        <v>1975</v>
      </c>
      <c r="AM36" s="449">
        <v>1976</v>
      </c>
      <c r="AN36" s="449">
        <v>1977</v>
      </c>
      <c r="AO36" s="449">
        <v>1978</v>
      </c>
      <c r="AP36" s="449">
        <v>1979</v>
      </c>
      <c r="AQ36" s="449">
        <v>1980</v>
      </c>
      <c r="AR36" s="449">
        <v>1981</v>
      </c>
      <c r="AS36" s="449">
        <v>1982</v>
      </c>
      <c r="AT36" s="449">
        <v>1983</v>
      </c>
      <c r="AU36" s="449">
        <v>1984</v>
      </c>
      <c r="AV36" s="449">
        <v>1985</v>
      </c>
      <c r="AW36" s="449">
        <v>1986</v>
      </c>
      <c r="AX36" s="449">
        <v>1987</v>
      </c>
      <c r="AY36" s="449">
        <v>1988</v>
      </c>
      <c r="AZ36" s="449">
        <v>1989</v>
      </c>
      <c r="BA36" s="450">
        <v>1990</v>
      </c>
    </row>
    <row r="37" spans="2:53">
      <c r="B37" s="20" t="s">
        <v>54</v>
      </c>
      <c r="C37" s="483">
        <v>0.23599999999999999</v>
      </c>
      <c r="D37" s="484">
        <v>0.23699999999999999</v>
      </c>
      <c r="E37" s="484">
        <v>0.23799999999999999</v>
      </c>
      <c r="F37" s="484">
        <v>0.24099999999999999</v>
      </c>
      <c r="G37" s="484">
        <v>0.23899999999999999</v>
      </c>
      <c r="H37" s="484">
        <v>0.23899999999999999</v>
      </c>
      <c r="I37" s="484">
        <v>0.23899999999999999</v>
      </c>
      <c r="J37" s="484">
        <v>0.24</v>
      </c>
      <c r="K37" s="484">
        <v>0.23899999999999999</v>
      </c>
      <c r="L37" s="484">
        <v>0.24099999999999999</v>
      </c>
      <c r="M37" s="484">
        <v>0.24299999999999999</v>
      </c>
      <c r="N37" s="484">
        <v>0.247</v>
      </c>
      <c r="O37" s="484">
        <v>0.249</v>
      </c>
      <c r="P37" s="484">
        <v>0.252</v>
      </c>
      <c r="Q37" s="484">
        <v>0.25</v>
      </c>
      <c r="R37" s="484">
        <v>0.255</v>
      </c>
      <c r="S37" s="484">
        <v>0.25600000000000001</v>
      </c>
      <c r="T37" s="484">
        <v>0.25600000000000001</v>
      </c>
      <c r="U37" s="484">
        <v>0.25700000000000001</v>
      </c>
      <c r="V37" s="484">
        <v>0.25600000000000001</v>
      </c>
      <c r="W37" s="484">
        <v>0.255</v>
      </c>
      <c r="X37" s="484">
        <v>0.254</v>
      </c>
      <c r="Y37" s="484">
        <v>0.252</v>
      </c>
      <c r="Z37" s="484">
        <v>0.249</v>
      </c>
      <c r="AA37" s="484">
        <v>0.247</v>
      </c>
      <c r="AB37" s="484">
        <v>0.24399999999999999</v>
      </c>
      <c r="AC37" s="484">
        <v>0.24</v>
      </c>
      <c r="AD37" s="484">
        <v>0.23799999999999999</v>
      </c>
      <c r="AE37" s="484">
        <v>0.23499999999999999</v>
      </c>
      <c r="AF37" s="484">
        <v>0.23200000000000001</v>
      </c>
      <c r="AG37" s="484">
        <v>0.23</v>
      </c>
      <c r="AH37" s="484">
        <v>0.22700000000000001</v>
      </c>
      <c r="AI37" s="484">
        <v>0.22500000000000001</v>
      </c>
      <c r="AJ37" s="484">
        <v>0.223</v>
      </c>
      <c r="AK37" s="484">
        <v>0.221</v>
      </c>
      <c r="AL37" s="484">
        <v>0.219</v>
      </c>
      <c r="AM37" s="484">
        <v>0.217</v>
      </c>
      <c r="AN37" s="484">
        <v>0.214</v>
      </c>
      <c r="AO37" s="484">
        <v>0.21199999999999999</v>
      </c>
      <c r="AP37" s="484">
        <v>0.21</v>
      </c>
      <c r="AQ37" s="484">
        <v>0.20799999999999999</v>
      </c>
      <c r="AR37" s="484">
        <v>0.20699999999999999</v>
      </c>
      <c r="AS37" s="484">
        <v>0.20499999999999999</v>
      </c>
      <c r="AT37" s="484">
        <v>0.20399999999999999</v>
      </c>
      <c r="AU37" s="484">
        <v>0.20200000000000001</v>
      </c>
      <c r="AV37" s="484">
        <v>0.20100000000000001</v>
      </c>
      <c r="AW37" s="484">
        <v>0.2</v>
      </c>
      <c r="AX37" s="484">
        <v>0.19900000000000001</v>
      </c>
      <c r="AY37" s="484">
        <v>0.19800000000000001</v>
      </c>
      <c r="AZ37" s="484">
        <v>0.19700000000000001</v>
      </c>
      <c r="BA37" s="485">
        <v>0.19600000000000001</v>
      </c>
    </row>
    <row r="38" spans="2:53">
      <c r="B38" s="22" t="s">
        <v>54</v>
      </c>
      <c r="C38" s="23">
        <v>0.23599999999999999</v>
      </c>
      <c r="D38" s="24">
        <v>0.23699999999999999</v>
      </c>
      <c r="E38" s="24">
        <v>0.23799999999999999</v>
      </c>
      <c r="F38" s="24">
        <v>0.24099999999999999</v>
      </c>
      <c r="G38" s="24">
        <v>0.23899999999999999</v>
      </c>
      <c r="H38" s="24">
        <v>0.23899999999999999</v>
      </c>
      <c r="I38" s="24">
        <v>0.23899999999999999</v>
      </c>
      <c r="J38" s="24">
        <v>0.24</v>
      </c>
      <c r="K38" s="24">
        <v>0.23899999999999999</v>
      </c>
      <c r="L38" s="24">
        <v>0.24099999999999999</v>
      </c>
      <c r="M38" s="24">
        <v>0.24299999999999999</v>
      </c>
      <c r="N38" s="24">
        <v>0.247</v>
      </c>
      <c r="O38" s="24">
        <v>0.249</v>
      </c>
      <c r="P38" s="24">
        <v>0.252</v>
      </c>
      <c r="Q38" s="24">
        <v>0.25</v>
      </c>
      <c r="R38" s="24">
        <v>0.255</v>
      </c>
      <c r="S38" s="24">
        <v>0.25600000000000001</v>
      </c>
      <c r="T38" s="24">
        <v>0.25600000000000001</v>
      </c>
      <c r="U38" s="24">
        <v>0.25700000000000001</v>
      </c>
      <c r="V38" s="24">
        <v>0.25600000000000001</v>
      </c>
      <c r="W38" s="24">
        <v>0.255</v>
      </c>
      <c r="X38" s="24">
        <v>0.255</v>
      </c>
      <c r="Y38" s="24">
        <v>0.253</v>
      </c>
      <c r="Z38" s="24">
        <v>0.251</v>
      </c>
      <c r="AA38" s="24">
        <v>0.249</v>
      </c>
      <c r="AB38" s="24">
        <v>0.246</v>
      </c>
      <c r="AC38" s="24">
        <v>0.24199999999999999</v>
      </c>
      <c r="AD38" s="24">
        <v>0.24099999999999999</v>
      </c>
      <c r="AE38" s="24">
        <v>0.23799999999999999</v>
      </c>
      <c r="AF38" s="24">
        <v>0.23499999999999999</v>
      </c>
      <c r="AG38" s="24">
        <v>0.23400000000000001</v>
      </c>
      <c r="AH38" s="24">
        <v>0.23100000000000001</v>
      </c>
      <c r="AI38" s="24">
        <v>0.22900000000000001</v>
      </c>
      <c r="AJ38" s="24">
        <v>0.22800000000000001</v>
      </c>
      <c r="AK38" s="24">
        <v>0.22600000000000001</v>
      </c>
      <c r="AL38" s="24">
        <v>0.224</v>
      </c>
      <c r="AM38" s="24">
        <v>0.222</v>
      </c>
      <c r="AN38" s="24">
        <v>0.22</v>
      </c>
      <c r="AO38" s="24">
        <v>0.218</v>
      </c>
      <c r="AP38" s="24">
        <v>0.216</v>
      </c>
      <c r="AQ38" s="24">
        <v>0.214</v>
      </c>
      <c r="AR38" s="24">
        <v>0.21299999999999999</v>
      </c>
      <c r="AS38" s="24">
        <v>0.21099999999999999</v>
      </c>
      <c r="AT38" s="24">
        <v>0.21</v>
      </c>
      <c r="AU38" s="24">
        <v>0.20899999999999999</v>
      </c>
      <c r="AV38" s="24">
        <v>0.20699999999999999</v>
      </c>
      <c r="AW38" s="24">
        <v>0.20599999999999999</v>
      </c>
      <c r="AX38" s="24">
        <v>0.20599999999999999</v>
      </c>
      <c r="AY38" s="24">
        <v>0.20499999999999999</v>
      </c>
      <c r="AZ38" s="24">
        <v>0.20399999999999999</v>
      </c>
      <c r="BA38" s="25">
        <v>0.20300000000000001</v>
      </c>
    </row>
    <row r="39" spans="2:53">
      <c r="B39" s="22" t="s">
        <v>55</v>
      </c>
      <c r="C39" s="483">
        <v>0.23599999999999999</v>
      </c>
      <c r="D39" s="484">
        <v>0.23699999999999999</v>
      </c>
      <c r="E39" s="484">
        <v>0.23799999999999999</v>
      </c>
      <c r="F39" s="484">
        <v>0.24099999999999999</v>
      </c>
      <c r="G39" s="484">
        <v>0.23899999999999999</v>
      </c>
      <c r="H39" s="484">
        <v>0.23899999999999999</v>
      </c>
      <c r="I39" s="484">
        <v>0.23899999999999999</v>
      </c>
      <c r="J39" s="484">
        <v>0.24</v>
      </c>
      <c r="K39" s="484">
        <v>0.23899999999999999</v>
      </c>
      <c r="L39" s="484">
        <v>0.24099999999999999</v>
      </c>
      <c r="M39" s="484">
        <v>0.24299999999999999</v>
      </c>
      <c r="N39" s="484">
        <v>0.247</v>
      </c>
      <c r="O39" s="484">
        <v>0.249</v>
      </c>
      <c r="P39" s="484">
        <v>0.252</v>
      </c>
      <c r="Q39" s="484">
        <v>0.25</v>
      </c>
      <c r="R39" s="484">
        <v>0.255</v>
      </c>
      <c r="S39" s="484">
        <v>0.25600000000000001</v>
      </c>
      <c r="T39" s="484">
        <v>0.25600000000000001</v>
      </c>
      <c r="U39" s="484">
        <v>0.25700000000000001</v>
      </c>
      <c r="V39" s="484">
        <v>0.25700000000000001</v>
      </c>
      <c r="W39" s="484">
        <v>0.255</v>
      </c>
      <c r="X39" s="484">
        <v>0.25600000000000001</v>
      </c>
      <c r="Y39" s="484">
        <v>0.254</v>
      </c>
      <c r="Z39" s="484">
        <v>0.252</v>
      </c>
      <c r="AA39" s="484">
        <v>0.251</v>
      </c>
      <c r="AB39" s="484">
        <v>0.249</v>
      </c>
      <c r="AC39" s="484">
        <v>0.246</v>
      </c>
      <c r="AD39" s="484">
        <v>0.245</v>
      </c>
      <c r="AE39" s="484">
        <v>0.24199999999999999</v>
      </c>
      <c r="AF39" s="484">
        <v>0.24</v>
      </c>
      <c r="AG39" s="484">
        <v>0.23899999999999999</v>
      </c>
      <c r="AH39" s="484">
        <v>0.23699999999999999</v>
      </c>
      <c r="AI39" s="484">
        <v>0.23499999999999999</v>
      </c>
      <c r="AJ39" s="484">
        <v>0.23499999999999999</v>
      </c>
      <c r="AK39" s="484">
        <v>0.23300000000000001</v>
      </c>
      <c r="AL39" s="484">
        <v>0.23100000000000001</v>
      </c>
      <c r="AM39" s="484">
        <v>0.23</v>
      </c>
      <c r="AN39" s="484">
        <v>0.22800000000000001</v>
      </c>
      <c r="AO39" s="484">
        <v>0.22600000000000001</v>
      </c>
      <c r="AP39" s="484">
        <v>0.22500000000000001</v>
      </c>
      <c r="AQ39" s="484">
        <v>0.223</v>
      </c>
      <c r="AR39" s="484">
        <v>0.222</v>
      </c>
      <c r="AS39" s="484">
        <v>0.221</v>
      </c>
      <c r="AT39" s="484">
        <v>0.22</v>
      </c>
      <c r="AU39" s="484">
        <v>0.219</v>
      </c>
      <c r="AV39" s="484">
        <v>0.218</v>
      </c>
      <c r="AW39" s="484">
        <v>0.217</v>
      </c>
      <c r="AX39" s="484">
        <v>0.216</v>
      </c>
      <c r="AY39" s="484">
        <v>0.215</v>
      </c>
      <c r="AZ39" s="484">
        <v>0.214</v>
      </c>
      <c r="BA39" s="485">
        <v>0.214</v>
      </c>
    </row>
    <row r="40" spans="2:53">
      <c r="B40" s="22" t="s">
        <v>56</v>
      </c>
      <c r="C40" s="483">
        <v>0.23599999999999999</v>
      </c>
      <c r="D40" s="484">
        <v>0.23699999999999999</v>
      </c>
      <c r="E40" s="484">
        <v>0.23799999999999999</v>
      </c>
      <c r="F40" s="484">
        <v>0.24099999999999999</v>
      </c>
      <c r="G40" s="484">
        <v>0.23899999999999999</v>
      </c>
      <c r="H40" s="484">
        <v>0.23899999999999999</v>
      </c>
      <c r="I40" s="484">
        <v>0.23899999999999999</v>
      </c>
      <c r="J40" s="484">
        <v>0.24</v>
      </c>
      <c r="K40" s="484">
        <v>0.23899999999999999</v>
      </c>
      <c r="L40" s="484">
        <v>0.24099999999999999</v>
      </c>
      <c r="M40" s="484">
        <v>0.24299999999999999</v>
      </c>
      <c r="N40" s="484">
        <v>0.247</v>
      </c>
      <c r="O40" s="484">
        <v>0.249</v>
      </c>
      <c r="P40" s="484">
        <v>0.252</v>
      </c>
      <c r="Q40" s="484">
        <v>0.25</v>
      </c>
      <c r="R40" s="484">
        <v>0.255</v>
      </c>
      <c r="S40" s="484">
        <v>0.25600000000000001</v>
      </c>
      <c r="T40" s="484">
        <v>0.25600000000000001</v>
      </c>
      <c r="U40" s="484">
        <v>0.25700000000000001</v>
      </c>
      <c r="V40" s="484">
        <v>0.25700000000000001</v>
      </c>
      <c r="W40" s="484">
        <v>0.25600000000000001</v>
      </c>
      <c r="X40" s="484">
        <v>0.25600000000000001</v>
      </c>
      <c r="Y40" s="484">
        <v>0.255</v>
      </c>
      <c r="Z40" s="484">
        <v>0.253</v>
      </c>
      <c r="AA40" s="484">
        <v>0.253</v>
      </c>
      <c r="AB40" s="484">
        <v>0.251</v>
      </c>
      <c r="AC40" s="484">
        <v>0.248</v>
      </c>
      <c r="AD40" s="484">
        <v>0.247</v>
      </c>
      <c r="AE40" s="484">
        <v>0.245</v>
      </c>
      <c r="AF40" s="484">
        <v>0.24399999999999999</v>
      </c>
      <c r="AG40" s="484">
        <v>0.24299999999999999</v>
      </c>
      <c r="AH40" s="484">
        <v>0.24099999999999999</v>
      </c>
      <c r="AI40" s="484">
        <v>0.24</v>
      </c>
      <c r="AJ40" s="484">
        <v>0.24</v>
      </c>
      <c r="AK40" s="484">
        <v>0.23799999999999999</v>
      </c>
      <c r="AL40" s="484">
        <v>0.23699999999999999</v>
      </c>
      <c r="AM40" s="484">
        <v>0.23499999999999999</v>
      </c>
      <c r="AN40" s="484">
        <v>0.23400000000000001</v>
      </c>
      <c r="AO40" s="484">
        <v>0.23300000000000001</v>
      </c>
      <c r="AP40" s="484">
        <v>0.23100000000000001</v>
      </c>
      <c r="AQ40" s="484">
        <v>0.23</v>
      </c>
      <c r="AR40" s="484">
        <v>0.22900000000000001</v>
      </c>
      <c r="AS40" s="484">
        <v>0.22800000000000001</v>
      </c>
      <c r="AT40" s="484">
        <v>0.22700000000000001</v>
      </c>
      <c r="AU40" s="484">
        <v>0.22600000000000001</v>
      </c>
      <c r="AV40" s="484">
        <v>0.22500000000000001</v>
      </c>
      <c r="AW40" s="484">
        <v>0.224</v>
      </c>
      <c r="AX40" s="484">
        <v>0.223</v>
      </c>
      <c r="AY40" s="484">
        <v>0.223</v>
      </c>
      <c r="AZ40" s="484">
        <v>0.222</v>
      </c>
      <c r="BA40" s="485">
        <v>0.222</v>
      </c>
    </row>
    <row r="41" spans="2:53" ht="14.4" thickBot="1">
      <c r="B41" s="26" t="s">
        <v>57</v>
      </c>
      <c r="C41" s="27">
        <v>0.23599999999999999</v>
      </c>
      <c r="D41" s="486">
        <v>0.23699999999999999</v>
      </c>
      <c r="E41" s="486">
        <v>0.23799999999999999</v>
      </c>
      <c r="F41" s="486">
        <v>0.24099999999999999</v>
      </c>
      <c r="G41" s="486">
        <v>0.23899999999999999</v>
      </c>
      <c r="H41" s="486">
        <v>0.23899999999999999</v>
      </c>
      <c r="I41" s="486">
        <v>0.23899999999999999</v>
      </c>
      <c r="J41" s="486">
        <v>0.24</v>
      </c>
      <c r="K41" s="486">
        <v>0.23899999999999999</v>
      </c>
      <c r="L41" s="486">
        <v>0.24099999999999999</v>
      </c>
      <c r="M41" s="486">
        <v>0.24299999999999999</v>
      </c>
      <c r="N41" s="486">
        <v>0.247</v>
      </c>
      <c r="O41" s="486">
        <v>0.249</v>
      </c>
      <c r="P41" s="486">
        <v>0.252</v>
      </c>
      <c r="Q41" s="486">
        <v>0.25</v>
      </c>
      <c r="R41" s="486">
        <v>0.255</v>
      </c>
      <c r="S41" s="486">
        <v>0.25600000000000001</v>
      </c>
      <c r="T41" s="486">
        <v>0.25600000000000001</v>
      </c>
      <c r="U41" s="486">
        <v>0.25700000000000001</v>
      </c>
      <c r="V41" s="486">
        <v>0.25700000000000001</v>
      </c>
      <c r="W41" s="486">
        <v>0.25600000000000001</v>
      </c>
      <c r="X41" s="486">
        <v>0.25700000000000001</v>
      </c>
      <c r="Y41" s="486">
        <v>0.25600000000000001</v>
      </c>
      <c r="Z41" s="486">
        <v>0.255</v>
      </c>
      <c r="AA41" s="486">
        <v>0.255</v>
      </c>
      <c r="AB41" s="486">
        <v>0.253</v>
      </c>
      <c r="AC41" s="486">
        <v>0.252</v>
      </c>
      <c r="AD41" s="486">
        <v>0.251</v>
      </c>
      <c r="AE41" s="486">
        <v>0.25</v>
      </c>
      <c r="AF41" s="486">
        <v>0.249</v>
      </c>
      <c r="AG41" s="486">
        <v>0.249</v>
      </c>
      <c r="AH41" s="486">
        <v>0.248</v>
      </c>
      <c r="AI41" s="486">
        <v>0.247</v>
      </c>
      <c r="AJ41" s="486">
        <v>0.247</v>
      </c>
      <c r="AK41" s="486">
        <v>0.246</v>
      </c>
      <c r="AL41" s="486">
        <v>0.245</v>
      </c>
      <c r="AM41" s="486">
        <v>0.24399999999999999</v>
      </c>
      <c r="AN41" s="486">
        <v>0.24299999999999999</v>
      </c>
      <c r="AO41" s="486">
        <v>0.24199999999999999</v>
      </c>
      <c r="AP41" s="486">
        <v>0.24099999999999999</v>
      </c>
      <c r="AQ41" s="486">
        <v>0.24</v>
      </c>
      <c r="AR41" s="486">
        <v>0.23899999999999999</v>
      </c>
      <c r="AS41" s="486">
        <v>0.23799999999999999</v>
      </c>
      <c r="AT41" s="486">
        <v>0.23799999999999999</v>
      </c>
      <c r="AU41" s="486">
        <v>0.23699999999999999</v>
      </c>
      <c r="AV41" s="486">
        <v>0.23599999999999999</v>
      </c>
      <c r="AW41" s="486">
        <v>0.23599999999999999</v>
      </c>
      <c r="AX41" s="486">
        <v>0.23499999999999999</v>
      </c>
      <c r="AY41" s="486">
        <v>0.23499999999999999</v>
      </c>
      <c r="AZ41" s="486">
        <v>0.23400000000000001</v>
      </c>
      <c r="BA41" s="487">
        <v>0.23400000000000001</v>
      </c>
    </row>
    <row r="43" spans="2:53">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2"/>
      <c r="AM43" s="2"/>
      <c r="AN43" s="2"/>
      <c r="AO43" s="2"/>
      <c r="AP43" s="2"/>
      <c r="AQ43" s="2"/>
      <c r="AR43" s="2"/>
      <c r="AS43" s="2"/>
      <c r="AT43" s="2"/>
      <c r="AU43" s="2"/>
      <c r="AV43" s="2"/>
      <c r="AW43" s="2"/>
      <c r="AX43" s="2"/>
      <c r="AY43" s="2"/>
      <c r="AZ43" s="2"/>
      <c r="BA43" s="2"/>
    </row>
    <row r="44" spans="2:53">
      <c r="C44" s="69"/>
      <c r="D44" s="69"/>
      <c r="E44" s="69"/>
      <c r="F44" s="69"/>
      <c r="G44" s="69"/>
      <c r="H44" s="69"/>
      <c r="I44" s="69"/>
      <c r="J44" s="69"/>
      <c r="K44" s="69"/>
      <c r="L44" s="69"/>
      <c r="M44" s="69"/>
      <c r="N44" s="69"/>
      <c r="O44" s="69"/>
      <c r="P44" s="69"/>
      <c r="Q44" s="69"/>
      <c r="R44" s="69"/>
      <c r="S44" s="69"/>
      <c r="T44" s="69"/>
      <c r="U44" s="69"/>
      <c r="V44" s="69"/>
      <c r="W44" s="69"/>
      <c r="X44" s="69"/>
      <c r="Y44" s="69"/>
      <c r="Z44" s="69"/>
      <c r="AA44" s="69"/>
      <c r="AB44" s="69"/>
      <c r="AC44" s="69"/>
      <c r="AD44" s="69"/>
      <c r="AE44" s="69"/>
      <c r="AF44" s="69"/>
      <c r="AG44" s="69"/>
      <c r="AH44" s="69"/>
      <c r="AI44" s="69"/>
      <c r="AJ44" s="69"/>
      <c r="AK44" s="69"/>
      <c r="AL44" s="69"/>
      <c r="AM44" s="69"/>
      <c r="AN44" s="69"/>
      <c r="AO44" s="69"/>
      <c r="AP44" s="69"/>
      <c r="AQ44" s="69"/>
      <c r="AR44" s="69"/>
      <c r="AS44" s="69"/>
      <c r="AT44" s="69"/>
      <c r="AU44" s="69"/>
      <c r="AV44" s="69"/>
      <c r="AW44" s="69"/>
      <c r="AX44" s="69"/>
      <c r="AY44" s="69"/>
      <c r="AZ44" s="69"/>
      <c r="BA44" s="69"/>
    </row>
    <row r="45" spans="2:53">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c r="BA45" s="69"/>
    </row>
    <row r="46" spans="2:53">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69"/>
      <c r="AL46" s="69"/>
      <c r="AM46" s="69"/>
      <c r="AN46" s="69"/>
      <c r="AO46" s="69"/>
      <c r="AP46" s="69"/>
      <c r="AQ46" s="69"/>
      <c r="AR46" s="69"/>
      <c r="AS46" s="69"/>
      <c r="AT46" s="69"/>
      <c r="AU46" s="69"/>
      <c r="AV46" s="69"/>
      <c r="AW46" s="69"/>
      <c r="AX46" s="69"/>
      <c r="AY46" s="69"/>
      <c r="AZ46" s="69"/>
      <c r="BA46" s="69"/>
    </row>
    <row r="47" spans="2:53">
      <c r="C47" s="69"/>
      <c r="D47" s="69"/>
      <c r="E47" s="69"/>
      <c r="F47" s="69"/>
      <c r="G47" s="69"/>
      <c r="H47" s="69"/>
      <c r="I47" s="69"/>
      <c r="J47" s="69"/>
      <c r="K47" s="69"/>
      <c r="L47" s="69"/>
      <c r="M47" s="69"/>
      <c r="N47" s="69"/>
      <c r="O47" s="69"/>
      <c r="P47" s="69"/>
      <c r="Q47" s="69"/>
      <c r="R47" s="69"/>
      <c r="S47" s="69"/>
      <c r="T47" s="69"/>
      <c r="U47" s="69"/>
      <c r="V47" s="69"/>
      <c r="W47" s="69"/>
      <c r="X47" s="69"/>
      <c r="Y47" s="69"/>
      <c r="Z47" s="69"/>
      <c r="AA47" s="69"/>
      <c r="AB47" s="69"/>
      <c r="AC47" s="69"/>
      <c r="AD47" s="69"/>
      <c r="AE47" s="69"/>
      <c r="AF47" s="69"/>
      <c r="AG47" s="69"/>
      <c r="AH47" s="69"/>
      <c r="AI47" s="69"/>
      <c r="AJ47" s="69"/>
      <c r="AK47" s="69"/>
      <c r="AL47" s="69"/>
      <c r="AM47" s="69"/>
      <c r="AN47" s="69"/>
      <c r="AO47" s="69"/>
      <c r="AP47" s="69"/>
      <c r="AQ47" s="69"/>
      <c r="AR47" s="69"/>
      <c r="AS47" s="69"/>
      <c r="AT47" s="69"/>
      <c r="AU47" s="69"/>
      <c r="AV47" s="69"/>
      <c r="AW47" s="69"/>
      <c r="AX47" s="69"/>
      <c r="AY47" s="69"/>
      <c r="AZ47" s="69"/>
      <c r="BA47" s="69"/>
    </row>
    <row r="48" spans="2:53">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c r="AZ48" s="69"/>
      <c r="BA48" s="69"/>
    </row>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K272"/>
  <sheetViews>
    <sheetView topLeftCell="AW22" workbookViewId="0">
      <selection activeCell="BK53" sqref="BK53"/>
    </sheetView>
  </sheetViews>
  <sheetFormatPr baseColWidth="10" defaultColWidth="11.44140625" defaultRowHeight="13.8"/>
  <cols>
    <col min="1" max="1" width="11.44140625" style="2"/>
    <col min="2" max="2" width="40.109375" style="2" customWidth="1"/>
    <col min="3" max="16384" width="11.44140625" style="2"/>
  </cols>
  <sheetData>
    <row r="1" spans="1:63" ht="15.6">
      <c r="A1" s="149" t="s">
        <v>243</v>
      </c>
    </row>
    <row r="2" spans="1:63" ht="14.4" thickBot="1"/>
    <row r="3" spans="1:63" s="185" customFormat="1" ht="16.2" thickBot="1">
      <c r="B3" s="150" t="s">
        <v>50</v>
      </c>
      <c r="C3" s="585">
        <v>1930</v>
      </c>
      <c r="D3" s="586">
        <v>1931</v>
      </c>
      <c r="E3" s="586">
        <v>1932</v>
      </c>
      <c r="F3" s="586">
        <v>1933</v>
      </c>
      <c r="G3" s="586">
        <v>1934</v>
      </c>
      <c r="H3" s="586">
        <v>1935</v>
      </c>
      <c r="I3" s="586">
        <v>1936</v>
      </c>
      <c r="J3" s="586">
        <v>1937</v>
      </c>
      <c r="K3" s="586">
        <v>1938</v>
      </c>
      <c r="L3" s="586">
        <v>1939</v>
      </c>
      <c r="M3" s="586">
        <v>1940</v>
      </c>
      <c r="N3" s="586">
        <v>1941</v>
      </c>
      <c r="O3" s="586">
        <v>1942</v>
      </c>
      <c r="P3" s="586">
        <v>1943</v>
      </c>
      <c r="Q3" s="586">
        <v>1944</v>
      </c>
      <c r="R3" s="586">
        <v>1945</v>
      </c>
      <c r="S3" s="586">
        <v>1946</v>
      </c>
      <c r="T3" s="586">
        <v>1947</v>
      </c>
      <c r="U3" s="586">
        <v>1948</v>
      </c>
      <c r="V3" s="586">
        <v>1949</v>
      </c>
      <c r="W3" s="586">
        <v>1950</v>
      </c>
      <c r="X3" s="586">
        <v>1951</v>
      </c>
      <c r="Y3" s="586">
        <v>1952</v>
      </c>
      <c r="Z3" s="586">
        <v>1953</v>
      </c>
      <c r="AA3" s="586">
        <v>1954</v>
      </c>
      <c r="AB3" s="586">
        <v>1955</v>
      </c>
      <c r="AC3" s="586">
        <v>1956</v>
      </c>
      <c r="AD3" s="586">
        <v>1957</v>
      </c>
      <c r="AE3" s="586">
        <v>1958</v>
      </c>
      <c r="AF3" s="586">
        <v>1959</v>
      </c>
      <c r="AG3" s="586">
        <v>1960</v>
      </c>
      <c r="AH3" s="586">
        <v>1961</v>
      </c>
      <c r="AI3" s="586">
        <v>1962</v>
      </c>
      <c r="AJ3" s="586">
        <v>1963</v>
      </c>
      <c r="AK3" s="586">
        <v>1964</v>
      </c>
      <c r="AL3" s="586">
        <v>1965</v>
      </c>
      <c r="AM3" s="586">
        <v>1966</v>
      </c>
      <c r="AN3" s="586">
        <v>1967</v>
      </c>
      <c r="AO3" s="586">
        <v>1968</v>
      </c>
      <c r="AP3" s="586">
        <v>1969</v>
      </c>
      <c r="AQ3" s="586">
        <v>1970</v>
      </c>
      <c r="AR3" s="586">
        <v>1971</v>
      </c>
      <c r="AS3" s="586">
        <v>1972</v>
      </c>
      <c r="AT3" s="586">
        <v>1973</v>
      </c>
      <c r="AU3" s="586">
        <v>1974</v>
      </c>
      <c r="AV3" s="586">
        <v>1975</v>
      </c>
      <c r="AW3" s="586">
        <v>1976</v>
      </c>
      <c r="AX3" s="586">
        <v>1977</v>
      </c>
      <c r="AY3" s="586">
        <v>1978</v>
      </c>
      <c r="AZ3" s="586">
        <v>1979</v>
      </c>
      <c r="BA3" s="586">
        <v>1980</v>
      </c>
      <c r="BB3" s="586">
        <v>1981</v>
      </c>
      <c r="BC3" s="586">
        <v>1982</v>
      </c>
      <c r="BD3" s="586">
        <v>1983</v>
      </c>
      <c r="BE3" s="586">
        <v>1984</v>
      </c>
      <c r="BF3" s="586">
        <v>1985</v>
      </c>
      <c r="BG3" s="586">
        <v>1986</v>
      </c>
      <c r="BH3" s="586">
        <v>1987</v>
      </c>
      <c r="BI3" s="586">
        <v>1988</v>
      </c>
      <c r="BJ3" s="586">
        <v>1989</v>
      </c>
      <c r="BK3" s="587">
        <v>1990</v>
      </c>
    </row>
    <row r="4" spans="1:63" s="186" customFormat="1" ht="15.6">
      <c r="B4" s="151" t="s">
        <v>8</v>
      </c>
      <c r="C4" s="576"/>
      <c r="D4" s="577"/>
      <c r="E4" s="577">
        <v>24.6</v>
      </c>
      <c r="F4" s="577">
        <v>24.7</v>
      </c>
      <c r="G4" s="577">
        <v>24.9</v>
      </c>
      <c r="H4" s="577">
        <v>25.1</v>
      </c>
      <c r="I4" s="577">
        <v>25.2</v>
      </c>
      <c r="J4" s="577">
        <v>25.4</v>
      </c>
      <c r="K4" s="577">
        <v>25.5</v>
      </c>
      <c r="L4" s="577">
        <v>25.6</v>
      </c>
      <c r="M4" s="577">
        <v>25.8</v>
      </c>
      <c r="N4" s="577">
        <v>25.9</v>
      </c>
      <c r="O4" s="577">
        <v>26</v>
      </c>
      <c r="P4" s="577">
        <v>26.1</v>
      </c>
      <c r="Q4" s="577">
        <v>26.3</v>
      </c>
      <c r="R4" s="577">
        <v>26.4</v>
      </c>
      <c r="S4" s="577">
        <v>26.5</v>
      </c>
      <c r="T4" s="577">
        <v>26.6</v>
      </c>
      <c r="U4" s="577">
        <v>26.8</v>
      </c>
      <c r="V4" s="577">
        <v>26.9</v>
      </c>
      <c r="W4" s="577">
        <v>27</v>
      </c>
      <c r="X4" s="577">
        <v>27.1</v>
      </c>
      <c r="Y4" s="577">
        <v>27.2</v>
      </c>
      <c r="Z4" s="577">
        <v>27.4</v>
      </c>
      <c r="AA4" s="577">
        <v>27.5</v>
      </c>
      <c r="AB4" s="577">
        <v>27.6</v>
      </c>
      <c r="AC4" s="577">
        <v>27.7</v>
      </c>
      <c r="AD4" s="577">
        <v>27.8</v>
      </c>
      <c r="AE4" s="577">
        <v>28</v>
      </c>
      <c r="AF4" s="577">
        <v>28.1</v>
      </c>
      <c r="AG4" s="577">
        <v>28.2</v>
      </c>
      <c r="AH4" s="577">
        <v>28</v>
      </c>
      <c r="AI4" s="577">
        <v>27.9</v>
      </c>
      <c r="AJ4" s="577">
        <v>27.8</v>
      </c>
      <c r="AK4" s="577">
        <v>27.4</v>
      </c>
      <c r="AL4" s="577">
        <v>27.5</v>
      </c>
      <c r="AM4" s="577">
        <v>27.6</v>
      </c>
      <c r="AN4" s="577">
        <v>27.2</v>
      </c>
      <c r="AO4" s="577">
        <v>27.1</v>
      </c>
      <c r="AP4" s="577">
        <v>27.2</v>
      </c>
      <c r="AQ4" s="577">
        <v>26.8</v>
      </c>
      <c r="AR4" s="577">
        <v>26.6</v>
      </c>
      <c r="AS4" s="577">
        <v>26.8</v>
      </c>
      <c r="AT4" s="577">
        <v>26.6</v>
      </c>
      <c r="AU4" s="577">
        <v>26.7</v>
      </c>
      <c r="AV4" s="577">
        <v>26.6</v>
      </c>
      <c r="AW4" s="577">
        <v>26.7</v>
      </c>
      <c r="AX4" s="577">
        <v>26.8</v>
      </c>
      <c r="AY4" s="577">
        <v>26.6</v>
      </c>
      <c r="AZ4" s="577">
        <v>26.7</v>
      </c>
      <c r="BA4" s="577">
        <v>26.8</v>
      </c>
      <c r="BB4" s="577">
        <v>26.9</v>
      </c>
      <c r="BC4" s="577">
        <v>27</v>
      </c>
      <c r="BD4" s="577">
        <v>27.1</v>
      </c>
      <c r="BE4" s="577">
        <v>27.2</v>
      </c>
      <c r="BF4" s="577">
        <v>27.3</v>
      </c>
      <c r="BG4" s="577">
        <v>27.4</v>
      </c>
      <c r="BH4" s="577">
        <v>27.5</v>
      </c>
      <c r="BI4" s="577">
        <v>27.6</v>
      </c>
      <c r="BJ4" s="577">
        <v>27.7</v>
      </c>
      <c r="BK4" s="578">
        <v>27.8</v>
      </c>
    </row>
    <row r="5" spans="1:63" s="186" customFormat="1" ht="15.6">
      <c r="B5" s="152" t="s">
        <v>9</v>
      </c>
      <c r="C5" s="579"/>
      <c r="D5" s="580"/>
      <c r="E5" s="580">
        <v>24.3</v>
      </c>
      <c r="F5" s="580">
        <v>24.5</v>
      </c>
      <c r="G5" s="580">
        <v>24.6</v>
      </c>
      <c r="H5" s="580">
        <v>24.7</v>
      </c>
      <c r="I5" s="580">
        <v>24.8</v>
      </c>
      <c r="J5" s="580">
        <v>24.9</v>
      </c>
      <c r="K5" s="580">
        <v>25.1</v>
      </c>
      <c r="L5" s="580">
        <v>25.1</v>
      </c>
      <c r="M5" s="580">
        <v>25.2</v>
      </c>
      <c r="N5" s="580">
        <v>25.3</v>
      </c>
      <c r="O5" s="580">
        <v>25.4</v>
      </c>
      <c r="P5" s="580">
        <v>25.5</v>
      </c>
      <c r="Q5" s="580">
        <v>25.6</v>
      </c>
      <c r="R5" s="580">
        <v>25.6</v>
      </c>
      <c r="S5" s="580">
        <v>25.7</v>
      </c>
      <c r="T5" s="580">
        <v>25.8</v>
      </c>
      <c r="U5" s="580">
        <v>25.9</v>
      </c>
      <c r="V5" s="580">
        <v>26</v>
      </c>
      <c r="W5" s="580">
        <v>26</v>
      </c>
      <c r="X5" s="580">
        <v>26.1</v>
      </c>
      <c r="Y5" s="580">
        <v>26.2</v>
      </c>
      <c r="Z5" s="580">
        <v>26.3</v>
      </c>
      <c r="AA5" s="580">
        <v>26.4</v>
      </c>
      <c r="AB5" s="580">
        <v>26.4</v>
      </c>
      <c r="AC5" s="580">
        <v>26.5</v>
      </c>
      <c r="AD5" s="580">
        <v>26.6</v>
      </c>
      <c r="AE5" s="580">
        <v>26.7</v>
      </c>
      <c r="AF5" s="580">
        <v>26.7</v>
      </c>
      <c r="AG5" s="580">
        <v>26.8</v>
      </c>
      <c r="AH5" s="580">
        <v>26.6</v>
      </c>
      <c r="AI5" s="580">
        <v>26.5</v>
      </c>
      <c r="AJ5" s="580">
        <v>26.3</v>
      </c>
      <c r="AK5" s="580">
        <v>25.8</v>
      </c>
      <c r="AL5" s="580">
        <v>25.9</v>
      </c>
      <c r="AM5" s="580">
        <v>26</v>
      </c>
      <c r="AN5" s="580">
        <v>25.5</v>
      </c>
      <c r="AO5" s="580">
        <v>25.4</v>
      </c>
      <c r="AP5" s="580">
        <v>25.4</v>
      </c>
      <c r="AQ5" s="580">
        <v>25</v>
      </c>
      <c r="AR5" s="580">
        <v>24.8</v>
      </c>
      <c r="AS5" s="580">
        <v>24.9</v>
      </c>
      <c r="AT5" s="580">
        <v>24.7</v>
      </c>
      <c r="AU5" s="580">
        <v>24.7</v>
      </c>
      <c r="AV5" s="580">
        <v>24.5</v>
      </c>
      <c r="AW5" s="580">
        <v>24.6</v>
      </c>
      <c r="AX5" s="580">
        <v>24.6</v>
      </c>
      <c r="AY5" s="580">
        <v>24.4</v>
      </c>
      <c r="AZ5" s="580">
        <v>24.4</v>
      </c>
      <c r="BA5" s="580">
        <v>24.5</v>
      </c>
      <c r="BB5" s="580">
        <v>24.5</v>
      </c>
      <c r="BC5" s="580">
        <v>24.5</v>
      </c>
      <c r="BD5" s="580">
        <v>24.5</v>
      </c>
      <c r="BE5" s="580">
        <v>24.6</v>
      </c>
      <c r="BF5" s="580">
        <v>24.6</v>
      </c>
      <c r="BG5" s="580">
        <v>24.6</v>
      </c>
      <c r="BH5" s="580">
        <v>24.6</v>
      </c>
      <c r="BI5" s="580">
        <v>24.6</v>
      </c>
      <c r="BJ5" s="580">
        <v>24.7</v>
      </c>
      <c r="BK5" s="581">
        <v>24.7</v>
      </c>
    </row>
    <row r="6" spans="1:63" s="186" customFormat="1" ht="16.2" thickBot="1">
      <c r="B6" s="153" t="s">
        <v>10</v>
      </c>
      <c r="C6" s="582"/>
      <c r="D6" s="583"/>
      <c r="E6" s="583">
        <v>24.9</v>
      </c>
      <c r="F6" s="583">
        <v>25.1</v>
      </c>
      <c r="G6" s="583">
        <v>25.3</v>
      </c>
      <c r="H6" s="583">
        <v>25.5</v>
      </c>
      <c r="I6" s="583">
        <v>25.7</v>
      </c>
      <c r="J6" s="583">
        <v>25.9</v>
      </c>
      <c r="K6" s="583">
        <v>26.1</v>
      </c>
      <c r="L6" s="583">
        <v>26.3</v>
      </c>
      <c r="M6" s="583">
        <v>26.4</v>
      </c>
      <c r="N6" s="583">
        <v>26.6</v>
      </c>
      <c r="O6" s="583">
        <v>26.8</v>
      </c>
      <c r="P6" s="583">
        <v>26.9</v>
      </c>
      <c r="Q6" s="583">
        <v>27.1</v>
      </c>
      <c r="R6" s="583">
        <v>27.3</v>
      </c>
      <c r="S6" s="583">
        <v>27.5</v>
      </c>
      <c r="T6" s="583">
        <v>27.6</v>
      </c>
      <c r="U6" s="583">
        <v>27.8</v>
      </c>
      <c r="V6" s="583">
        <v>28</v>
      </c>
      <c r="W6" s="583">
        <v>28.2</v>
      </c>
      <c r="X6" s="583">
        <v>28.3</v>
      </c>
      <c r="Y6" s="583">
        <v>28.5</v>
      </c>
      <c r="Z6" s="583">
        <v>28.7</v>
      </c>
      <c r="AA6" s="583">
        <v>28.9</v>
      </c>
      <c r="AB6" s="583">
        <v>29</v>
      </c>
      <c r="AC6" s="583">
        <v>29.2</v>
      </c>
      <c r="AD6" s="583">
        <v>29.4</v>
      </c>
      <c r="AE6" s="583">
        <v>29.5</v>
      </c>
      <c r="AF6" s="583">
        <v>29.7</v>
      </c>
      <c r="AG6" s="583">
        <v>29.8</v>
      </c>
      <c r="AH6" s="583">
        <v>29.7</v>
      </c>
      <c r="AI6" s="583">
        <v>29.7</v>
      </c>
      <c r="AJ6" s="583">
        <v>29.6</v>
      </c>
      <c r="AK6" s="583">
        <v>29.2</v>
      </c>
      <c r="AL6" s="583">
        <v>29.4</v>
      </c>
      <c r="AM6" s="583">
        <v>29.5</v>
      </c>
      <c r="AN6" s="583">
        <v>29.2</v>
      </c>
      <c r="AO6" s="583">
        <v>29.1</v>
      </c>
      <c r="AP6" s="583">
        <v>29.2</v>
      </c>
      <c r="AQ6" s="583">
        <v>28.9</v>
      </c>
      <c r="AR6" s="583">
        <v>28.8</v>
      </c>
      <c r="AS6" s="583">
        <v>28.9</v>
      </c>
      <c r="AT6" s="583">
        <v>28.8</v>
      </c>
      <c r="AU6" s="583">
        <v>29</v>
      </c>
      <c r="AV6" s="583">
        <v>28.9</v>
      </c>
      <c r="AW6" s="583">
        <v>29</v>
      </c>
      <c r="AX6" s="583">
        <v>29.2</v>
      </c>
      <c r="AY6" s="583">
        <v>29</v>
      </c>
      <c r="AZ6" s="583">
        <v>29.2</v>
      </c>
      <c r="BA6" s="583">
        <v>29.3</v>
      </c>
      <c r="BB6" s="583">
        <v>29.5</v>
      </c>
      <c r="BC6" s="583">
        <v>29.6</v>
      </c>
      <c r="BD6" s="583">
        <v>29.7</v>
      </c>
      <c r="BE6" s="583">
        <v>29.9</v>
      </c>
      <c r="BF6" s="583">
        <v>30</v>
      </c>
      <c r="BG6" s="583">
        <v>30.1</v>
      </c>
      <c r="BH6" s="583">
        <v>30.3</v>
      </c>
      <c r="BI6" s="583">
        <v>30.4</v>
      </c>
      <c r="BJ6" s="583">
        <v>30.6</v>
      </c>
      <c r="BK6" s="584">
        <v>30.7</v>
      </c>
    </row>
    <row r="7" spans="1:63" s="185" customFormat="1" ht="16.2" thickBot="1">
      <c r="B7" s="150" t="s">
        <v>51</v>
      </c>
      <c r="C7" s="585">
        <v>1930</v>
      </c>
      <c r="D7" s="586">
        <v>1931</v>
      </c>
      <c r="E7" s="586">
        <v>1932</v>
      </c>
      <c r="F7" s="586">
        <v>1933</v>
      </c>
      <c r="G7" s="586">
        <v>1934</v>
      </c>
      <c r="H7" s="586">
        <v>1935</v>
      </c>
      <c r="I7" s="586">
        <v>1936</v>
      </c>
      <c r="J7" s="586">
        <v>1937</v>
      </c>
      <c r="K7" s="586">
        <v>1938</v>
      </c>
      <c r="L7" s="586">
        <v>1939</v>
      </c>
      <c r="M7" s="586">
        <v>1940</v>
      </c>
      <c r="N7" s="586">
        <v>1941</v>
      </c>
      <c r="O7" s="586">
        <v>1942</v>
      </c>
      <c r="P7" s="586">
        <v>1943</v>
      </c>
      <c r="Q7" s="586">
        <v>1944</v>
      </c>
      <c r="R7" s="586">
        <v>1945</v>
      </c>
      <c r="S7" s="586">
        <v>1946</v>
      </c>
      <c r="T7" s="586">
        <v>1947</v>
      </c>
      <c r="U7" s="586">
        <v>1948</v>
      </c>
      <c r="V7" s="586">
        <v>1949</v>
      </c>
      <c r="W7" s="586">
        <v>1950</v>
      </c>
      <c r="X7" s="586">
        <v>1951</v>
      </c>
      <c r="Y7" s="586">
        <v>1952</v>
      </c>
      <c r="Z7" s="586">
        <v>1953</v>
      </c>
      <c r="AA7" s="586">
        <v>1954</v>
      </c>
      <c r="AB7" s="586">
        <v>1955</v>
      </c>
      <c r="AC7" s="586">
        <v>1956</v>
      </c>
      <c r="AD7" s="586">
        <v>1957</v>
      </c>
      <c r="AE7" s="586">
        <v>1958</v>
      </c>
      <c r="AF7" s="586">
        <v>1959</v>
      </c>
      <c r="AG7" s="586">
        <v>1960</v>
      </c>
      <c r="AH7" s="586">
        <v>1961</v>
      </c>
      <c r="AI7" s="586">
        <v>1962</v>
      </c>
      <c r="AJ7" s="586">
        <v>1963</v>
      </c>
      <c r="AK7" s="586">
        <v>1964</v>
      </c>
      <c r="AL7" s="586">
        <v>1965</v>
      </c>
      <c r="AM7" s="586">
        <v>1966</v>
      </c>
      <c r="AN7" s="586">
        <v>1967</v>
      </c>
      <c r="AO7" s="586">
        <v>1968</v>
      </c>
      <c r="AP7" s="586">
        <v>1969</v>
      </c>
      <c r="AQ7" s="586">
        <v>1970</v>
      </c>
      <c r="AR7" s="586">
        <v>1971</v>
      </c>
      <c r="AS7" s="586">
        <v>1972</v>
      </c>
      <c r="AT7" s="586">
        <v>1973</v>
      </c>
      <c r="AU7" s="586">
        <v>1974</v>
      </c>
      <c r="AV7" s="586">
        <v>1975</v>
      </c>
      <c r="AW7" s="586">
        <v>1976</v>
      </c>
      <c r="AX7" s="586">
        <v>1977</v>
      </c>
      <c r="AY7" s="586">
        <v>1978</v>
      </c>
      <c r="AZ7" s="586">
        <v>1979</v>
      </c>
      <c r="BA7" s="586">
        <v>1980</v>
      </c>
      <c r="BB7" s="586">
        <v>1981</v>
      </c>
      <c r="BC7" s="586">
        <v>1982</v>
      </c>
      <c r="BD7" s="586">
        <v>1983</v>
      </c>
      <c r="BE7" s="586">
        <v>1984</v>
      </c>
      <c r="BF7" s="586">
        <v>1985</v>
      </c>
      <c r="BG7" s="586">
        <v>1986</v>
      </c>
      <c r="BH7" s="586">
        <v>1987</v>
      </c>
      <c r="BI7" s="586">
        <v>1988</v>
      </c>
      <c r="BJ7" s="586">
        <v>1989</v>
      </c>
      <c r="BK7" s="587">
        <v>1990</v>
      </c>
    </row>
    <row r="8" spans="1:63" s="103" customFormat="1" ht="15.6">
      <c r="B8" s="151" t="s">
        <v>8</v>
      </c>
      <c r="C8" s="576">
        <v>23.3</v>
      </c>
      <c r="D8" s="577"/>
      <c r="E8" s="577">
        <v>23.8</v>
      </c>
      <c r="F8" s="577"/>
      <c r="G8" s="577">
        <v>24.2</v>
      </c>
      <c r="H8" s="577"/>
      <c r="I8" s="577">
        <v>24.5</v>
      </c>
      <c r="J8" s="577"/>
      <c r="K8" s="577">
        <v>24.8</v>
      </c>
      <c r="L8" s="577"/>
      <c r="M8" s="577">
        <v>24.9</v>
      </c>
      <c r="N8" s="577"/>
      <c r="O8" s="577">
        <v>25.2</v>
      </c>
      <c r="P8" s="577">
        <v>25.3</v>
      </c>
      <c r="Q8" s="577">
        <v>25.4</v>
      </c>
      <c r="R8" s="577">
        <v>25.6</v>
      </c>
      <c r="S8" s="577">
        <v>25.9</v>
      </c>
      <c r="T8" s="577">
        <v>26.2</v>
      </c>
      <c r="U8" s="577">
        <v>26.4</v>
      </c>
      <c r="V8" s="577">
        <v>26.6</v>
      </c>
      <c r="W8" s="577">
        <v>26.6</v>
      </c>
      <c r="X8" s="577">
        <v>26.5</v>
      </c>
      <c r="Y8" s="577">
        <v>26.3</v>
      </c>
      <c r="Z8" s="577">
        <v>26</v>
      </c>
      <c r="AA8" s="577">
        <v>25.8</v>
      </c>
      <c r="AB8" s="577">
        <v>25.6</v>
      </c>
      <c r="AC8" s="577">
        <v>25.6</v>
      </c>
      <c r="AD8" s="577">
        <v>25.7</v>
      </c>
      <c r="AE8" s="577">
        <v>25.6</v>
      </c>
      <c r="AF8" s="577">
        <v>25.7</v>
      </c>
      <c r="AG8" s="577">
        <v>25.8</v>
      </c>
      <c r="AH8" s="577">
        <v>25.7</v>
      </c>
      <c r="AI8" s="577">
        <v>25.7</v>
      </c>
      <c r="AJ8" s="577">
        <v>25.8</v>
      </c>
      <c r="AK8" s="577">
        <v>25.7</v>
      </c>
      <c r="AL8" s="577">
        <v>25.7</v>
      </c>
      <c r="AM8" s="577">
        <v>25.7</v>
      </c>
      <c r="AN8" s="577">
        <v>25.7</v>
      </c>
      <c r="AO8" s="577">
        <v>25.7</v>
      </c>
      <c r="AP8" s="577">
        <v>25.7</v>
      </c>
      <c r="AQ8" s="577">
        <v>25.7</v>
      </c>
      <c r="AR8" s="577">
        <v>25.7</v>
      </c>
      <c r="AS8" s="577">
        <v>25.7</v>
      </c>
      <c r="AT8" s="577">
        <v>25.7</v>
      </c>
      <c r="AU8" s="577">
        <v>25.7</v>
      </c>
      <c r="AV8" s="577">
        <v>25.7</v>
      </c>
      <c r="AW8" s="577">
        <v>25.8</v>
      </c>
      <c r="AX8" s="577">
        <v>25.9</v>
      </c>
      <c r="AY8" s="577">
        <v>26</v>
      </c>
      <c r="AZ8" s="577">
        <v>26.1</v>
      </c>
      <c r="BA8" s="577">
        <v>26.3</v>
      </c>
      <c r="BB8" s="577">
        <v>26.4</v>
      </c>
      <c r="BC8" s="577">
        <v>26.5</v>
      </c>
      <c r="BD8" s="577">
        <v>26.6</v>
      </c>
      <c r="BE8" s="577">
        <v>26.7</v>
      </c>
      <c r="BF8" s="577">
        <v>26.8</v>
      </c>
      <c r="BG8" s="577">
        <v>26.9</v>
      </c>
      <c r="BH8" s="577">
        <v>27</v>
      </c>
      <c r="BI8" s="577">
        <v>27.1</v>
      </c>
      <c r="BJ8" s="577">
        <v>27.2</v>
      </c>
      <c r="BK8" s="578">
        <v>27.3</v>
      </c>
    </row>
    <row r="9" spans="1:63" s="103" customFormat="1" ht="15.6">
      <c r="B9" s="152" t="s">
        <v>9</v>
      </c>
      <c r="C9" s="579">
        <v>23.1</v>
      </c>
      <c r="D9" s="580"/>
      <c r="E9" s="580">
        <v>23.6</v>
      </c>
      <c r="F9" s="580"/>
      <c r="G9" s="580">
        <v>23.9</v>
      </c>
      <c r="H9" s="580"/>
      <c r="I9" s="580">
        <v>24.1</v>
      </c>
      <c r="J9" s="580"/>
      <c r="K9" s="580">
        <v>24.3</v>
      </c>
      <c r="L9" s="580"/>
      <c r="M9" s="580">
        <v>24.4</v>
      </c>
      <c r="N9" s="580"/>
      <c r="O9" s="580">
        <v>24.6</v>
      </c>
      <c r="P9" s="580">
        <v>24.7</v>
      </c>
      <c r="Q9" s="580">
        <v>24.7</v>
      </c>
      <c r="R9" s="580">
        <v>24.9</v>
      </c>
      <c r="S9" s="580">
        <v>25.2</v>
      </c>
      <c r="T9" s="580">
        <v>25.3</v>
      </c>
      <c r="U9" s="580">
        <v>25.5</v>
      </c>
      <c r="V9" s="580">
        <v>25.7</v>
      </c>
      <c r="W9" s="580">
        <v>25.7</v>
      </c>
      <c r="X9" s="580">
        <v>25.5</v>
      </c>
      <c r="Y9" s="580">
        <v>25.3</v>
      </c>
      <c r="Z9" s="580">
        <v>24.9</v>
      </c>
      <c r="AA9" s="580">
        <v>24.6</v>
      </c>
      <c r="AB9" s="580">
        <v>24.4</v>
      </c>
      <c r="AC9" s="580">
        <v>24.4</v>
      </c>
      <c r="AD9" s="580">
        <v>24.4</v>
      </c>
      <c r="AE9" s="580">
        <v>24.3</v>
      </c>
      <c r="AF9" s="580">
        <v>24.3</v>
      </c>
      <c r="AG9" s="580">
        <v>24.4</v>
      </c>
      <c r="AH9" s="580">
        <v>24.3</v>
      </c>
      <c r="AI9" s="580">
        <v>24.3</v>
      </c>
      <c r="AJ9" s="580">
        <v>24.3</v>
      </c>
      <c r="AK9" s="580">
        <v>24.2</v>
      </c>
      <c r="AL9" s="580">
        <v>24.1</v>
      </c>
      <c r="AM9" s="580">
        <v>24.1</v>
      </c>
      <c r="AN9" s="580">
        <v>24</v>
      </c>
      <c r="AO9" s="580">
        <v>24</v>
      </c>
      <c r="AP9" s="580">
        <v>24</v>
      </c>
      <c r="AQ9" s="580">
        <v>23.9</v>
      </c>
      <c r="AR9" s="580">
        <v>23.9</v>
      </c>
      <c r="AS9" s="580">
        <v>23.8</v>
      </c>
      <c r="AT9" s="580">
        <v>23.7</v>
      </c>
      <c r="AU9" s="580">
        <v>23.7</v>
      </c>
      <c r="AV9" s="580">
        <v>23.7</v>
      </c>
      <c r="AW9" s="580">
        <v>23.7</v>
      </c>
      <c r="AX9" s="580">
        <v>23.7</v>
      </c>
      <c r="AY9" s="580">
        <v>23.8</v>
      </c>
      <c r="AZ9" s="580">
        <v>23.8</v>
      </c>
      <c r="BA9" s="580">
        <v>23.9</v>
      </c>
      <c r="BB9" s="580">
        <v>23.9</v>
      </c>
      <c r="BC9" s="580">
        <v>24</v>
      </c>
      <c r="BD9" s="580">
        <v>24</v>
      </c>
      <c r="BE9" s="580">
        <v>24</v>
      </c>
      <c r="BF9" s="580">
        <v>24</v>
      </c>
      <c r="BG9" s="580">
        <v>24</v>
      </c>
      <c r="BH9" s="580">
        <v>24.1</v>
      </c>
      <c r="BI9" s="580">
        <v>24.1</v>
      </c>
      <c r="BJ9" s="580">
        <v>24.1</v>
      </c>
      <c r="BK9" s="581">
        <v>24.1</v>
      </c>
    </row>
    <row r="10" spans="1:63" s="103" customFormat="1" ht="16.2" thickBot="1">
      <c r="B10" s="153" t="s">
        <v>10</v>
      </c>
      <c r="C10" s="582">
        <v>23.6</v>
      </c>
      <c r="D10" s="583"/>
      <c r="E10" s="583">
        <v>24.1</v>
      </c>
      <c r="F10" s="583"/>
      <c r="G10" s="583">
        <v>24.6</v>
      </c>
      <c r="H10" s="583"/>
      <c r="I10" s="583">
        <v>25</v>
      </c>
      <c r="J10" s="583"/>
      <c r="K10" s="583">
        <v>25.4</v>
      </c>
      <c r="L10" s="583"/>
      <c r="M10" s="583">
        <v>25.6</v>
      </c>
      <c r="N10" s="583"/>
      <c r="O10" s="583">
        <v>25.9</v>
      </c>
      <c r="P10" s="583">
        <v>26.1</v>
      </c>
      <c r="Q10" s="583">
        <v>26.3</v>
      </c>
      <c r="R10" s="583">
        <v>26.5</v>
      </c>
      <c r="S10" s="583">
        <v>26.9</v>
      </c>
      <c r="T10" s="583">
        <v>27.2</v>
      </c>
      <c r="U10" s="583">
        <v>27.4</v>
      </c>
      <c r="V10" s="583">
        <v>27.7</v>
      </c>
      <c r="W10" s="583">
        <v>27.8</v>
      </c>
      <c r="X10" s="583">
        <v>27.8</v>
      </c>
      <c r="Y10" s="583">
        <v>27.6</v>
      </c>
      <c r="Z10" s="583">
        <v>27.3</v>
      </c>
      <c r="AA10" s="583">
        <v>27.1</v>
      </c>
      <c r="AB10" s="583">
        <v>27</v>
      </c>
      <c r="AC10" s="583">
        <v>27.1</v>
      </c>
      <c r="AD10" s="583">
        <v>27.2</v>
      </c>
      <c r="AE10" s="583">
        <v>27.2</v>
      </c>
      <c r="AF10" s="583">
        <v>27.3</v>
      </c>
      <c r="AG10" s="583">
        <v>27.4</v>
      </c>
      <c r="AH10" s="583">
        <v>27.4</v>
      </c>
      <c r="AI10" s="583">
        <v>27.5</v>
      </c>
      <c r="AJ10" s="583">
        <v>27.6</v>
      </c>
      <c r="AK10" s="583">
        <v>27.5</v>
      </c>
      <c r="AL10" s="583">
        <v>27.6</v>
      </c>
      <c r="AM10" s="583">
        <v>27.6</v>
      </c>
      <c r="AN10" s="583">
        <v>27.6</v>
      </c>
      <c r="AO10" s="583">
        <v>27.7</v>
      </c>
      <c r="AP10" s="583">
        <v>27.8</v>
      </c>
      <c r="AQ10" s="583">
        <v>27.8</v>
      </c>
      <c r="AR10" s="583">
        <v>27.8</v>
      </c>
      <c r="AS10" s="583">
        <v>27.9</v>
      </c>
      <c r="AT10" s="583">
        <v>27.9</v>
      </c>
      <c r="AU10" s="583">
        <v>27.9</v>
      </c>
      <c r="AV10" s="583">
        <v>28</v>
      </c>
      <c r="AW10" s="583">
        <v>28.1</v>
      </c>
      <c r="AX10" s="583">
        <v>28.3</v>
      </c>
      <c r="AY10" s="583">
        <v>28.4</v>
      </c>
      <c r="AZ10" s="583">
        <v>28.6</v>
      </c>
      <c r="BA10" s="583">
        <v>28.8</v>
      </c>
      <c r="BB10" s="583">
        <v>28.9</v>
      </c>
      <c r="BC10" s="583">
        <v>29.1</v>
      </c>
      <c r="BD10" s="583">
        <v>29.2</v>
      </c>
      <c r="BE10" s="583">
        <v>29.3</v>
      </c>
      <c r="BF10" s="583">
        <v>29.5</v>
      </c>
      <c r="BG10" s="583">
        <v>29.6</v>
      </c>
      <c r="BH10" s="583">
        <v>29.7</v>
      </c>
      <c r="BI10" s="583">
        <v>29.8</v>
      </c>
      <c r="BJ10" s="583">
        <v>30</v>
      </c>
      <c r="BK10" s="584">
        <v>30.1</v>
      </c>
    </row>
    <row r="18" spans="3:63" ht="15" customHeight="1">
      <c r="C18" s="734" t="s">
        <v>176</v>
      </c>
      <c r="D18" s="734"/>
      <c r="E18" s="734"/>
      <c r="F18" s="734"/>
      <c r="H18" s="727" t="s">
        <v>244</v>
      </c>
      <c r="I18" s="727"/>
      <c r="J18" s="727"/>
      <c r="K18" s="727"/>
      <c r="BD18" s="408"/>
      <c r="BE18" s="408"/>
      <c r="BF18" s="408"/>
      <c r="BG18" s="408"/>
      <c r="BI18" s="212"/>
      <c r="BJ18" s="212"/>
      <c r="BK18" s="212"/>
    </row>
    <row r="19" spans="3:63" ht="15" customHeight="1">
      <c r="C19" s="734"/>
      <c r="D19" s="734"/>
      <c r="E19" s="734"/>
      <c r="F19" s="734"/>
      <c r="H19" s="727"/>
      <c r="I19" s="727"/>
      <c r="J19" s="727"/>
      <c r="K19" s="727"/>
      <c r="BD19" s="408"/>
      <c r="BE19" s="408"/>
      <c r="BF19" s="408"/>
      <c r="BG19" s="408"/>
      <c r="BI19" s="212"/>
      <c r="BJ19" s="212"/>
      <c r="BK19" s="212"/>
    </row>
    <row r="20" spans="3:63">
      <c r="C20" s="734"/>
      <c r="D20" s="734"/>
      <c r="E20" s="734"/>
      <c r="F20" s="734"/>
      <c r="H20" s="727"/>
      <c r="I20" s="727"/>
      <c r="J20" s="727"/>
      <c r="K20" s="727"/>
      <c r="BD20" s="408"/>
      <c r="BE20" s="408"/>
      <c r="BF20" s="408"/>
      <c r="BG20" s="408"/>
      <c r="BI20" s="212"/>
      <c r="BJ20" s="212"/>
      <c r="BK20" s="212"/>
    </row>
    <row r="35" spans="2:63" s="103" customFormat="1" ht="15.6">
      <c r="B35" s="116" t="s">
        <v>249</v>
      </c>
    </row>
    <row r="36" spans="2:63" s="103" customFormat="1" ht="14.4" thickBot="1"/>
    <row r="37" spans="2:63" s="185" customFormat="1" ht="16.2" thickBot="1">
      <c r="B37" s="150" t="s">
        <v>136</v>
      </c>
      <c r="C37" s="585">
        <v>1930</v>
      </c>
      <c r="D37" s="586">
        <v>1931</v>
      </c>
      <c r="E37" s="586">
        <v>1932</v>
      </c>
      <c r="F37" s="586">
        <v>1933</v>
      </c>
      <c r="G37" s="586">
        <v>1934</v>
      </c>
      <c r="H37" s="586">
        <v>1935</v>
      </c>
      <c r="I37" s="586">
        <v>1936</v>
      </c>
      <c r="J37" s="586">
        <v>1937</v>
      </c>
      <c r="K37" s="586">
        <v>1938</v>
      </c>
      <c r="L37" s="586">
        <v>1939</v>
      </c>
      <c r="M37" s="586">
        <v>1940</v>
      </c>
      <c r="N37" s="586">
        <v>1941</v>
      </c>
      <c r="O37" s="586">
        <v>1942</v>
      </c>
      <c r="P37" s="586">
        <v>1943</v>
      </c>
      <c r="Q37" s="586">
        <v>1944</v>
      </c>
      <c r="R37" s="586">
        <v>1945</v>
      </c>
      <c r="S37" s="586">
        <v>1946</v>
      </c>
      <c r="T37" s="586">
        <v>1947</v>
      </c>
      <c r="U37" s="586">
        <v>1948</v>
      </c>
      <c r="V37" s="586">
        <v>1949</v>
      </c>
      <c r="W37" s="586">
        <v>1950</v>
      </c>
      <c r="X37" s="586">
        <v>1951</v>
      </c>
      <c r="Y37" s="586">
        <v>1952</v>
      </c>
      <c r="Z37" s="586">
        <v>1953</v>
      </c>
      <c r="AA37" s="586">
        <v>1954</v>
      </c>
      <c r="AB37" s="586">
        <v>1955</v>
      </c>
      <c r="AC37" s="586">
        <v>1956</v>
      </c>
      <c r="AD37" s="586">
        <v>1957</v>
      </c>
      <c r="AE37" s="586">
        <v>1958</v>
      </c>
      <c r="AF37" s="586">
        <v>1959</v>
      </c>
      <c r="AG37" s="586">
        <v>1960</v>
      </c>
      <c r="AH37" s="586">
        <v>1961</v>
      </c>
      <c r="AI37" s="586">
        <v>1962</v>
      </c>
      <c r="AJ37" s="586">
        <v>1963</v>
      </c>
      <c r="AK37" s="586">
        <v>1964</v>
      </c>
      <c r="AL37" s="586">
        <v>1965</v>
      </c>
      <c r="AM37" s="586">
        <v>1966</v>
      </c>
      <c r="AN37" s="586">
        <v>1967</v>
      </c>
      <c r="AO37" s="586">
        <v>1968</v>
      </c>
      <c r="AP37" s="586">
        <v>1969</v>
      </c>
      <c r="AQ37" s="586">
        <v>1970</v>
      </c>
      <c r="AR37" s="586">
        <v>1971</v>
      </c>
      <c r="AS37" s="586">
        <v>1972</v>
      </c>
      <c r="AT37" s="586">
        <v>1973</v>
      </c>
      <c r="AU37" s="586">
        <v>1974</v>
      </c>
      <c r="AV37" s="586">
        <v>1975</v>
      </c>
      <c r="AW37" s="586">
        <v>1976</v>
      </c>
      <c r="AX37" s="586">
        <v>1977</v>
      </c>
      <c r="AY37" s="586">
        <v>1978</v>
      </c>
      <c r="AZ37" s="586">
        <v>1979</v>
      </c>
      <c r="BA37" s="586">
        <v>1980</v>
      </c>
      <c r="BB37" s="586">
        <v>1981</v>
      </c>
      <c r="BC37" s="586">
        <v>1982</v>
      </c>
      <c r="BD37" s="586">
        <v>1983</v>
      </c>
      <c r="BE37" s="586">
        <v>1984</v>
      </c>
      <c r="BF37" s="586">
        <v>1985</v>
      </c>
      <c r="BG37" s="586">
        <v>1986</v>
      </c>
      <c r="BH37" s="586">
        <v>1987</v>
      </c>
      <c r="BI37" s="586">
        <v>1988</v>
      </c>
      <c r="BJ37" s="586">
        <v>1989</v>
      </c>
      <c r="BK37" s="587">
        <v>1990</v>
      </c>
    </row>
    <row r="38" spans="2:63" s="186" customFormat="1" ht="15.6">
      <c r="B38" s="151" t="s">
        <v>142</v>
      </c>
      <c r="C38" s="576">
        <v>24.2</v>
      </c>
      <c r="D38" s="577">
        <v>24.4</v>
      </c>
      <c r="E38" s="577">
        <v>24.6</v>
      </c>
      <c r="F38" s="577">
        <v>24.7</v>
      </c>
      <c r="G38" s="577">
        <v>24.9</v>
      </c>
      <c r="H38" s="577">
        <v>25.1</v>
      </c>
      <c r="I38" s="577">
        <v>25.2</v>
      </c>
      <c r="J38" s="577">
        <v>25.4</v>
      </c>
      <c r="K38" s="577">
        <v>25.5</v>
      </c>
      <c r="L38" s="577">
        <v>25.6</v>
      </c>
      <c r="M38" s="577">
        <v>25.8</v>
      </c>
      <c r="N38" s="577">
        <v>25.9</v>
      </c>
      <c r="O38" s="577">
        <v>26</v>
      </c>
      <c r="P38" s="577">
        <v>26.1</v>
      </c>
      <c r="Q38" s="577">
        <v>26.3</v>
      </c>
      <c r="R38" s="577">
        <v>26.4</v>
      </c>
      <c r="S38" s="577">
        <v>26.5</v>
      </c>
      <c r="T38" s="577">
        <v>26.6</v>
      </c>
      <c r="U38" s="577">
        <v>26.8</v>
      </c>
      <c r="V38" s="577">
        <v>26.9</v>
      </c>
      <c r="W38" s="577">
        <v>27</v>
      </c>
      <c r="X38" s="577">
        <v>27.1</v>
      </c>
      <c r="Y38" s="577">
        <v>27.2</v>
      </c>
      <c r="Z38" s="577">
        <v>27.4</v>
      </c>
      <c r="AA38" s="577">
        <v>27.5</v>
      </c>
      <c r="AB38" s="577">
        <v>27.6</v>
      </c>
      <c r="AC38" s="577">
        <v>27.7</v>
      </c>
      <c r="AD38" s="577">
        <v>27.8</v>
      </c>
      <c r="AE38" s="577">
        <v>28</v>
      </c>
      <c r="AF38" s="577">
        <v>28.1</v>
      </c>
      <c r="AG38" s="577">
        <v>28.2</v>
      </c>
      <c r="AH38" s="577">
        <v>28.3</v>
      </c>
      <c r="AI38" s="577">
        <v>28.4</v>
      </c>
      <c r="AJ38" s="577">
        <v>28.5</v>
      </c>
      <c r="AK38" s="577">
        <v>28.6</v>
      </c>
      <c r="AL38" s="577">
        <v>28.7</v>
      </c>
      <c r="AM38" s="577">
        <v>28.9</v>
      </c>
      <c r="AN38" s="577">
        <v>29</v>
      </c>
      <c r="AO38" s="577">
        <v>29.1</v>
      </c>
      <c r="AP38" s="577">
        <v>29.2</v>
      </c>
      <c r="AQ38" s="577">
        <v>29.3</v>
      </c>
      <c r="AR38" s="577">
        <v>29.4</v>
      </c>
      <c r="AS38" s="577">
        <v>29.5</v>
      </c>
      <c r="AT38" s="577">
        <v>29.6</v>
      </c>
      <c r="AU38" s="577">
        <v>29.7</v>
      </c>
      <c r="AV38" s="577">
        <v>29.8</v>
      </c>
      <c r="AW38" s="577">
        <v>29.9</v>
      </c>
      <c r="AX38" s="577">
        <v>30</v>
      </c>
      <c r="AY38" s="577">
        <v>30.1</v>
      </c>
      <c r="AZ38" s="577">
        <v>30.2</v>
      </c>
      <c r="BA38" s="577">
        <v>30.3</v>
      </c>
      <c r="BB38" s="577">
        <v>30.4</v>
      </c>
      <c r="BC38" s="577">
        <v>30.5</v>
      </c>
      <c r="BD38" s="577">
        <v>30.6</v>
      </c>
      <c r="BE38" s="577">
        <v>30.7</v>
      </c>
      <c r="BF38" s="577">
        <v>30.8</v>
      </c>
      <c r="BG38" s="577">
        <v>30.9</v>
      </c>
      <c r="BH38" s="577">
        <v>31</v>
      </c>
      <c r="BI38" s="577">
        <v>31.1</v>
      </c>
      <c r="BJ38" s="577">
        <v>31.2</v>
      </c>
      <c r="BK38" s="578">
        <v>31.3</v>
      </c>
    </row>
    <row r="39" spans="2:63" s="186" customFormat="1" ht="15.6">
      <c r="B39" s="187" t="s">
        <v>143</v>
      </c>
      <c r="C39" s="579">
        <v>27</v>
      </c>
      <c r="D39" s="580">
        <v>27.2</v>
      </c>
      <c r="E39" s="580">
        <v>27.3</v>
      </c>
      <c r="F39" s="580">
        <v>27.5</v>
      </c>
      <c r="G39" s="580">
        <v>27.6</v>
      </c>
      <c r="H39" s="580">
        <v>27.7</v>
      </c>
      <c r="I39" s="580">
        <v>27.9</v>
      </c>
      <c r="J39" s="580">
        <v>28</v>
      </c>
      <c r="K39" s="580">
        <v>28.1</v>
      </c>
      <c r="L39" s="580">
        <v>28.2</v>
      </c>
      <c r="M39" s="580">
        <v>28.3</v>
      </c>
      <c r="N39" s="580">
        <v>28.4</v>
      </c>
      <c r="O39" s="580">
        <v>28.6</v>
      </c>
      <c r="P39" s="580">
        <v>28.7</v>
      </c>
      <c r="Q39" s="580">
        <v>28.8</v>
      </c>
      <c r="R39" s="580">
        <v>28.9</v>
      </c>
      <c r="S39" s="580">
        <v>29</v>
      </c>
      <c r="T39" s="580">
        <v>29.1</v>
      </c>
      <c r="U39" s="580">
        <v>29.3</v>
      </c>
      <c r="V39" s="580">
        <v>29.4</v>
      </c>
      <c r="W39" s="580">
        <v>29.5</v>
      </c>
      <c r="X39" s="580">
        <v>29.6</v>
      </c>
      <c r="Y39" s="580">
        <v>29.7</v>
      </c>
      <c r="Z39" s="580">
        <v>29.8</v>
      </c>
      <c r="AA39" s="580">
        <v>29.9</v>
      </c>
      <c r="AB39" s="580">
        <v>30.1</v>
      </c>
      <c r="AC39" s="580">
        <v>30.2</v>
      </c>
      <c r="AD39" s="580">
        <v>30.3</v>
      </c>
      <c r="AE39" s="580">
        <v>30.4</v>
      </c>
      <c r="AF39" s="580">
        <v>30.5</v>
      </c>
      <c r="AG39" s="580">
        <v>30.6</v>
      </c>
      <c r="AH39" s="580">
        <v>30.7</v>
      </c>
      <c r="AI39" s="580">
        <v>30.8</v>
      </c>
      <c r="AJ39" s="580">
        <v>30.9</v>
      </c>
      <c r="AK39" s="580">
        <v>31</v>
      </c>
      <c r="AL39" s="580">
        <v>31.1</v>
      </c>
      <c r="AM39" s="580">
        <v>31.2</v>
      </c>
      <c r="AN39" s="580">
        <v>31.3</v>
      </c>
      <c r="AO39" s="580">
        <v>31.4</v>
      </c>
      <c r="AP39" s="580">
        <v>31.5</v>
      </c>
      <c r="AQ39" s="580">
        <v>31.6</v>
      </c>
      <c r="AR39" s="580">
        <v>31.8</v>
      </c>
      <c r="AS39" s="580">
        <v>31.9</v>
      </c>
      <c r="AT39" s="580">
        <v>32</v>
      </c>
      <c r="AU39" s="580">
        <v>32</v>
      </c>
      <c r="AV39" s="580">
        <v>32.1</v>
      </c>
      <c r="AW39" s="580">
        <v>32.299999999999997</v>
      </c>
      <c r="AX39" s="580">
        <v>32.299999999999997</v>
      </c>
      <c r="AY39" s="580">
        <v>32.4</v>
      </c>
      <c r="AZ39" s="580">
        <v>32.5</v>
      </c>
      <c r="BA39" s="580">
        <v>32.6</v>
      </c>
      <c r="BB39" s="580">
        <v>32.700000000000003</v>
      </c>
      <c r="BC39" s="580">
        <v>32.799999999999997</v>
      </c>
      <c r="BD39" s="580">
        <v>32.9</v>
      </c>
      <c r="BE39" s="580">
        <v>33</v>
      </c>
      <c r="BF39" s="580">
        <v>33.1</v>
      </c>
      <c r="BG39" s="580">
        <v>33.200000000000003</v>
      </c>
      <c r="BH39" s="580">
        <v>33.299999999999997</v>
      </c>
      <c r="BI39" s="580">
        <v>33.4</v>
      </c>
      <c r="BJ39" s="580">
        <v>33.5</v>
      </c>
      <c r="BK39" s="581">
        <v>33.6</v>
      </c>
    </row>
    <row r="40" spans="2:63" s="186" customFormat="1" ht="15.6">
      <c r="B40" s="187" t="s">
        <v>144</v>
      </c>
      <c r="C40" s="579">
        <v>21.1</v>
      </c>
      <c r="D40" s="580">
        <v>21.3</v>
      </c>
      <c r="E40" s="580">
        <v>21.5</v>
      </c>
      <c r="F40" s="580">
        <v>21.7</v>
      </c>
      <c r="G40" s="580">
        <v>21.9</v>
      </c>
      <c r="H40" s="580">
        <v>22.1</v>
      </c>
      <c r="I40" s="580">
        <v>22.3</v>
      </c>
      <c r="J40" s="580">
        <v>22.5</v>
      </c>
      <c r="K40" s="580">
        <v>22.7</v>
      </c>
      <c r="L40" s="580">
        <v>22.8</v>
      </c>
      <c r="M40" s="580">
        <v>23</v>
      </c>
      <c r="N40" s="580">
        <v>23.1</v>
      </c>
      <c r="O40" s="580">
        <v>23.3</v>
      </c>
      <c r="P40" s="580">
        <v>23.4</v>
      </c>
      <c r="Q40" s="580">
        <v>23.5</v>
      </c>
      <c r="R40" s="580">
        <v>23.7</v>
      </c>
      <c r="S40" s="580">
        <v>23.8</v>
      </c>
      <c r="T40" s="580">
        <v>23.9</v>
      </c>
      <c r="U40" s="580">
        <v>24</v>
      </c>
      <c r="V40" s="580">
        <v>24.2</v>
      </c>
      <c r="W40" s="580">
        <v>24.3</v>
      </c>
      <c r="X40" s="580">
        <v>24.4</v>
      </c>
      <c r="Y40" s="580">
        <v>24.6</v>
      </c>
      <c r="Z40" s="580">
        <v>24.7</v>
      </c>
      <c r="AA40" s="580">
        <v>24.8</v>
      </c>
      <c r="AB40" s="580">
        <v>25</v>
      </c>
      <c r="AC40" s="580">
        <v>25.1</v>
      </c>
      <c r="AD40" s="580">
        <v>25.2</v>
      </c>
      <c r="AE40" s="580">
        <v>25.3</v>
      </c>
      <c r="AF40" s="580">
        <v>25.5</v>
      </c>
      <c r="AG40" s="580">
        <v>25.6</v>
      </c>
      <c r="AH40" s="580">
        <v>25.7</v>
      </c>
      <c r="AI40" s="580">
        <v>25.8</v>
      </c>
      <c r="AJ40" s="580">
        <v>25.9</v>
      </c>
      <c r="AK40" s="580">
        <v>26.1</v>
      </c>
      <c r="AL40" s="580">
        <v>26.2</v>
      </c>
      <c r="AM40" s="580">
        <v>26.3</v>
      </c>
      <c r="AN40" s="580">
        <v>26.4</v>
      </c>
      <c r="AO40" s="580">
        <v>26.5</v>
      </c>
      <c r="AP40" s="580">
        <v>26.7</v>
      </c>
      <c r="AQ40" s="580">
        <v>26.8</v>
      </c>
      <c r="AR40" s="580">
        <v>26.9</v>
      </c>
      <c r="AS40" s="580">
        <v>27</v>
      </c>
      <c r="AT40" s="580">
        <v>27.1</v>
      </c>
      <c r="AU40" s="580">
        <v>27.3</v>
      </c>
      <c r="AV40" s="580">
        <v>27.4</v>
      </c>
      <c r="AW40" s="580">
        <v>27.5</v>
      </c>
      <c r="AX40" s="580">
        <v>27.6</v>
      </c>
      <c r="AY40" s="580">
        <v>27.7</v>
      </c>
      <c r="AZ40" s="580">
        <v>27.8</v>
      </c>
      <c r="BA40" s="580">
        <v>27.9</v>
      </c>
      <c r="BB40" s="580">
        <v>28</v>
      </c>
      <c r="BC40" s="580">
        <v>28.2</v>
      </c>
      <c r="BD40" s="580">
        <v>28.3</v>
      </c>
      <c r="BE40" s="580">
        <v>28.4</v>
      </c>
      <c r="BF40" s="580">
        <v>28.5</v>
      </c>
      <c r="BG40" s="580">
        <v>28.6</v>
      </c>
      <c r="BH40" s="580">
        <v>28.7</v>
      </c>
      <c r="BI40" s="580">
        <v>28.8</v>
      </c>
      <c r="BJ40" s="580">
        <v>28.9</v>
      </c>
      <c r="BK40" s="581">
        <v>29</v>
      </c>
    </row>
    <row r="41" spans="2:63" s="186" customFormat="1" ht="15.6">
      <c r="B41" s="152" t="s">
        <v>145</v>
      </c>
      <c r="C41" s="579">
        <v>24</v>
      </c>
      <c r="D41" s="580">
        <v>24.2</v>
      </c>
      <c r="E41" s="580">
        <v>24.3</v>
      </c>
      <c r="F41" s="580">
        <v>24.5</v>
      </c>
      <c r="G41" s="580">
        <v>24.6</v>
      </c>
      <c r="H41" s="580">
        <v>24.7</v>
      </c>
      <c r="I41" s="580">
        <v>24.8</v>
      </c>
      <c r="J41" s="580">
        <v>24.9</v>
      </c>
      <c r="K41" s="580">
        <v>25.1</v>
      </c>
      <c r="L41" s="580">
        <v>25.1</v>
      </c>
      <c r="M41" s="580">
        <v>25.2</v>
      </c>
      <c r="N41" s="580">
        <v>25.3</v>
      </c>
      <c r="O41" s="580">
        <v>25.4</v>
      </c>
      <c r="P41" s="580">
        <v>25.5</v>
      </c>
      <c r="Q41" s="580">
        <v>25.6</v>
      </c>
      <c r="R41" s="580">
        <v>25.6</v>
      </c>
      <c r="S41" s="580">
        <v>25.7</v>
      </c>
      <c r="T41" s="580">
        <v>25.8</v>
      </c>
      <c r="U41" s="580">
        <v>25.9</v>
      </c>
      <c r="V41" s="580">
        <v>26</v>
      </c>
      <c r="W41" s="580">
        <v>26</v>
      </c>
      <c r="X41" s="580">
        <v>26.1</v>
      </c>
      <c r="Y41" s="580">
        <v>26.2</v>
      </c>
      <c r="Z41" s="580">
        <v>26.3</v>
      </c>
      <c r="AA41" s="580">
        <v>26.4</v>
      </c>
      <c r="AB41" s="580">
        <v>26.4</v>
      </c>
      <c r="AC41" s="580">
        <v>26.5</v>
      </c>
      <c r="AD41" s="580">
        <v>26.6</v>
      </c>
      <c r="AE41" s="580">
        <v>26.7</v>
      </c>
      <c r="AF41" s="580">
        <v>26.7</v>
      </c>
      <c r="AG41" s="580">
        <v>26.8</v>
      </c>
      <c r="AH41" s="580">
        <v>26.9</v>
      </c>
      <c r="AI41" s="580">
        <v>27</v>
      </c>
      <c r="AJ41" s="580">
        <v>27</v>
      </c>
      <c r="AK41" s="580">
        <v>27.1</v>
      </c>
      <c r="AL41" s="580">
        <v>27.2</v>
      </c>
      <c r="AM41" s="580">
        <v>27.2</v>
      </c>
      <c r="AN41" s="580">
        <v>27.3</v>
      </c>
      <c r="AO41" s="580">
        <v>27.4</v>
      </c>
      <c r="AP41" s="580">
        <v>27.4</v>
      </c>
      <c r="AQ41" s="580">
        <v>27.5</v>
      </c>
      <c r="AR41" s="580">
        <v>27.5</v>
      </c>
      <c r="AS41" s="580">
        <v>27.6</v>
      </c>
      <c r="AT41" s="580">
        <v>27.7</v>
      </c>
      <c r="AU41" s="580">
        <v>27.7</v>
      </c>
      <c r="AV41" s="580">
        <v>27.8</v>
      </c>
      <c r="AW41" s="580">
        <v>27.8</v>
      </c>
      <c r="AX41" s="580">
        <v>27.8</v>
      </c>
      <c r="AY41" s="580">
        <v>27.9</v>
      </c>
      <c r="AZ41" s="580">
        <v>27.9</v>
      </c>
      <c r="BA41" s="580">
        <v>28</v>
      </c>
      <c r="BB41" s="580">
        <v>28</v>
      </c>
      <c r="BC41" s="580">
        <v>28</v>
      </c>
      <c r="BD41" s="580">
        <v>28</v>
      </c>
      <c r="BE41" s="580">
        <v>28.1</v>
      </c>
      <c r="BF41" s="580">
        <v>28.1</v>
      </c>
      <c r="BG41" s="580">
        <v>28.1</v>
      </c>
      <c r="BH41" s="580">
        <v>28.1</v>
      </c>
      <c r="BI41" s="580">
        <v>28.1</v>
      </c>
      <c r="BJ41" s="580">
        <v>28.2</v>
      </c>
      <c r="BK41" s="581">
        <v>28.2</v>
      </c>
    </row>
    <row r="42" spans="2:63" s="186" customFormat="1" ht="15.6">
      <c r="B42" s="152" t="s">
        <v>146</v>
      </c>
      <c r="C42" s="579">
        <v>26.8</v>
      </c>
      <c r="D42" s="580">
        <v>26.9</v>
      </c>
      <c r="E42" s="580">
        <v>27</v>
      </c>
      <c r="F42" s="580">
        <v>27.1</v>
      </c>
      <c r="G42" s="580">
        <v>27.2</v>
      </c>
      <c r="H42" s="580">
        <v>27.3</v>
      </c>
      <c r="I42" s="580">
        <v>27.4</v>
      </c>
      <c r="J42" s="580">
        <v>27.5</v>
      </c>
      <c r="K42" s="580">
        <v>27.5</v>
      </c>
      <c r="L42" s="580">
        <v>27.6</v>
      </c>
      <c r="M42" s="580">
        <v>27.7</v>
      </c>
      <c r="N42" s="580">
        <v>27.8</v>
      </c>
      <c r="O42" s="580">
        <v>27.8</v>
      </c>
      <c r="P42" s="580">
        <v>27.9</v>
      </c>
      <c r="Q42" s="580">
        <v>28</v>
      </c>
      <c r="R42" s="580">
        <v>28</v>
      </c>
      <c r="S42" s="580">
        <v>28.1</v>
      </c>
      <c r="T42" s="580">
        <v>28.2</v>
      </c>
      <c r="U42" s="580">
        <v>28.2</v>
      </c>
      <c r="V42" s="580">
        <v>28.3</v>
      </c>
      <c r="W42" s="580">
        <v>28.4</v>
      </c>
      <c r="X42" s="580">
        <v>28.4</v>
      </c>
      <c r="Y42" s="580">
        <v>28.5</v>
      </c>
      <c r="Z42" s="580">
        <v>28.6</v>
      </c>
      <c r="AA42" s="580">
        <v>28.7</v>
      </c>
      <c r="AB42" s="580">
        <v>28.7</v>
      </c>
      <c r="AC42" s="580">
        <v>28.8</v>
      </c>
      <c r="AD42" s="580">
        <v>28.9</v>
      </c>
      <c r="AE42" s="580">
        <v>28.9</v>
      </c>
      <c r="AF42" s="580">
        <v>29</v>
      </c>
      <c r="AG42" s="580">
        <v>29.1</v>
      </c>
      <c r="AH42" s="580">
        <v>29.1</v>
      </c>
      <c r="AI42" s="580">
        <v>29.2</v>
      </c>
      <c r="AJ42" s="580">
        <v>29.3</v>
      </c>
      <c r="AK42" s="580">
        <v>29.3</v>
      </c>
      <c r="AL42" s="580">
        <v>29.4</v>
      </c>
      <c r="AM42" s="580">
        <v>29.4</v>
      </c>
      <c r="AN42" s="580">
        <v>29.5</v>
      </c>
      <c r="AO42" s="580">
        <v>29.6</v>
      </c>
      <c r="AP42" s="580">
        <v>29.6</v>
      </c>
      <c r="AQ42" s="580">
        <v>29.6</v>
      </c>
      <c r="AR42" s="580">
        <v>29.7</v>
      </c>
      <c r="AS42" s="580">
        <v>29.7</v>
      </c>
      <c r="AT42" s="580">
        <v>29.8</v>
      </c>
      <c r="AU42" s="580">
        <v>29.8</v>
      </c>
      <c r="AV42" s="580">
        <v>29.9</v>
      </c>
      <c r="AW42" s="580">
        <v>29.9</v>
      </c>
      <c r="AX42" s="580">
        <v>29.9</v>
      </c>
      <c r="AY42" s="580">
        <v>30</v>
      </c>
      <c r="AZ42" s="580">
        <v>30</v>
      </c>
      <c r="BA42" s="580">
        <v>30</v>
      </c>
      <c r="BB42" s="580">
        <v>30</v>
      </c>
      <c r="BC42" s="580">
        <v>30.1</v>
      </c>
      <c r="BD42" s="580">
        <v>30.1</v>
      </c>
      <c r="BE42" s="580">
        <v>30.1</v>
      </c>
      <c r="BF42" s="580">
        <v>30.1</v>
      </c>
      <c r="BG42" s="580">
        <v>30.1</v>
      </c>
      <c r="BH42" s="580">
        <v>30.1</v>
      </c>
      <c r="BI42" s="580">
        <v>30.2</v>
      </c>
      <c r="BJ42" s="580">
        <v>30.2</v>
      </c>
      <c r="BK42" s="581">
        <v>30.2</v>
      </c>
    </row>
    <row r="43" spans="2:63" s="186" customFormat="1" ht="15.6">
      <c r="B43" s="152" t="s">
        <v>147</v>
      </c>
      <c r="C43" s="579">
        <v>21</v>
      </c>
      <c r="D43" s="580">
        <v>21.2</v>
      </c>
      <c r="E43" s="580">
        <v>21.4</v>
      </c>
      <c r="F43" s="580">
        <v>21.6</v>
      </c>
      <c r="G43" s="580">
        <v>21.7</v>
      </c>
      <c r="H43" s="580">
        <v>21.9</v>
      </c>
      <c r="I43" s="580">
        <v>22.1</v>
      </c>
      <c r="J43" s="580">
        <v>22.2</v>
      </c>
      <c r="K43" s="580">
        <v>22.3</v>
      </c>
      <c r="L43" s="580">
        <v>22.5</v>
      </c>
      <c r="M43" s="580">
        <v>22.6</v>
      </c>
      <c r="N43" s="580">
        <v>22.7</v>
      </c>
      <c r="O43" s="580">
        <v>22.8</v>
      </c>
      <c r="P43" s="580">
        <v>22.9</v>
      </c>
      <c r="Q43" s="580">
        <v>23</v>
      </c>
      <c r="R43" s="580">
        <v>23.1</v>
      </c>
      <c r="S43" s="580">
        <v>23.1</v>
      </c>
      <c r="T43" s="580">
        <v>23.2</v>
      </c>
      <c r="U43" s="580">
        <v>23.3</v>
      </c>
      <c r="V43" s="580">
        <v>23.4</v>
      </c>
      <c r="W43" s="580">
        <v>23.5</v>
      </c>
      <c r="X43" s="580">
        <v>23.6</v>
      </c>
      <c r="Y43" s="580">
        <v>23.7</v>
      </c>
      <c r="Z43" s="580">
        <v>23.8</v>
      </c>
      <c r="AA43" s="580">
        <v>23.8</v>
      </c>
      <c r="AB43" s="580">
        <v>23.9</v>
      </c>
      <c r="AC43" s="580">
        <v>24</v>
      </c>
      <c r="AD43" s="580">
        <v>24.1</v>
      </c>
      <c r="AE43" s="580">
        <v>24.2</v>
      </c>
      <c r="AF43" s="580">
        <v>24.3</v>
      </c>
      <c r="AG43" s="580">
        <v>24.4</v>
      </c>
      <c r="AH43" s="580">
        <v>24.4</v>
      </c>
      <c r="AI43" s="580">
        <v>24.5</v>
      </c>
      <c r="AJ43" s="580">
        <v>24.6</v>
      </c>
      <c r="AK43" s="580">
        <v>24.7</v>
      </c>
      <c r="AL43" s="580">
        <v>24.8</v>
      </c>
      <c r="AM43" s="580">
        <v>24.9</v>
      </c>
      <c r="AN43" s="580">
        <v>24.9</v>
      </c>
      <c r="AO43" s="580">
        <v>25</v>
      </c>
      <c r="AP43" s="580">
        <v>25.1</v>
      </c>
      <c r="AQ43" s="580">
        <v>25.2</v>
      </c>
      <c r="AR43" s="580">
        <v>25.2</v>
      </c>
      <c r="AS43" s="580">
        <v>25.3</v>
      </c>
      <c r="AT43" s="580">
        <v>25.4</v>
      </c>
      <c r="AU43" s="580">
        <v>25.4</v>
      </c>
      <c r="AV43" s="580">
        <v>25.5</v>
      </c>
      <c r="AW43" s="580">
        <v>25.6</v>
      </c>
      <c r="AX43" s="580">
        <v>25.6</v>
      </c>
      <c r="AY43" s="580">
        <v>25.7</v>
      </c>
      <c r="AZ43" s="580">
        <v>25.7</v>
      </c>
      <c r="BA43" s="580">
        <v>25.8</v>
      </c>
      <c r="BB43" s="580">
        <v>25.8</v>
      </c>
      <c r="BC43" s="580">
        <v>25.9</v>
      </c>
      <c r="BD43" s="580">
        <v>25.9</v>
      </c>
      <c r="BE43" s="580">
        <v>25.9</v>
      </c>
      <c r="BF43" s="580">
        <v>26</v>
      </c>
      <c r="BG43" s="580">
        <v>26</v>
      </c>
      <c r="BH43" s="580">
        <v>26</v>
      </c>
      <c r="BI43" s="580">
        <v>26</v>
      </c>
      <c r="BJ43" s="580">
        <v>26</v>
      </c>
      <c r="BK43" s="581">
        <v>26.1</v>
      </c>
    </row>
    <row r="44" spans="2:63" s="186" customFormat="1" ht="15.6">
      <c r="B44" s="152" t="s">
        <v>148</v>
      </c>
      <c r="C44" s="579">
        <v>24.5</v>
      </c>
      <c r="D44" s="580">
        <v>24.7</v>
      </c>
      <c r="E44" s="580">
        <v>24.9</v>
      </c>
      <c r="F44" s="580">
        <v>25.1</v>
      </c>
      <c r="G44" s="580">
        <v>25.3</v>
      </c>
      <c r="H44" s="580">
        <v>25.5</v>
      </c>
      <c r="I44" s="580">
        <v>25.7</v>
      </c>
      <c r="J44" s="580">
        <v>25.9</v>
      </c>
      <c r="K44" s="580">
        <v>26.1</v>
      </c>
      <c r="L44" s="580">
        <v>26.3</v>
      </c>
      <c r="M44" s="580">
        <v>26.4</v>
      </c>
      <c r="N44" s="580">
        <v>26.6</v>
      </c>
      <c r="O44" s="580">
        <v>26.8</v>
      </c>
      <c r="P44" s="580">
        <v>26.9</v>
      </c>
      <c r="Q44" s="580">
        <v>27.1</v>
      </c>
      <c r="R44" s="580">
        <v>27.3</v>
      </c>
      <c r="S44" s="580">
        <v>27.5</v>
      </c>
      <c r="T44" s="580">
        <v>27.6</v>
      </c>
      <c r="U44" s="580">
        <v>27.8</v>
      </c>
      <c r="V44" s="580">
        <v>28</v>
      </c>
      <c r="W44" s="580">
        <v>28.2</v>
      </c>
      <c r="X44" s="580">
        <v>28.3</v>
      </c>
      <c r="Y44" s="580">
        <v>28.5</v>
      </c>
      <c r="Z44" s="580">
        <v>28.7</v>
      </c>
      <c r="AA44" s="580">
        <v>28.9</v>
      </c>
      <c r="AB44" s="580">
        <v>29</v>
      </c>
      <c r="AC44" s="580">
        <v>29.2</v>
      </c>
      <c r="AD44" s="580">
        <v>29.4</v>
      </c>
      <c r="AE44" s="580">
        <v>29.5</v>
      </c>
      <c r="AF44" s="580">
        <v>29.7</v>
      </c>
      <c r="AG44" s="580">
        <v>29.8</v>
      </c>
      <c r="AH44" s="580">
        <v>30</v>
      </c>
      <c r="AI44" s="580">
        <v>30.2</v>
      </c>
      <c r="AJ44" s="580">
        <v>30.3</v>
      </c>
      <c r="AK44" s="580">
        <v>30.5</v>
      </c>
      <c r="AL44" s="580">
        <v>30.6</v>
      </c>
      <c r="AM44" s="580">
        <v>30.8</v>
      </c>
      <c r="AN44" s="580">
        <v>30.9</v>
      </c>
      <c r="AO44" s="580">
        <v>31.1</v>
      </c>
      <c r="AP44" s="580">
        <v>31.2</v>
      </c>
      <c r="AQ44" s="580">
        <v>31.4</v>
      </c>
      <c r="AR44" s="580">
        <v>31.5</v>
      </c>
      <c r="AS44" s="580">
        <v>31.7</v>
      </c>
      <c r="AT44" s="580">
        <v>31.8</v>
      </c>
      <c r="AU44" s="580">
        <v>32</v>
      </c>
      <c r="AV44" s="580">
        <v>32.1</v>
      </c>
      <c r="AW44" s="580">
        <v>32.299999999999997</v>
      </c>
      <c r="AX44" s="580">
        <v>32.4</v>
      </c>
      <c r="AY44" s="580">
        <v>32.5</v>
      </c>
      <c r="AZ44" s="580">
        <v>32.700000000000003</v>
      </c>
      <c r="BA44" s="580">
        <v>32.799999999999997</v>
      </c>
      <c r="BB44" s="580">
        <v>33</v>
      </c>
      <c r="BC44" s="580">
        <v>33.1</v>
      </c>
      <c r="BD44" s="580">
        <v>33.200000000000003</v>
      </c>
      <c r="BE44" s="580">
        <v>33.4</v>
      </c>
      <c r="BF44" s="580">
        <v>33.5</v>
      </c>
      <c r="BG44" s="580">
        <v>33.6</v>
      </c>
      <c r="BH44" s="580">
        <v>33.799999999999997</v>
      </c>
      <c r="BI44" s="580">
        <v>33.9</v>
      </c>
      <c r="BJ44" s="580">
        <v>34.1</v>
      </c>
      <c r="BK44" s="581">
        <v>34.200000000000003</v>
      </c>
    </row>
    <row r="45" spans="2:63" s="186" customFormat="1" ht="15.6">
      <c r="B45" s="152" t="s">
        <v>149</v>
      </c>
      <c r="C45" s="579">
        <v>27.4</v>
      </c>
      <c r="D45" s="580">
        <v>27.6</v>
      </c>
      <c r="E45" s="580">
        <v>27.8</v>
      </c>
      <c r="F45" s="580">
        <v>27.9</v>
      </c>
      <c r="G45" s="580">
        <v>28.1</v>
      </c>
      <c r="H45" s="580">
        <v>28.3</v>
      </c>
      <c r="I45" s="580">
        <v>28.5</v>
      </c>
      <c r="J45" s="580">
        <v>28.6</v>
      </c>
      <c r="K45" s="580">
        <v>28.8</v>
      </c>
      <c r="L45" s="580">
        <v>29</v>
      </c>
      <c r="M45" s="580">
        <v>29.1</v>
      </c>
      <c r="N45" s="580">
        <v>29.3</v>
      </c>
      <c r="O45" s="580">
        <v>29.5</v>
      </c>
      <c r="P45" s="580">
        <v>29.6</v>
      </c>
      <c r="Q45" s="580">
        <v>29.8</v>
      </c>
      <c r="R45" s="580">
        <v>30</v>
      </c>
      <c r="S45" s="580">
        <v>30.1</v>
      </c>
      <c r="T45" s="580">
        <v>30.3</v>
      </c>
      <c r="U45" s="580">
        <v>30.5</v>
      </c>
      <c r="V45" s="580">
        <v>30.7</v>
      </c>
      <c r="W45" s="580">
        <v>30.8</v>
      </c>
      <c r="X45" s="580">
        <v>31</v>
      </c>
      <c r="Y45" s="580">
        <v>31.2</v>
      </c>
      <c r="Z45" s="580">
        <v>31.3</v>
      </c>
      <c r="AA45" s="580">
        <v>31.5</v>
      </c>
      <c r="AB45" s="580">
        <v>31.6</v>
      </c>
      <c r="AC45" s="580">
        <v>31.8</v>
      </c>
      <c r="AD45" s="580">
        <v>32</v>
      </c>
      <c r="AE45" s="580">
        <v>32.1</v>
      </c>
      <c r="AF45" s="580">
        <v>32.299999999999997</v>
      </c>
      <c r="AG45" s="580">
        <v>32.4</v>
      </c>
      <c r="AH45" s="580">
        <v>32.6</v>
      </c>
      <c r="AI45" s="580">
        <v>32.700000000000003</v>
      </c>
      <c r="AJ45" s="580">
        <v>32.9</v>
      </c>
      <c r="AK45" s="580">
        <v>33</v>
      </c>
      <c r="AL45" s="580">
        <v>33.200000000000003</v>
      </c>
      <c r="AM45" s="580">
        <v>33.299999999999997</v>
      </c>
      <c r="AN45" s="580">
        <v>33.5</v>
      </c>
      <c r="AO45" s="580">
        <v>33.6</v>
      </c>
      <c r="AP45" s="580">
        <v>33.799999999999997</v>
      </c>
      <c r="AQ45" s="580">
        <v>33.9</v>
      </c>
      <c r="AR45" s="580">
        <v>34.1</v>
      </c>
      <c r="AS45" s="580">
        <v>34.200000000000003</v>
      </c>
      <c r="AT45" s="580">
        <v>34.4</v>
      </c>
      <c r="AU45" s="580">
        <v>34.5</v>
      </c>
      <c r="AV45" s="580">
        <v>34.700000000000003</v>
      </c>
      <c r="AW45" s="580">
        <v>34.799999999999997</v>
      </c>
      <c r="AX45" s="580">
        <v>34.9</v>
      </c>
      <c r="AY45" s="580">
        <v>35.1</v>
      </c>
      <c r="AZ45" s="580">
        <v>35.200000000000003</v>
      </c>
      <c r="BA45" s="580">
        <v>35.299999999999997</v>
      </c>
      <c r="BB45" s="580">
        <v>35.5</v>
      </c>
      <c r="BC45" s="580">
        <v>35.6</v>
      </c>
      <c r="BD45" s="580">
        <v>35.700000000000003</v>
      </c>
      <c r="BE45" s="580">
        <v>35.9</v>
      </c>
      <c r="BF45" s="580">
        <v>36</v>
      </c>
      <c r="BG45" s="580">
        <v>36.1</v>
      </c>
      <c r="BH45" s="580">
        <v>36.299999999999997</v>
      </c>
      <c r="BI45" s="580">
        <v>36.4</v>
      </c>
      <c r="BJ45" s="580">
        <v>36.5</v>
      </c>
      <c r="BK45" s="581">
        <v>36.700000000000003</v>
      </c>
    </row>
    <row r="46" spans="2:63" s="186" customFormat="1" ht="16.2" thickBot="1">
      <c r="B46" s="153" t="s">
        <v>150</v>
      </c>
      <c r="C46" s="582">
        <v>21.3</v>
      </c>
      <c r="D46" s="583">
        <v>21.5</v>
      </c>
      <c r="E46" s="583">
        <v>21.8</v>
      </c>
      <c r="F46" s="583">
        <v>22</v>
      </c>
      <c r="G46" s="583">
        <v>22.2</v>
      </c>
      <c r="H46" s="583">
        <v>22.5</v>
      </c>
      <c r="I46" s="583">
        <v>22.7</v>
      </c>
      <c r="J46" s="583">
        <v>22.9</v>
      </c>
      <c r="K46" s="583">
        <v>23.1</v>
      </c>
      <c r="L46" s="583">
        <v>23.3</v>
      </c>
      <c r="M46" s="583">
        <v>23.5</v>
      </c>
      <c r="N46" s="583">
        <v>23.7</v>
      </c>
      <c r="O46" s="583">
        <v>23.9</v>
      </c>
      <c r="P46" s="583">
        <v>24</v>
      </c>
      <c r="Q46" s="583">
        <v>24.2</v>
      </c>
      <c r="R46" s="583">
        <v>24.4</v>
      </c>
      <c r="S46" s="583">
        <v>24.6</v>
      </c>
      <c r="T46" s="583">
        <v>24.7</v>
      </c>
      <c r="U46" s="583">
        <v>24.9</v>
      </c>
      <c r="V46" s="583">
        <v>25.1</v>
      </c>
      <c r="W46" s="583">
        <v>25.3</v>
      </c>
      <c r="X46" s="583">
        <v>25.5</v>
      </c>
      <c r="Y46" s="583">
        <v>25.6</v>
      </c>
      <c r="Z46" s="583">
        <v>25.8</v>
      </c>
      <c r="AA46" s="583">
        <v>26</v>
      </c>
      <c r="AB46" s="583">
        <v>26.2</v>
      </c>
      <c r="AC46" s="583">
        <v>26.3</v>
      </c>
      <c r="AD46" s="583">
        <v>26.5</v>
      </c>
      <c r="AE46" s="583">
        <v>26.7</v>
      </c>
      <c r="AF46" s="583">
        <v>26.9</v>
      </c>
      <c r="AG46" s="583">
        <v>27</v>
      </c>
      <c r="AH46" s="583">
        <v>27.2</v>
      </c>
      <c r="AI46" s="583">
        <v>27.4</v>
      </c>
      <c r="AJ46" s="583">
        <v>27.5</v>
      </c>
      <c r="AK46" s="583">
        <v>27.7</v>
      </c>
      <c r="AL46" s="583">
        <v>27.9</v>
      </c>
      <c r="AM46" s="583">
        <v>28</v>
      </c>
      <c r="AN46" s="583">
        <v>28.2</v>
      </c>
      <c r="AO46" s="583">
        <v>28.3</v>
      </c>
      <c r="AP46" s="583">
        <v>28.5</v>
      </c>
      <c r="AQ46" s="583">
        <v>28.7</v>
      </c>
      <c r="AR46" s="583">
        <v>28.8</v>
      </c>
      <c r="AS46" s="583">
        <v>29</v>
      </c>
      <c r="AT46" s="583">
        <v>29.1</v>
      </c>
      <c r="AU46" s="583">
        <v>29.3</v>
      </c>
      <c r="AV46" s="583">
        <v>29.4</v>
      </c>
      <c r="AW46" s="583">
        <v>29.6</v>
      </c>
      <c r="AX46" s="583">
        <v>29.7</v>
      </c>
      <c r="AY46" s="583">
        <v>29.9</v>
      </c>
      <c r="AZ46" s="583">
        <v>30</v>
      </c>
      <c r="BA46" s="583">
        <v>30.2</v>
      </c>
      <c r="BB46" s="583">
        <v>30.3</v>
      </c>
      <c r="BC46" s="583">
        <v>30.5</v>
      </c>
      <c r="BD46" s="583">
        <v>30.6</v>
      </c>
      <c r="BE46" s="583">
        <v>30.8</v>
      </c>
      <c r="BF46" s="583">
        <v>30.9</v>
      </c>
      <c r="BG46" s="583">
        <v>31.1</v>
      </c>
      <c r="BH46" s="583">
        <v>31.2</v>
      </c>
      <c r="BI46" s="583">
        <v>31.3</v>
      </c>
      <c r="BJ46" s="583">
        <v>31.5</v>
      </c>
      <c r="BK46" s="584">
        <v>31.6</v>
      </c>
    </row>
    <row r="47" spans="2:63" s="103" customFormat="1" ht="14.4" thickBot="1"/>
    <row r="48" spans="2:63" s="595" customFormat="1" ht="31.8" thickBot="1">
      <c r="B48" s="591" t="s">
        <v>137</v>
      </c>
      <c r="C48" s="592">
        <v>1930</v>
      </c>
      <c r="D48" s="593">
        <v>1931</v>
      </c>
      <c r="E48" s="593">
        <v>1932</v>
      </c>
      <c r="F48" s="593">
        <v>1933</v>
      </c>
      <c r="G48" s="593">
        <v>1934</v>
      </c>
      <c r="H48" s="593">
        <v>1935</v>
      </c>
      <c r="I48" s="593">
        <v>1936</v>
      </c>
      <c r="J48" s="593">
        <v>1937</v>
      </c>
      <c r="K48" s="593">
        <v>1938</v>
      </c>
      <c r="L48" s="593">
        <v>1939</v>
      </c>
      <c r="M48" s="593">
        <v>1940</v>
      </c>
      <c r="N48" s="593">
        <v>1941</v>
      </c>
      <c r="O48" s="593">
        <v>1942</v>
      </c>
      <c r="P48" s="593">
        <v>1943</v>
      </c>
      <c r="Q48" s="593">
        <v>1944</v>
      </c>
      <c r="R48" s="593">
        <v>1945</v>
      </c>
      <c r="S48" s="593">
        <v>1946</v>
      </c>
      <c r="T48" s="593">
        <v>1947</v>
      </c>
      <c r="U48" s="593">
        <v>1948</v>
      </c>
      <c r="V48" s="593">
        <v>1949</v>
      </c>
      <c r="W48" s="593">
        <v>1950</v>
      </c>
      <c r="X48" s="593">
        <v>1951</v>
      </c>
      <c r="Y48" s="593">
        <v>1952</v>
      </c>
      <c r="Z48" s="593">
        <v>1953</v>
      </c>
      <c r="AA48" s="593">
        <v>1954</v>
      </c>
      <c r="AB48" s="593">
        <v>1955</v>
      </c>
      <c r="AC48" s="593">
        <v>1956</v>
      </c>
      <c r="AD48" s="593">
        <v>1957</v>
      </c>
      <c r="AE48" s="593">
        <v>1958</v>
      </c>
      <c r="AF48" s="593">
        <v>1959</v>
      </c>
      <c r="AG48" s="593">
        <v>1960</v>
      </c>
      <c r="AH48" s="593">
        <v>1961</v>
      </c>
      <c r="AI48" s="593">
        <v>1962</v>
      </c>
      <c r="AJ48" s="593">
        <v>1963</v>
      </c>
      <c r="AK48" s="593">
        <v>1964</v>
      </c>
      <c r="AL48" s="593">
        <v>1965</v>
      </c>
      <c r="AM48" s="593">
        <v>1966</v>
      </c>
      <c r="AN48" s="593">
        <v>1967</v>
      </c>
      <c r="AO48" s="593">
        <v>1968</v>
      </c>
      <c r="AP48" s="593">
        <v>1969</v>
      </c>
      <c r="AQ48" s="593">
        <v>1970</v>
      </c>
      <c r="AR48" s="593">
        <v>1971</v>
      </c>
      <c r="AS48" s="593">
        <v>1972</v>
      </c>
      <c r="AT48" s="593">
        <v>1973</v>
      </c>
      <c r="AU48" s="593">
        <v>1974</v>
      </c>
      <c r="AV48" s="593">
        <v>1975</v>
      </c>
      <c r="AW48" s="593">
        <v>1976</v>
      </c>
      <c r="AX48" s="593">
        <v>1977</v>
      </c>
      <c r="AY48" s="593">
        <v>1978</v>
      </c>
      <c r="AZ48" s="593">
        <v>1979</v>
      </c>
      <c r="BA48" s="593">
        <v>1980</v>
      </c>
      <c r="BB48" s="593">
        <v>1981</v>
      </c>
      <c r="BC48" s="593">
        <v>1982</v>
      </c>
      <c r="BD48" s="593">
        <v>1983</v>
      </c>
      <c r="BE48" s="593">
        <v>1984</v>
      </c>
      <c r="BF48" s="593">
        <v>1985</v>
      </c>
      <c r="BG48" s="593">
        <v>1986</v>
      </c>
      <c r="BH48" s="593">
        <v>1987</v>
      </c>
      <c r="BI48" s="593">
        <v>1988</v>
      </c>
      <c r="BJ48" s="593">
        <v>1989</v>
      </c>
      <c r="BK48" s="594">
        <v>1990</v>
      </c>
    </row>
    <row r="49" spans="2:63" s="186" customFormat="1" ht="16.2" thickBot="1">
      <c r="B49" s="153" t="s">
        <v>2</v>
      </c>
      <c r="C49" s="588"/>
      <c r="D49" s="589"/>
      <c r="E49" s="589">
        <v>60</v>
      </c>
      <c r="F49" s="589">
        <v>60</v>
      </c>
      <c r="G49" s="589">
        <v>60</v>
      </c>
      <c r="H49" s="589">
        <v>60</v>
      </c>
      <c r="I49" s="589">
        <v>60</v>
      </c>
      <c r="J49" s="589">
        <v>60</v>
      </c>
      <c r="K49" s="589">
        <v>60</v>
      </c>
      <c r="L49" s="589">
        <v>60</v>
      </c>
      <c r="M49" s="589">
        <v>60</v>
      </c>
      <c r="N49" s="589">
        <v>60</v>
      </c>
      <c r="O49" s="589">
        <v>60</v>
      </c>
      <c r="P49" s="589">
        <v>60</v>
      </c>
      <c r="Q49" s="589">
        <v>60</v>
      </c>
      <c r="R49" s="589">
        <v>60</v>
      </c>
      <c r="S49" s="589">
        <v>60</v>
      </c>
      <c r="T49" s="589">
        <v>60</v>
      </c>
      <c r="U49" s="589">
        <v>60</v>
      </c>
      <c r="V49" s="589">
        <v>60</v>
      </c>
      <c r="W49" s="589">
        <v>60</v>
      </c>
      <c r="X49" s="589">
        <v>60</v>
      </c>
      <c r="Y49" s="589">
        <v>60</v>
      </c>
      <c r="Z49" s="589">
        <v>60</v>
      </c>
      <c r="AA49" s="589">
        <v>60</v>
      </c>
      <c r="AB49" s="589">
        <v>60</v>
      </c>
      <c r="AC49" s="589">
        <v>60</v>
      </c>
      <c r="AD49" s="589">
        <v>60</v>
      </c>
      <c r="AE49" s="589">
        <v>60</v>
      </c>
      <c r="AF49" s="589">
        <v>60</v>
      </c>
      <c r="AG49" s="589">
        <v>60</v>
      </c>
      <c r="AH49" s="589">
        <v>60.3</v>
      </c>
      <c r="AI49" s="589">
        <v>60.5</v>
      </c>
      <c r="AJ49" s="589">
        <v>60.8</v>
      </c>
      <c r="AK49" s="589">
        <v>61.3</v>
      </c>
      <c r="AL49" s="589">
        <v>61.3</v>
      </c>
      <c r="AM49" s="589">
        <v>61.3</v>
      </c>
      <c r="AN49" s="589">
        <v>61.8</v>
      </c>
      <c r="AO49" s="589">
        <v>62</v>
      </c>
      <c r="AP49" s="589">
        <v>62</v>
      </c>
      <c r="AQ49" s="589">
        <v>62.5</v>
      </c>
      <c r="AR49" s="589">
        <v>62.8</v>
      </c>
      <c r="AS49" s="589">
        <v>62.8</v>
      </c>
      <c r="AT49" s="589">
        <v>63</v>
      </c>
      <c r="AU49" s="589">
        <v>63</v>
      </c>
      <c r="AV49" s="589">
        <v>63.3</v>
      </c>
      <c r="AW49" s="589">
        <v>63.3</v>
      </c>
      <c r="AX49" s="589">
        <v>63.3</v>
      </c>
      <c r="AY49" s="589">
        <v>63.5</v>
      </c>
      <c r="AZ49" s="589">
        <v>63.5</v>
      </c>
      <c r="BA49" s="589">
        <v>63.5</v>
      </c>
      <c r="BB49" s="589">
        <v>63.5</v>
      </c>
      <c r="BC49" s="589">
        <v>63.5</v>
      </c>
      <c r="BD49" s="589">
        <v>63.5</v>
      </c>
      <c r="BE49" s="589">
        <v>63.5</v>
      </c>
      <c r="BF49" s="589">
        <v>63.5</v>
      </c>
      <c r="BG49" s="589">
        <v>63.5</v>
      </c>
      <c r="BH49" s="589">
        <v>63.5</v>
      </c>
      <c r="BI49" s="589">
        <v>63.5</v>
      </c>
      <c r="BJ49" s="589">
        <v>63.5</v>
      </c>
      <c r="BK49" s="590">
        <v>63.5</v>
      </c>
    </row>
    <row r="50" spans="2:63" s="595" customFormat="1" ht="31.8" thickBot="1">
      <c r="B50" s="591" t="s">
        <v>138</v>
      </c>
      <c r="C50" s="592">
        <v>1930</v>
      </c>
      <c r="D50" s="593">
        <v>1931</v>
      </c>
      <c r="E50" s="593">
        <v>1932</v>
      </c>
      <c r="F50" s="593">
        <v>1933</v>
      </c>
      <c r="G50" s="593">
        <v>1934</v>
      </c>
      <c r="H50" s="593">
        <v>1935</v>
      </c>
      <c r="I50" s="593">
        <v>1936</v>
      </c>
      <c r="J50" s="593">
        <v>1937</v>
      </c>
      <c r="K50" s="593">
        <v>1938</v>
      </c>
      <c r="L50" s="593">
        <v>1939</v>
      </c>
      <c r="M50" s="593">
        <v>1940</v>
      </c>
      <c r="N50" s="593">
        <v>1941</v>
      </c>
      <c r="O50" s="593">
        <v>1942</v>
      </c>
      <c r="P50" s="593">
        <v>1943</v>
      </c>
      <c r="Q50" s="593">
        <v>1944</v>
      </c>
      <c r="R50" s="593">
        <v>1945</v>
      </c>
      <c r="S50" s="593">
        <v>1946</v>
      </c>
      <c r="T50" s="593">
        <v>1947</v>
      </c>
      <c r="U50" s="593">
        <v>1948</v>
      </c>
      <c r="V50" s="593">
        <v>1949</v>
      </c>
      <c r="W50" s="593">
        <v>1950</v>
      </c>
      <c r="X50" s="593">
        <v>1951</v>
      </c>
      <c r="Y50" s="593">
        <v>1952</v>
      </c>
      <c r="Z50" s="593">
        <v>1953</v>
      </c>
      <c r="AA50" s="593">
        <v>1954</v>
      </c>
      <c r="AB50" s="593">
        <v>1955</v>
      </c>
      <c r="AC50" s="593">
        <v>1956</v>
      </c>
      <c r="AD50" s="593">
        <v>1957</v>
      </c>
      <c r="AE50" s="593">
        <v>1958</v>
      </c>
      <c r="AF50" s="593">
        <v>1959</v>
      </c>
      <c r="AG50" s="593">
        <v>1960</v>
      </c>
      <c r="AH50" s="593">
        <v>1961</v>
      </c>
      <c r="AI50" s="593">
        <v>1962</v>
      </c>
      <c r="AJ50" s="593">
        <v>1963</v>
      </c>
      <c r="AK50" s="593">
        <v>1964</v>
      </c>
      <c r="AL50" s="593">
        <v>1965</v>
      </c>
      <c r="AM50" s="593">
        <v>1966</v>
      </c>
      <c r="AN50" s="593">
        <v>1967</v>
      </c>
      <c r="AO50" s="593">
        <v>1968</v>
      </c>
      <c r="AP50" s="593">
        <v>1969</v>
      </c>
      <c r="AQ50" s="593">
        <v>1970</v>
      </c>
      <c r="AR50" s="593">
        <v>1971</v>
      </c>
      <c r="AS50" s="593">
        <v>1972</v>
      </c>
      <c r="AT50" s="593">
        <v>1973</v>
      </c>
      <c r="AU50" s="593">
        <v>1974</v>
      </c>
      <c r="AV50" s="593">
        <v>1975</v>
      </c>
      <c r="AW50" s="593">
        <v>1976</v>
      </c>
      <c r="AX50" s="593">
        <v>1977</v>
      </c>
      <c r="AY50" s="593">
        <v>1978</v>
      </c>
      <c r="AZ50" s="593">
        <v>1979</v>
      </c>
      <c r="BA50" s="593">
        <v>1980</v>
      </c>
      <c r="BB50" s="593">
        <v>1981</v>
      </c>
      <c r="BC50" s="593">
        <v>1982</v>
      </c>
      <c r="BD50" s="593">
        <v>1983</v>
      </c>
      <c r="BE50" s="593">
        <v>1984</v>
      </c>
      <c r="BF50" s="593">
        <v>1985</v>
      </c>
      <c r="BG50" s="593">
        <v>1986</v>
      </c>
      <c r="BH50" s="593">
        <v>1987</v>
      </c>
      <c r="BI50" s="593">
        <v>1988</v>
      </c>
      <c r="BJ50" s="593">
        <v>1989</v>
      </c>
      <c r="BK50" s="594">
        <v>1990</v>
      </c>
    </row>
    <row r="51" spans="2:63" s="103" customFormat="1" ht="15.6">
      <c r="B51" s="151" t="s">
        <v>139</v>
      </c>
      <c r="C51" s="576">
        <v>60.9</v>
      </c>
      <c r="D51" s="577"/>
      <c r="E51" s="577">
        <v>60.8</v>
      </c>
      <c r="F51" s="577"/>
      <c r="G51" s="577">
        <v>60.7</v>
      </c>
      <c r="H51" s="577"/>
      <c r="I51" s="577">
        <v>60.7</v>
      </c>
      <c r="J51" s="577"/>
      <c r="K51" s="577">
        <v>60.7</v>
      </c>
      <c r="L51" s="577"/>
      <c r="M51" s="577">
        <v>60.8</v>
      </c>
      <c r="N51" s="577"/>
      <c r="O51" s="577">
        <v>60.8</v>
      </c>
      <c r="P51" s="577">
        <v>60.8</v>
      </c>
      <c r="Q51" s="577">
        <v>60.8</v>
      </c>
      <c r="R51" s="577">
        <v>60.8</v>
      </c>
      <c r="S51" s="577">
        <v>60.6</v>
      </c>
      <c r="T51" s="577">
        <v>60.5</v>
      </c>
      <c r="U51" s="577">
        <v>60.4</v>
      </c>
      <c r="V51" s="577">
        <v>60.3</v>
      </c>
      <c r="W51" s="577">
        <v>60.4</v>
      </c>
      <c r="X51" s="577">
        <v>60.6</v>
      </c>
      <c r="Y51" s="577">
        <v>60.9</v>
      </c>
      <c r="Z51" s="577">
        <v>61.4</v>
      </c>
      <c r="AA51" s="577">
        <v>61.7</v>
      </c>
      <c r="AB51" s="577">
        <v>62</v>
      </c>
      <c r="AC51" s="577">
        <v>62.1</v>
      </c>
      <c r="AD51" s="577">
        <v>62.2</v>
      </c>
      <c r="AE51" s="577">
        <v>62.3</v>
      </c>
      <c r="AF51" s="577">
        <v>62.4</v>
      </c>
      <c r="AG51" s="577">
        <v>62.4</v>
      </c>
      <c r="AH51" s="577">
        <v>62.6</v>
      </c>
      <c r="AI51" s="577">
        <v>62.7</v>
      </c>
      <c r="AJ51" s="577">
        <v>62.7</v>
      </c>
      <c r="AK51" s="577">
        <v>62.9</v>
      </c>
      <c r="AL51" s="577">
        <v>63.1</v>
      </c>
      <c r="AM51" s="577">
        <v>63.1</v>
      </c>
      <c r="AN51" s="577">
        <v>63.3</v>
      </c>
      <c r="AO51" s="577">
        <v>63.4</v>
      </c>
      <c r="AP51" s="577">
        <v>63.4</v>
      </c>
      <c r="AQ51" s="577">
        <v>63.6</v>
      </c>
      <c r="AR51" s="577">
        <v>63.7</v>
      </c>
      <c r="AS51" s="577">
        <v>63.8</v>
      </c>
      <c r="AT51" s="577">
        <v>63.9</v>
      </c>
      <c r="AU51" s="577">
        <v>64</v>
      </c>
      <c r="AV51" s="577">
        <v>64.099999999999994</v>
      </c>
      <c r="AW51" s="577">
        <v>64.099999999999994</v>
      </c>
      <c r="AX51" s="577">
        <v>64.099999999999994</v>
      </c>
      <c r="AY51" s="577">
        <v>64.099999999999994</v>
      </c>
      <c r="AZ51" s="577">
        <v>64.099999999999994</v>
      </c>
      <c r="BA51" s="577">
        <v>64.099999999999994</v>
      </c>
      <c r="BB51" s="577">
        <v>64</v>
      </c>
      <c r="BC51" s="577">
        <v>64</v>
      </c>
      <c r="BD51" s="577">
        <v>64.099999999999994</v>
      </c>
      <c r="BE51" s="577">
        <v>64.099999999999994</v>
      </c>
      <c r="BF51" s="577">
        <v>64</v>
      </c>
      <c r="BG51" s="577">
        <v>64.099999999999994</v>
      </c>
      <c r="BH51" s="577">
        <v>64.099999999999994</v>
      </c>
      <c r="BI51" s="577">
        <v>64.099999999999994</v>
      </c>
      <c r="BJ51" s="577">
        <v>64.099999999999994</v>
      </c>
      <c r="BK51" s="578">
        <v>64.099999999999994</v>
      </c>
    </row>
    <row r="52" spans="2:63" s="103" customFormat="1" ht="15.6">
      <c r="B52" s="152" t="s">
        <v>140</v>
      </c>
      <c r="C52" s="579">
        <v>61.6</v>
      </c>
      <c r="D52" s="580"/>
      <c r="E52" s="580">
        <v>61.5</v>
      </c>
      <c r="F52" s="580"/>
      <c r="G52" s="580">
        <v>61.5</v>
      </c>
      <c r="H52" s="580"/>
      <c r="I52" s="580">
        <v>61.5</v>
      </c>
      <c r="J52" s="580"/>
      <c r="K52" s="580">
        <v>61.4</v>
      </c>
      <c r="L52" s="580"/>
      <c r="M52" s="580">
        <v>61.4</v>
      </c>
      <c r="N52" s="580"/>
      <c r="O52" s="580">
        <v>61.3</v>
      </c>
      <c r="P52" s="580">
        <v>61.2</v>
      </c>
      <c r="Q52" s="580">
        <v>61.2</v>
      </c>
      <c r="R52" s="580">
        <v>61.2</v>
      </c>
      <c r="S52" s="580">
        <v>61</v>
      </c>
      <c r="T52" s="580">
        <v>60.9</v>
      </c>
      <c r="U52" s="580">
        <v>60.8</v>
      </c>
      <c r="V52" s="580">
        <v>60.7</v>
      </c>
      <c r="W52" s="580">
        <v>60.7</v>
      </c>
      <c r="X52" s="580">
        <v>60.9</v>
      </c>
      <c r="Y52" s="580">
        <v>61.3</v>
      </c>
      <c r="Z52" s="580">
        <v>61.7</v>
      </c>
      <c r="AA52" s="580">
        <v>62</v>
      </c>
      <c r="AB52" s="580">
        <v>62.3</v>
      </c>
      <c r="AC52" s="580">
        <v>62.4</v>
      </c>
      <c r="AD52" s="580">
        <v>62.4</v>
      </c>
      <c r="AE52" s="580">
        <v>62.5</v>
      </c>
      <c r="AF52" s="580">
        <v>62.6</v>
      </c>
      <c r="AG52" s="580">
        <v>62.5</v>
      </c>
      <c r="AH52" s="580">
        <v>62.7</v>
      </c>
      <c r="AI52" s="580">
        <v>62.8</v>
      </c>
      <c r="AJ52" s="580">
        <v>62.8</v>
      </c>
      <c r="AK52" s="580">
        <v>63</v>
      </c>
      <c r="AL52" s="580">
        <v>63.1</v>
      </c>
      <c r="AM52" s="580">
        <v>63.2</v>
      </c>
      <c r="AN52" s="580">
        <v>63.3</v>
      </c>
      <c r="AO52" s="580">
        <v>63.4</v>
      </c>
      <c r="AP52" s="580">
        <v>63.4</v>
      </c>
      <c r="AQ52" s="580">
        <v>63.6</v>
      </c>
      <c r="AR52" s="580">
        <v>63.6</v>
      </c>
      <c r="AS52" s="580">
        <v>63.7</v>
      </c>
      <c r="AT52" s="580">
        <v>63.8</v>
      </c>
      <c r="AU52" s="580">
        <v>63.9</v>
      </c>
      <c r="AV52" s="580">
        <v>64</v>
      </c>
      <c r="AW52" s="580">
        <v>64</v>
      </c>
      <c r="AX52" s="580">
        <v>64</v>
      </c>
      <c r="AY52" s="580">
        <v>63.9</v>
      </c>
      <c r="AZ52" s="580">
        <v>63.9</v>
      </c>
      <c r="BA52" s="580">
        <v>63.8</v>
      </c>
      <c r="BB52" s="580">
        <v>63.8</v>
      </c>
      <c r="BC52" s="580">
        <v>63.8</v>
      </c>
      <c r="BD52" s="580">
        <v>63.8</v>
      </c>
      <c r="BE52" s="580">
        <v>63.8</v>
      </c>
      <c r="BF52" s="580">
        <v>63.8</v>
      </c>
      <c r="BG52" s="580">
        <v>63.7</v>
      </c>
      <c r="BH52" s="580">
        <v>63.7</v>
      </c>
      <c r="BI52" s="580">
        <v>63.8</v>
      </c>
      <c r="BJ52" s="580">
        <v>63.8</v>
      </c>
      <c r="BK52" s="581">
        <v>63.8</v>
      </c>
    </row>
    <row r="53" spans="2:63" s="103" customFormat="1" ht="16.2" thickBot="1">
      <c r="B53" s="153" t="s">
        <v>141</v>
      </c>
      <c r="C53" s="582">
        <v>60</v>
      </c>
      <c r="D53" s="583"/>
      <c r="E53" s="583">
        <v>59.9</v>
      </c>
      <c r="F53" s="583"/>
      <c r="G53" s="583">
        <v>59.8</v>
      </c>
      <c r="H53" s="583"/>
      <c r="I53" s="583">
        <v>59.9</v>
      </c>
      <c r="J53" s="583"/>
      <c r="K53" s="583">
        <v>60</v>
      </c>
      <c r="L53" s="583"/>
      <c r="M53" s="583">
        <v>60.3</v>
      </c>
      <c r="N53" s="583"/>
      <c r="O53" s="583">
        <v>60.4</v>
      </c>
      <c r="P53" s="583">
        <v>60.4</v>
      </c>
      <c r="Q53" s="583">
        <v>60.5</v>
      </c>
      <c r="R53" s="583">
        <v>60.4</v>
      </c>
      <c r="S53" s="583">
        <v>60.2</v>
      </c>
      <c r="T53" s="583">
        <v>60.1</v>
      </c>
      <c r="U53" s="583">
        <v>60</v>
      </c>
      <c r="V53" s="583">
        <v>59.9</v>
      </c>
      <c r="W53" s="583">
        <v>60</v>
      </c>
      <c r="X53" s="583">
        <v>60.3</v>
      </c>
      <c r="Y53" s="583">
        <v>60.6</v>
      </c>
      <c r="Z53" s="583">
        <v>61.1</v>
      </c>
      <c r="AA53" s="583">
        <v>61.4</v>
      </c>
      <c r="AB53" s="583">
        <v>61.8</v>
      </c>
      <c r="AC53" s="583">
        <v>61.9</v>
      </c>
      <c r="AD53" s="583">
        <v>61.9</v>
      </c>
      <c r="AE53" s="583">
        <v>62.1</v>
      </c>
      <c r="AF53" s="583">
        <v>62.3</v>
      </c>
      <c r="AG53" s="583">
        <v>62.3</v>
      </c>
      <c r="AH53" s="583">
        <v>62.5</v>
      </c>
      <c r="AI53" s="583">
        <v>62.5</v>
      </c>
      <c r="AJ53" s="583">
        <v>62.6</v>
      </c>
      <c r="AK53" s="583">
        <v>62.8</v>
      </c>
      <c r="AL53" s="583">
        <v>63</v>
      </c>
      <c r="AM53" s="583">
        <v>63.1</v>
      </c>
      <c r="AN53" s="583">
        <v>63.3</v>
      </c>
      <c r="AO53" s="583">
        <v>63.4</v>
      </c>
      <c r="AP53" s="583">
        <v>63.5</v>
      </c>
      <c r="AQ53" s="583">
        <v>63.6</v>
      </c>
      <c r="AR53" s="583">
        <v>63.7</v>
      </c>
      <c r="AS53" s="583">
        <v>63.8</v>
      </c>
      <c r="AT53" s="583">
        <v>64</v>
      </c>
      <c r="AU53" s="583">
        <v>64.099999999999994</v>
      </c>
      <c r="AV53" s="583">
        <v>64.2</v>
      </c>
      <c r="AW53" s="583">
        <v>64.3</v>
      </c>
      <c r="AX53" s="583">
        <v>64.3</v>
      </c>
      <c r="AY53" s="583">
        <v>64.3</v>
      </c>
      <c r="AZ53" s="583">
        <v>64.2</v>
      </c>
      <c r="BA53" s="583">
        <v>64.3</v>
      </c>
      <c r="BB53" s="583">
        <v>64.3</v>
      </c>
      <c r="BC53" s="583">
        <v>64.3</v>
      </c>
      <c r="BD53" s="583">
        <v>64.3</v>
      </c>
      <c r="BE53" s="583">
        <v>64.400000000000006</v>
      </c>
      <c r="BF53" s="583">
        <v>64.3</v>
      </c>
      <c r="BG53" s="583">
        <v>64.400000000000006</v>
      </c>
      <c r="BH53" s="583">
        <v>64.400000000000006</v>
      </c>
      <c r="BI53" s="583">
        <v>64.400000000000006</v>
      </c>
      <c r="BJ53" s="583">
        <v>64.3</v>
      </c>
      <c r="BK53" s="584">
        <v>64.3</v>
      </c>
    </row>
    <row r="54" spans="2:63" s="103" customFormat="1"/>
    <row r="111" spans="3:63" ht="14.4" thickBot="1"/>
    <row r="112" spans="3:63" ht="16.2" thickBot="1">
      <c r="C112" s="488"/>
      <c r="D112" s="489"/>
      <c r="E112" s="489"/>
      <c r="F112" s="489"/>
      <c r="G112" s="489"/>
      <c r="H112" s="489"/>
      <c r="I112" s="489"/>
      <c r="J112" s="489"/>
      <c r="K112" s="489"/>
      <c r="L112" s="489"/>
      <c r="M112" s="489"/>
      <c r="N112" s="489"/>
      <c r="O112" s="489"/>
      <c r="P112" s="489"/>
      <c r="Q112" s="489"/>
      <c r="R112" s="489"/>
      <c r="S112" s="489"/>
      <c r="T112" s="489"/>
      <c r="U112" s="489"/>
      <c r="V112" s="489"/>
      <c r="W112" s="489"/>
      <c r="X112" s="489"/>
      <c r="Y112" s="489"/>
      <c r="Z112" s="489"/>
      <c r="AA112" s="489"/>
      <c r="AB112" s="489"/>
      <c r="AC112" s="489"/>
      <c r="AD112" s="489"/>
      <c r="AE112" s="489"/>
      <c r="AF112" s="489"/>
      <c r="AG112" s="489"/>
      <c r="AH112" s="489"/>
      <c r="AI112" s="489"/>
      <c r="AJ112" s="489"/>
      <c r="AK112" s="489"/>
      <c r="AL112" s="489"/>
      <c r="AM112" s="489"/>
      <c r="AN112" s="489"/>
      <c r="AO112" s="489"/>
      <c r="AP112" s="489"/>
      <c r="AQ112" s="489"/>
      <c r="AR112" s="489"/>
      <c r="AS112" s="489"/>
      <c r="AT112" s="489"/>
      <c r="AU112" s="489"/>
      <c r="AV112" s="489"/>
      <c r="AW112" s="489"/>
      <c r="AX112" s="489"/>
      <c r="AY112" s="489"/>
      <c r="AZ112" s="489"/>
      <c r="BA112" s="489"/>
      <c r="BB112" s="489"/>
      <c r="BC112" s="489"/>
      <c r="BD112" s="488"/>
      <c r="BE112" s="489"/>
      <c r="BF112" s="489"/>
      <c r="BG112" s="489"/>
      <c r="BH112" s="489"/>
      <c r="BI112" s="489"/>
      <c r="BJ112" s="489"/>
      <c r="BK112" s="489"/>
    </row>
    <row r="113" spans="3:63">
      <c r="C113" s="490"/>
      <c r="D113" s="491"/>
      <c r="E113" s="491"/>
      <c r="F113" s="491"/>
      <c r="G113" s="491"/>
      <c r="H113" s="491"/>
      <c r="I113" s="491"/>
      <c r="J113" s="491"/>
      <c r="K113" s="491"/>
      <c r="L113" s="491"/>
      <c r="M113" s="491"/>
      <c r="N113" s="491"/>
      <c r="O113" s="491"/>
      <c r="P113" s="491"/>
      <c r="Q113" s="491"/>
      <c r="R113" s="491"/>
      <c r="S113" s="491"/>
      <c r="T113" s="491"/>
      <c r="U113" s="491"/>
      <c r="V113" s="491"/>
      <c r="W113" s="491"/>
      <c r="X113" s="491"/>
      <c r="Y113" s="491"/>
      <c r="Z113" s="491"/>
      <c r="AA113" s="491"/>
      <c r="AB113" s="491"/>
      <c r="AC113" s="491"/>
      <c r="AD113" s="491"/>
      <c r="AE113" s="491"/>
      <c r="AF113" s="491"/>
      <c r="AG113" s="491"/>
      <c r="AH113" s="491"/>
      <c r="AI113" s="491"/>
      <c r="AJ113" s="491"/>
      <c r="AK113" s="491"/>
      <c r="AL113" s="491"/>
      <c r="AM113" s="491"/>
      <c r="AN113" s="491"/>
      <c r="AO113" s="491"/>
      <c r="AP113" s="491"/>
      <c r="AQ113" s="491"/>
      <c r="AR113" s="491"/>
      <c r="AS113" s="491"/>
      <c r="AT113" s="491"/>
      <c r="AU113" s="491"/>
      <c r="AV113" s="491"/>
      <c r="AW113" s="491"/>
      <c r="AX113" s="491"/>
      <c r="AY113" s="491"/>
      <c r="AZ113" s="491"/>
      <c r="BA113" s="491"/>
      <c r="BB113" s="491"/>
      <c r="BC113" s="491"/>
      <c r="BD113" s="490"/>
      <c r="BE113" s="491"/>
      <c r="BF113" s="491"/>
      <c r="BG113" s="491"/>
      <c r="BH113" s="491"/>
      <c r="BI113" s="491"/>
      <c r="BJ113" s="491"/>
      <c r="BK113" s="491"/>
    </row>
    <row r="114" spans="3:63">
      <c r="C114" s="492"/>
      <c r="D114" s="493"/>
      <c r="E114" s="493"/>
      <c r="F114" s="493"/>
      <c r="G114" s="493"/>
      <c r="H114" s="493"/>
      <c r="I114" s="493"/>
      <c r="J114" s="493"/>
      <c r="K114" s="493"/>
      <c r="L114" s="493"/>
      <c r="M114" s="493"/>
      <c r="N114" s="493"/>
      <c r="O114" s="493"/>
      <c r="P114" s="493"/>
      <c r="Q114" s="493"/>
      <c r="R114" s="493"/>
      <c r="S114" s="493"/>
      <c r="T114" s="493"/>
      <c r="U114" s="493"/>
      <c r="V114" s="493"/>
      <c r="W114" s="493"/>
      <c r="X114" s="493"/>
      <c r="Y114" s="493"/>
      <c r="Z114" s="493"/>
      <c r="AA114" s="493"/>
      <c r="AB114" s="493"/>
      <c r="AC114" s="493"/>
      <c r="AD114" s="493"/>
      <c r="AE114" s="493"/>
      <c r="AF114" s="493"/>
      <c r="AG114" s="493"/>
      <c r="AH114" s="493"/>
      <c r="AI114" s="493"/>
      <c r="AJ114" s="493"/>
      <c r="AK114" s="493"/>
      <c r="AL114" s="493"/>
      <c r="AM114" s="493"/>
      <c r="AN114" s="493"/>
      <c r="AO114" s="493"/>
      <c r="AP114" s="493"/>
      <c r="AQ114" s="493"/>
      <c r="AR114" s="493"/>
      <c r="AS114" s="493"/>
      <c r="AT114" s="493"/>
      <c r="AU114" s="493"/>
      <c r="AV114" s="493"/>
      <c r="AW114" s="493"/>
      <c r="AX114" s="493"/>
      <c r="AY114" s="493"/>
      <c r="AZ114" s="493"/>
      <c r="BA114" s="493"/>
      <c r="BB114" s="493"/>
      <c r="BC114" s="493"/>
      <c r="BD114" s="492"/>
      <c r="BE114" s="493"/>
      <c r="BF114" s="493"/>
      <c r="BG114" s="493"/>
      <c r="BH114" s="493"/>
      <c r="BI114" s="493"/>
      <c r="BJ114" s="493"/>
      <c r="BK114" s="493"/>
    </row>
    <row r="115" spans="3:63" ht="14.4" thickBot="1">
      <c r="C115" s="156"/>
      <c r="D115" s="494"/>
      <c r="E115" s="494"/>
      <c r="F115" s="494"/>
      <c r="G115" s="494"/>
      <c r="H115" s="494"/>
      <c r="I115" s="494"/>
      <c r="J115" s="494"/>
      <c r="K115" s="494"/>
      <c r="L115" s="494"/>
      <c r="M115" s="494"/>
      <c r="N115" s="494"/>
      <c r="O115" s="494"/>
      <c r="P115" s="494"/>
      <c r="Q115" s="494"/>
      <c r="R115" s="494"/>
      <c r="S115" s="494"/>
      <c r="T115" s="494"/>
      <c r="U115" s="494"/>
      <c r="V115" s="494"/>
      <c r="W115" s="494"/>
      <c r="X115" s="494"/>
      <c r="Y115" s="494"/>
      <c r="Z115" s="494"/>
      <c r="AA115" s="494"/>
      <c r="AB115" s="494"/>
      <c r="AC115" s="494"/>
      <c r="AD115" s="494"/>
      <c r="AE115" s="494"/>
      <c r="AF115" s="494"/>
      <c r="AG115" s="494"/>
      <c r="AH115" s="494"/>
      <c r="AI115" s="494"/>
      <c r="AJ115" s="494"/>
      <c r="AK115" s="494"/>
      <c r="AL115" s="494"/>
      <c r="AM115" s="494"/>
      <c r="AN115" s="494"/>
      <c r="AO115" s="494"/>
      <c r="AP115" s="494"/>
      <c r="AQ115" s="494"/>
      <c r="AR115" s="494"/>
      <c r="AS115" s="494"/>
      <c r="AT115" s="494"/>
      <c r="AU115" s="494"/>
      <c r="AV115" s="494"/>
      <c r="AW115" s="494"/>
      <c r="AX115" s="494"/>
      <c r="AY115" s="494"/>
      <c r="AZ115" s="494"/>
      <c r="BA115" s="494"/>
      <c r="BB115" s="494"/>
      <c r="BC115" s="494"/>
      <c r="BD115" s="156"/>
      <c r="BE115" s="494"/>
      <c r="BF115" s="494"/>
      <c r="BG115" s="494"/>
      <c r="BH115" s="494"/>
      <c r="BI115" s="494"/>
      <c r="BJ115" s="494"/>
      <c r="BK115" s="494"/>
    </row>
    <row r="116" spans="3:63" ht="16.2" thickBot="1">
      <c r="C116" s="488"/>
      <c r="D116" s="489"/>
      <c r="E116" s="489"/>
      <c r="F116" s="489"/>
      <c r="G116" s="489"/>
      <c r="H116" s="489"/>
      <c r="I116" s="489"/>
      <c r="J116" s="489"/>
      <c r="K116" s="489"/>
      <c r="L116" s="489"/>
      <c r="M116" s="489"/>
      <c r="N116" s="489"/>
      <c r="O116" s="489"/>
      <c r="P116" s="489"/>
      <c r="Q116" s="489"/>
      <c r="R116" s="489"/>
      <c r="S116" s="489"/>
      <c r="T116" s="489"/>
      <c r="U116" s="489"/>
      <c r="V116" s="489"/>
      <c r="W116" s="489"/>
      <c r="X116" s="489"/>
      <c r="Y116" s="489"/>
      <c r="Z116" s="489"/>
      <c r="AA116" s="489"/>
      <c r="AB116" s="489"/>
      <c r="AC116" s="489"/>
      <c r="AD116" s="489"/>
      <c r="AE116" s="489"/>
      <c r="AF116" s="489"/>
      <c r="AG116" s="489"/>
      <c r="AH116" s="489"/>
      <c r="AI116" s="489"/>
      <c r="AJ116" s="489"/>
      <c r="AK116" s="489"/>
      <c r="AL116" s="489"/>
      <c r="AM116" s="489"/>
      <c r="AN116" s="489"/>
      <c r="AO116" s="489"/>
      <c r="AP116" s="489"/>
      <c r="AQ116" s="489"/>
      <c r="AR116" s="489"/>
      <c r="AS116" s="489"/>
      <c r="AT116" s="489"/>
      <c r="AU116" s="489"/>
      <c r="AV116" s="489"/>
      <c r="AW116" s="489"/>
      <c r="AX116" s="489"/>
      <c r="AY116" s="489"/>
      <c r="AZ116" s="489"/>
      <c r="BA116" s="489"/>
      <c r="BB116" s="489"/>
      <c r="BC116" s="489"/>
      <c r="BD116" s="488"/>
      <c r="BE116" s="489"/>
      <c r="BF116" s="489"/>
      <c r="BG116" s="489"/>
      <c r="BH116" s="489"/>
      <c r="BI116" s="489"/>
      <c r="BJ116" s="489"/>
      <c r="BK116" s="489"/>
    </row>
    <row r="117" spans="3:63">
      <c r="C117" s="490"/>
      <c r="D117" s="491"/>
      <c r="E117" s="491"/>
      <c r="F117" s="491"/>
      <c r="G117" s="491"/>
      <c r="H117" s="491"/>
      <c r="I117" s="491"/>
      <c r="J117" s="491"/>
      <c r="K117" s="491"/>
      <c r="L117" s="491"/>
      <c r="M117" s="491"/>
      <c r="N117" s="491"/>
      <c r="O117" s="491"/>
      <c r="P117" s="491"/>
      <c r="Q117" s="491"/>
      <c r="R117" s="491"/>
      <c r="S117" s="491"/>
      <c r="T117" s="491"/>
      <c r="U117" s="491"/>
      <c r="V117" s="491"/>
      <c r="W117" s="491"/>
      <c r="X117" s="491"/>
      <c r="Y117" s="491"/>
      <c r="Z117" s="491"/>
      <c r="AA117" s="491"/>
      <c r="AB117" s="491"/>
      <c r="AC117" s="491"/>
      <c r="AD117" s="491"/>
      <c r="AE117" s="491"/>
      <c r="AF117" s="491"/>
      <c r="AG117" s="491"/>
      <c r="AH117" s="491"/>
      <c r="AI117" s="491"/>
      <c r="AJ117" s="491"/>
      <c r="AK117" s="491"/>
      <c r="AL117" s="491"/>
      <c r="AM117" s="491"/>
      <c r="AN117" s="491"/>
      <c r="AO117" s="491"/>
      <c r="AP117" s="491"/>
      <c r="AQ117" s="491"/>
      <c r="AR117" s="491"/>
      <c r="AS117" s="491"/>
      <c r="AT117" s="491"/>
      <c r="AU117" s="491"/>
      <c r="AV117" s="491"/>
      <c r="AW117" s="491"/>
      <c r="AX117" s="491"/>
      <c r="AY117" s="491"/>
      <c r="AZ117" s="491"/>
      <c r="BA117" s="491"/>
      <c r="BB117" s="491"/>
      <c r="BC117" s="491"/>
      <c r="BD117" s="490"/>
      <c r="BE117" s="491"/>
      <c r="BF117" s="491"/>
      <c r="BG117" s="491"/>
      <c r="BH117" s="491"/>
      <c r="BI117" s="491"/>
      <c r="BJ117" s="491"/>
      <c r="BK117" s="491"/>
    </row>
    <row r="118" spans="3:63">
      <c r="C118" s="492"/>
      <c r="D118" s="493"/>
      <c r="E118" s="493"/>
      <c r="F118" s="493"/>
      <c r="G118" s="493"/>
      <c r="H118" s="493"/>
      <c r="I118" s="493"/>
      <c r="J118" s="493"/>
      <c r="K118" s="493"/>
      <c r="L118" s="493"/>
      <c r="M118" s="493"/>
      <c r="N118" s="493"/>
      <c r="O118" s="493"/>
      <c r="P118" s="493"/>
      <c r="Q118" s="493"/>
      <c r="R118" s="493"/>
      <c r="S118" s="493"/>
      <c r="T118" s="493"/>
      <c r="U118" s="493"/>
      <c r="V118" s="493"/>
      <c r="W118" s="493"/>
      <c r="X118" s="493"/>
      <c r="Y118" s="493"/>
      <c r="Z118" s="493"/>
      <c r="AA118" s="493"/>
      <c r="AB118" s="493"/>
      <c r="AC118" s="493"/>
      <c r="AD118" s="493"/>
      <c r="AE118" s="493"/>
      <c r="AF118" s="493"/>
      <c r="AG118" s="493"/>
      <c r="AH118" s="493"/>
      <c r="AI118" s="493"/>
      <c r="AJ118" s="493"/>
      <c r="AK118" s="493"/>
      <c r="AL118" s="493"/>
      <c r="AM118" s="493"/>
      <c r="AN118" s="493"/>
      <c r="AO118" s="493"/>
      <c r="AP118" s="493"/>
      <c r="AQ118" s="493"/>
      <c r="AR118" s="493"/>
      <c r="AS118" s="493"/>
      <c r="AT118" s="493"/>
      <c r="AU118" s="493"/>
      <c r="AV118" s="493"/>
      <c r="AW118" s="493"/>
      <c r="AX118" s="493"/>
      <c r="AY118" s="493"/>
      <c r="AZ118" s="493"/>
      <c r="BA118" s="493"/>
      <c r="BB118" s="493"/>
      <c r="BC118" s="493"/>
      <c r="BD118" s="492"/>
      <c r="BE118" s="493"/>
      <c r="BF118" s="493"/>
      <c r="BG118" s="493"/>
      <c r="BH118" s="493"/>
      <c r="BI118" s="493"/>
      <c r="BJ118" s="493"/>
      <c r="BK118" s="493"/>
    </row>
    <row r="119" spans="3:63" ht="14.4" thickBot="1">
      <c r="C119" s="156"/>
      <c r="D119" s="494"/>
      <c r="E119" s="494"/>
      <c r="F119" s="494"/>
      <c r="G119" s="494"/>
      <c r="H119" s="494"/>
      <c r="I119" s="494"/>
      <c r="J119" s="494"/>
      <c r="K119" s="494"/>
      <c r="L119" s="494"/>
      <c r="M119" s="494"/>
      <c r="N119" s="494"/>
      <c r="O119" s="494"/>
      <c r="P119" s="494"/>
      <c r="Q119" s="494"/>
      <c r="R119" s="494"/>
      <c r="S119" s="494"/>
      <c r="T119" s="494"/>
      <c r="U119" s="494"/>
      <c r="V119" s="494"/>
      <c r="W119" s="494"/>
      <c r="X119" s="494"/>
      <c r="Y119" s="494"/>
      <c r="Z119" s="494"/>
      <c r="AA119" s="494"/>
      <c r="AB119" s="494"/>
      <c r="AC119" s="494"/>
      <c r="AD119" s="494"/>
      <c r="AE119" s="494"/>
      <c r="AF119" s="494"/>
      <c r="AG119" s="494"/>
      <c r="AH119" s="494"/>
      <c r="AI119" s="494"/>
      <c r="AJ119" s="494"/>
      <c r="AK119" s="494"/>
      <c r="AL119" s="494"/>
      <c r="AM119" s="494"/>
      <c r="AN119" s="494"/>
      <c r="AO119" s="494"/>
      <c r="AP119" s="494"/>
      <c r="AQ119" s="494"/>
      <c r="AR119" s="494"/>
      <c r="AS119" s="494"/>
      <c r="AT119" s="494"/>
      <c r="AU119" s="494"/>
      <c r="AV119" s="494"/>
      <c r="AW119" s="494"/>
      <c r="AX119" s="494"/>
      <c r="AY119" s="494"/>
      <c r="AZ119" s="494"/>
      <c r="BA119" s="494"/>
      <c r="BB119" s="494"/>
      <c r="BC119" s="494"/>
      <c r="BD119" s="156"/>
      <c r="BE119" s="494"/>
      <c r="BF119" s="494"/>
      <c r="BG119" s="494"/>
      <c r="BH119" s="494"/>
      <c r="BI119" s="494"/>
      <c r="BJ119" s="494"/>
      <c r="BK119" s="494"/>
    </row>
    <row r="127" spans="3:63">
      <c r="C127" s="408"/>
      <c r="D127" s="408"/>
      <c r="E127" s="408"/>
      <c r="F127" s="408"/>
      <c r="H127" s="212"/>
      <c r="I127" s="212"/>
      <c r="J127" s="212"/>
      <c r="K127" s="212"/>
      <c r="BD127" s="408"/>
      <c r="BE127" s="408"/>
      <c r="BF127" s="408"/>
      <c r="BG127" s="408"/>
      <c r="BI127" s="212"/>
      <c r="BJ127" s="212"/>
      <c r="BK127" s="212"/>
    </row>
    <row r="128" spans="3:63">
      <c r="C128" s="408"/>
      <c r="D128" s="408"/>
      <c r="E128" s="408"/>
      <c r="F128" s="408"/>
      <c r="H128" s="212"/>
      <c r="I128" s="212"/>
      <c r="J128" s="212"/>
      <c r="K128" s="212"/>
      <c r="BD128" s="408"/>
      <c r="BE128" s="408"/>
      <c r="BF128" s="408"/>
      <c r="BG128" s="408"/>
      <c r="BI128" s="212"/>
      <c r="BJ128" s="212"/>
      <c r="BK128" s="212"/>
    </row>
    <row r="129" spans="3:63">
      <c r="C129" s="408"/>
      <c r="D129" s="408"/>
      <c r="E129" s="408"/>
      <c r="F129" s="408"/>
      <c r="H129" s="212"/>
      <c r="I129" s="212"/>
      <c r="J129" s="212"/>
      <c r="K129" s="212"/>
      <c r="BD129" s="408"/>
      <c r="BE129" s="408"/>
      <c r="BF129" s="408"/>
      <c r="BG129" s="408"/>
      <c r="BI129" s="212"/>
      <c r="BJ129" s="212"/>
      <c r="BK129" s="212"/>
    </row>
    <row r="144" spans="3:6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c r="AA144" s="103"/>
      <c r="AB144" s="103"/>
      <c r="AC144" s="103"/>
      <c r="AD144" s="103"/>
      <c r="AE144" s="103"/>
      <c r="AF144" s="103"/>
      <c r="AG144" s="103"/>
      <c r="AH144" s="103"/>
      <c r="AI144" s="103"/>
      <c r="AJ144" s="103"/>
      <c r="AK144" s="103"/>
      <c r="AL144" s="103"/>
      <c r="AM144" s="103"/>
      <c r="AN144" s="103"/>
      <c r="AO144" s="103"/>
      <c r="AP144" s="103"/>
      <c r="AQ144" s="103"/>
      <c r="AR144" s="103"/>
      <c r="AS144" s="103"/>
      <c r="AT144" s="103"/>
      <c r="AU144" s="103"/>
      <c r="AV144" s="103"/>
      <c r="AW144" s="103"/>
      <c r="AX144" s="103"/>
      <c r="AY144" s="103"/>
      <c r="AZ144" s="103"/>
      <c r="BA144" s="103"/>
      <c r="BB144" s="103"/>
      <c r="BC144" s="103"/>
      <c r="BD144" s="103"/>
      <c r="BE144" s="103"/>
      <c r="BF144" s="103"/>
      <c r="BG144" s="103"/>
      <c r="BH144" s="103"/>
      <c r="BI144" s="103"/>
      <c r="BJ144" s="103"/>
      <c r="BK144" s="103"/>
    </row>
    <row r="145" spans="3:63" ht="14.4" thickBot="1">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c r="AA145" s="103"/>
      <c r="AB145" s="103"/>
      <c r="AC145" s="103"/>
      <c r="AD145" s="103"/>
      <c r="AE145" s="103"/>
      <c r="AF145" s="103"/>
      <c r="AG145" s="103"/>
      <c r="AH145" s="103"/>
      <c r="AI145" s="103"/>
      <c r="AJ145" s="103"/>
      <c r="AK145" s="103"/>
      <c r="AL145" s="103"/>
      <c r="AM145" s="103"/>
      <c r="AN145" s="103"/>
      <c r="AO145" s="103"/>
      <c r="AP145" s="103"/>
      <c r="AQ145" s="103"/>
      <c r="AR145" s="103"/>
      <c r="AS145" s="103"/>
      <c r="AT145" s="103"/>
      <c r="AU145" s="103"/>
      <c r="AV145" s="103"/>
      <c r="AW145" s="103"/>
      <c r="AX145" s="103"/>
      <c r="AY145" s="103"/>
      <c r="AZ145" s="103"/>
      <c r="BA145" s="103"/>
      <c r="BB145" s="103"/>
      <c r="BC145" s="103"/>
      <c r="BD145" s="103"/>
      <c r="BE145" s="103"/>
      <c r="BF145" s="103"/>
      <c r="BG145" s="103"/>
      <c r="BH145" s="103"/>
      <c r="BI145" s="103"/>
      <c r="BJ145" s="103"/>
      <c r="BK145" s="103"/>
    </row>
    <row r="146" spans="3:63" ht="16.2" thickBot="1">
      <c r="C146" s="488"/>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c r="AA146" s="489"/>
      <c r="AB146" s="489"/>
      <c r="AC146" s="489"/>
      <c r="AD146" s="489"/>
      <c r="AE146" s="489"/>
      <c r="AF146" s="489"/>
      <c r="AG146" s="489"/>
      <c r="AH146" s="489"/>
      <c r="AI146" s="489"/>
      <c r="AJ146" s="489"/>
      <c r="AK146" s="489"/>
      <c r="AL146" s="489"/>
      <c r="AM146" s="489"/>
      <c r="AN146" s="489"/>
      <c r="AO146" s="489"/>
      <c r="AP146" s="489"/>
      <c r="AQ146" s="489"/>
      <c r="AR146" s="489"/>
      <c r="AS146" s="489"/>
      <c r="AT146" s="489"/>
      <c r="AU146" s="489"/>
      <c r="AV146" s="489"/>
      <c r="AW146" s="489"/>
      <c r="AX146" s="489"/>
      <c r="AY146" s="489"/>
      <c r="AZ146" s="489"/>
      <c r="BA146" s="489"/>
      <c r="BB146" s="489"/>
      <c r="BC146" s="489"/>
      <c r="BD146" s="488"/>
      <c r="BE146" s="489"/>
      <c r="BF146" s="489"/>
      <c r="BG146" s="489"/>
      <c r="BH146" s="489"/>
      <c r="BI146" s="489"/>
      <c r="BJ146" s="489"/>
      <c r="BK146" s="489"/>
    </row>
    <row r="147" spans="3:63">
      <c r="C147" s="490"/>
      <c r="D147" s="491"/>
      <c r="E147" s="491"/>
      <c r="F147" s="491"/>
      <c r="G147" s="491"/>
      <c r="H147" s="491"/>
      <c r="I147" s="491"/>
      <c r="J147" s="491"/>
      <c r="K147" s="491"/>
      <c r="L147" s="491"/>
      <c r="M147" s="491"/>
      <c r="N147" s="491"/>
      <c r="O147" s="491"/>
      <c r="P147" s="491"/>
      <c r="Q147" s="491"/>
      <c r="R147" s="491"/>
      <c r="S147" s="491"/>
      <c r="T147" s="491"/>
      <c r="U147" s="491"/>
      <c r="V147" s="491"/>
      <c r="W147" s="491"/>
      <c r="X147" s="491"/>
      <c r="Y147" s="491"/>
      <c r="Z147" s="491"/>
      <c r="AA147" s="491"/>
      <c r="AB147" s="491"/>
      <c r="AC147" s="491"/>
      <c r="AD147" s="491"/>
      <c r="AE147" s="491"/>
      <c r="AF147" s="491"/>
      <c r="AG147" s="491"/>
      <c r="AH147" s="491"/>
      <c r="AI147" s="491"/>
      <c r="AJ147" s="491"/>
      <c r="AK147" s="491"/>
      <c r="AL147" s="491"/>
      <c r="AM147" s="491"/>
      <c r="AN147" s="491"/>
      <c r="AO147" s="491"/>
      <c r="AP147" s="491"/>
      <c r="AQ147" s="491"/>
      <c r="AR147" s="491"/>
      <c r="AS147" s="491"/>
      <c r="AT147" s="491"/>
      <c r="AU147" s="491"/>
      <c r="AV147" s="491"/>
      <c r="AW147" s="491"/>
      <c r="AX147" s="491"/>
      <c r="AY147" s="491"/>
      <c r="AZ147" s="491"/>
      <c r="BA147" s="491"/>
      <c r="BB147" s="491"/>
      <c r="BC147" s="491"/>
      <c r="BD147" s="490"/>
      <c r="BE147" s="491"/>
      <c r="BF147" s="491"/>
      <c r="BG147" s="491"/>
      <c r="BH147" s="491"/>
      <c r="BI147" s="491"/>
      <c r="BJ147" s="491"/>
      <c r="BK147" s="491"/>
    </row>
    <row r="148" spans="3:63">
      <c r="C148" s="188"/>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c r="AA148" s="189"/>
      <c r="AB148" s="189"/>
      <c r="AC148" s="189"/>
      <c r="AD148" s="189"/>
      <c r="AE148" s="189"/>
      <c r="AF148" s="189"/>
      <c r="AG148" s="189"/>
      <c r="AH148" s="189"/>
      <c r="AI148" s="189"/>
      <c r="AJ148" s="189"/>
      <c r="AK148" s="189"/>
      <c r="AL148" s="189"/>
      <c r="AM148" s="189"/>
      <c r="AN148" s="189"/>
      <c r="AO148" s="189"/>
      <c r="AP148" s="189"/>
      <c r="AQ148" s="189"/>
      <c r="AR148" s="189"/>
      <c r="AS148" s="189"/>
      <c r="AT148" s="189"/>
      <c r="AU148" s="189"/>
      <c r="AV148" s="189"/>
      <c r="AW148" s="189"/>
      <c r="AX148" s="189"/>
      <c r="AY148" s="189"/>
      <c r="AZ148" s="189"/>
      <c r="BA148" s="189"/>
      <c r="BB148" s="189"/>
      <c r="BC148" s="189"/>
      <c r="BD148" s="188"/>
      <c r="BE148" s="189"/>
      <c r="BF148" s="189"/>
      <c r="BG148" s="189"/>
      <c r="BH148" s="189"/>
      <c r="BI148" s="189"/>
      <c r="BJ148" s="189"/>
      <c r="BK148" s="189"/>
    </row>
    <row r="149" spans="3:63">
      <c r="C149" s="188"/>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c r="AA149" s="189"/>
      <c r="AB149" s="189"/>
      <c r="AC149" s="189"/>
      <c r="AD149" s="189"/>
      <c r="AE149" s="189"/>
      <c r="AF149" s="189"/>
      <c r="AG149" s="189"/>
      <c r="AH149" s="189"/>
      <c r="AI149" s="189"/>
      <c r="AJ149" s="189"/>
      <c r="AK149" s="189"/>
      <c r="AL149" s="189"/>
      <c r="AM149" s="189"/>
      <c r="AN149" s="189"/>
      <c r="AO149" s="189"/>
      <c r="AP149" s="189"/>
      <c r="AQ149" s="189"/>
      <c r="AR149" s="189"/>
      <c r="AS149" s="189"/>
      <c r="AT149" s="189"/>
      <c r="AU149" s="189"/>
      <c r="AV149" s="189"/>
      <c r="AW149" s="189"/>
      <c r="AX149" s="189"/>
      <c r="AY149" s="189"/>
      <c r="AZ149" s="189"/>
      <c r="BA149" s="189"/>
      <c r="BB149" s="189"/>
      <c r="BC149" s="189"/>
      <c r="BD149" s="188"/>
      <c r="BE149" s="189"/>
      <c r="BF149" s="189"/>
      <c r="BG149" s="189"/>
      <c r="BH149" s="189"/>
      <c r="BI149" s="189"/>
      <c r="BJ149" s="189"/>
      <c r="BK149" s="189"/>
    </row>
    <row r="150" spans="3:63">
      <c r="C150" s="492"/>
      <c r="D150" s="493"/>
      <c r="E150" s="493"/>
      <c r="F150" s="493"/>
      <c r="G150" s="493"/>
      <c r="H150" s="493"/>
      <c r="I150" s="493"/>
      <c r="J150" s="493"/>
      <c r="K150" s="493"/>
      <c r="L150" s="493"/>
      <c r="M150" s="493"/>
      <c r="N150" s="493"/>
      <c r="O150" s="493"/>
      <c r="P150" s="493"/>
      <c r="Q150" s="493"/>
      <c r="R150" s="493"/>
      <c r="S150" s="493"/>
      <c r="T150" s="493"/>
      <c r="U150" s="493"/>
      <c r="V150" s="493"/>
      <c r="W150" s="493"/>
      <c r="X150" s="493"/>
      <c r="Y150" s="493"/>
      <c r="Z150" s="493"/>
      <c r="AA150" s="493"/>
      <c r="AB150" s="493"/>
      <c r="AC150" s="493"/>
      <c r="AD150" s="493"/>
      <c r="AE150" s="493"/>
      <c r="AF150" s="493"/>
      <c r="AG150" s="493"/>
      <c r="AH150" s="493"/>
      <c r="AI150" s="493"/>
      <c r="AJ150" s="493"/>
      <c r="AK150" s="493"/>
      <c r="AL150" s="493"/>
      <c r="AM150" s="493"/>
      <c r="AN150" s="493"/>
      <c r="AO150" s="493"/>
      <c r="AP150" s="493"/>
      <c r="AQ150" s="493"/>
      <c r="AR150" s="493"/>
      <c r="AS150" s="493"/>
      <c r="AT150" s="493"/>
      <c r="AU150" s="493"/>
      <c r="AV150" s="493"/>
      <c r="AW150" s="493"/>
      <c r="AX150" s="493"/>
      <c r="AY150" s="493"/>
      <c r="AZ150" s="493"/>
      <c r="BA150" s="493"/>
      <c r="BB150" s="493"/>
      <c r="BC150" s="493"/>
      <c r="BD150" s="492"/>
      <c r="BE150" s="493"/>
      <c r="BF150" s="493"/>
      <c r="BG150" s="493"/>
      <c r="BH150" s="493"/>
      <c r="BI150" s="493"/>
      <c r="BJ150" s="493"/>
      <c r="BK150" s="493"/>
    </row>
    <row r="151" spans="3:63">
      <c r="C151" s="190"/>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c r="AA151" s="191"/>
      <c r="AB151" s="191"/>
      <c r="AC151" s="191"/>
      <c r="AD151" s="191"/>
      <c r="AE151" s="191"/>
      <c r="AF151" s="191"/>
      <c r="AG151" s="191"/>
      <c r="AH151" s="191"/>
      <c r="AI151" s="191"/>
      <c r="AJ151" s="191"/>
      <c r="AK151" s="191"/>
      <c r="AL151" s="191"/>
      <c r="AM151" s="191"/>
      <c r="AN151" s="191"/>
      <c r="AO151" s="191"/>
      <c r="AP151" s="191"/>
      <c r="AQ151" s="191"/>
      <c r="AR151" s="191"/>
      <c r="AS151" s="191"/>
      <c r="AT151" s="191"/>
      <c r="AU151" s="191"/>
      <c r="AV151" s="191"/>
      <c r="AW151" s="191"/>
      <c r="AX151" s="191"/>
      <c r="AY151" s="191"/>
      <c r="AZ151" s="191"/>
      <c r="BA151" s="191"/>
      <c r="BB151" s="191"/>
      <c r="BC151" s="191"/>
      <c r="BD151" s="190"/>
      <c r="BE151" s="191"/>
      <c r="BF151" s="191"/>
      <c r="BG151" s="191"/>
      <c r="BH151" s="191"/>
      <c r="BI151" s="191"/>
      <c r="BJ151" s="191"/>
      <c r="BK151" s="191"/>
    </row>
    <row r="152" spans="3:63">
      <c r="C152" s="190"/>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1"/>
      <c r="AX152" s="191"/>
      <c r="AY152" s="191"/>
      <c r="AZ152" s="191"/>
      <c r="BA152" s="191"/>
      <c r="BB152" s="191"/>
      <c r="BC152" s="191"/>
      <c r="BD152" s="190"/>
      <c r="BE152" s="191"/>
      <c r="BF152" s="191"/>
      <c r="BG152" s="191"/>
      <c r="BH152" s="191"/>
      <c r="BI152" s="191"/>
      <c r="BJ152" s="191"/>
      <c r="BK152" s="191"/>
    </row>
    <row r="153" spans="3:63">
      <c r="C153" s="190"/>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c r="AA153" s="191"/>
      <c r="AB153" s="191"/>
      <c r="AC153" s="191"/>
      <c r="AD153" s="191"/>
      <c r="AE153" s="191"/>
      <c r="AF153" s="191"/>
      <c r="AG153" s="191"/>
      <c r="AH153" s="191"/>
      <c r="AI153" s="191"/>
      <c r="AJ153" s="191"/>
      <c r="AK153" s="191"/>
      <c r="AL153" s="191"/>
      <c r="AM153" s="191"/>
      <c r="AN153" s="191"/>
      <c r="AO153" s="191"/>
      <c r="AP153" s="191"/>
      <c r="AQ153" s="191"/>
      <c r="AR153" s="191"/>
      <c r="AS153" s="191"/>
      <c r="AT153" s="191"/>
      <c r="AU153" s="191"/>
      <c r="AV153" s="191"/>
      <c r="AW153" s="191"/>
      <c r="AX153" s="191"/>
      <c r="AY153" s="191"/>
      <c r="AZ153" s="191"/>
      <c r="BA153" s="191"/>
      <c r="BB153" s="191"/>
      <c r="BC153" s="191"/>
      <c r="BD153" s="190"/>
      <c r="BE153" s="191"/>
      <c r="BF153" s="191"/>
      <c r="BG153" s="191"/>
      <c r="BH153" s="191"/>
      <c r="BI153" s="191"/>
      <c r="BJ153" s="191"/>
      <c r="BK153" s="191"/>
    </row>
    <row r="154" spans="3:63">
      <c r="C154" s="190"/>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c r="AA154" s="191"/>
      <c r="AB154" s="191"/>
      <c r="AC154" s="191"/>
      <c r="AD154" s="191"/>
      <c r="AE154" s="191"/>
      <c r="AF154" s="191"/>
      <c r="AG154" s="191"/>
      <c r="AH154" s="191"/>
      <c r="AI154" s="191"/>
      <c r="AJ154" s="191"/>
      <c r="AK154" s="191"/>
      <c r="AL154" s="191"/>
      <c r="AM154" s="191"/>
      <c r="AN154" s="191"/>
      <c r="AO154" s="191"/>
      <c r="AP154" s="191"/>
      <c r="AQ154" s="191"/>
      <c r="AR154" s="191"/>
      <c r="AS154" s="191"/>
      <c r="AT154" s="191"/>
      <c r="AU154" s="191"/>
      <c r="AV154" s="191"/>
      <c r="AW154" s="191"/>
      <c r="AX154" s="191"/>
      <c r="AY154" s="191"/>
      <c r="AZ154" s="191"/>
      <c r="BA154" s="191"/>
      <c r="BB154" s="191"/>
      <c r="BC154" s="191"/>
      <c r="BD154" s="190"/>
      <c r="BE154" s="191"/>
      <c r="BF154" s="191"/>
      <c r="BG154" s="191"/>
      <c r="BH154" s="191"/>
      <c r="BI154" s="191"/>
      <c r="BJ154" s="191"/>
      <c r="BK154" s="191"/>
    </row>
    <row r="155" spans="3:63" ht="14.4" thickBot="1">
      <c r="C155" s="156"/>
      <c r="D155" s="494"/>
      <c r="E155" s="494"/>
      <c r="F155" s="494"/>
      <c r="G155" s="494"/>
      <c r="H155" s="494"/>
      <c r="I155" s="494"/>
      <c r="J155" s="494"/>
      <c r="K155" s="494"/>
      <c r="L155" s="494"/>
      <c r="M155" s="494"/>
      <c r="N155" s="494"/>
      <c r="O155" s="494"/>
      <c r="P155" s="494"/>
      <c r="Q155" s="494"/>
      <c r="R155" s="494"/>
      <c r="S155" s="494"/>
      <c r="T155" s="494"/>
      <c r="U155" s="494"/>
      <c r="V155" s="494"/>
      <c r="W155" s="494"/>
      <c r="X155" s="494"/>
      <c r="Y155" s="494"/>
      <c r="Z155" s="494"/>
      <c r="AA155" s="494"/>
      <c r="AB155" s="494"/>
      <c r="AC155" s="494"/>
      <c r="AD155" s="494"/>
      <c r="AE155" s="494"/>
      <c r="AF155" s="494"/>
      <c r="AG155" s="494"/>
      <c r="AH155" s="494"/>
      <c r="AI155" s="494"/>
      <c r="AJ155" s="494"/>
      <c r="AK155" s="494"/>
      <c r="AL155" s="494"/>
      <c r="AM155" s="494"/>
      <c r="AN155" s="494"/>
      <c r="AO155" s="494"/>
      <c r="AP155" s="494"/>
      <c r="AQ155" s="494"/>
      <c r="AR155" s="494"/>
      <c r="AS155" s="494"/>
      <c r="AT155" s="494"/>
      <c r="AU155" s="494"/>
      <c r="AV155" s="494"/>
      <c r="AW155" s="494"/>
      <c r="AX155" s="494"/>
      <c r="AY155" s="494"/>
      <c r="AZ155" s="494"/>
      <c r="BA155" s="494"/>
      <c r="BB155" s="494"/>
      <c r="BC155" s="494"/>
      <c r="BD155" s="156"/>
      <c r="BE155" s="494"/>
      <c r="BF155" s="494"/>
      <c r="BG155" s="494"/>
      <c r="BH155" s="494"/>
      <c r="BI155" s="494"/>
      <c r="BJ155" s="494"/>
      <c r="BK155" s="494"/>
    </row>
    <row r="156" spans="3:63" ht="14.4" thickBot="1">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c r="AA156" s="103"/>
      <c r="AB156" s="103"/>
      <c r="AC156" s="103"/>
      <c r="AD156" s="103"/>
      <c r="AE156" s="103"/>
      <c r="AF156" s="103"/>
      <c r="AG156" s="103"/>
      <c r="AH156" s="103"/>
      <c r="AI156" s="103"/>
      <c r="AJ156" s="103"/>
      <c r="AK156" s="103"/>
      <c r="AL156" s="103"/>
      <c r="AM156" s="103"/>
      <c r="AN156" s="103"/>
      <c r="AO156" s="103"/>
      <c r="AP156" s="103"/>
      <c r="AQ156" s="103"/>
      <c r="AR156" s="103"/>
      <c r="AS156" s="103"/>
      <c r="AT156" s="103"/>
      <c r="AU156" s="103"/>
      <c r="AV156" s="103"/>
      <c r="AW156" s="103"/>
      <c r="AX156" s="103"/>
      <c r="AY156" s="103"/>
      <c r="AZ156" s="103"/>
      <c r="BA156" s="103"/>
      <c r="BB156" s="103"/>
      <c r="BC156" s="103"/>
      <c r="BD156" s="103"/>
      <c r="BE156" s="103"/>
      <c r="BF156" s="103"/>
      <c r="BG156" s="103"/>
      <c r="BH156" s="103"/>
      <c r="BI156" s="103"/>
      <c r="BJ156" s="103"/>
      <c r="BK156" s="103"/>
    </row>
    <row r="157" spans="3:63" ht="16.2" thickBot="1">
      <c r="C157" s="488"/>
      <c r="D157" s="489"/>
      <c r="E157" s="489"/>
      <c r="F157" s="489"/>
      <c r="G157" s="489"/>
      <c r="H157" s="489"/>
      <c r="I157" s="489"/>
      <c r="J157" s="489"/>
      <c r="K157" s="489"/>
      <c r="L157" s="489"/>
      <c r="M157" s="489"/>
      <c r="N157" s="489"/>
      <c r="O157" s="489"/>
      <c r="P157" s="489"/>
      <c r="Q157" s="489"/>
      <c r="R157" s="489"/>
      <c r="S157" s="489"/>
      <c r="T157" s="489"/>
      <c r="U157" s="489"/>
      <c r="V157" s="489"/>
      <c r="W157" s="489"/>
      <c r="X157" s="489"/>
      <c r="Y157" s="489"/>
      <c r="Z157" s="489"/>
      <c r="AA157" s="489"/>
      <c r="AB157" s="489"/>
      <c r="AC157" s="489"/>
      <c r="AD157" s="489"/>
      <c r="AE157" s="489"/>
      <c r="AF157" s="489"/>
      <c r="AG157" s="489"/>
      <c r="AH157" s="489"/>
      <c r="AI157" s="489"/>
      <c r="AJ157" s="489"/>
      <c r="AK157" s="489"/>
      <c r="AL157" s="489"/>
      <c r="AM157" s="489"/>
      <c r="AN157" s="489"/>
      <c r="AO157" s="489"/>
      <c r="AP157" s="489"/>
      <c r="AQ157" s="489"/>
      <c r="AR157" s="489"/>
      <c r="AS157" s="489"/>
      <c r="AT157" s="489"/>
      <c r="AU157" s="489"/>
      <c r="AV157" s="489"/>
      <c r="AW157" s="489"/>
      <c r="AX157" s="489"/>
      <c r="AY157" s="489"/>
      <c r="AZ157" s="489"/>
      <c r="BA157" s="489"/>
      <c r="BB157" s="489"/>
      <c r="BC157" s="489"/>
      <c r="BD157" s="488"/>
      <c r="BE157" s="489"/>
      <c r="BF157" s="489"/>
      <c r="BG157" s="489"/>
      <c r="BH157" s="489"/>
      <c r="BI157" s="489"/>
      <c r="BJ157" s="489"/>
      <c r="BK157" s="489"/>
    </row>
    <row r="158" spans="3:63" ht="14.4" thickBot="1">
      <c r="C158" s="156"/>
      <c r="D158" s="494"/>
      <c r="E158" s="494"/>
      <c r="F158" s="494"/>
      <c r="G158" s="494"/>
      <c r="H158" s="494"/>
      <c r="I158" s="494"/>
      <c r="J158" s="494"/>
      <c r="K158" s="494"/>
      <c r="L158" s="494"/>
      <c r="M158" s="494"/>
      <c r="N158" s="494"/>
      <c r="O158" s="494"/>
      <c r="P158" s="494"/>
      <c r="Q158" s="494"/>
      <c r="R158" s="494"/>
      <c r="S158" s="494"/>
      <c r="T158" s="494"/>
      <c r="U158" s="494"/>
      <c r="V158" s="494"/>
      <c r="W158" s="494"/>
      <c r="X158" s="494"/>
      <c r="Y158" s="494"/>
      <c r="Z158" s="494"/>
      <c r="AA158" s="494"/>
      <c r="AB158" s="494"/>
      <c r="AC158" s="494"/>
      <c r="AD158" s="494"/>
      <c r="AE158" s="494"/>
      <c r="AF158" s="494"/>
      <c r="AG158" s="494"/>
      <c r="AH158" s="494"/>
      <c r="AI158" s="494"/>
      <c r="AJ158" s="494"/>
      <c r="AK158" s="494"/>
      <c r="AL158" s="494"/>
      <c r="AM158" s="494"/>
      <c r="AN158" s="494"/>
      <c r="AO158" s="494"/>
      <c r="AP158" s="494"/>
      <c r="AQ158" s="494"/>
      <c r="AR158" s="494"/>
      <c r="AS158" s="494"/>
      <c r="AT158" s="494"/>
      <c r="AU158" s="494"/>
      <c r="AV158" s="494"/>
      <c r="AW158" s="494"/>
      <c r="AX158" s="494"/>
      <c r="AY158" s="494"/>
      <c r="AZ158" s="494"/>
      <c r="BA158" s="494"/>
      <c r="BB158" s="494"/>
      <c r="BC158" s="494"/>
      <c r="BD158" s="156"/>
      <c r="BE158" s="494"/>
      <c r="BF158" s="494"/>
      <c r="BG158" s="494"/>
      <c r="BH158" s="494"/>
      <c r="BI158" s="494"/>
      <c r="BJ158" s="494"/>
      <c r="BK158" s="494"/>
    </row>
    <row r="159" spans="3:63" ht="16.2" thickBot="1">
      <c r="C159" s="488"/>
      <c r="D159" s="489"/>
      <c r="E159" s="489"/>
      <c r="F159" s="489"/>
      <c r="G159" s="489"/>
      <c r="H159" s="489"/>
      <c r="I159" s="489"/>
      <c r="J159" s="489"/>
      <c r="K159" s="489"/>
      <c r="L159" s="489"/>
      <c r="M159" s="489"/>
      <c r="N159" s="489"/>
      <c r="O159" s="489"/>
      <c r="P159" s="489"/>
      <c r="Q159" s="489"/>
      <c r="R159" s="489"/>
      <c r="S159" s="489"/>
      <c r="T159" s="489"/>
      <c r="U159" s="489"/>
      <c r="V159" s="489"/>
      <c r="W159" s="489"/>
      <c r="X159" s="489"/>
      <c r="Y159" s="489"/>
      <c r="Z159" s="489"/>
      <c r="AA159" s="489"/>
      <c r="AB159" s="489"/>
      <c r="AC159" s="489"/>
      <c r="AD159" s="489"/>
      <c r="AE159" s="489"/>
      <c r="AF159" s="489"/>
      <c r="AG159" s="489"/>
      <c r="AH159" s="489"/>
      <c r="AI159" s="489"/>
      <c r="AJ159" s="489"/>
      <c r="AK159" s="489"/>
      <c r="AL159" s="489"/>
      <c r="AM159" s="489"/>
      <c r="AN159" s="489"/>
      <c r="AO159" s="489"/>
      <c r="AP159" s="489"/>
      <c r="AQ159" s="489"/>
      <c r="AR159" s="489"/>
      <c r="AS159" s="489"/>
      <c r="AT159" s="489"/>
      <c r="AU159" s="489"/>
      <c r="AV159" s="489"/>
      <c r="AW159" s="489"/>
      <c r="AX159" s="489"/>
      <c r="AY159" s="489"/>
      <c r="AZ159" s="489"/>
      <c r="BA159" s="489"/>
      <c r="BB159" s="489"/>
      <c r="BC159" s="489"/>
      <c r="BD159" s="488"/>
      <c r="BE159" s="489"/>
      <c r="BF159" s="489"/>
      <c r="BG159" s="489"/>
      <c r="BH159" s="489"/>
      <c r="BI159" s="489"/>
      <c r="BJ159" s="489"/>
      <c r="BK159" s="489"/>
    </row>
    <row r="160" spans="3:63">
      <c r="C160" s="490"/>
      <c r="D160" s="491"/>
      <c r="E160" s="491"/>
      <c r="F160" s="491"/>
      <c r="G160" s="491"/>
      <c r="H160" s="491"/>
      <c r="I160" s="491"/>
      <c r="J160" s="491"/>
      <c r="K160" s="491"/>
      <c r="L160" s="491"/>
      <c r="M160" s="491"/>
      <c r="N160" s="491"/>
      <c r="O160" s="491"/>
      <c r="P160" s="491"/>
      <c r="Q160" s="491"/>
      <c r="R160" s="491"/>
      <c r="S160" s="491"/>
      <c r="T160" s="491"/>
      <c r="U160" s="491"/>
      <c r="V160" s="491"/>
      <c r="W160" s="491"/>
      <c r="X160" s="491"/>
      <c r="Y160" s="491"/>
      <c r="Z160" s="491"/>
      <c r="AA160" s="491"/>
      <c r="AB160" s="491"/>
      <c r="AC160" s="491"/>
      <c r="AD160" s="491"/>
      <c r="AE160" s="491"/>
      <c r="AF160" s="491"/>
      <c r="AG160" s="491"/>
      <c r="AH160" s="491"/>
      <c r="AI160" s="491"/>
      <c r="AJ160" s="491"/>
      <c r="AK160" s="491"/>
      <c r="AL160" s="491"/>
      <c r="AM160" s="491"/>
      <c r="AN160" s="491"/>
      <c r="AO160" s="491"/>
      <c r="AP160" s="491"/>
      <c r="AQ160" s="491"/>
      <c r="AR160" s="491"/>
      <c r="AS160" s="491"/>
      <c r="AT160" s="491"/>
      <c r="AU160" s="491"/>
      <c r="AV160" s="491"/>
      <c r="AW160" s="491"/>
      <c r="AX160" s="491"/>
      <c r="AY160" s="491"/>
      <c r="AZ160" s="491"/>
      <c r="BA160" s="491"/>
      <c r="BB160" s="491"/>
      <c r="BC160" s="491"/>
      <c r="BD160" s="490"/>
      <c r="BE160" s="491"/>
      <c r="BF160" s="491"/>
      <c r="BG160" s="491"/>
      <c r="BH160" s="491"/>
      <c r="BI160" s="491"/>
      <c r="BJ160" s="491"/>
      <c r="BK160" s="491"/>
    </row>
    <row r="161" spans="3:63">
      <c r="C161" s="492"/>
      <c r="D161" s="493"/>
      <c r="E161" s="493"/>
      <c r="F161" s="493"/>
      <c r="G161" s="493"/>
      <c r="H161" s="493"/>
      <c r="I161" s="493"/>
      <c r="J161" s="493"/>
      <c r="K161" s="493"/>
      <c r="L161" s="493"/>
      <c r="M161" s="493"/>
      <c r="N161" s="493"/>
      <c r="O161" s="493"/>
      <c r="P161" s="493"/>
      <c r="Q161" s="493"/>
      <c r="R161" s="493"/>
      <c r="S161" s="493"/>
      <c r="T161" s="493"/>
      <c r="U161" s="493"/>
      <c r="V161" s="493"/>
      <c r="W161" s="493"/>
      <c r="X161" s="493"/>
      <c r="Y161" s="493"/>
      <c r="Z161" s="493"/>
      <c r="AA161" s="493"/>
      <c r="AB161" s="493"/>
      <c r="AC161" s="493"/>
      <c r="AD161" s="493"/>
      <c r="AE161" s="493"/>
      <c r="AF161" s="493"/>
      <c r="AG161" s="493"/>
      <c r="AH161" s="493"/>
      <c r="AI161" s="493"/>
      <c r="AJ161" s="493"/>
      <c r="AK161" s="493"/>
      <c r="AL161" s="493"/>
      <c r="AM161" s="493"/>
      <c r="AN161" s="493"/>
      <c r="AO161" s="493"/>
      <c r="AP161" s="493"/>
      <c r="AQ161" s="493"/>
      <c r="AR161" s="493"/>
      <c r="AS161" s="493"/>
      <c r="AT161" s="493"/>
      <c r="AU161" s="493"/>
      <c r="AV161" s="493"/>
      <c r="AW161" s="493"/>
      <c r="AX161" s="493"/>
      <c r="AY161" s="493"/>
      <c r="AZ161" s="493"/>
      <c r="BA161" s="493"/>
      <c r="BB161" s="493"/>
      <c r="BC161" s="493"/>
      <c r="BD161" s="492"/>
      <c r="BE161" s="493"/>
      <c r="BF161" s="493"/>
      <c r="BG161" s="493"/>
      <c r="BH161" s="493"/>
      <c r="BI161" s="493"/>
      <c r="BJ161" s="493"/>
      <c r="BK161" s="493"/>
    </row>
    <row r="162" spans="3:63" ht="14.4" thickBot="1">
      <c r="C162" s="156"/>
      <c r="D162" s="494"/>
      <c r="E162" s="494"/>
      <c r="F162" s="494"/>
      <c r="G162" s="494"/>
      <c r="H162" s="494"/>
      <c r="I162" s="494"/>
      <c r="J162" s="494"/>
      <c r="K162" s="494"/>
      <c r="L162" s="494"/>
      <c r="M162" s="494"/>
      <c r="N162" s="494"/>
      <c r="O162" s="494"/>
      <c r="P162" s="494"/>
      <c r="Q162" s="494"/>
      <c r="R162" s="494"/>
      <c r="S162" s="494"/>
      <c r="T162" s="494"/>
      <c r="U162" s="494"/>
      <c r="V162" s="494"/>
      <c r="W162" s="494"/>
      <c r="X162" s="494"/>
      <c r="Y162" s="494"/>
      <c r="Z162" s="494"/>
      <c r="AA162" s="494"/>
      <c r="AB162" s="494"/>
      <c r="AC162" s="494"/>
      <c r="AD162" s="494"/>
      <c r="AE162" s="494"/>
      <c r="AF162" s="494"/>
      <c r="AG162" s="494"/>
      <c r="AH162" s="494"/>
      <c r="AI162" s="494"/>
      <c r="AJ162" s="494"/>
      <c r="AK162" s="494"/>
      <c r="AL162" s="494"/>
      <c r="AM162" s="494"/>
      <c r="AN162" s="494"/>
      <c r="AO162" s="494"/>
      <c r="AP162" s="494"/>
      <c r="AQ162" s="494"/>
      <c r="AR162" s="494"/>
      <c r="AS162" s="494"/>
      <c r="AT162" s="494"/>
      <c r="AU162" s="494"/>
      <c r="AV162" s="494"/>
      <c r="AW162" s="494"/>
      <c r="AX162" s="494"/>
      <c r="AY162" s="494"/>
      <c r="AZ162" s="494"/>
      <c r="BA162" s="494"/>
      <c r="BB162" s="494"/>
      <c r="BC162" s="494"/>
      <c r="BD162" s="156"/>
      <c r="BE162" s="494"/>
      <c r="BF162" s="494"/>
      <c r="BG162" s="494"/>
      <c r="BH162" s="494"/>
      <c r="BI162" s="494"/>
      <c r="BJ162" s="494"/>
      <c r="BK162" s="494"/>
    </row>
    <row r="163" spans="3:6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103"/>
      <c r="AQ163" s="103"/>
      <c r="AR163" s="103"/>
      <c r="AS163" s="103"/>
      <c r="AT163" s="103"/>
      <c r="AU163" s="103"/>
      <c r="AV163" s="103"/>
      <c r="AW163" s="103"/>
      <c r="AX163" s="103"/>
      <c r="AY163" s="103"/>
      <c r="AZ163" s="103"/>
      <c r="BA163" s="103"/>
      <c r="BB163" s="103"/>
      <c r="BC163" s="103"/>
      <c r="BD163" s="103"/>
      <c r="BE163" s="103"/>
      <c r="BF163" s="103"/>
      <c r="BG163" s="103"/>
      <c r="BH163" s="103"/>
      <c r="BI163" s="103"/>
      <c r="BJ163" s="103"/>
      <c r="BK163" s="103"/>
    </row>
    <row r="220" spans="3:63" ht="14.4" thickBot="1"/>
    <row r="221" spans="3:63" ht="16.2" thickBot="1">
      <c r="C221" s="488"/>
      <c r="D221" s="489"/>
      <c r="E221" s="489"/>
      <c r="F221" s="489"/>
      <c r="G221" s="489"/>
      <c r="H221" s="489"/>
      <c r="I221" s="489"/>
      <c r="J221" s="489"/>
      <c r="K221" s="489"/>
      <c r="L221" s="489"/>
      <c r="M221" s="489"/>
      <c r="N221" s="489"/>
      <c r="O221" s="489"/>
      <c r="P221" s="489"/>
      <c r="Q221" s="489"/>
      <c r="R221" s="489"/>
      <c r="S221" s="489"/>
      <c r="T221" s="489"/>
      <c r="U221" s="489"/>
      <c r="V221" s="489"/>
      <c r="W221" s="489"/>
      <c r="X221" s="489"/>
      <c r="Y221" s="489"/>
      <c r="Z221" s="489"/>
      <c r="AA221" s="489"/>
      <c r="AB221" s="489"/>
      <c r="AC221" s="489"/>
      <c r="AD221" s="489"/>
      <c r="AE221" s="489"/>
      <c r="AF221" s="489"/>
      <c r="AG221" s="489"/>
      <c r="AH221" s="489"/>
      <c r="AI221" s="489"/>
      <c r="AJ221" s="489"/>
      <c r="AK221" s="489"/>
      <c r="AL221" s="489"/>
      <c r="AM221" s="489"/>
      <c r="AN221" s="489"/>
      <c r="AO221" s="489"/>
      <c r="AP221" s="489"/>
      <c r="AQ221" s="489"/>
      <c r="AR221" s="489"/>
      <c r="AS221" s="489"/>
      <c r="AT221" s="489"/>
      <c r="AU221" s="489"/>
      <c r="AV221" s="489"/>
      <c r="AW221" s="489"/>
      <c r="AX221" s="489"/>
      <c r="AY221" s="489"/>
      <c r="AZ221" s="489"/>
      <c r="BA221" s="489"/>
      <c r="BB221" s="489"/>
      <c r="BC221" s="489"/>
      <c r="BD221" s="488"/>
      <c r="BE221" s="489"/>
      <c r="BF221" s="489"/>
      <c r="BG221" s="489"/>
      <c r="BH221" s="489"/>
      <c r="BI221" s="489"/>
      <c r="BJ221" s="489"/>
      <c r="BK221" s="489"/>
    </row>
    <row r="222" spans="3:63">
      <c r="C222" s="490"/>
      <c r="D222" s="491"/>
      <c r="E222" s="491"/>
      <c r="F222" s="491"/>
      <c r="G222" s="491"/>
      <c r="H222" s="491"/>
      <c r="I222" s="491"/>
      <c r="J222" s="491"/>
      <c r="K222" s="491"/>
      <c r="L222" s="491"/>
      <c r="M222" s="491"/>
      <c r="N222" s="491"/>
      <c r="O222" s="491"/>
      <c r="P222" s="491"/>
      <c r="Q222" s="491"/>
      <c r="R222" s="491"/>
      <c r="S222" s="491"/>
      <c r="T222" s="491"/>
      <c r="U222" s="491"/>
      <c r="V222" s="491"/>
      <c r="W222" s="491"/>
      <c r="X222" s="491"/>
      <c r="Y222" s="491"/>
      <c r="Z222" s="491"/>
      <c r="AA222" s="491"/>
      <c r="AB222" s="491"/>
      <c r="AC222" s="491"/>
      <c r="AD222" s="491"/>
      <c r="AE222" s="491"/>
      <c r="AF222" s="491"/>
      <c r="AG222" s="491"/>
      <c r="AH222" s="491"/>
      <c r="AI222" s="491"/>
      <c r="AJ222" s="491"/>
      <c r="AK222" s="491"/>
      <c r="AL222" s="491"/>
      <c r="AM222" s="491"/>
      <c r="AN222" s="491"/>
      <c r="AO222" s="491"/>
      <c r="AP222" s="491"/>
      <c r="AQ222" s="491"/>
      <c r="AR222" s="491"/>
      <c r="AS222" s="491"/>
      <c r="AT222" s="491"/>
      <c r="AU222" s="491"/>
      <c r="AV222" s="491"/>
      <c r="AW222" s="491"/>
      <c r="AX222" s="491"/>
      <c r="AY222" s="491"/>
      <c r="AZ222" s="491"/>
      <c r="BA222" s="491"/>
      <c r="BB222" s="491"/>
      <c r="BC222" s="491"/>
      <c r="BD222" s="490"/>
      <c r="BE222" s="491"/>
      <c r="BF222" s="491"/>
      <c r="BG222" s="491"/>
      <c r="BH222" s="491"/>
      <c r="BI222" s="491"/>
      <c r="BJ222" s="491"/>
      <c r="BK222" s="491"/>
    </row>
    <row r="223" spans="3:63">
      <c r="C223" s="492"/>
      <c r="D223" s="493"/>
      <c r="E223" s="493"/>
      <c r="F223" s="493"/>
      <c r="G223" s="493"/>
      <c r="H223" s="493"/>
      <c r="I223" s="493"/>
      <c r="J223" s="493"/>
      <c r="K223" s="493"/>
      <c r="L223" s="493"/>
      <c r="M223" s="493"/>
      <c r="N223" s="493"/>
      <c r="O223" s="493"/>
      <c r="P223" s="493"/>
      <c r="Q223" s="493"/>
      <c r="R223" s="493"/>
      <c r="S223" s="493"/>
      <c r="T223" s="493"/>
      <c r="U223" s="493"/>
      <c r="V223" s="493"/>
      <c r="W223" s="493"/>
      <c r="X223" s="493"/>
      <c r="Y223" s="493"/>
      <c r="Z223" s="493"/>
      <c r="AA223" s="493"/>
      <c r="AB223" s="493"/>
      <c r="AC223" s="493"/>
      <c r="AD223" s="493"/>
      <c r="AE223" s="493"/>
      <c r="AF223" s="493"/>
      <c r="AG223" s="493"/>
      <c r="AH223" s="493"/>
      <c r="AI223" s="493"/>
      <c r="AJ223" s="493"/>
      <c r="AK223" s="493"/>
      <c r="AL223" s="493"/>
      <c r="AM223" s="493"/>
      <c r="AN223" s="493"/>
      <c r="AO223" s="493"/>
      <c r="AP223" s="493"/>
      <c r="AQ223" s="493"/>
      <c r="AR223" s="493"/>
      <c r="AS223" s="493"/>
      <c r="AT223" s="493"/>
      <c r="AU223" s="493"/>
      <c r="AV223" s="493"/>
      <c r="AW223" s="493"/>
      <c r="AX223" s="493"/>
      <c r="AY223" s="493"/>
      <c r="AZ223" s="493"/>
      <c r="BA223" s="493"/>
      <c r="BB223" s="493"/>
      <c r="BC223" s="493"/>
      <c r="BD223" s="492"/>
      <c r="BE223" s="493"/>
      <c r="BF223" s="493"/>
      <c r="BG223" s="493"/>
      <c r="BH223" s="493"/>
      <c r="BI223" s="493"/>
      <c r="BJ223" s="493"/>
      <c r="BK223" s="493"/>
    </row>
    <row r="224" spans="3:63" ht="14.4" thickBot="1">
      <c r="C224" s="156"/>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494"/>
      <c r="AG224" s="494"/>
      <c r="AH224" s="494"/>
      <c r="AI224" s="494"/>
      <c r="AJ224" s="494"/>
      <c r="AK224" s="494"/>
      <c r="AL224" s="494"/>
      <c r="AM224" s="494"/>
      <c r="AN224" s="494"/>
      <c r="AO224" s="494"/>
      <c r="AP224" s="494"/>
      <c r="AQ224" s="494"/>
      <c r="AR224" s="494"/>
      <c r="AS224" s="494"/>
      <c r="AT224" s="494"/>
      <c r="AU224" s="494"/>
      <c r="AV224" s="494"/>
      <c r="AW224" s="494"/>
      <c r="AX224" s="494"/>
      <c r="AY224" s="494"/>
      <c r="AZ224" s="494"/>
      <c r="BA224" s="494"/>
      <c r="BB224" s="494"/>
      <c r="BC224" s="494"/>
      <c r="BD224" s="156"/>
      <c r="BE224" s="494"/>
      <c r="BF224" s="494"/>
      <c r="BG224" s="494"/>
      <c r="BH224" s="494"/>
      <c r="BI224" s="494"/>
      <c r="BJ224" s="494"/>
      <c r="BK224" s="494"/>
    </row>
    <row r="225" spans="3:63" ht="16.2" thickBot="1">
      <c r="C225" s="488"/>
      <c r="D225" s="489"/>
      <c r="E225" s="489"/>
      <c r="F225" s="489"/>
      <c r="G225" s="489"/>
      <c r="H225" s="489"/>
      <c r="I225" s="489"/>
      <c r="J225" s="489"/>
      <c r="K225" s="489"/>
      <c r="L225" s="489"/>
      <c r="M225" s="489"/>
      <c r="N225" s="489"/>
      <c r="O225" s="489"/>
      <c r="P225" s="489"/>
      <c r="Q225" s="489"/>
      <c r="R225" s="489"/>
      <c r="S225" s="489"/>
      <c r="T225" s="489"/>
      <c r="U225" s="489"/>
      <c r="V225" s="489"/>
      <c r="W225" s="489"/>
      <c r="X225" s="489"/>
      <c r="Y225" s="489"/>
      <c r="Z225" s="489"/>
      <c r="AA225" s="489"/>
      <c r="AB225" s="489"/>
      <c r="AC225" s="489"/>
      <c r="AD225" s="489"/>
      <c r="AE225" s="489"/>
      <c r="AF225" s="489"/>
      <c r="AG225" s="489"/>
      <c r="AH225" s="489"/>
      <c r="AI225" s="489"/>
      <c r="AJ225" s="489"/>
      <c r="AK225" s="489"/>
      <c r="AL225" s="489"/>
      <c r="AM225" s="489"/>
      <c r="AN225" s="489"/>
      <c r="AO225" s="489"/>
      <c r="AP225" s="489"/>
      <c r="AQ225" s="489"/>
      <c r="AR225" s="489"/>
      <c r="AS225" s="489"/>
      <c r="AT225" s="489"/>
      <c r="AU225" s="489"/>
      <c r="AV225" s="489"/>
      <c r="AW225" s="489"/>
      <c r="AX225" s="489"/>
      <c r="AY225" s="489"/>
      <c r="AZ225" s="489"/>
      <c r="BA225" s="489"/>
      <c r="BB225" s="489"/>
      <c r="BC225" s="489"/>
      <c r="BD225" s="488"/>
      <c r="BE225" s="489"/>
      <c r="BF225" s="489"/>
      <c r="BG225" s="489"/>
      <c r="BH225" s="489"/>
      <c r="BI225" s="489"/>
      <c r="BJ225" s="489"/>
      <c r="BK225" s="489"/>
    </row>
    <row r="226" spans="3:63">
      <c r="C226" s="490"/>
      <c r="D226" s="491"/>
      <c r="E226" s="491"/>
      <c r="F226" s="491"/>
      <c r="G226" s="491"/>
      <c r="H226" s="491"/>
      <c r="I226" s="491"/>
      <c r="J226" s="491"/>
      <c r="K226" s="491"/>
      <c r="L226" s="491"/>
      <c r="M226" s="491"/>
      <c r="N226" s="491"/>
      <c r="O226" s="491"/>
      <c r="P226" s="491"/>
      <c r="Q226" s="491"/>
      <c r="R226" s="491"/>
      <c r="S226" s="491"/>
      <c r="T226" s="491"/>
      <c r="U226" s="491"/>
      <c r="V226" s="491"/>
      <c r="W226" s="491"/>
      <c r="X226" s="491"/>
      <c r="Y226" s="491"/>
      <c r="Z226" s="491"/>
      <c r="AA226" s="491"/>
      <c r="AB226" s="491"/>
      <c r="AC226" s="491"/>
      <c r="AD226" s="491"/>
      <c r="AE226" s="491"/>
      <c r="AF226" s="491"/>
      <c r="AG226" s="491"/>
      <c r="AH226" s="491"/>
      <c r="AI226" s="491"/>
      <c r="AJ226" s="491"/>
      <c r="AK226" s="491"/>
      <c r="AL226" s="491"/>
      <c r="AM226" s="491"/>
      <c r="AN226" s="491"/>
      <c r="AO226" s="491"/>
      <c r="AP226" s="491"/>
      <c r="AQ226" s="491"/>
      <c r="AR226" s="491"/>
      <c r="AS226" s="491"/>
      <c r="AT226" s="491"/>
      <c r="AU226" s="491"/>
      <c r="AV226" s="491"/>
      <c r="AW226" s="491"/>
      <c r="AX226" s="491"/>
      <c r="AY226" s="491"/>
      <c r="AZ226" s="491"/>
      <c r="BA226" s="491"/>
      <c r="BB226" s="491"/>
      <c r="BC226" s="491"/>
      <c r="BD226" s="490"/>
      <c r="BE226" s="491"/>
      <c r="BF226" s="491"/>
      <c r="BG226" s="491"/>
      <c r="BH226" s="491"/>
      <c r="BI226" s="491"/>
      <c r="BJ226" s="491"/>
      <c r="BK226" s="491"/>
    </row>
    <row r="227" spans="3:63">
      <c r="C227" s="492"/>
      <c r="D227" s="493"/>
      <c r="E227" s="493"/>
      <c r="F227" s="493"/>
      <c r="G227" s="493"/>
      <c r="H227" s="493"/>
      <c r="I227" s="493"/>
      <c r="J227" s="493"/>
      <c r="K227" s="493"/>
      <c r="L227" s="493"/>
      <c r="M227" s="493"/>
      <c r="N227" s="493"/>
      <c r="O227" s="493"/>
      <c r="P227" s="493"/>
      <c r="Q227" s="493"/>
      <c r="R227" s="493"/>
      <c r="S227" s="493"/>
      <c r="T227" s="493"/>
      <c r="U227" s="493"/>
      <c r="V227" s="493"/>
      <c r="W227" s="493"/>
      <c r="X227" s="493"/>
      <c r="Y227" s="493"/>
      <c r="Z227" s="493"/>
      <c r="AA227" s="493"/>
      <c r="AB227" s="493"/>
      <c r="AC227" s="493"/>
      <c r="AD227" s="493"/>
      <c r="AE227" s="493"/>
      <c r="AF227" s="493"/>
      <c r="AG227" s="493"/>
      <c r="AH227" s="493"/>
      <c r="AI227" s="493"/>
      <c r="AJ227" s="493"/>
      <c r="AK227" s="493"/>
      <c r="AL227" s="493"/>
      <c r="AM227" s="493"/>
      <c r="AN227" s="493"/>
      <c r="AO227" s="493"/>
      <c r="AP227" s="493"/>
      <c r="AQ227" s="493"/>
      <c r="AR227" s="493"/>
      <c r="AS227" s="493"/>
      <c r="AT227" s="493"/>
      <c r="AU227" s="493"/>
      <c r="AV227" s="493"/>
      <c r="AW227" s="493"/>
      <c r="AX227" s="493"/>
      <c r="AY227" s="493"/>
      <c r="AZ227" s="493"/>
      <c r="BA227" s="493"/>
      <c r="BB227" s="493"/>
      <c r="BC227" s="493"/>
      <c r="BD227" s="492"/>
      <c r="BE227" s="493"/>
      <c r="BF227" s="493"/>
      <c r="BG227" s="493"/>
      <c r="BH227" s="493"/>
      <c r="BI227" s="493"/>
      <c r="BJ227" s="493"/>
      <c r="BK227" s="493"/>
    </row>
    <row r="228" spans="3:63" ht="14.4" thickBot="1">
      <c r="C228" s="156"/>
      <c r="D228" s="494"/>
      <c r="E228" s="494"/>
      <c r="F228" s="494"/>
      <c r="G228" s="494"/>
      <c r="H228" s="494"/>
      <c r="I228" s="494"/>
      <c r="J228" s="494"/>
      <c r="K228" s="494"/>
      <c r="L228" s="494"/>
      <c r="M228" s="494"/>
      <c r="N228" s="494"/>
      <c r="O228" s="494"/>
      <c r="P228" s="494"/>
      <c r="Q228" s="494"/>
      <c r="R228" s="494"/>
      <c r="S228" s="494"/>
      <c r="T228" s="494"/>
      <c r="U228" s="494"/>
      <c r="V228" s="494"/>
      <c r="W228" s="494"/>
      <c r="X228" s="494"/>
      <c r="Y228" s="494"/>
      <c r="Z228" s="494"/>
      <c r="AA228" s="494"/>
      <c r="AB228" s="494"/>
      <c r="AC228" s="494"/>
      <c r="AD228" s="494"/>
      <c r="AE228" s="494"/>
      <c r="AF228" s="494"/>
      <c r="AG228" s="494"/>
      <c r="AH228" s="494"/>
      <c r="AI228" s="494"/>
      <c r="AJ228" s="494"/>
      <c r="AK228" s="494"/>
      <c r="AL228" s="494"/>
      <c r="AM228" s="494"/>
      <c r="AN228" s="494"/>
      <c r="AO228" s="494"/>
      <c r="AP228" s="494"/>
      <c r="AQ228" s="494"/>
      <c r="AR228" s="494"/>
      <c r="AS228" s="494"/>
      <c r="AT228" s="494"/>
      <c r="AU228" s="494"/>
      <c r="AV228" s="494"/>
      <c r="AW228" s="494"/>
      <c r="AX228" s="494"/>
      <c r="AY228" s="494"/>
      <c r="AZ228" s="494"/>
      <c r="BA228" s="494"/>
      <c r="BB228" s="494"/>
      <c r="BC228" s="494"/>
      <c r="BD228" s="156"/>
      <c r="BE228" s="494"/>
      <c r="BF228" s="494"/>
      <c r="BG228" s="494"/>
      <c r="BH228" s="494"/>
      <c r="BI228" s="494"/>
      <c r="BJ228" s="494"/>
      <c r="BK228" s="494"/>
    </row>
    <row r="236" spans="3:63">
      <c r="C236" s="408"/>
      <c r="D236" s="408"/>
      <c r="E236" s="408"/>
      <c r="F236" s="408"/>
      <c r="H236" s="212"/>
      <c r="I236" s="212"/>
      <c r="J236" s="212"/>
      <c r="K236" s="212"/>
      <c r="BD236" s="408"/>
      <c r="BE236" s="408"/>
      <c r="BF236" s="408"/>
      <c r="BG236" s="408"/>
      <c r="BI236" s="212"/>
      <c r="BJ236" s="212"/>
      <c r="BK236" s="212"/>
    </row>
    <row r="237" spans="3:63">
      <c r="C237" s="408"/>
      <c r="D237" s="408"/>
      <c r="E237" s="408"/>
      <c r="F237" s="408"/>
      <c r="H237" s="212"/>
      <c r="I237" s="212"/>
      <c r="J237" s="212"/>
      <c r="K237" s="212"/>
      <c r="BD237" s="408"/>
      <c r="BE237" s="408"/>
      <c r="BF237" s="408"/>
      <c r="BG237" s="408"/>
      <c r="BI237" s="212"/>
      <c r="BJ237" s="212"/>
      <c r="BK237" s="212"/>
    </row>
    <row r="238" spans="3:63">
      <c r="C238" s="408"/>
      <c r="D238" s="408"/>
      <c r="E238" s="408"/>
      <c r="F238" s="408"/>
      <c r="H238" s="212"/>
      <c r="I238" s="212"/>
      <c r="J238" s="212"/>
      <c r="K238" s="212"/>
      <c r="BD238" s="408"/>
      <c r="BE238" s="408"/>
      <c r="BF238" s="408"/>
      <c r="BG238" s="408"/>
      <c r="BI238" s="212"/>
      <c r="BJ238" s="212"/>
      <c r="BK238" s="212"/>
    </row>
    <row r="253" spans="3:6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c r="AA253" s="103"/>
      <c r="AB253" s="103"/>
      <c r="AC253" s="103"/>
      <c r="AD253" s="103"/>
      <c r="AE253" s="103"/>
      <c r="AF253" s="103"/>
      <c r="AG253" s="103"/>
      <c r="AH253" s="103"/>
      <c r="AI253" s="103"/>
      <c r="AJ253" s="103"/>
      <c r="AK253" s="103"/>
      <c r="AL253" s="103"/>
      <c r="AM253" s="103"/>
      <c r="AN253" s="103"/>
      <c r="AO253" s="103"/>
      <c r="AP253" s="103"/>
      <c r="AQ253" s="103"/>
      <c r="AR253" s="103"/>
      <c r="AS253" s="103"/>
      <c r="AT253" s="103"/>
      <c r="AU253" s="103"/>
      <c r="AV253" s="103"/>
      <c r="AW253" s="103"/>
      <c r="AX253" s="103"/>
      <c r="AY253" s="103"/>
      <c r="AZ253" s="103"/>
      <c r="BA253" s="103"/>
      <c r="BB253" s="103"/>
      <c r="BC253" s="103"/>
      <c r="BD253" s="103"/>
      <c r="BE253" s="103"/>
      <c r="BF253" s="103"/>
      <c r="BG253" s="103"/>
      <c r="BH253" s="103"/>
      <c r="BI253" s="103"/>
      <c r="BJ253" s="103"/>
      <c r="BK253" s="103"/>
    </row>
    <row r="254" spans="3:63" ht="14.4" thickBot="1">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c r="AA254" s="103"/>
      <c r="AB254" s="103"/>
      <c r="AC254" s="103"/>
      <c r="AD254" s="103"/>
      <c r="AE254" s="103"/>
      <c r="AF254" s="103"/>
      <c r="AG254" s="103"/>
      <c r="AH254" s="103"/>
      <c r="AI254" s="103"/>
      <c r="AJ254" s="103"/>
      <c r="AK254" s="103"/>
      <c r="AL254" s="103"/>
      <c r="AM254" s="103"/>
      <c r="AN254" s="103"/>
      <c r="AO254" s="103"/>
      <c r="AP254" s="103"/>
      <c r="AQ254" s="103"/>
      <c r="AR254" s="103"/>
      <c r="AS254" s="103"/>
      <c r="AT254" s="103"/>
      <c r="AU254" s="103"/>
      <c r="AV254" s="103"/>
      <c r="AW254" s="103"/>
      <c r="AX254" s="103"/>
      <c r="AY254" s="103"/>
      <c r="AZ254" s="103"/>
      <c r="BA254" s="103"/>
      <c r="BB254" s="103"/>
      <c r="BC254" s="103"/>
      <c r="BD254" s="103"/>
      <c r="BE254" s="103"/>
      <c r="BF254" s="103"/>
      <c r="BG254" s="103"/>
      <c r="BH254" s="103"/>
      <c r="BI254" s="103"/>
      <c r="BJ254" s="103"/>
      <c r="BK254" s="103"/>
    </row>
    <row r="255" spans="3:63" ht="16.2" thickBot="1">
      <c r="C255" s="488"/>
      <c r="D255" s="489"/>
      <c r="E255" s="489"/>
      <c r="F255" s="489"/>
      <c r="G255" s="489"/>
      <c r="H255" s="489"/>
      <c r="I255" s="489"/>
      <c r="J255" s="489"/>
      <c r="K255" s="489"/>
      <c r="L255" s="489"/>
      <c r="M255" s="489"/>
      <c r="N255" s="489"/>
      <c r="O255" s="489"/>
      <c r="P255" s="489"/>
      <c r="Q255" s="489"/>
      <c r="R255" s="489"/>
      <c r="S255" s="489"/>
      <c r="T255" s="489"/>
      <c r="U255" s="489"/>
      <c r="V255" s="489"/>
      <c r="W255" s="489"/>
      <c r="X255" s="489"/>
      <c r="Y255" s="489"/>
      <c r="Z255" s="489"/>
      <c r="AA255" s="489"/>
      <c r="AB255" s="489"/>
      <c r="AC255" s="489"/>
      <c r="AD255" s="489"/>
      <c r="AE255" s="489"/>
      <c r="AF255" s="489"/>
      <c r="AG255" s="489"/>
      <c r="AH255" s="489"/>
      <c r="AI255" s="489"/>
      <c r="AJ255" s="489"/>
      <c r="AK255" s="489"/>
      <c r="AL255" s="489"/>
      <c r="AM255" s="489"/>
      <c r="AN255" s="489"/>
      <c r="AO255" s="489"/>
      <c r="AP255" s="489"/>
      <c r="AQ255" s="489"/>
      <c r="AR255" s="489"/>
      <c r="AS255" s="489"/>
      <c r="AT255" s="489"/>
      <c r="AU255" s="489"/>
      <c r="AV255" s="489"/>
      <c r="AW255" s="489"/>
      <c r="AX255" s="489"/>
      <c r="AY255" s="489"/>
      <c r="AZ255" s="489"/>
      <c r="BA255" s="489"/>
      <c r="BB255" s="489"/>
      <c r="BC255" s="489"/>
      <c r="BD255" s="488"/>
      <c r="BE255" s="489"/>
      <c r="BF255" s="489"/>
      <c r="BG255" s="489"/>
      <c r="BH255" s="489"/>
      <c r="BI255" s="489"/>
      <c r="BJ255" s="489"/>
      <c r="BK255" s="489"/>
    </row>
    <row r="256" spans="3:63">
      <c r="C256" s="490"/>
      <c r="D256" s="491"/>
      <c r="E256" s="491"/>
      <c r="F256" s="491"/>
      <c r="G256" s="491"/>
      <c r="H256" s="491"/>
      <c r="I256" s="491"/>
      <c r="J256" s="491"/>
      <c r="K256" s="491"/>
      <c r="L256" s="491"/>
      <c r="M256" s="491"/>
      <c r="N256" s="491"/>
      <c r="O256" s="491"/>
      <c r="P256" s="491"/>
      <c r="Q256" s="491"/>
      <c r="R256" s="491"/>
      <c r="S256" s="491"/>
      <c r="T256" s="491"/>
      <c r="U256" s="491"/>
      <c r="V256" s="491"/>
      <c r="W256" s="491"/>
      <c r="X256" s="491"/>
      <c r="Y256" s="491"/>
      <c r="Z256" s="491"/>
      <c r="AA256" s="491"/>
      <c r="AB256" s="491"/>
      <c r="AC256" s="491"/>
      <c r="AD256" s="491"/>
      <c r="AE256" s="491"/>
      <c r="AF256" s="491"/>
      <c r="AG256" s="491"/>
      <c r="AH256" s="491"/>
      <c r="AI256" s="491"/>
      <c r="AJ256" s="491"/>
      <c r="AK256" s="491"/>
      <c r="AL256" s="491"/>
      <c r="AM256" s="491"/>
      <c r="AN256" s="491"/>
      <c r="AO256" s="491"/>
      <c r="AP256" s="491"/>
      <c r="AQ256" s="491"/>
      <c r="AR256" s="491"/>
      <c r="AS256" s="491"/>
      <c r="AT256" s="491"/>
      <c r="AU256" s="491"/>
      <c r="AV256" s="491"/>
      <c r="AW256" s="491"/>
      <c r="AX256" s="491"/>
      <c r="AY256" s="491"/>
      <c r="AZ256" s="491"/>
      <c r="BA256" s="491"/>
      <c r="BB256" s="491"/>
      <c r="BC256" s="491"/>
      <c r="BD256" s="490"/>
      <c r="BE256" s="491"/>
      <c r="BF256" s="491"/>
      <c r="BG256" s="491"/>
      <c r="BH256" s="491"/>
      <c r="BI256" s="491"/>
      <c r="BJ256" s="491"/>
      <c r="BK256" s="491"/>
    </row>
    <row r="257" spans="3:63">
      <c r="C257" s="188"/>
      <c r="D257" s="189"/>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c r="AA257" s="189"/>
      <c r="AB257" s="189"/>
      <c r="AC257" s="189"/>
      <c r="AD257" s="189"/>
      <c r="AE257" s="189"/>
      <c r="AF257" s="189"/>
      <c r="AG257" s="189"/>
      <c r="AH257" s="189"/>
      <c r="AI257" s="189"/>
      <c r="AJ257" s="189"/>
      <c r="AK257" s="189"/>
      <c r="AL257" s="189"/>
      <c r="AM257" s="189"/>
      <c r="AN257" s="189"/>
      <c r="AO257" s="189"/>
      <c r="AP257" s="189"/>
      <c r="AQ257" s="189"/>
      <c r="AR257" s="189"/>
      <c r="AS257" s="189"/>
      <c r="AT257" s="189"/>
      <c r="AU257" s="189"/>
      <c r="AV257" s="189"/>
      <c r="AW257" s="189"/>
      <c r="AX257" s="189"/>
      <c r="AY257" s="189"/>
      <c r="AZ257" s="189"/>
      <c r="BA257" s="189"/>
      <c r="BB257" s="189"/>
      <c r="BC257" s="189"/>
      <c r="BD257" s="188"/>
      <c r="BE257" s="189"/>
      <c r="BF257" s="189"/>
      <c r="BG257" s="189"/>
      <c r="BH257" s="189"/>
      <c r="BI257" s="189"/>
      <c r="BJ257" s="189"/>
      <c r="BK257" s="189"/>
    </row>
    <row r="258" spans="3:63">
      <c r="C258" s="188"/>
      <c r="D258" s="189"/>
      <c r="E258" s="189"/>
      <c r="F258" s="189"/>
      <c r="G258" s="189"/>
      <c r="H258" s="189"/>
      <c r="I258" s="189"/>
      <c r="J258" s="189"/>
      <c r="K258" s="189"/>
      <c r="L258" s="189"/>
      <c r="M258" s="189"/>
      <c r="N258" s="189"/>
      <c r="O258" s="189"/>
      <c r="P258" s="189"/>
      <c r="Q258" s="189"/>
      <c r="R258" s="189"/>
      <c r="S258" s="189"/>
      <c r="T258" s="189"/>
      <c r="U258" s="189"/>
      <c r="V258" s="189"/>
      <c r="W258" s="189"/>
      <c r="X258" s="189"/>
      <c r="Y258" s="189"/>
      <c r="Z258" s="189"/>
      <c r="AA258" s="189"/>
      <c r="AB258" s="189"/>
      <c r="AC258" s="189"/>
      <c r="AD258" s="189"/>
      <c r="AE258" s="189"/>
      <c r="AF258" s="189"/>
      <c r="AG258" s="189"/>
      <c r="AH258" s="189"/>
      <c r="AI258" s="189"/>
      <c r="AJ258" s="189"/>
      <c r="AK258" s="189"/>
      <c r="AL258" s="189"/>
      <c r="AM258" s="189"/>
      <c r="AN258" s="189"/>
      <c r="AO258" s="189"/>
      <c r="AP258" s="189"/>
      <c r="AQ258" s="189"/>
      <c r="AR258" s="189"/>
      <c r="AS258" s="189"/>
      <c r="AT258" s="189"/>
      <c r="AU258" s="189"/>
      <c r="AV258" s="189"/>
      <c r="AW258" s="189"/>
      <c r="AX258" s="189"/>
      <c r="AY258" s="189"/>
      <c r="AZ258" s="189"/>
      <c r="BA258" s="189"/>
      <c r="BB258" s="189"/>
      <c r="BC258" s="189"/>
      <c r="BD258" s="188"/>
      <c r="BE258" s="189"/>
      <c r="BF258" s="189"/>
      <c r="BG258" s="189"/>
      <c r="BH258" s="189"/>
      <c r="BI258" s="189"/>
      <c r="BJ258" s="189"/>
      <c r="BK258" s="189"/>
    </row>
    <row r="259" spans="3:63">
      <c r="C259" s="492"/>
      <c r="D259" s="493"/>
      <c r="E259" s="493"/>
      <c r="F259" s="493"/>
      <c r="G259" s="493"/>
      <c r="H259" s="493"/>
      <c r="I259" s="493"/>
      <c r="J259" s="493"/>
      <c r="K259" s="493"/>
      <c r="L259" s="493"/>
      <c r="M259" s="493"/>
      <c r="N259" s="493"/>
      <c r="O259" s="493"/>
      <c r="P259" s="493"/>
      <c r="Q259" s="493"/>
      <c r="R259" s="493"/>
      <c r="S259" s="493"/>
      <c r="T259" s="493"/>
      <c r="U259" s="493"/>
      <c r="V259" s="493"/>
      <c r="W259" s="493"/>
      <c r="X259" s="493"/>
      <c r="Y259" s="493"/>
      <c r="Z259" s="493"/>
      <c r="AA259" s="493"/>
      <c r="AB259" s="493"/>
      <c r="AC259" s="493"/>
      <c r="AD259" s="493"/>
      <c r="AE259" s="493"/>
      <c r="AF259" s="493"/>
      <c r="AG259" s="493"/>
      <c r="AH259" s="493"/>
      <c r="AI259" s="493"/>
      <c r="AJ259" s="493"/>
      <c r="AK259" s="493"/>
      <c r="AL259" s="493"/>
      <c r="AM259" s="493"/>
      <c r="AN259" s="493"/>
      <c r="AO259" s="493"/>
      <c r="AP259" s="493"/>
      <c r="AQ259" s="493"/>
      <c r="AR259" s="493"/>
      <c r="AS259" s="493"/>
      <c r="AT259" s="493"/>
      <c r="AU259" s="493"/>
      <c r="AV259" s="493"/>
      <c r="AW259" s="493"/>
      <c r="AX259" s="493"/>
      <c r="AY259" s="493"/>
      <c r="AZ259" s="493"/>
      <c r="BA259" s="493"/>
      <c r="BB259" s="493"/>
      <c r="BC259" s="493"/>
      <c r="BD259" s="492"/>
      <c r="BE259" s="493"/>
      <c r="BF259" s="493"/>
      <c r="BG259" s="493"/>
      <c r="BH259" s="493"/>
      <c r="BI259" s="493"/>
      <c r="BJ259" s="493"/>
      <c r="BK259" s="493"/>
    </row>
    <row r="260" spans="3:63">
      <c r="C260" s="190"/>
      <c r="D260" s="191"/>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c r="AA260" s="191"/>
      <c r="AB260" s="191"/>
      <c r="AC260" s="191"/>
      <c r="AD260" s="191"/>
      <c r="AE260" s="191"/>
      <c r="AF260" s="191"/>
      <c r="AG260" s="191"/>
      <c r="AH260" s="191"/>
      <c r="AI260" s="191"/>
      <c r="AJ260" s="191"/>
      <c r="AK260" s="191"/>
      <c r="AL260" s="191"/>
      <c r="AM260" s="191"/>
      <c r="AN260" s="191"/>
      <c r="AO260" s="191"/>
      <c r="AP260" s="191"/>
      <c r="AQ260" s="191"/>
      <c r="AR260" s="191"/>
      <c r="AS260" s="191"/>
      <c r="AT260" s="191"/>
      <c r="AU260" s="191"/>
      <c r="AV260" s="191"/>
      <c r="AW260" s="191"/>
      <c r="AX260" s="191"/>
      <c r="AY260" s="191"/>
      <c r="AZ260" s="191"/>
      <c r="BA260" s="191"/>
      <c r="BB260" s="191"/>
      <c r="BC260" s="191"/>
      <c r="BD260" s="190"/>
      <c r="BE260" s="191"/>
      <c r="BF260" s="191"/>
      <c r="BG260" s="191"/>
      <c r="BH260" s="191"/>
      <c r="BI260" s="191"/>
      <c r="BJ260" s="191"/>
      <c r="BK260" s="191"/>
    </row>
    <row r="261" spans="3:63">
      <c r="C261" s="190"/>
      <c r="D261" s="191"/>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c r="AA261" s="191"/>
      <c r="AB261" s="191"/>
      <c r="AC261" s="191"/>
      <c r="AD261" s="191"/>
      <c r="AE261" s="191"/>
      <c r="AF261" s="191"/>
      <c r="AG261" s="191"/>
      <c r="AH261" s="191"/>
      <c r="AI261" s="191"/>
      <c r="AJ261" s="191"/>
      <c r="AK261" s="191"/>
      <c r="AL261" s="191"/>
      <c r="AM261" s="191"/>
      <c r="AN261" s="191"/>
      <c r="AO261" s="191"/>
      <c r="AP261" s="191"/>
      <c r="AQ261" s="191"/>
      <c r="AR261" s="191"/>
      <c r="AS261" s="191"/>
      <c r="AT261" s="191"/>
      <c r="AU261" s="191"/>
      <c r="AV261" s="191"/>
      <c r="AW261" s="191"/>
      <c r="AX261" s="191"/>
      <c r="AY261" s="191"/>
      <c r="AZ261" s="191"/>
      <c r="BA261" s="191"/>
      <c r="BB261" s="191"/>
      <c r="BC261" s="191"/>
      <c r="BD261" s="190"/>
      <c r="BE261" s="191"/>
      <c r="BF261" s="191"/>
      <c r="BG261" s="191"/>
      <c r="BH261" s="191"/>
      <c r="BI261" s="191"/>
      <c r="BJ261" s="191"/>
      <c r="BK261" s="191"/>
    </row>
    <row r="262" spans="3:63">
      <c r="C262" s="190"/>
      <c r="D262" s="191"/>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c r="AA262" s="191"/>
      <c r="AB262" s="191"/>
      <c r="AC262" s="191"/>
      <c r="AD262" s="191"/>
      <c r="AE262" s="191"/>
      <c r="AF262" s="191"/>
      <c r="AG262" s="191"/>
      <c r="AH262" s="191"/>
      <c r="AI262" s="191"/>
      <c r="AJ262" s="191"/>
      <c r="AK262" s="191"/>
      <c r="AL262" s="191"/>
      <c r="AM262" s="191"/>
      <c r="AN262" s="191"/>
      <c r="AO262" s="191"/>
      <c r="AP262" s="191"/>
      <c r="AQ262" s="191"/>
      <c r="AR262" s="191"/>
      <c r="AS262" s="191"/>
      <c r="AT262" s="191"/>
      <c r="AU262" s="191"/>
      <c r="AV262" s="191"/>
      <c r="AW262" s="191"/>
      <c r="AX262" s="191"/>
      <c r="AY262" s="191"/>
      <c r="AZ262" s="191"/>
      <c r="BA262" s="191"/>
      <c r="BB262" s="191"/>
      <c r="BC262" s="191"/>
      <c r="BD262" s="190"/>
      <c r="BE262" s="191"/>
      <c r="BF262" s="191"/>
      <c r="BG262" s="191"/>
      <c r="BH262" s="191"/>
      <c r="BI262" s="191"/>
      <c r="BJ262" s="191"/>
      <c r="BK262" s="191"/>
    </row>
    <row r="263" spans="3:63">
      <c r="C263" s="190"/>
      <c r="D263" s="191"/>
      <c r="E263" s="191"/>
      <c r="F263" s="191"/>
      <c r="G263" s="191"/>
      <c r="H263" s="191"/>
      <c r="I263" s="191"/>
      <c r="J263" s="191"/>
      <c r="K263" s="191"/>
      <c r="L263" s="191"/>
      <c r="M263" s="191"/>
      <c r="N263" s="191"/>
      <c r="O263" s="191"/>
      <c r="P263" s="191"/>
      <c r="Q263" s="191"/>
      <c r="R263" s="191"/>
      <c r="S263" s="191"/>
      <c r="T263" s="191"/>
      <c r="U263" s="191"/>
      <c r="V263" s="191"/>
      <c r="W263" s="191"/>
      <c r="X263" s="191"/>
      <c r="Y263" s="191"/>
      <c r="Z263" s="191"/>
      <c r="AA263" s="191"/>
      <c r="AB263" s="191"/>
      <c r="AC263" s="191"/>
      <c r="AD263" s="191"/>
      <c r="AE263" s="191"/>
      <c r="AF263" s="191"/>
      <c r="AG263" s="191"/>
      <c r="AH263" s="191"/>
      <c r="AI263" s="191"/>
      <c r="AJ263" s="191"/>
      <c r="AK263" s="191"/>
      <c r="AL263" s="191"/>
      <c r="AM263" s="191"/>
      <c r="AN263" s="191"/>
      <c r="AO263" s="191"/>
      <c r="AP263" s="191"/>
      <c r="AQ263" s="191"/>
      <c r="AR263" s="191"/>
      <c r="AS263" s="191"/>
      <c r="AT263" s="191"/>
      <c r="AU263" s="191"/>
      <c r="AV263" s="191"/>
      <c r="AW263" s="191"/>
      <c r="AX263" s="191"/>
      <c r="AY263" s="191"/>
      <c r="AZ263" s="191"/>
      <c r="BA263" s="191"/>
      <c r="BB263" s="191"/>
      <c r="BC263" s="191"/>
      <c r="BD263" s="190"/>
      <c r="BE263" s="191"/>
      <c r="BF263" s="191"/>
      <c r="BG263" s="191"/>
      <c r="BH263" s="191"/>
      <c r="BI263" s="191"/>
      <c r="BJ263" s="191"/>
      <c r="BK263" s="191"/>
    </row>
    <row r="264" spans="3:63" ht="14.4" thickBot="1">
      <c r="C264" s="156"/>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494"/>
      <c r="AG264" s="494"/>
      <c r="AH264" s="494"/>
      <c r="AI264" s="494"/>
      <c r="AJ264" s="494"/>
      <c r="AK264" s="494"/>
      <c r="AL264" s="494"/>
      <c r="AM264" s="494"/>
      <c r="AN264" s="494"/>
      <c r="AO264" s="494"/>
      <c r="AP264" s="494"/>
      <c r="AQ264" s="494"/>
      <c r="AR264" s="494"/>
      <c r="AS264" s="494"/>
      <c r="AT264" s="494"/>
      <c r="AU264" s="494"/>
      <c r="AV264" s="494"/>
      <c r="AW264" s="494"/>
      <c r="AX264" s="494"/>
      <c r="AY264" s="494"/>
      <c r="AZ264" s="494"/>
      <c r="BA264" s="494"/>
      <c r="BB264" s="494"/>
      <c r="BC264" s="494"/>
      <c r="BD264" s="156"/>
      <c r="BE264" s="494"/>
      <c r="BF264" s="494"/>
      <c r="BG264" s="494"/>
      <c r="BH264" s="494"/>
      <c r="BI264" s="494"/>
      <c r="BJ264" s="494"/>
      <c r="BK264" s="494"/>
    </row>
    <row r="265" spans="3:63" ht="14.4" thickBot="1">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c r="AA265" s="103"/>
      <c r="AB265" s="103"/>
      <c r="AC265" s="103"/>
      <c r="AD265" s="103"/>
      <c r="AE265" s="103"/>
      <c r="AF265" s="103"/>
      <c r="AG265" s="103"/>
      <c r="AH265" s="103"/>
      <c r="AI265" s="103"/>
      <c r="AJ265" s="103"/>
      <c r="AK265" s="103"/>
      <c r="AL265" s="103"/>
      <c r="AM265" s="103"/>
      <c r="AN265" s="103"/>
      <c r="AO265" s="103"/>
      <c r="AP265" s="103"/>
      <c r="AQ265" s="103"/>
      <c r="AR265" s="103"/>
      <c r="AS265" s="103"/>
      <c r="AT265" s="103"/>
      <c r="AU265" s="103"/>
      <c r="AV265" s="103"/>
      <c r="AW265" s="103"/>
      <c r="AX265" s="103"/>
      <c r="AY265" s="103"/>
      <c r="AZ265" s="103"/>
      <c r="BA265" s="103"/>
      <c r="BB265" s="103"/>
      <c r="BC265" s="103"/>
      <c r="BD265" s="103"/>
      <c r="BE265" s="103"/>
      <c r="BF265" s="103"/>
      <c r="BG265" s="103"/>
      <c r="BH265" s="103"/>
      <c r="BI265" s="103"/>
      <c r="BJ265" s="103"/>
      <c r="BK265" s="103"/>
    </row>
    <row r="266" spans="3:63" ht="16.2" thickBot="1">
      <c r="C266" s="488"/>
      <c r="D266" s="489"/>
      <c r="E266" s="489"/>
      <c r="F266" s="489"/>
      <c r="G266" s="489"/>
      <c r="H266" s="489"/>
      <c r="I266" s="489"/>
      <c r="J266" s="489"/>
      <c r="K266" s="489"/>
      <c r="L266" s="489"/>
      <c r="M266" s="489"/>
      <c r="N266" s="489"/>
      <c r="O266" s="489"/>
      <c r="P266" s="489"/>
      <c r="Q266" s="489"/>
      <c r="R266" s="489"/>
      <c r="S266" s="489"/>
      <c r="T266" s="489"/>
      <c r="U266" s="489"/>
      <c r="V266" s="489"/>
      <c r="W266" s="489"/>
      <c r="X266" s="489"/>
      <c r="Y266" s="489"/>
      <c r="Z266" s="489"/>
      <c r="AA266" s="489"/>
      <c r="AB266" s="489"/>
      <c r="AC266" s="489"/>
      <c r="AD266" s="489"/>
      <c r="AE266" s="489"/>
      <c r="AF266" s="489"/>
      <c r="AG266" s="489"/>
      <c r="AH266" s="489"/>
      <c r="AI266" s="489"/>
      <c r="AJ266" s="489"/>
      <c r="AK266" s="489"/>
      <c r="AL266" s="489"/>
      <c r="AM266" s="489"/>
      <c r="AN266" s="489"/>
      <c r="AO266" s="489"/>
      <c r="AP266" s="489"/>
      <c r="AQ266" s="489"/>
      <c r="AR266" s="489"/>
      <c r="AS266" s="489"/>
      <c r="AT266" s="489"/>
      <c r="AU266" s="489"/>
      <c r="AV266" s="489"/>
      <c r="AW266" s="489"/>
      <c r="AX266" s="489"/>
      <c r="AY266" s="489"/>
      <c r="AZ266" s="489"/>
      <c r="BA266" s="489"/>
      <c r="BB266" s="489"/>
      <c r="BC266" s="489"/>
      <c r="BD266" s="488"/>
      <c r="BE266" s="489"/>
      <c r="BF266" s="489"/>
      <c r="BG266" s="489"/>
      <c r="BH266" s="489"/>
      <c r="BI266" s="489"/>
      <c r="BJ266" s="489"/>
      <c r="BK266" s="489"/>
    </row>
    <row r="267" spans="3:63" ht="14.4" thickBot="1">
      <c r="C267" s="156"/>
      <c r="D267" s="494"/>
      <c r="E267" s="494"/>
      <c r="F267" s="494"/>
      <c r="G267" s="494"/>
      <c r="H267" s="494"/>
      <c r="I267" s="494"/>
      <c r="J267" s="494"/>
      <c r="K267" s="494"/>
      <c r="L267" s="494"/>
      <c r="M267" s="494"/>
      <c r="N267" s="494"/>
      <c r="O267" s="494"/>
      <c r="P267" s="494"/>
      <c r="Q267" s="494"/>
      <c r="R267" s="494"/>
      <c r="S267" s="494"/>
      <c r="T267" s="494"/>
      <c r="U267" s="494"/>
      <c r="V267" s="494"/>
      <c r="W267" s="494"/>
      <c r="X267" s="494"/>
      <c r="Y267" s="494"/>
      <c r="Z267" s="494"/>
      <c r="AA267" s="494"/>
      <c r="AB267" s="494"/>
      <c r="AC267" s="494"/>
      <c r="AD267" s="494"/>
      <c r="AE267" s="494"/>
      <c r="AF267" s="494"/>
      <c r="AG267" s="494"/>
      <c r="AH267" s="494"/>
      <c r="AI267" s="494"/>
      <c r="AJ267" s="494"/>
      <c r="AK267" s="494"/>
      <c r="AL267" s="494"/>
      <c r="AM267" s="494"/>
      <c r="AN267" s="494"/>
      <c r="AO267" s="494"/>
      <c r="AP267" s="494"/>
      <c r="AQ267" s="494"/>
      <c r="AR267" s="494"/>
      <c r="AS267" s="494"/>
      <c r="AT267" s="494"/>
      <c r="AU267" s="494"/>
      <c r="AV267" s="494"/>
      <c r="AW267" s="494"/>
      <c r="AX267" s="494"/>
      <c r="AY267" s="494"/>
      <c r="AZ267" s="494"/>
      <c r="BA267" s="494"/>
      <c r="BB267" s="494"/>
      <c r="BC267" s="494"/>
      <c r="BD267" s="156"/>
      <c r="BE267" s="494"/>
      <c r="BF267" s="494"/>
      <c r="BG267" s="494"/>
      <c r="BH267" s="494"/>
      <c r="BI267" s="494"/>
      <c r="BJ267" s="494"/>
      <c r="BK267" s="494"/>
    </row>
    <row r="268" spans="3:63" ht="16.2" thickBot="1">
      <c r="C268" s="488"/>
      <c r="D268" s="489"/>
      <c r="E268" s="489"/>
      <c r="F268" s="489"/>
      <c r="G268" s="489"/>
      <c r="H268" s="489"/>
      <c r="I268" s="489"/>
      <c r="J268" s="489"/>
      <c r="K268" s="489"/>
      <c r="L268" s="489"/>
      <c r="M268" s="489"/>
      <c r="N268" s="489"/>
      <c r="O268" s="489"/>
      <c r="P268" s="489"/>
      <c r="Q268" s="489"/>
      <c r="R268" s="489"/>
      <c r="S268" s="489"/>
      <c r="T268" s="489"/>
      <c r="U268" s="489"/>
      <c r="V268" s="489"/>
      <c r="W268" s="489"/>
      <c r="X268" s="489"/>
      <c r="Y268" s="489"/>
      <c r="Z268" s="489"/>
      <c r="AA268" s="489"/>
      <c r="AB268" s="489"/>
      <c r="AC268" s="489"/>
      <c r="AD268" s="489"/>
      <c r="AE268" s="489"/>
      <c r="AF268" s="489"/>
      <c r="AG268" s="489"/>
      <c r="AH268" s="489"/>
      <c r="AI268" s="489"/>
      <c r="AJ268" s="489"/>
      <c r="AK268" s="489"/>
      <c r="AL268" s="489"/>
      <c r="AM268" s="489"/>
      <c r="AN268" s="489"/>
      <c r="AO268" s="489"/>
      <c r="AP268" s="489"/>
      <c r="AQ268" s="489"/>
      <c r="AR268" s="489"/>
      <c r="AS268" s="489"/>
      <c r="AT268" s="489"/>
      <c r="AU268" s="489"/>
      <c r="AV268" s="489"/>
      <c r="AW268" s="489"/>
      <c r="AX268" s="489"/>
      <c r="AY268" s="489"/>
      <c r="AZ268" s="489"/>
      <c r="BA268" s="489"/>
      <c r="BB268" s="489"/>
      <c r="BC268" s="489"/>
      <c r="BD268" s="488"/>
      <c r="BE268" s="489"/>
      <c r="BF268" s="489"/>
      <c r="BG268" s="489"/>
      <c r="BH268" s="489"/>
      <c r="BI268" s="489"/>
      <c r="BJ268" s="489"/>
      <c r="BK268" s="489"/>
    </row>
    <row r="269" spans="3:63">
      <c r="C269" s="490"/>
      <c r="D269" s="491"/>
      <c r="E269" s="491"/>
      <c r="F269" s="491"/>
      <c r="G269" s="491"/>
      <c r="H269" s="491"/>
      <c r="I269" s="491"/>
      <c r="J269" s="491"/>
      <c r="K269" s="491"/>
      <c r="L269" s="491"/>
      <c r="M269" s="491"/>
      <c r="N269" s="491"/>
      <c r="O269" s="491"/>
      <c r="P269" s="491"/>
      <c r="Q269" s="491"/>
      <c r="R269" s="491"/>
      <c r="S269" s="491"/>
      <c r="T269" s="491"/>
      <c r="U269" s="491"/>
      <c r="V269" s="491"/>
      <c r="W269" s="491"/>
      <c r="X269" s="491"/>
      <c r="Y269" s="491"/>
      <c r="Z269" s="491"/>
      <c r="AA269" s="491"/>
      <c r="AB269" s="491"/>
      <c r="AC269" s="491"/>
      <c r="AD269" s="491"/>
      <c r="AE269" s="491"/>
      <c r="AF269" s="491"/>
      <c r="AG269" s="491"/>
      <c r="AH269" s="491"/>
      <c r="AI269" s="491"/>
      <c r="AJ269" s="491"/>
      <c r="AK269" s="491"/>
      <c r="AL269" s="491"/>
      <c r="AM269" s="491"/>
      <c r="AN269" s="491"/>
      <c r="AO269" s="491"/>
      <c r="AP269" s="491"/>
      <c r="AQ269" s="491"/>
      <c r="AR269" s="491"/>
      <c r="AS269" s="491"/>
      <c r="AT269" s="491"/>
      <c r="AU269" s="491"/>
      <c r="AV269" s="491"/>
      <c r="AW269" s="491"/>
      <c r="AX269" s="491"/>
      <c r="AY269" s="491"/>
      <c r="AZ269" s="491"/>
      <c r="BA269" s="491"/>
      <c r="BB269" s="491"/>
      <c r="BC269" s="491"/>
      <c r="BD269" s="490"/>
      <c r="BE269" s="491"/>
      <c r="BF269" s="491"/>
      <c r="BG269" s="491"/>
      <c r="BH269" s="491"/>
      <c r="BI269" s="491"/>
      <c r="BJ269" s="491"/>
      <c r="BK269" s="491"/>
    </row>
    <row r="270" spans="3:63">
      <c r="C270" s="492"/>
      <c r="D270" s="493"/>
      <c r="E270" s="493"/>
      <c r="F270" s="493"/>
      <c r="G270" s="493"/>
      <c r="H270" s="493"/>
      <c r="I270" s="493"/>
      <c r="J270" s="493"/>
      <c r="K270" s="493"/>
      <c r="L270" s="493"/>
      <c r="M270" s="493"/>
      <c r="N270" s="493"/>
      <c r="O270" s="493"/>
      <c r="P270" s="493"/>
      <c r="Q270" s="493"/>
      <c r="R270" s="493"/>
      <c r="S270" s="493"/>
      <c r="T270" s="493"/>
      <c r="U270" s="493"/>
      <c r="V270" s="493"/>
      <c r="W270" s="493"/>
      <c r="X270" s="493"/>
      <c r="Y270" s="493"/>
      <c r="Z270" s="493"/>
      <c r="AA270" s="493"/>
      <c r="AB270" s="493"/>
      <c r="AC270" s="493"/>
      <c r="AD270" s="493"/>
      <c r="AE270" s="493"/>
      <c r="AF270" s="493"/>
      <c r="AG270" s="493"/>
      <c r="AH270" s="493"/>
      <c r="AI270" s="493"/>
      <c r="AJ270" s="493"/>
      <c r="AK270" s="493"/>
      <c r="AL270" s="493"/>
      <c r="AM270" s="493"/>
      <c r="AN270" s="493"/>
      <c r="AO270" s="493"/>
      <c r="AP270" s="493"/>
      <c r="AQ270" s="493"/>
      <c r="AR270" s="493"/>
      <c r="AS270" s="493"/>
      <c r="AT270" s="493"/>
      <c r="AU270" s="493"/>
      <c r="AV270" s="493"/>
      <c r="AW270" s="493"/>
      <c r="AX270" s="493"/>
      <c r="AY270" s="493"/>
      <c r="AZ270" s="493"/>
      <c r="BA270" s="493"/>
      <c r="BB270" s="493"/>
      <c r="BC270" s="493"/>
      <c r="BD270" s="492"/>
      <c r="BE270" s="493"/>
      <c r="BF270" s="493"/>
      <c r="BG270" s="493"/>
      <c r="BH270" s="493"/>
      <c r="BI270" s="493"/>
      <c r="BJ270" s="493"/>
      <c r="BK270" s="493"/>
    </row>
    <row r="271" spans="3:63" ht="14.4" thickBot="1">
      <c r="C271" s="156"/>
      <c r="D271" s="494"/>
      <c r="E271" s="494"/>
      <c r="F271" s="494"/>
      <c r="G271" s="494"/>
      <c r="H271" s="494"/>
      <c r="I271" s="494"/>
      <c r="J271" s="494"/>
      <c r="K271" s="494"/>
      <c r="L271" s="494"/>
      <c r="M271" s="494"/>
      <c r="N271" s="494"/>
      <c r="O271" s="494"/>
      <c r="P271" s="494"/>
      <c r="Q271" s="494"/>
      <c r="R271" s="494"/>
      <c r="S271" s="494"/>
      <c r="T271" s="494"/>
      <c r="U271" s="494"/>
      <c r="V271" s="494"/>
      <c r="W271" s="494"/>
      <c r="X271" s="494"/>
      <c r="Y271" s="494"/>
      <c r="Z271" s="494"/>
      <c r="AA271" s="494"/>
      <c r="AB271" s="494"/>
      <c r="AC271" s="494"/>
      <c r="AD271" s="494"/>
      <c r="AE271" s="494"/>
      <c r="AF271" s="494"/>
      <c r="AG271" s="494"/>
      <c r="AH271" s="494"/>
      <c r="AI271" s="494"/>
      <c r="AJ271" s="494"/>
      <c r="AK271" s="494"/>
      <c r="AL271" s="494"/>
      <c r="AM271" s="494"/>
      <c r="AN271" s="494"/>
      <c r="AO271" s="494"/>
      <c r="AP271" s="494"/>
      <c r="AQ271" s="494"/>
      <c r="AR271" s="494"/>
      <c r="AS271" s="494"/>
      <c r="AT271" s="494"/>
      <c r="AU271" s="494"/>
      <c r="AV271" s="494"/>
      <c r="AW271" s="494"/>
      <c r="AX271" s="494"/>
      <c r="AY271" s="494"/>
      <c r="AZ271" s="494"/>
      <c r="BA271" s="494"/>
      <c r="BB271" s="494"/>
      <c r="BC271" s="494"/>
      <c r="BD271" s="156"/>
      <c r="BE271" s="494"/>
      <c r="BF271" s="494"/>
      <c r="BG271" s="494"/>
      <c r="BH271" s="494"/>
      <c r="BI271" s="494"/>
      <c r="BJ271" s="494"/>
      <c r="BK271" s="494"/>
    </row>
    <row r="272" spans="3:6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c r="AA272" s="103"/>
      <c r="AB272" s="103"/>
      <c r="AC272" s="103"/>
      <c r="AD272" s="103"/>
      <c r="AE272" s="103"/>
      <c r="AF272" s="103"/>
      <c r="AG272" s="103"/>
      <c r="AH272" s="103"/>
      <c r="AI272" s="103"/>
      <c r="AJ272" s="103"/>
      <c r="AK272" s="103"/>
      <c r="AL272" s="103"/>
      <c r="AM272" s="103"/>
      <c r="AN272" s="103"/>
      <c r="AO272" s="103"/>
      <c r="AP272" s="103"/>
      <c r="AQ272" s="103"/>
      <c r="AR272" s="103"/>
      <c r="AS272" s="103"/>
      <c r="AT272" s="103"/>
      <c r="AU272" s="103"/>
      <c r="AV272" s="103"/>
      <c r="AW272" s="103"/>
      <c r="AX272" s="103"/>
      <c r="AY272" s="103"/>
      <c r="AZ272" s="103"/>
      <c r="BA272" s="103"/>
      <c r="BB272" s="103"/>
      <c r="BC272" s="103"/>
      <c r="BD272" s="103"/>
      <c r="BE272" s="103"/>
      <c r="BF272" s="103"/>
      <c r="BG272" s="103"/>
      <c r="BH272" s="103"/>
      <c r="BI272" s="103"/>
      <c r="BJ272" s="103"/>
      <c r="BK272" s="103"/>
    </row>
  </sheetData>
  <mergeCells count="2">
    <mergeCell ref="H18:K20"/>
    <mergeCell ref="C18:F20"/>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K19"/>
  <sheetViews>
    <sheetView topLeftCell="AW1" workbookViewId="0">
      <selection activeCell="AZ10" sqref="AZ10"/>
    </sheetView>
  </sheetViews>
  <sheetFormatPr baseColWidth="10" defaultRowHeight="14.4"/>
  <cols>
    <col min="2" max="2" width="28" customWidth="1"/>
  </cols>
  <sheetData>
    <row r="1" spans="1:63" s="2" customFormat="1" ht="15.6">
      <c r="A1" s="149" t="s">
        <v>245</v>
      </c>
    </row>
    <row r="2" spans="1:63" s="2" customFormat="1" thickBot="1"/>
    <row r="3" spans="1:63" s="185" customFormat="1" ht="16.2" thickBot="1">
      <c r="B3" s="150" t="s">
        <v>50</v>
      </c>
      <c r="C3" s="488">
        <v>1930</v>
      </c>
      <c r="D3" s="489">
        <v>1931</v>
      </c>
      <c r="E3" s="489">
        <v>1932</v>
      </c>
      <c r="F3" s="489">
        <v>1933</v>
      </c>
      <c r="G3" s="489">
        <v>1934</v>
      </c>
      <c r="H3" s="489">
        <v>1935</v>
      </c>
      <c r="I3" s="489">
        <v>1936</v>
      </c>
      <c r="J3" s="489">
        <v>1937</v>
      </c>
      <c r="K3" s="489">
        <v>1938</v>
      </c>
      <c r="L3" s="489">
        <v>1939</v>
      </c>
      <c r="M3" s="489">
        <v>1940</v>
      </c>
      <c r="N3" s="489">
        <v>1941</v>
      </c>
      <c r="O3" s="489">
        <v>1942</v>
      </c>
      <c r="P3" s="489">
        <v>1943</v>
      </c>
      <c r="Q3" s="489">
        <v>1944</v>
      </c>
      <c r="R3" s="489">
        <v>1945</v>
      </c>
      <c r="S3" s="489">
        <v>1946</v>
      </c>
      <c r="T3" s="489">
        <v>1947</v>
      </c>
      <c r="U3" s="489">
        <v>1948</v>
      </c>
      <c r="V3" s="489">
        <v>1949</v>
      </c>
      <c r="W3" s="489">
        <v>1950</v>
      </c>
      <c r="X3" s="489">
        <v>1951</v>
      </c>
      <c r="Y3" s="489">
        <v>1952</v>
      </c>
      <c r="Z3" s="489">
        <v>1953</v>
      </c>
      <c r="AA3" s="489">
        <v>1954</v>
      </c>
      <c r="AB3" s="489">
        <v>1955</v>
      </c>
      <c r="AC3" s="489">
        <v>1956</v>
      </c>
      <c r="AD3" s="489">
        <v>1957</v>
      </c>
      <c r="AE3" s="489">
        <v>1958</v>
      </c>
      <c r="AF3" s="489">
        <v>1959</v>
      </c>
      <c r="AG3" s="489">
        <v>1960</v>
      </c>
      <c r="AH3" s="489">
        <v>1961</v>
      </c>
      <c r="AI3" s="489">
        <v>1962</v>
      </c>
      <c r="AJ3" s="489">
        <v>1963</v>
      </c>
      <c r="AK3" s="489">
        <v>1964</v>
      </c>
      <c r="AL3" s="489">
        <v>1965</v>
      </c>
      <c r="AM3" s="489">
        <v>1966</v>
      </c>
      <c r="AN3" s="489">
        <v>1967</v>
      </c>
      <c r="AO3" s="489">
        <v>1968</v>
      </c>
      <c r="AP3" s="489">
        <v>1969</v>
      </c>
      <c r="AQ3" s="489">
        <v>1970</v>
      </c>
      <c r="AR3" s="489">
        <v>1971</v>
      </c>
      <c r="AS3" s="489">
        <v>1972</v>
      </c>
      <c r="AT3" s="489">
        <v>1973</v>
      </c>
      <c r="AU3" s="489">
        <v>1974</v>
      </c>
      <c r="AV3" s="489">
        <v>1975</v>
      </c>
      <c r="AW3" s="489">
        <v>1976</v>
      </c>
      <c r="AX3" s="489">
        <v>1977</v>
      </c>
      <c r="AY3" s="489">
        <v>1978</v>
      </c>
      <c r="AZ3" s="489">
        <v>1979</v>
      </c>
      <c r="BA3" s="489">
        <v>1980</v>
      </c>
      <c r="BB3" s="489">
        <v>1981</v>
      </c>
      <c r="BC3" s="489">
        <v>1982</v>
      </c>
      <c r="BD3" s="489">
        <v>1983</v>
      </c>
      <c r="BE3" s="489">
        <v>1984</v>
      </c>
      <c r="BF3" s="489">
        <v>1985</v>
      </c>
      <c r="BG3" s="489">
        <v>1986</v>
      </c>
      <c r="BH3" s="489">
        <v>1987</v>
      </c>
      <c r="BI3" s="489">
        <v>1988</v>
      </c>
      <c r="BJ3" s="489">
        <v>1989</v>
      </c>
      <c r="BK3" s="495">
        <v>1990</v>
      </c>
    </row>
    <row r="4" spans="1:63" s="186" customFormat="1" ht="15.6">
      <c r="B4" s="151" t="s">
        <v>8</v>
      </c>
      <c r="C4" s="496"/>
      <c r="D4" s="497"/>
      <c r="E4" s="497">
        <v>0.28999999999999998</v>
      </c>
      <c r="F4" s="497">
        <v>0.29199999999999998</v>
      </c>
      <c r="G4" s="497">
        <v>0.29299999999999998</v>
      </c>
      <c r="H4" s="497">
        <v>0.29499999999999998</v>
      </c>
      <c r="I4" s="497">
        <v>0.29599999999999999</v>
      </c>
      <c r="J4" s="497">
        <v>0.29699999999999999</v>
      </c>
      <c r="K4" s="497">
        <v>0.29799999999999999</v>
      </c>
      <c r="L4" s="497">
        <v>0.29899999999999999</v>
      </c>
      <c r="M4" s="497">
        <v>0.3</v>
      </c>
      <c r="N4" s="497">
        <v>0.30099999999999999</v>
      </c>
      <c r="O4" s="497">
        <v>0.30199999999999999</v>
      </c>
      <c r="P4" s="497">
        <v>0.30299999999999999</v>
      </c>
      <c r="Q4" s="497">
        <v>0.30399999999999999</v>
      </c>
      <c r="R4" s="497">
        <v>0.30499999999999999</v>
      </c>
      <c r="S4" s="497">
        <v>0.30599999999999999</v>
      </c>
      <c r="T4" s="497">
        <v>0.307</v>
      </c>
      <c r="U4" s="497">
        <v>0.308</v>
      </c>
      <c r="V4" s="497">
        <v>0.309</v>
      </c>
      <c r="W4" s="497">
        <v>0.31</v>
      </c>
      <c r="X4" s="497">
        <v>0.311</v>
      </c>
      <c r="Y4" s="497">
        <v>0.312</v>
      </c>
      <c r="Z4" s="497">
        <v>0.313</v>
      </c>
      <c r="AA4" s="497">
        <v>0.314</v>
      </c>
      <c r="AB4" s="497">
        <v>0.315</v>
      </c>
      <c r="AC4" s="497">
        <v>0.316</v>
      </c>
      <c r="AD4" s="497">
        <v>0.317</v>
      </c>
      <c r="AE4" s="497">
        <v>0.318</v>
      </c>
      <c r="AF4" s="497">
        <v>0.31900000000000001</v>
      </c>
      <c r="AG4" s="497">
        <v>0.32</v>
      </c>
      <c r="AH4" s="497">
        <v>0.318</v>
      </c>
      <c r="AI4" s="497">
        <v>0.316</v>
      </c>
      <c r="AJ4" s="497">
        <v>0.314</v>
      </c>
      <c r="AK4" s="497">
        <v>0.309</v>
      </c>
      <c r="AL4" s="497">
        <v>0.31</v>
      </c>
      <c r="AM4" s="497">
        <v>0.311</v>
      </c>
      <c r="AN4" s="497">
        <v>0.30599999999999999</v>
      </c>
      <c r="AO4" s="497">
        <v>0.30399999999999999</v>
      </c>
      <c r="AP4" s="497">
        <v>0.30499999999999999</v>
      </c>
      <c r="AQ4" s="497">
        <v>0.3</v>
      </c>
      <c r="AR4" s="497">
        <v>0.29799999999999999</v>
      </c>
      <c r="AS4" s="497">
        <v>0.29899999999999999</v>
      </c>
      <c r="AT4" s="497">
        <v>0.29699999999999999</v>
      </c>
      <c r="AU4" s="497">
        <v>0.29799999999999999</v>
      </c>
      <c r="AV4" s="497">
        <v>0.29599999999999999</v>
      </c>
      <c r="AW4" s="497">
        <v>0.29699999999999999</v>
      </c>
      <c r="AX4" s="497">
        <v>0.29699999999999999</v>
      </c>
      <c r="AY4" s="497">
        <v>0.29599999999999999</v>
      </c>
      <c r="AZ4" s="497">
        <v>0.29599999999999999</v>
      </c>
      <c r="BA4" s="497">
        <v>0.29699999999999999</v>
      </c>
      <c r="BB4" s="497">
        <v>0.29799999999999999</v>
      </c>
      <c r="BC4" s="497">
        <v>0.29899999999999999</v>
      </c>
      <c r="BD4" s="497">
        <v>0.29899999999999999</v>
      </c>
      <c r="BE4" s="497">
        <v>0.3</v>
      </c>
      <c r="BF4" s="497">
        <v>0.30099999999999999</v>
      </c>
      <c r="BG4" s="497">
        <v>0.30199999999999999</v>
      </c>
      <c r="BH4" s="497">
        <v>0.30299999999999999</v>
      </c>
      <c r="BI4" s="497">
        <v>0.30299999999999999</v>
      </c>
      <c r="BJ4" s="497">
        <v>0.30399999999999999</v>
      </c>
      <c r="BK4" s="498">
        <v>0.30499999999999999</v>
      </c>
    </row>
    <row r="5" spans="1:63" s="186" customFormat="1" ht="15.6">
      <c r="B5" s="152" t="s">
        <v>9</v>
      </c>
      <c r="C5" s="499"/>
      <c r="D5" s="500"/>
      <c r="E5" s="500">
        <v>0.28799999999999998</v>
      </c>
      <c r="F5" s="500">
        <v>0.28999999999999998</v>
      </c>
      <c r="G5" s="500">
        <v>0.29099999999999998</v>
      </c>
      <c r="H5" s="500">
        <v>0.29199999999999998</v>
      </c>
      <c r="I5" s="500">
        <v>0.29299999999999998</v>
      </c>
      <c r="J5" s="500">
        <v>0.29399999999999998</v>
      </c>
      <c r="K5" s="500">
        <v>0.29499999999999998</v>
      </c>
      <c r="L5" s="500">
        <v>0.29499999999999998</v>
      </c>
      <c r="M5" s="500">
        <v>0.29599999999999999</v>
      </c>
      <c r="N5" s="500">
        <v>0.29699999999999999</v>
      </c>
      <c r="O5" s="500">
        <v>0.29699999999999999</v>
      </c>
      <c r="P5" s="500">
        <v>0.29799999999999999</v>
      </c>
      <c r="Q5" s="500">
        <v>0.29899999999999999</v>
      </c>
      <c r="R5" s="500">
        <v>0.29899999999999999</v>
      </c>
      <c r="S5" s="500">
        <v>0.3</v>
      </c>
      <c r="T5" s="500">
        <v>0.30099999999999999</v>
      </c>
      <c r="U5" s="500">
        <v>0.30099999999999999</v>
      </c>
      <c r="V5" s="500">
        <v>0.30199999999999999</v>
      </c>
      <c r="W5" s="500">
        <v>0.30299999999999999</v>
      </c>
      <c r="X5" s="500">
        <v>0.30299999999999999</v>
      </c>
      <c r="Y5" s="500">
        <v>0.30399999999999999</v>
      </c>
      <c r="Z5" s="500">
        <v>0.30499999999999999</v>
      </c>
      <c r="AA5" s="500">
        <v>0.30499999999999999</v>
      </c>
      <c r="AB5" s="500">
        <v>0.30599999999999999</v>
      </c>
      <c r="AC5" s="500">
        <v>0.30599999999999999</v>
      </c>
      <c r="AD5" s="500">
        <v>0.307</v>
      </c>
      <c r="AE5" s="500">
        <v>0.308</v>
      </c>
      <c r="AF5" s="500">
        <v>0.308</v>
      </c>
      <c r="AG5" s="500">
        <v>0.309</v>
      </c>
      <c r="AH5" s="500">
        <v>0.307</v>
      </c>
      <c r="AI5" s="500">
        <v>0.30399999999999999</v>
      </c>
      <c r="AJ5" s="500">
        <v>0.30199999999999999</v>
      </c>
      <c r="AK5" s="500">
        <v>0.29699999999999999</v>
      </c>
      <c r="AL5" s="500">
        <v>0.29699999999999999</v>
      </c>
      <c r="AM5" s="500">
        <v>0.29799999999999999</v>
      </c>
      <c r="AN5" s="500">
        <v>0.29299999999999998</v>
      </c>
      <c r="AO5" s="500">
        <v>0.28999999999999998</v>
      </c>
      <c r="AP5" s="500">
        <v>0.29099999999999998</v>
      </c>
      <c r="AQ5" s="500">
        <v>0.28599999999999998</v>
      </c>
      <c r="AR5" s="500">
        <v>0.28299999999999997</v>
      </c>
      <c r="AS5" s="500">
        <v>0.28399999999999997</v>
      </c>
      <c r="AT5" s="500">
        <v>0.28100000000000003</v>
      </c>
      <c r="AU5" s="500">
        <v>0.28199999999999997</v>
      </c>
      <c r="AV5" s="500">
        <v>0.27900000000000003</v>
      </c>
      <c r="AW5" s="500">
        <v>0.28000000000000003</v>
      </c>
      <c r="AX5" s="500">
        <v>0.28000000000000003</v>
      </c>
      <c r="AY5" s="500">
        <v>0.27700000000000002</v>
      </c>
      <c r="AZ5" s="500">
        <v>0.27800000000000002</v>
      </c>
      <c r="BA5" s="500">
        <v>0.27800000000000002</v>
      </c>
      <c r="BB5" s="500">
        <v>0.27800000000000002</v>
      </c>
      <c r="BC5" s="500">
        <v>0.27900000000000003</v>
      </c>
      <c r="BD5" s="500">
        <v>0.27900000000000003</v>
      </c>
      <c r="BE5" s="500">
        <v>0.27900000000000003</v>
      </c>
      <c r="BF5" s="500">
        <v>0.27900000000000003</v>
      </c>
      <c r="BG5" s="500">
        <v>0.27900000000000003</v>
      </c>
      <c r="BH5" s="500">
        <v>0.27900000000000003</v>
      </c>
      <c r="BI5" s="500">
        <v>0.28000000000000003</v>
      </c>
      <c r="BJ5" s="500">
        <v>0.28000000000000003</v>
      </c>
      <c r="BK5" s="501">
        <v>0.28000000000000003</v>
      </c>
    </row>
    <row r="6" spans="1:63" s="186" customFormat="1" ht="16.2" thickBot="1">
      <c r="B6" s="153" t="s">
        <v>10</v>
      </c>
      <c r="C6" s="154"/>
      <c r="D6" s="502"/>
      <c r="E6" s="502">
        <v>0.29299999999999998</v>
      </c>
      <c r="F6" s="502">
        <v>0.29499999999999998</v>
      </c>
      <c r="G6" s="502">
        <v>0.29699999999999999</v>
      </c>
      <c r="H6" s="502">
        <v>0.29799999999999999</v>
      </c>
      <c r="I6" s="502">
        <v>0.3</v>
      </c>
      <c r="J6" s="502">
        <v>0.30099999999999999</v>
      </c>
      <c r="K6" s="502">
        <v>0.30299999999999999</v>
      </c>
      <c r="L6" s="502">
        <v>0.30399999999999999</v>
      </c>
      <c r="M6" s="502">
        <v>0.30599999999999999</v>
      </c>
      <c r="N6" s="502">
        <v>0.307</v>
      </c>
      <c r="O6" s="502">
        <v>0.309</v>
      </c>
      <c r="P6" s="502">
        <v>0.31</v>
      </c>
      <c r="Q6" s="502">
        <v>0.311</v>
      </c>
      <c r="R6" s="502">
        <v>0.313</v>
      </c>
      <c r="S6" s="502">
        <v>0.314</v>
      </c>
      <c r="T6" s="502">
        <v>0.315</v>
      </c>
      <c r="U6" s="502">
        <v>0.317</v>
      </c>
      <c r="V6" s="502">
        <v>0.318</v>
      </c>
      <c r="W6" s="502">
        <v>0.32</v>
      </c>
      <c r="X6" s="502">
        <v>0.32100000000000001</v>
      </c>
      <c r="Y6" s="502">
        <v>0.32200000000000001</v>
      </c>
      <c r="Z6" s="502">
        <v>0.32300000000000001</v>
      </c>
      <c r="AA6" s="502">
        <v>0.32500000000000001</v>
      </c>
      <c r="AB6" s="502">
        <v>0.32600000000000001</v>
      </c>
      <c r="AC6" s="502">
        <v>0.32700000000000001</v>
      </c>
      <c r="AD6" s="502">
        <v>0.32800000000000001</v>
      </c>
      <c r="AE6" s="502">
        <v>0.33</v>
      </c>
      <c r="AF6" s="502">
        <v>0.33100000000000002</v>
      </c>
      <c r="AG6" s="502">
        <v>0.33200000000000002</v>
      </c>
      <c r="AH6" s="502">
        <v>0.33100000000000002</v>
      </c>
      <c r="AI6" s="502">
        <v>0.32900000000000001</v>
      </c>
      <c r="AJ6" s="502">
        <v>0.32700000000000001</v>
      </c>
      <c r="AK6" s="502">
        <v>0.32300000000000001</v>
      </c>
      <c r="AL6" s="502">
        <v>0.32400000000000001</v>
      </c>
      <c r="AM6" s="502">
        <v>0.32500000000000001</v>
      </c>
      <c r="AN6" s="502">
        <v>0.32100000000000001</v>
      </c>
      <c r="AO6" s="502">
        <v>0.31900000000000001</v>
      </c>
      <c r="AP6" s="502">
        <v>0.32</v>
      </c>
      <c r="AQ6" s="502">
        <v>0.316</v>
      </c>
      <c r="AR6" s="502">
        <v>0.314</v>
      </c>
      <c r="AS6" s="502">
        <v>0.316</v>
      </c>
      <c r="AT6" s="502">
        <v>0.314</v>
      </c>
      <c r="AU6" s="502">
        <v>0.315</v>
      </c>
      <c r="AV6" s="502">
        <v>0.313</v>
      </c>
      <c r="AW6" s="502">
        <v>0.314</v>
      </c>
      <c r="AX6" s="502">
        <v>0.315</v>
      </c>
      <c r="AY6" s="502">
        <v>0.314</v>
      </c>
      <c r="AZ6" s="502">
        <v>0.315</v>
      </c>
      <c r="BA6" s="502">
        <v>0.316</v>
      </c>
      <c r="BB6" s="502">
        <v>0.317</v>
      </c>
      <c r="BC6" s="502">
        <v>0.318</v>
      </c>
      <c r="BD6" s="502">
        <v>0.31900000000000001</v>
      </c>
      <c r="BE6" s="502">
        <v>0.32</v>
      </c>
      <c r="BF6" s="502">
        <v>0.32100000000000001</v>
      </c>
      <c r="BG6" s="502">
        <v>0.32200000000000001</v>
      </c>
      <c r="BH6" s="502">
        <v>0.32300000000000001</v>
      </c>
      <c r="BI6" s="502">
        <v>0.32400000000000001</v>
      </c>
      <c r="BJ6" s="502">
        <v>0.32500000000000001</v>
      </c>
      <c r="BK6" s="503">
        <v>0.32600000000000001</v>
      </c>
    </row>
    <row r="7" spans="1:63" s="185" customFormat="1" ht="16.2" thickBot="1">
      <c r="B7" s="150" t="s">
        <v>51</v>
      </c>
      <c r="C7" s="488">
        <v>1930</v>
      </c>
      <c r="D7" s="489">
        <v>1931</v>
      </c>
      <c r="E7" s="489">
        <v>1932</v>
      </c>
      <c r="F7" s="489">
        <v>1933</v>
      </c>
      <c r="G7" s="489">
        <v>1934</v>
      </c>
      <c r="H7" s="489">
        <v>1935</v>
      </c>
      <c r="I7" s="489">
        <v>1936</v>
      </c>
      <c r="J7" s="489">
        <v>1937</v>
      </c>
      <c r="K7" s="489">
        <v>1938</v>
      </c>
      <c r="L7" s="489">
        <v>1939</v>
      </c>
      <c r="M7" s="489">
        <v>1940</v>
      </c>
      <c r="N7" s="489">
        <v>1941</v>
      </c>
      <c r="O7" s="489">
        <v>1942</v>
      </c>
      <c r="P7" s="489">
        <v>1943</v>
      </c>
      <c r="Q7" s="489">
        <v>1944</v>
      </c>
      <c r="R7" s="489">
        <v>1945</v>
      </c>
      <c r="S7" s="489">
        <v>1946</v>
      </c>
      <c r="T7" s="489">
        <v>1947</v>
      </c>
      <c r="U7" s="489">
        <v>1948</v>
      </c>
      <c r="V7" s="489">
        <v>1949</v>
      </c>
      <c r="W7" s="489">
        <v>1950</v>
      </c>
      <c r="X7" s="489">
        <v>1951</v>
      </c>
      <c r="Y7" s="489">
        <v>1952</v>
      </c>
      <c r="Z7" s="489">
        <v>1953</v>
      </c>
      <c r="AA7" s="489">
        <v>1954</v>
      </c>
      <c r="AB7" s="489">
        <v>1955</v>
      </c>
      <c r="AC7" s="489">
        <v>1956</v>
      </c>
      <c r="AD7" s="489">
        <v>1957</v>
      </c>
      <c r="AE7" s="489">
        <v>1958</v>
      </c>
      <c r="AF7" s="489">
        <v>1959</v>
      </c>
      <c r="AG7" s="489">
        <v>1960</v>
      </c>
      <c r="AH7" s="489">
        <v>1961</v>
      </c>
      <c r="AI7" s="489">
        <v>1962</v>
      </c>
      <c r="AJ7" s="489">
        <v>1963</v>
      </c>
      <c r="AK7" s="489">
        <v>1964</v>
      </c>
      <c r="AL7" s="489">
        <v>1965</v>
      </c>
      <c r="AM7" s="489">
        <v>1966</v>
      </c>
      <c r="AN7" s="489">
        <v>1967</v>
      </c>
      <c r="AO7" s="489">
        <v>1968</v>
      </c>
      <c r="AP7" s="489">
        <v>1969</v>
      </c>
      <c r="AQ7" s="489">
        <v>1970</v>
      </c>
      <c r="AR7" s="489">
        <v>1971</v>
      </c>
      <c r="AS7" s="489">
        <v>1972</v>
      </c>
      <c r="AT7" s="489">
        <v>1973</v>
      </c>
      <c r="AU7" s="489">
        <v>1974</v>
      </c>
      <c r="AV7" s="489">
        <v>1975</v>
      </c>
      <c r="AW7" s="489">
        <v>1976</v>
      </c>
      <c r="AX7" s="489">
        <v>1977</v>
      </c>
      <c r="AY7" s="489">
        <v>1978</v>
      </c>
      <c r="AZ7" s="489">
        <v>1979</v>
      </c>
      <c r="BA7" s="489">
        <v>1980</v>
      </c>
      <c r="BB7" s="489">
        <v>1981</v>
      </c>
      <c r="BC7" s="489">
        <v>1982</v>
      </c>
      <c r="BD7" s="489">
        <v>1983</v>
      </c>
      <c r="BE7" s="489">
        <v>1984</v>
      </c>
      <c r="BF7" s="489">
        <v>1985</v>
      </c>
      <c r="BG7" s="489">
        <v>1986</v>
      </c>
      <c r="BH7" s="489">
        <v>1987</v>
      </c>
      <c r="BI7" s="489">
        <v>1988</v>
      </c>
      <c r="BJ7" s="489">
        <v>1989</v>
      </c>
      <c r="BK7" s="495">
        <v>1990</v>
      </c>
    </row>
    <row r="8" spans="1:63" s="103" customFormat="1" ht="15.6">
      <c r="B8" s="151" t="s">
        <v>8</v>
      </c>
      <c r="C8" s="496">
        <v>0.27700000000000002</v>
      </c>
      <c r="D8" s="497"/>
      <c r="E8" s="497">
        <v>0.28199999999999997</v>
      </c>
      <c r="F8" s="497"/>
      <c r="G8" s="497">
        <v>0.28499999999999998</v>
      </c>
      <c r="H8" s="497"/>
      <c r="I8" s="497">
        <v>0.28699999999999998</v>
      </c>
      <c r="J8" s="497"/>
      <c r="K8" s="497">
        <v>0.28999999999999998</v>
      </c>
      <c r="L8" s="497"/>
      <c r="M8" s="497">
        <v>0.29099999999999998</v>
      </c>
      <c r="N8" s="497"/>
      <c r="O8" s="497">
        <v>0.29299999999999998</v>
      </c>
      <c r="P8" s="497">
        <v>0.29399999999999998</v>
      </c>
      <c r="Q8" s="497">
        <v>0.29499999999999998</v>
      </c>
      <c r="R8" s="497">
        <v>0.29599999999999999</v>
      </c>
      <c r="S8" s="497">
        <v>0.3</v>
      </c>
      <c r="T8" s="497">
        <v>0.30199999999999999</v>
      </c>
      <c r="U8" s="497">
        <v>0.30399999999999999</v>
      </c>
      <c r="V8" s="497">
        <v>0.30599999999999999</v>
      </c>
      <c r="W8" s="497">
        <v>0.30599999999999999</v>
      </c>
      <c r="X8" s="497">
        <v>0.30499999999999999</v>
      </c>
      <c r="Y8" s="497">
        <v>0.30199999999999999</v>
      </c>
      <c r="Z8" s="497">
        <v>0.29699999999999999</v>
      </c>
      <c r="AA8" s="497">
        <v>0.29499999999999998</v>
      </c>
      <c r="AB8" s="497">
        <v>0.29199999999999998</v>
      </c>
      <c r="AC8" s="497">
        <v>0.29199999999999998</v>
      </c>
      <c r="AD8" s="497">
        <v>0.29199999999999998</v>
      </c>
      <c r="AE8" s="497">
        <v>0.29199999999999998</v>
      </c>
      <c r="AF8" s="497">
        <v>0.29199999999999998</v>
      </c>
      <c r="AG8" s="497">
        <v>0.29199999999999998</v>
      </c>
      <c r="AH8" s="497">
        <v>0.29099999999999998</v>
      </c>
      <c r="AI8" s="497">
        <v>0.29099999999999998</v>
      </c>
      <c r="AJ8" s="497">
        <v>0.29099999999999998</v>
      </c>
      <c r="AK8" s="497">
        <v>0.28999999999999998</v>
      </c>
      <c r="AL8" s="497">
        <v>0.28899999999999998</v>
      </c>
      <c r="AM8" s="497">
        <v>0.28999999999999998</v>
      </c>
      <c r="AN8" s="497">
        <v>0.28899999999999998</v>
      </c>
      <c r="AO8" s="497">
        <v>0.28899999999999998</v>
      </c>
      <c r="AP8" s="497">
        <v>0.28899999999999998</v>
      </c>
      <c r="AQ8" s="497">
        <v>0.28799999999999998</v>
      </c>
      <c r="AR8" s="497">
        <v>0.28799999999999998</v>
      </c>
      <c r="AS8" s="497">
        <v>0.28699999999999998</v>
      </c>
      <c r="AT8" s="497">
        <v>0.28699999999999998</v>
      </c>
      <c r="AU8" s="497">
        <v>0.28599999999999998</v>
      </c>
      <c r="AV8" s="497">
        <v>0.28699999999999998</v>
      </c>
      <c r="AW8" s="497">
        <v>0.28699999999999998</v>
      </c>
      <c r="AX8" s="497">
        <v>0.28799999999999998</v>
      </c>
      <c r="AY8" s="497">
        <v>0.28899999999999998</v>
      </c>
      <c r="AZ8" s="497">
        <v>0.28999999999999998</v>
      </c>
      <c r="BA8" s="497">
        <v>0.29099999999999998</v>
      </c>
      <c r="BB8" s="497">
        <v>0.29199999999999998</v>
      </c>
      <c r="BC8" s="497">
        <v>0.29299999999999998</v>
      </c>
      <c r="BD8" s="497">
        <v>0.29299999999999998</v>
      </c>
      <c r="BE8" s="497">
        <v>0.29399999999999998</v>
      </c>
      <c r="BF8" s="497">
        <v>0.29499999999999998</v>
      </c>
      <c r="BG8" s="497">
        <v>0.29499999999999998</v>
      </c>
      <c r="BH8" s="497">
        <v>0.29599999999999999</v>
      </c>
      <c r="BI8" s="497">
        <v>0.29699999999999999</v>
      </c>
      <c r="BJ8" s="497">
        <v>0.29799999999999999</v>
      </c>
      <c r="BK8" s="498">
        <v>0.29899999999999999</v>
      </c>
    </row>
    <row r="9" spans="1:63" s="103" customFormat="1" ht="15.6">
      <c r="B9" s="152" t="s">
        <v>9</v>
      </c>
      <c r="C9" s="499">
        <v>0.27500000000000002</v>
      </c>
      <c r="D9" s="500"/>
      <c r="E9" s="500">
        <v>0.27900000000000003</v>
      </c>
      <c r="F9" s="500"/>
      <c r="G9" s="500">
        <v>0.28199999999999997</v>
      </c>
      <c r="H9" s="500"/>
      <c r="I9" s="500">
        <v>0.28399999999999997</v>
      </c>
      <c r="J9" s="500"/>
      <c r="K9" s="500">
        <v>0.28599999999999998</v>
      </c>
      <c r="L9" s="500"/>
      <c r="M9" s="500">
        <v>0.28599999999999998</v>
      </c>
      <c r="N9" s="500"/>
      <c r="O9" s="500">
        <v>0.28799999999999998</v>
      </c>
      <c r="P9" s="500">
        <v>0.28899999999999998</v>
      </c>
      <c r="Q9" s="500">
        <v>0.28899999999999998</v>
      </c>
      <c r="R9" s="500">
        <v>0.28999999999999998</v>
      </c>
      <c r="S9" s="500">
        <v>0.29299999999999998</v>
      </c>
      <c r="T9" s="500">
        <v>0.29499999999999998</v>
      </c>
      <c r="U9" s="500">
        <v>0.29699999999999999</v>
      </c>
      <c r="V9" s="500">
        <v>0.29899999999999999</v>
      </c>
      <c r="W9" s="500">
        <v>0.29799999999999999</v>
      </c>
      <c r="X9" s="500">
        <v>0.29599999999999999</v>
      </c>
      <c r="Y9" s="500">
        <v>0.29299999999999998</v>
      </c>
      <c r="Z9" s="500">
        <v>0.28799999999999998</v>
      </c>
      <c r="AA9" s="500">
        <v>0.28499999999999998</v>
      </c>
      <c r="AB9" s="500">
        <v>0.28199999999999997</v>
      </c>
      <c r="AC9" s="500">
        <v>0.28199999999999997</v>
      </c>
      <c r="AD9" s="500">
        <v>0.28199999999999997</v>
      </c>
      <c r="AE9" s="500">
        <v>0.28100000000000003</v>
      </c>
      <c r="AF9" s="500">
        <v>0.28100000000000003</v>
      </c>
      <c r="AG9" s="500">
        <v>0.28100000000000003</v>
      </c>
      <c r="AH9" s="500">
        <v>0.28000000000000003</v>
      </c>
      <c r="AI9" s="500">
        <v>0.27900000000000003</v>
      </c>
      <c r="AJ9" s="500">
        <v>0.27900000000000003</v>
      </c>
      <c r="AK9" s="500">
        <v>0.27800000000000002</v>
      </c>
      <c r="AL9" s="500">
        <v>0.27700000000000002</v>
      </c>
      <c r="AM9" s="500">
        <v>0.27600000000000002</v>
      </c>
      <c r="AN9" s="500">
        <v>0.27500000000000002</v>
      </c>
      <c r="AO9" s="500">
        <v>0.27500000000000002</v>
      </c>
      <c r="AP9" s="500">
        <v>0.27400000000000002</v>
      </c>
      <c r="AQ9" s="500">
        <v>0.27300000000000002</v>
      </c>
      <c r="AR9" s="500">
        <v>0.27300000000000002</v>
      </c>
      <c r="AS9" s="500">
        <v>0.27200000000000002</v>
      </c>
      <c r="AT9" s="500">
        <v>0.27100000000000002</v>
      </c>
      <c r="AU9" s="500">
        <v>0.27</v>
      </c>
      <c r="AV9" s="500">
        <v>0.27</v>
      </c>
      <c r="AW9" s="500">
        <v>0.27</v>
      </c>
      <c r="AX9" s="500">
        <v>0.27</v>
      </c>
      <c r="AY9" s="500">
        <v>0.27100000000000002</v>
      </c>
      <c r="AZ9" s="500">
        <v>0.27100000000000002</v>
      </c>
      <c r="BA9" s="500">
        <v>0.27200000000000002</v>
      </c>
      <c r="BB9" s="500">
        <v>0.27200000000000002</v>
      </c>
      <c r="BC9" s="500">
        <v>0.27200000000000002</v>
      </c>
      <c r="BD9" s="500">
        <v>0.27200000000000002</v>
      </c>
      <c r="BE9" s="500">
        <v>0.27300000000000002</v>
      </c>
      <c r="BF9" s="500">
        <v>0.27300000000000002</v>
      </c>
      <c r="BG9" s="500">
        <v>0.27300000000000002</v>
      </c>
      <c r="BH9" s="500">
        <v>0.27300000000000002</v>
      </c>
      <c r="BI9" s="500">
        <v>0.27300000000000002</v>
      </c>
      <c r="BJ9" s="500">
        <v>0.27300000000000002</v>
      </c>
      <c r="BK9" s="501">
        <v>0.27400000000000002</v>
      </c>
    </row>
    <row r="10" spans="1:63" s="103" customFormat="1" ht="16.2" thickBot="1">
      <c r="B10" s="153" t="s">
        <v>10</v>
      </c>
      <c r="C10" s="154">
        <v>0.27900000000000003</v>
      </c>
      <c r="D10" s="502"/>
      <c r="E10" s="502">
        <v>0.28399999999999997</v>
      </c>
      <c r="F10" s="502"/>
      <c r="G10" s="502">
        <v>0.28799999999999998</v>
      </c>
      <c r="H10" s="502"/>
      <c r="I10" s="502">
        <v>0.29099999999999998</v>
      </c>
      <c r="J10" s="502"/>
      <c r="K10" s="502">
        <v>0.29499999999999998</v>
      </c>
      <c r="L10" s="502"/>
      <c r="M10" s="502">
        <v>0.29599999999999999</v>
      </c>
      <c r="N10" s="502"/>
      <c r="O10" s="502">
        <v>0.29899999999999999</v>
      </c>
      <c r="P10" s="502">
        <v>0.30099999999999999</v>
      </c>
      <c r="Q10" s="502">
        <v>0.30199999999999999</v>
      </c>
      <c r="R10" s="502">
        <v>0.30399999999999999</v>
      </c>
      <c r="S10" s="502">
        <v>0.307</v>
      </c>
      <c r="T10" s="502">
        <v>0.31</v>
      </c>
      <c r="U10" s="502">
        <v>0.312</v>
      </c>
      <c r="V10" s="502">
        <v>0.315</v>
      </c>
      <c r="W10" s="502">
        <v>0.315</v>
      </c>
      <c r="X10" s="502">
        <v>0.314</v>
      </c>
      <c r="Y10" s="502">
        <v>0.312</v>
      </c>
      <c r="Z10" s="502">
        <v>0.308</v>
      </c>
      <c r="AA10" s="502">
        <v>0.30599999999999999</v>
      </c>
      <c r="AB10" s="502">
        <v>0.30299999999999999</v>
      </c>
      <c r="AC10" s="502">
        <v>0.30299999999999999</v>
      </c>
      <c r="AD10" s="502">
        <v>0.30399999999999999</v>
      </c>
      <c r="AE10" s="502">
        <v>0.30399999999999999</v>
      </c>
      <c r="AF10" s="502">
        <v>0.30399999999999999</v>
      </c>
      <c r="AG10" s="502">
        <v>0.30499999999999999</v>
      </c>
      <c r="AH10" s="502">
        <v>0.30399999999999999</v>
      </c>
      <c r="AI10" s="502">
        <v>0.30499999999999999</v>
      </c>
      <c r="AJ10" s="502">
        <v>0.30499999999999999</v>
      </c>
      <c r="AK10" s="502">
        <v>0.30399999999999999</v>
      </c>
      <c r="AL10" s="502">
        <v>0.30399999999999999</v>
      </c>
      <c r="AM10" s="502">
        <v>0.30499999999999999</v>
      </c>
      <c r="AN10" s="502">
        <v>0.30399999999999999</v>
      </c>
      <c r="AO10" s="502">
        <v>0.30399999999999999</v>
      </c>
      <c r="AP10" s="502">
        <v>0.30399999999999999</v>
      </c>
      <c r="AQ10" s="502">
        <v>0.30399999999999999</v>
      </c>
      <c r="AR10" s="502">
        <v>0.30399999999999999</v>
      </c>
      <c r="AS10" s="502">
        <v>0.30399999999999999</v>
      </c>
      <c r="AT10" s="502">
        <v>0.30399999999999999</v>
      </c>
      <c r="AU10" s="502">
        <v>0.30399999999999999</v>
      </c>
      <c r="AV10" s="502">
        <v>0.30399999999999999</v>
      </c>
      <c r="AW10" s="502">
        <v>0.30499999999999999</v>
      </c>
      <c r="AX10" s="502">
        <v>0.30599999999999999</v>
      </c>
      <c r="AY10" s="502">
        <v>0.307</v>
      </c>
      <c r="AZ10" s="502">
        <v>0.309</v>
      </c>
      <c r="BA10" s="502">
        <v>0.31</v>
      </c>
      <c r="BB10" s="502">
        <v>0.311</v>
      </c>
      <c r="BC10" s="502">
        <v>0.312</v>
      </c>
      <c r="BD10" s="502">
        <v>0.313</v>
      </c>
      <c r="BE10" s="502">
        <v>0.314</v>
      </c>
      <c r="BF10" s="502">
        <v>0.315</v>
      </c>
      <c r="BG10" s="502">
        <v>0.316</v>
      </c>
      <c r="BH10" s="502">
        <v>0.317</v>
      </c>
      <c r="BI10" s="502">
        <v>0.318</v>
      </c>
      <c r="BJ10" s="502">
        <v>0.31900000000000001</v>
      </c>
      <c r="BK10" s="503">
        <v>0.32</v>
      </c>
    </row>
    <row r="11" spans="1:63" s="2" customFormat="1" ht="13.8"/>
    <row r="12" spans="1:63" s="2" customFormat="1" ht="13.8"/>
    <row r="13" spans="1:63" s="2" customFormat="1" ht="13.8"/>
    <row r="14" spans="1:63" s="2" customFormat="1" ht="13.8"/>
    <row r="15" spans="1:63" s="2" customFormat="1" ht="13.8"/>
    <row r="16" spans="1:63" s="2" customFormat="1" ht="13.8"/>
    <row r="17" spans="3:10" s="2" customFormat="1" ht="15.75" customHeight="1">
      <c r="C17" s="734" t="s">
        <v>176</v>
      </c>
      <c r="D17" s="734"/>
      <c r="E17" s="734"/>
      <c r="F17" s="734"/>
      <c r="G17" s="727" t="s">
        <v>244</v>
      </c>
      <c r="H17" s="727"/>
      <c r="I17" s="727"/>
      <c r="J17" s="727"/>
    </row>
    <row r="18" spans="3:10" ht="15" customHeight="1">
      <c r="C18" s="734"/>
      <c r="D18" s="734"/>
      <c r="E18" s="734"/>
      <c r="F18" s="734"/>
      <c r="G18" s="727"/>
      <c r="H18" s="727"/>
      <c r="I18" s="727"/>
      <c r="J18" s="727"/>
    </row>
    <row r="19" spans="3:10" ht="15" customHeight="1">
      <c r="C19" s="734"/>
      <c r="D19" s="734"/>
      <c r="E19" s="734"/>
      <c r="F19" s="734"/>
      <c r="G19" s="727"/>
      <c r="H19" s="727"/>
      <c r="I19" s="727"/>
      <c r="J19" s="727"/>
    </row>
  </sheetData>
  <mergeCells count="2">
    <mergeCell ref="C17:F19"/>
    <mergeCell ref="G17:J1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A12"/>
  <sheetViews>
    <sheetView topLeftCell="AC1" workbookViewId="0">
      <selection activeCell="BA7" sqref="BA7"/>
    </sheetView>
  </sheetViews>
  <sheetFormatPr baseColWidth="10" defaultColWidth="11.44140625" defaultRowHeight="14.4"/>
  <cols>
    <col min="1" max="1" width="11.44140625" style="10"/>
    <col min="2" max="2" width="40.109375" style="10" customWidth="1"/>
    <col min="3" max="53" width="6.88671875" style="11" customWidth="1"/>
    <col min="54" max="16384" width="11.44140625" style="10"/>
  </cols>
  <sheetData>
    <row r="1" spans="1:53" customFormat="1" ht="15.6">
      <c r="A1" s="31" t="s">
        <v>246</v>
      </c>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row>
    <row r="2" spans="1:53" customFormat="1" ht="15.6">
      <c r="B2" s="31"/>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row>
    <row r="3" spans="1:53" customFormat="1" ht="15" thickBot="1">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row>
    <row r="4" spans="1:53" s="18" customFormat="1" thickBot="1">
      <c r="B4" s="70" t="s">
        <v>23</v>
      </c>
      <c r="C4" s="448">
        <v>1940</v>
      </c>
      <c r="D4" s="449">
        <v>1941</v>
      </c>
      <c r="E4" s="449">
        <v>1942</v>
      </c>
      <c r="F4" s="449">
        <v>1943</v>
      </c>
      <c r="G4" s="449">
        <v>1944</v>
      </c>
      <c r="H4" s="449">
        <v>1945</v>
      </c>
      <c r="I4" s="449">
        <v>1946</v>
      </c>
      <c r="J4" s="449">
        <v>1947</v>
      </c>
      <c r="K4" s="449">
        <v>1948</v>
      </c>
      <c r="L4" s="449">
        <v>1949</v>
      </c>
      <c r="M4" s="449">
        <v>1950</v>
      </c>
      <c r="N4" s="449">
        <v>1951</v>
      </c>
      <c r="O4" s="449">
        <v>1952</v>
      </c>
      <c r="P4" s="449">
        <v>1953</v>
      </c>
      <c r="Q4" s="449">
        <v>1954</v>
      </c>
      <c r="R4" s="449">
        <v>1955</v>
      </c>
      <c r="S4" s="449">
        <v>1956</v>
      </c>
      <c r="T4" s="449">
        <v>1957</v>
      </c>
      <c r="U4" s="449">
        <v>1958</v>
      </c>
      <c r="V4" s="449">
        <v>1959</v>
      </c>
      <c r="W4" s="449">
        <v>1960</v>
      </c>
      <c r="X4" s="449">
        <v>1961</v>
      </c>
      <c r="Y4" s="449">
        <v>1962</v>
      </c>
      <c r="Z4" s="449">
        <v>1963</v>
      </c>
      <c r="AA4" s="449">
        <v>1964</v>
      </c>
      <c r="AB4" s="449">
        <v>1965</v>
      </c>
      <c r="AC4" s="449">
        <v>1966</v>
      </c>
      <c r="AD4" s="449">
        <v>1967</v>
      </c>
      <c r="AE4" s="449">
        <v>1968</v>
      </c>
      <c r="AF4" s="449">
        <v>1969</v>
      </c>
      <c r="AG4" s="449">
        <v>1970</v>
      </c>
      <c r="AH4" s="449">
        <v>1971</v>
      </c>
      <c r="AI4" s="449">
        <v>1972</v>
      </c>
      <c r="AJ4" s="449">
        <v>1973</v>
      </c>
      <c r="AK4" s="449">
        <v>1974</v>
      </c>
      <c r="AL4" s="449">
        <v>1975</v>
      </c>
      <c r="AM4" s="449">
        <v>1976</v>
      </c>
      <c r="AN4" s="449">
        <v>1977</v>
      </c>
      <c r="AO4" s="449">
        <v>1978</v>
      </c>
      <c r="AP4" s="449">
        <v>1979</v>
      </c>
      <c r="AQ4" s="449">
        <v>1980</v>
      </c>
      <c r="AR4" s="449">
        <v>1981</v>
      </c>
      <c r="AS4" s="449">
        <v>1982</v>
      </c>
      <c r="AT4" s="449">
        <v>1983</v>
      </c>
      <c r="AU4" s="449">
        <v>1984</v>
      </c>
      <c r="AV4" s="449">
        <v>1985</v>
      </c>
      <c r="AW4" s="449">
        <v>1986</v>
      </c>
      <c r="AX4" s="449">
        <v>1987</v>
      </c>
      <c r="AY4" s="449">
        <v>1988</v>
      </c>
      <c r="AZ4" s="449">
        <v>1989</v>
      </c>
      <c r="BA4" s="450">
        <v>1990</v>
      </c>
    </row>
    <row r="5" spans="1:53" s="72" customFormat="1" ht="13.8">
      <c r="A5" s="18"/>
      <c r="B5" s="71" t="s">
        <v>19</v>
      </c>
      <c r="C5" s="504">
        <v>0.126</v>
      </c>
      <c r="D5" s="505">
        <v>0.128</v>
      </c>
      <c r="E5" s="505">
        <v>0.13</v>
      </c>
      <c r="F5" s="505">
        <v>0.13200000000000001</v>
      </c>
      <c r="G5" s="505">
        <v>0.13500000000000001</v>
      </c>
      <c r="H5" s="505">
        <v>0.13700000000000001</v>
      </c>
      <c r="I5" s="505">
        <v>0.13900000000000001</v>
      </c>
      <c r="J5" s="505">
        <v>0.14099999999999999</v>
      </c>
      <c r="K5" s="505">
        <v>0.14299999999999999</v>
      </c>
      <c r="L5" s="505">
        <v>0.14499999999999999</v>
      </c>
      <c r="M5" s="505">
        <v>0.14599999999999999</v>
      </c>
      <c r="N5" s="505">
        <v>0.14799999999999999</v>
      </c>
      <c r="O5" s="505">
        <v>0.15</v>
      </c>
      <c r="P5" s="505">
        <v>0.152</v>
      </c>
      <c r="Q5" s="505">
        <v>0.153</v>
      </c>
      <c r="R5" s="505">
        <v>0.155</v>
      </c>
      <c r="S5" s="505">
        <v>0.157</v>
      </c>
      <c r="T5" s="505">
        <v>0.158</v>
      </c>
      <c r="U5" s="505">
        <v>0.16</v>
      </c>
      <c r="V5" s="505">
        <v>0.161</v>
      </c>
      <c r="W5" s="505">
        <v>0.16200000000000001</v>
      </c>
      <c r="X5" s="505">
        <v>0.16400000000000001</v>
      </c>
      <c r="Y5" s="505">
        <v>0.16500000000000001</v>
      </c>
      <c r="Z5" s="505">
        <v>0.16600000000000001</v>
      </c>
      <c r="AA5" s="505">
        <v>0.16700000000000001</v>
      </c>
      <c r="AB5" s="505">
        <v>0.16800000000000001</v>
      </c>
      <c r="AC5" s="505">
        <v>0.16900000000000001</v>
      </c>
      <c r="AD5" s="505">
        <v>0.16900000000000001</v>
      </c>
      <c r="AE5" s="505">
        <v>0.17</v>
      </c>
      <c r="AF5" s="505">
        <v>0.17</v>
      </c>
      <c r="AG5" s="505">
        <v>0.17100000000000001</v>
      </c>
      <c r="AH5" s="505">
        <v>0.17100000000000001</v>
      </c>
      <c r="AI5" s="505">
        <v>0.17199999999999999</v>
      </c>
      <c r="AJ5" s="505">
        <v>0.17199999999999999</v>
      </c>
      <c r="AK5" s="505">
        <v>0.17299999999999999</v>
      </c>
      <c r="AL5" s="505">
        <v>0.17299999999999999</v>
      </c>
      <c r="AM5" s="505">
        <v>0.17299999999999999</v>
      </c>
      <c r="AN5" s="505">
        <v>0.17399999999999999</v>
      </c>
      <c r="AO5" s="505">
        <v>0.17399999999999999</v>
      </c>
      <c r="AP5" s="505">
        <v>0.17399999999999999</v>
      </c>
      <c r="AQ5" s="505">
        <v>0.17499999999999999</v>
      </c>
      <c r="AR5" s="505">
        <v>0.17499999999999999</v>
      </c>
      <c r="AS5" s="505">
        <v>0.17499999999999999</v>
      </c>
      <c r="AT5" s="505">
        <v>0.17499999999999999</v>
      </c>
      <c r="AU5" s="505">
        <v>0.17599999999999999</v>
      </c>
      <c r="AV5" s="505">
        <v>0.17599999999999999</v>
      </c>
      <c r="AW5" s="505">
        <v>0.17599999999999999</v>
      </c>
      <c r="AX5" s="505">
        <v>0.17599999999999999</v>
      </c>
      <c r="AY5" s="505">
        <v>0.17699999999999999</v>
      </c>
      <c r="AZ5" s="505">
        <v>0.17699999999999999</v>
      </c>
      <c r="BA5" s="506">
        <v>0.17699999999999999</v>
      </c>
    </row>
    <row r="6" spans="1:53" s="72" customFormat="1" ht="13.8">
      <c r="A6" s="18"/>
      <c r="B6" s="73" t="s">
        <v>20</v>
      </c>
      <c r="C6" s="80">
        <v>7.0999999999999994E-2</v>
      </c>
      <c r="D6" s="81">
        <v>7.1999999999999995E-2</v>
      </c>
      <c r="E6" s="81">
        <v>7.2999999999999995E-2</v>
      </c>
      <c r="F6" s="81">
        <v>7.4999999999999997E-2</v>
      </c>
      <c r="G6" s="81">
        <v>7.5999999999999998E-2</v>
      </c>
      <c r="H6" s="81">
        <v>7.6999999999999999E-2</v>
      </c>
      <c r="I6" s="81">
        <v>7.8E-2</v>
      </c>
      <c r="J6" s="81">
        <v>0.08</v>
      </c>
      <c r="K6" s="81">
        <v>8.1000000000000003E-2</v>
      </c>
      <c r="L6" s="81">
        <v>8.2000000000000003E-2</v>
      </c>
      <c r="M6" s="81">
        <v>8.3000000000000004E-2</v>
      </c>
      <c r="N6" s="81">
        <v>8.4000000000000005E-2</v>
      </c>
      <c r="O6" s="81">
        <v>8.5000000000000006E-2</v>
      </c>
      <c r="P6" s="81">
        <v>8.5999999999999993E-2</v>
      </c>
      <c r="Q6" s="81">
        <v>8.7999999999999995E-2</v>
      </c>
      <c r="R6" s="81">
        <v>8.8999999999999996E-2</v>
      </c>
      <c r="S6" s="81">
        <v>0.09</v>
      </c>
      <c r="T6" s="81">
        <v>9.0999999999999998E-2</v>
      </c>
      <c r="U6" s="81">
        <v>9.1999999999999998E-2</v>
      </c>
      <c r="V6" s="81">
        <v>9.2999999999999999E-2</v>
      </c>
      <c r="W6" s="81">
        <v>9.4E-2</v>
      </c>
      <c r="X6" s="81">
        <v>9.5000000000000001E-2</v>
      </c>
      <c r="Y6" s="81">
        <v>9.5000000000000001E-2</v>
      </c>
      <c r="Z6" s="81">
        <v>9.6000000000000002E-2</v>
      </c>
      <c r="AA6" s="81">
        <v>9.7000000000000003E-2</v>
      </c>
      <c r="AB6" s="81">
        <v>9.8000000000000004E-2</v>
      </c>
      <c r="AC6" s="81">
        <v>9.8000000000000004E-2</v>
      </c>
      <c r="AD6" s="81">
        <v>9.9000000000000005E-2</v>
      </c>
      <c r="AE6" s="81">
        <v>9.9000000000000005E-2</v>
      </c>
      <c r="AF6" s="81">
        <v>0.1</v>
      </c>
      <c r="AG6" s="81">
        <v>0.1</v>
      </c>
      <c r="AH6" s="81">
        <v>0.1</v>
      </c>
      <c r="AI6" s="81">
        <v>0.10100000000000001</v>
      </c>
      <c r="AJ6" s="81">
        <v>0.10100000000000001</v>
      </c>
      <c r="AK6" s="81">
        <v>0.10100000000000001</v>
      </c>
      <c r="AL6" s="81">
        <v>0.10199999999999999</v>
      </c>
      <c r="AM6" s="81">
        <v>0.10199999999999999</v>
      </c>
      <c r="AN6" s="81">
        <v>0.10199999999999999</v>
      </c>
      <c r="AO6" s="81">
        <v>0.10199999999999999</v>
      </c>
      <c r="AP6" s="81">
        <v>0.10199999999999999</v>
      </c>
      <c r="AQ6" s="81">
        <v>0.10199999999999999</v>
      </c>
      <c r="AR6" s="81">
        <v>0.10199999999999999</v>
      </c>
      <c r="AS6" s="81">
        <v>0.10199999999999999</v>
      </c>
      <c r="AT6" s="81">
        <v>0.10199999999999999</v>
      </c>
      <c r="AU6" s="81">
        <v>0.10199999999999999</v>
      </c>
      <c r="AV6" s="81">
        <v>0.10199999999999999</v>
      </c>
      <c r="AW6" s="81">
        <v>0.10199999999999999</v>
      </c>
      <c r="AX6" s="81">
        <v>0.10199999999999999</v>
      </c>
      <c r="AY6" s="81">
        <v>0.10199999999999999</v>
      </c>
      <c r="AZ6" s="81">
        <v>0.10199999999999999</v>
      </c>
      <c r="BA6" s="82">
        <v>0.10299999999999999</v>
      </c>
    </row>
    <row r="7" spans="1:53" s="79" customFormat="1" thickBot="1">
      <c r="A7" s="74"/>
      <c r="B7" s="75" t="s">
        <v>22</v>
      </c>
      <c r="C7" s="76">
        <v>0.19600000000000001</v>
      </c>
      <c r="D7" s="77">
        <v>0.2</v>
      </c>
      <c r="E7" s="77">
        <v>0.20399999999999999</v>
      </c>
      <c r="F7" s="77">
        <v>0.20699999999999999</v>
      </c>
      <c r="G7" s="77">
        <v>0.21</v>
      </c>
      <c r="H7" s="77">
        <v>0.214</v>
      </c>
      <c r="I7" s="77">
        <v>0.217</v>
      </c>
      <c r="J7" s="77">
        <v>0.22</v>
      </c>
      <c r="K7" s="77">
        <v>0.223</v>
      </c>
      <c r="L7" s="77">
        <v>0.22600000000000001</v>
      </c>
      <c r="M7" s="77">
        <v>0.22900000000000001</v>
      </c>
      <c r="N7" s="77">
        <v>0.23200000000000001</v>
      </c>
      <c r="O7" s="77">
        <v>0.23499999999999999</v>
      </c>
      <c r="P7" s="77">
        <v>0.23799999999999999</v>
      </c>
      <c r="Q7" s="77">
        <v>0.24099999999999999</v>
      </c>
      <c r="R7" s="77">
        <v>0.24399999999999999</v>
      </c>
      <c r="S7" s="77">
        <v>0.246</v>
      </c>
      <c r="T7" s="77">
        <v>0.249</v>
      </c>
      <c r="U7" s="77">
        <v>0.251</v>
      </c>
      <c r="V7" s="77">
        <v>0.254</v>
      </c>
      <c r="W7" s="77">
        <v>0.25600000000000001</v>
      </c>
      <c r="X7" s="77">
        <v>0.25800000000000001</v>
      </c>
      <c r="Y7" s="77">
        <v>0.26</v>
      </c>
      <c r="Z7" s="77">
        <v>0.26200000000000001</v>
      </c>
      <c r="AA7" s="77">
        <v>0.26400000000000001</v>
      </c>
      <c r="AB7" s="77">
        <v>0.26600000000000001</v>
      </c>
      <c r="AC7" s="77">
        <v>0.26700000000000002</v>
      </c>
      <c r="AD7" s="77">
        <v>0.26800000000000002</v>
      </c>
      <c r="AE7" s="77">
        <v>0.26900000000000002</v>
      </c>
      <c r="AF7" s="77">
        <v>0.27</v>
      </c>
      <c r="AG7" s="77">
        <v>0.27100000000000002</v>
      </c>
      <c r="AH7" s="77">
        <v>0.27200000000000002</v>
      </c>
      <c r="AI7" s="77">
        <v>0.27300000000000002</v>
      </c>
      <c r="AJ7" s="77">
        <v>0.27300000000000002</v>
      </c>
      <c r="AK7" s="77">
        <v>0.27400000000000002</v>
      </c>
      <c r="AL7" s="77">
        <v>0.27500000000000002</v>
      </c>
      <c r="AM7" s="77">
        <v>0.27500000000000002</v>
      </c>
      <c r="AN7" s="77">
        <v>0.27600000000000002</v>
      </c>
      <c r="AO7" s="77">
        <v>0.27600000000000002</v>
      </c>
      <c r="AP7" s="77">
        <v>0.27600000000000002</v>
      </c>
      <c r="AQ7" s="77">
        <v>0.27700000000000002</v>
      </c>
      <c r="AR7" s="77">
        <v>0.27700000000000002</v>
      </c>
      <c r="AS7" s="77">
        <v>0.27700000000000002</v>
      </c>
      <c r="AT7" s="77">
        <v>0.27800000000000002</v>
      </c>
      <c r="AU7" s="77">
        <v>0.27800000000000002</v>
      </c>
      <c r="AV7" s="77">
        <v>0.27800000000000002</v>
      </c>
      <c r="AW7" s="77">
        <v>0.27800000000000002</v>
      </c>
      <c r="AX7" s="77">
        <v>0.27900000000000003</v>
      </c>
      <c r="AY7" s="77">
        <v>0.27900000000000003</v>
      </c>
      <c r="AZ7" s="77">
        <v>0.27900000000000003</v>
      </c>
      <c r="BA7" s="78">
        <v>0.27900000000000003</v>
      </c>
    </row>
    <row r="9" spans="1:53">
      <c r="B9" s="6"/>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row>
    <row r="10" spans="1:53">
      <c r="B10" s="6"/>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row>
    <row r="11" spans="1:53">
      <c r="B11" s="6"/>
    </row>
    <row r="12" spans="1:53">
      <c r="B12" s="6"/>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K49"/>
  <sheetViews>
    <sheetView topLeftCell="AW28" workbookViewId="0">
      <selection activeCell="BK38" sqref="BK38"/>
    </sheetView>
  </sheetViews>
  <sheetFormatPr baseColWidth="10" defaultRowHeight="14.4"/>
  <cols>
    <col min="2" max="2" width="28" customWidth="1"/>
  </cols>
  <sheetData>
    <row r="1" spans="1:63" s="2" customFormat="1" ht="15.6">
      <c r="A1" s="149" t="s">
        <v>247</v>
      </c>
    </row>
    <row r="2" spans="1:63" s="2" customFormat="1" thickBot="1"/>
    <row r="3" spans="1:63" s="17" customFormat="1" ht="16.2" thickBot="1">
      <c r="B3" s="507" t="s">
        <v>50</v>
      </c>
      <c r="C3" s="488">
        <v>1930</v>
      </c>
      <c r="D3" s="489">
        <v>1931</v>
      </c>
      <c r="E3" s="489">
        <v>1932</v>
      </c>
      <c r="F3" s="489">
        <v>1933</v>
      </c>
      <c r="G3" s="489">
        <v>1934</v>
      </c>
      <c r="H3" s="489">
        <v>1935</v>
      </c>
      <c r="I3" s="489">
        <v>1936</v>
      </c>
      <c r="J3" s="489">
        <v>1937</v>
      </c>
      <c r="K3" s="489">
        <v>1938</v>
      </c>
      <c r="L3" s="489">
        <v>1939</v>
      </c>
      <c r="M3" s="489">
        <v>1940</v>
      </c>
      <c r="N3" s="489">
        <v>1941</v>
      </c>
      <c r="O3" s="489">
        <v>1942</v>
      </c>
      <c r="P3" s="489">
        <v>1943</v>
      </c>
      <c r="Q3" s="489">
        <v>1944</v>
      </c>
      <c r="R3" s="489">
        <v>1945</v>
      </c>
      <c r="S3" s="489">
        <v>1946</v>
      </c>
      <c r="T3" s="489">
        <v>1947</v>
      </c>
      <c r="U3" s="489">
        <v>1948</v>
      </c>
      <c r="V3" s="489">
        <v>1949</v>
      </c>
      <c r="W3" s="489">
        <v>1950</v>
      </c>
      <c r="X3" s="489">
        <v>1951</v>
      </c>
      <c r="Y3" s="489">
        <v>1952</v>
      </c>
      <c r="Z3" s="489">
        <v>1953</v>
      </c>
      <c r="AA3" s="489">
        <v>1954</v>
      </c>
      <c r="AB3" s="489">
        <v>1955</v>
      </c>
      <c r="AC3" s="489">
        <v>1956</v>
      </c>
      <c r="AD3" s="489">
        <v>1957</v>
      </c>
      <c r="AE3" s="489">
        <v>1958</v>
      </c>
      <c r="AF3" s="489">
        <v>1959</v>
      </c>
      <c r="AG3" s="489">
        <v>1960</v>
      </c>
      <c r="AH3" s="489">
        <v>1961</v>
      </c>
      <c r="AI3" s="489">
        <v>1962</v>
      </c>
      <c r="AJ3" s="489">
        <v>1963</v>
      </c>
      <c r="AK3" s="489">
        <v>1964</v>
      </c>
      <c r="AL3" s="489">
        <v>1965</v>
      </c>
      <c r="AM3" s="489">
        <v>1966</v>
      </c>
      <c r="AN3" s="489">
        <v>1967</v>
      </c>
      <c r="AO3" s="489">
        <v>1968</v>
      </c>
      <c r="AP3" s="489">
        <v>1969</v>
      </c>
      <c r="AQ3" s="489">
        <v>1970</v>
      </c>
      <c r="AR3" s="489">
        <v>1971</v>
      </c>
      <c r="AS3" s="489">
        <v>1972</v>
      </c>
      <c r="AT3" s="489">
        <v>1973</v>
      </c>
      <c r="AU3" s="489">
        <v>1974</v>
      </c>
      <c r="AV3" s="489">
        <v>1975</v>
      </c>
      <c r="AW3" s="489">
        <v>1976</v>
      </c>
      <c r="AX3" s="489">
        <v>1977</v>
      </c>
      <c r="AY3" s="489">
        <v>1978</v>
      </c>
      <c r="AZ3" s="489">
        <v>1979</v>
      </c>
      <c r="BA3" s="489">
        <v>1980</v>
      </c>
      <c r="BB3" s="489">
        <v>1981</v>
      </c>
      <c r="BC3" s="489">
        <v>1982</v>
      </c>
      <c r="BD3" s="489">
        <v>1983</v>
      </c>
      <c r="BE3" s="489">
        <v>1984</v>
      </c>
      <c r="BF3" s="489">
        <v>1985</v>
      </c>
      <c r="BG3" s="489">
        <v>1986</v>
      </c>
      <c r="BH3" s="489">
        <v>1987</v>
      </c>
      <c r="BI3" s="489">
        <v>1988</v>
      </c>
      <c r="BJ3" s="489">
        <v>1989</v>
      </c>
      <c r="BK3" s="495">
        <v>1990</v>
      </c>
    </row>
    <row r="4" spans="1:63" s="16" customFormat="1" ht="15.6">
      <c r="B4" s="151" t="s">
        <v>8</v>
      </c>
      <c r="C4" s="496"/>
      <c r="D4" s="497"/>
      <c r="E4" s="497">
        <v>0.50700000000000001</v>
      </c>
      <c r="F4" s="497">
        <v>0.50600000000000001</v>
      </c>
      <c r="G4" s="497">
        <v>0.505</v>
      </c>
      <c r="H4" s="497">
        <v>0.504</v>
      </c>
      <c r="I4" s="497">
        <v>0.503</v>
      </c>
      <c r="J4" s="497">
        <v>0.502</v>
      </c>
      <c r="K4" s="497">
        <v>0.501</v>
      </c>
      <c r="L4" s="497">
        <v>0.501</v>
      </c>
      <c r="M4" s="497">
        <v>0.5</v>
      </c>
      <c r="N4" s="497">
        <v>0.499</v>
      </c>
      <c r="O4" s="497">
        <v>0.498</v>
      </c>
      <c r="P4" s="497">
        <v>0.498</v>
      </c>
      <c r="Q4" s="497">
        <v>0.497</v>
      </c>
      <c r="R4" s="497">
        <v>0.496</v>
      </c>
      <c r="S4" s="497">
        <v>0.496</v>
      </c>
      <c r="T4" s="497">
        <v>0.49399999999999999</v>
      </c>
      <c r="U4" s="497">
        <v>0.49299999999999999</v>
      </c>
      <c r="V4" s="497">
        <v>0.49199999999999999</v>
      </c>
      <c r="W4" s="497">
        <v>0.49</v>
      </c>
      <c r="X4" s="497">
        <v>0.48799999999999999</v>
      </c>
      <c r="Y4" s="497">
        <v>0.48599999999999999</v>
      </c>
      <c r="Z4" s="497">
        <v>0.48399999999999999</v>
      </c>
      <c r="AA4" s="497">
        <v>0.48299999999999998</v>
      </c>
      <c r="AB4" s="497">
        <v>0.48099999999999998</v>
      </c>
      <c r="AC4" s="497">
        <v>0.47899999999999998</v>
      </c>
      <c r="AD4" s="497">
        <v>0.47699999999999998</v>
      </c>
      <c r="AE4" s="497">
        <v>0.47499999999999998</v>
      </c>
      <c r="AF4" s="497">
        <v>0.47299999999999998</v>
      </c>
      <c r="AG4" s="497">
        <v>0.47099999999999997</v>
      </c>
      <c r="AH4" s="497">
        <v>0.47299999999999998</v>
      </c>
      <c r="AI4" s="497">
        <v>0.47399999999999998</v>
      </c>
      <c r="AJ4" s="497">
        <v>0.47399999999999998</v>
      </c>
      <c r="AK4" s="497">
        <v>0.47599999999999998</v>
      </c>
      <c r="AL4" s="497">
        <v>0.47299999999999998</v>
      </c>
      <c r="AM4" s="497">
        <v>0.47099999999999997</v>
      </c>
      <c r="AN4" s="497">
        <v>0.47499999999999998</v>
      </c>
      <c r="AO4" s="497">
        <v>0.47599999999999998</v>
      </c>
      <c r="AP4" s="497">
        <v>0.47399999999999998</v>
      </c>
      <c r="AQ4" s="497">
        <v>0.47799999999999998</v>
      </c>
      <c r="AR4" s="497">
        <v>0.47799999999999998</v>
      </c>
      <c r="AS4" s="497">
        <v>0.47599999999999998</v>
      </c>
      <c r="AT4" s="497">
        <v>0.47599999999999998</v>
      </c>
      <c r="AU4" s="497">
        <v>0.47399999999999998</v>
      </c>
      <c r="AV4" s="497">
        <v>0.47599999999999998</v>
      </c>
      <c r="AW4" s="497">
        <v>0.47499999999999998</v>
      </c>
      <c r="AX4" s="497">
        <v>0.47399999999999998</v>
      </c>
      <c r="AY4" s="497">
        <v>0.47499999999999998</v>
      </c>
      <c r="AZ4" s="497">
        <v>0.47499999999999998</v>
      </c>
      <c r="BA4" s="497">
        <v>0.47399999999999998</v>
      </c>
      <c r="BB4" s="497">
        <v>0.47399999999999998</v>
      </c>
      <c r="BC4" s="497">
        <v>0.47299999999999998</v>
      </c>
      <c r="BD4" s="497">
        <v>0.47299999999999998</v>
      </c>
      <c r="BE4" s="497">
        <v>0.47199999999999998</v>
      </c>
      <c r="BF4" s="497">
        <v>0.47199999999999998</v>
      </c>
      <c r="BG4" s="497">
        <v>0.47099999999999997</v>
      </c>
      <c r="BH4" s="497">
        <v>0.47099999999999997</v>
      </c>
      <c r="BI4" s="497">
        <v>0.47</v>
      </c>
      <c r="BJ4" s="497">
        <v>0.47</v>
      </c>
      <c r="BK4" s="498">
        <v>0.46899999999999997</v>
      </c>
    </row>
    <row r="5" spans="1:63" s="16" customFormat="1" ht="15.6">
      <c r="B5" s="508" t="s">
        <v>9</v>
      </c>
      <c r="C5" s="499"/>
      <c r="D5" s="500"/>
      <c r="E5" s="500">
        <v>0.50800000000000001</v>
      </c>
      <c r="F5" s="500">
        <v>0.50800000000000001</v>
      </c>
      <c r="G5" s="500">
        <v>0.50700000000000001</v>
      </c>
      <c r="H5" s="500">
        <v>0.50600000000000001</v>
      </c>
      <c r="I5" s="500">
        <v>0.505</v>
      </c>
      <c r="J5" s="500">
        <v>0.505</v>
      </c>
      <c r="K5" s="500">
        <v>0.504</v>
      </c>
      <c r="L5" s="500">
        <v>0.503</v>
      </c>
      <c r="M5" s="500">
        <v>0.503</v>
      </c>
      <c r="N5" s="500">
        <v>0.502</v>
      </c>
      <c r="O5" s="500">
        <v>0.502</v>
      </c>
      <c r="P5" s="500">
        <v>0.501</v>
      </c>
      <c r="Q5" s="500">
        <v>0.501</v>
      </c>
      <c r="R5" s="500">
        <v>0.501</v>
      </c>
      <c r="S5" s="500">
        <v>0.5</v>
      </c>
      <c r="T5" s="500">
        <v>0.499</v>
      </c>
      <c r="U5" s="500">
        <v>0.498</v>
      </c>
      <c r="V5" s="500">
        <v>0.497</v>
      </c>
      <c r="W5" s="500">
        <v>0.496</v>
      </c>
      <c r="X5" s="500">
        <v>0.49399999999999999</v>
      </c>
      <c r="Y5" s="500">
        <v>0.49199999999999999</v>
      </c>
      <c r="Z5" s="500">
        <v>0.49099999999999999</v>
      </c>
      <c r="AA5" s="500">
        <v>0.48899999999999999</v>
      </c>
      <c r="AB5" s="500">
        <v>0.48699999999999999</v>
      </c>
      <c r="AC5" s="500">
        <v>0.48499999999999999</v>
      </c>
      <c r="AD5" s="500">
        <v>0.48399999999999999</v>
      </c>
      <c r="AE5" s="500">
        <v>0.48199999999999998</v>
      </c>
      <c r="AF5" s="500">
        <v>0.48</v>
      </c>
      <c r="AG5" s="500">
        <v>0.47899999999999998</v>
      </c>
      <c r="AH5" s="500">
        <v>0.48</v>
      </c>
      <c r="AI5" s="500">
        <v>0.48199999999999998</v>
      </c>
      <c r="AJ5" s="500">
        <v>0.48199999999999998</v>
      </c>
      <c r="AK5" s="500">
        <v>0.48499999999999999</v>
      </c>
      <c r="AL5" s="500">
        <v>0.48199999999999998</v>
      </c>
      <c r="AM5" s="500">
        <v>0.47899999999999998</v>
      </c>
      <c r="AN5" s="500">
        <v>0.48299999999999998</v>
      </c>
      <c r="AO5" s="500">
        <v>0.48499999999999999</v>
      </c>
      <c r="AP5" s="500">
        <v>0.48299999999999998</v>
      </c>
      <c r="AQ5" s="500">
        <v>0.48799999999999999</v>
      </c>
      <c r="AR5" s="500">
        <v>0.48799999999999999</v>
      </c>
      <c r="AS5" s="500">
        <v>0.48599999999999999</v>
      </c>
      <c r="AT5" s="500">
        <v>0.48599999999999999</v>
      </c>
      <c r="AU5" s="500">
        <v>0.48399999999999999</v>
      </c>
      <c r="AV5" s="500">
        <v>0.48599999999999999</v>
      </c>
      <c r="AW5" s="500">
        <v>0.48499999999999999</v>
      </c>
      <c r="AX5" s="500">
        <v>0.48399999999999999</v>
      </c>
      <c r="AY5" s="500">
        <v>0.48599999999999999</v>
      </c>
      <c r="AZ5" s="500">
        <v>0.48599999999999999</v>
      </c>
      <c r="BA5" s="500">
        <v>0.48499999999999999</v>
      </c>
      <c r="BB5" s="500">
        <v>0.48499999999999999</v>
      </c>
      <c r="BC5" s="500">
        <v>0.48499999999999999</v>
      </c>
      <c r="BD5" s="500">
        <v>0.48399999999999999</v>
      </c>
      <c r="BE5" s="500">
        <v>0.48399999999999999</v>
      </c>
      <c r="BF5" s="500">
        <v>0.48399999999999999</v>
      </c>
      <c r="BG5" s="500">
        <v>0.48299999999999998</v>
      </c>
      <c r="BH5" s="500">
        <v>0.48299999999999998</v>
      </c>
      <c r="BI5" s="500">
        <v>0.48199999999999998</v>
      </c>
      <c r="BJ5" s="500">
        <v>0.48199999999999998</v>
      </c>
      <c r="BK5" s="501">
        <v>0.48199999999999998</v>
      </c>
    </row>
    <row r="6" spans="1:63" s="16" customFormat="1" ht="16.2" thickBot="1">
      <c r="B6" s="153" t="s">
        <v>10</v>
      </c>
      <c r="C6" s="154"/>
      <c r="D6" s="502"/>
      <c r="E6" s="502">
        <v>0.505</v>
      </c>
      <c r="F6" s="502">
        <v>0.504</v>
      </c>
      <c r="G6" s="502">
        <v>0.503</v>
      </c>
      <c r="H6" s="502">
        <v>0.501</v>
      </c>
      <c r="I6" s="502">
        <v>0.5</v>
      </c>
      <c r="J6" s="502">
        <v>0.499</v>
      </c>
      <c r="K6" s="502">
        <v>0.498</v>
      </c>
      <c r="L6" s="502">
        <v>0.497</v>
      </c>
      <c r="M6" s="502">
        <v>0.496</v>
      </c>
      <c r="N6" s="502">
        <v>0.495</v>
      </c>
      <c r="O6" s="502">
        <v>0.49399999999999999</v>
      </c>
      <c r="P6" s="502">
        <v>0.49299999999999999</v>
      </c>
      <c r="Q6" s="502">
        <v>0.49199999999999999</v>
      </c>
      <c r="R6" s="502">
        <v>0.49099999999999999</v>
      </c>
      <c r="S6" s="502">
        <v>0.49</v>
      </c>
      <c r="T6" s="502">
        <v>0.48899999999999999</v>
      </c>
      <c r="U6" s="502">
        <v>0.48699999999999999</v>
      </c>
      <c r="V6" s="502">
        <v>0.48499999999999999</v>
      </c>
      <c r="W6" s="502">
        <v>0.48399999999999999</v>
      </c>
      <c r="X6" s="502">
        <v>0.48199999999999998</v>
      </c>
      <c r="Y6" s="502">
        <v>0.48</v>
      </c>
      <c r="Z6" s="502">
        <v>0.47699999999999998</v>
      </c>
      <c r="AA6" s="502">
        <v>0.47499999999999998</v>
      </c>
      <c r="AB6" s="502">
        <v>0.47299999999999998</v>
      </c>
      <c r="AC6" s="502">
        <v>0.47099999999999997</v>
      </c>
      <c r="AD6" s="502">
        <v>0.46899999999999997</v>
      </c>
      <c r="AE6" s="502">
        <v>0.46700000000000003</v>
      </c>
      <c r="AF6" s="502">
        <v>0.46500000000000002</v>
      </c>
      <c r="AG6" s="502">
        <v>0.46300000000000002</v>
      </c>
      <c r="AH6" s="502">
        <v>0.46400000000000002</v>
      </c>
      <c r="AI6" s="502">
        <v>0.46500000000000002</v>
      </c>
      <c r="AJ6" s="502">
        <v>0.46400000000000002</v>
      </c>
      <c r="AK6" s="502">
        <v>0.46700000000000003</v>
      </c>
      <c r="AL6" s="502">
        <v>0.46400000000000002</v>
      </c>
      <c r="AM6" s="502">
        <v>0.46100000000000002</v>
      </c>
      <c r="AN6" s="502">
        <v>0.46400000000000002</v>
      </c>
      <c r="AO6" s="502">
        <v>0.46500000000000002</v>
      </c>
      <c r="AP6" s="502">
        <v>0.46300000000000002</v>
      </c>
      <c r="AQ6" s="502">
        <v>0.46700000000000003</v>
      </c>
      <c r="AR6" s="502">
        <v>0.46700000000000003</v>
      </c>
      <c r="AS6" s="502">
        <v>0.46500000000000002</v>
      </c>
      <c r="AT6" s="502">
        <v>0.46500000000000002</v>
      </c>
      <c r="AU6" s="502">
        <v>0.46200000000000002</v>
      </c>
      <c r="AV6" s="502">
        <v>0.46400000000000002</v>
      </c>
      <c r="AW6" s="502">
        <v>0.46300000000000002</v>
      </c>
      <c r="AX6" s="502">
        <v>0.46100000000000002</v>
      </c>
      <c r="AY6" s="502">
        <v>0.46300000000000002</v>
      </c>
      <c r="AZ6" s="502">
        <v>0.46200000000000002</v>
      </c>
      <c r="BA6" s="502">
        <v>0.46200000000000002</v>
      </c>
      <c r="BB6" s="502">
        <v>0.46100000000000002</v>
      </c>
      <c r="BC6" s="502">
        <v>0.46</v>
      </c>
      <c r="BD6" s="502">
        <v>0.46</v>
      </c>
      <c r="BE6" s="502">
        <v>0.45900000000000002</v>
      </c>
      <c r="BF6" s="502">
        <v>0.45800000000000002</v>
      </c>
      <c r="BG6" s="502">
        <v>0.45800000000000002</v>
      </c>
      <c r="BH6" s="502">
        <v>0.45700000000000002</v>
      </c>
      <c r="BI6" s="502">
        <v>0.45600000000000002</v>
      </c>
      <c r="BJ6" s="502">
        <v>0.45600000000000002</v>
      </c>
      <c r="BK6" s="503">
        <v>0.45500000000000002</v>
      </c>
    </row>
    <row r="7" spans="1:63" s="17" customFormat="1" ht="16.2" thickBot="1">
      <c r="B7" s="507" t="s">
        <v>51</v>
      </c>
      <c r="C7" s="488">
        <v>1930</v>
      </c>
      <c r="D7" s="489">
        <v>1931</v>
      </c>
      <c r="E7" s="489">
        <v>1932</v>
      </c>
      <c r="F7" s="489">
        <v>1933</v>
      </c>
      <c r="G7" s="489">
        <v>1934</v>
      </c>
      <c r="H7" s="489">
        <v>1935</v>
      </c>
      <c r="I7" s="489">
        <v>1936</v>
      </c>
      <c r="J7" s="489">
        <v>1937</v>
      </c>
      <c r="K7" s="489">
        <v>1938</v>
      </c>
      <c r="L7" s="489">
        <v>1939</v>
      </c>
      <c r="M7" s="489">
        <v>1940</v>
      </c>
      <c r="N7" s="489">
        <v>1941</v>
      </c>
      <c r="O7" s="489">
        <v>1942</v>
      </c>
      <c r="P7" s="489">
        <v>1943</v>
      </c>
      <c r="Q7" s="489">
        <v>1944</v>
      </c>
      <c r="R7" s="489">
        <v>1945</v>
      </c>
      <c r="S7" s="489">
        <v>1946</v>
      </c>
      <c r="T7" s="489">
        <v>1947</v>
      </c>
      <c r="U7" s="489">
        <v>1948</v>
      </c>
      <c r="V7" s="489">
        <v>1949</v>
      </c>
      <c r="W7" s="489">
        <v>1950</v>
      </c>
      <c r="X7" s="489">
        <v>1951</v>
      </c>
      <c r="Y7" s="489">
        <v>1952</v>
      </c>
      <c r="Z7" s="489">
        <v>1953</v>
      </c>
      <c r="AA7" s="489">
        <v>1954</v>
      </c>
      <c r="AB7" s="489">
        <v>1955</v>
      </c>
      <c r="AC7" s="489">
        <v>1956</v>
      </c>
      <c r="AD7" s="489">
        <v>1957</v>
      </c>
      <c r="AE7" s="489">
        <v>1958</v>
      </c>
      <c r="AF7" s="489">
        <v>1959</v>
      </c>
      <c r="AG7" s="489">
        <v>1960</v>
      </c>
      <c r="AH7" s="489">
        <v>1961</v>
      </c>
      <c r="AI7" s="489">
        <v>1962</v>
      </c>
      <c r="AJ7" s="489">
        <v>1963</v>
      </c>
      <c r="AK7" s="489">
        <v>1964</v>
      </c>
      <c r="AL7" s="489">
        <v>1965</v>
      </c>
      <c r="AM7" s="489">
        <v>1966</v>
      </c>
      <c r="AN7" s="489">
        <v>1967</v>
      </c>
      <c r="AO7" s="489">
        <v>1968</v>
      </c>
      <c r="AP7" s="489">
        <v>1969</v>
      </c>
      <c r="AQ7" s="489">
        <v>1970</v>
      </c>
      <c r="AR7" s="489">
        <v>1971</v>
      </c>
      <c r="AS7" s="489">
        <v>1972</v>
      </c>
      <c r="AT7" s="489">
        <v>1973</v>
      </c>
      <c r="AU7" s="489">
        <v>1974</v>
      </c>
      <c r="AV7" s="489">
        <v>1975</v>
      </c>
      <c r="AW7" s="489">
        <v>1976</v>
      </c>
      <c r="AX7" s="489">
        <v>1977</v>
      </c>
      <c r="AY7" s="489">
        <v>1978</v>
      </c>
      <c r="AZ7" s="489">
        <v>1979</v>
      </c>
      <c r="BA7" s="489">
        <v>1980</v>
      </c>
      <c r="BB7" s="489">
        <v>1981</v>
      </c>
      <c r="BC7" s="489">
        <v>1982</v>
      </c>
      <c r="BD7" s="489">
        <v>1983</v>
      </c>
      <c r="BE7" s="489">
        <v>1984</v>
      </c>
      <c r="BF7" s="489">
        <v>1985</v>
      </c>
      <c r="BG7" s="489">
        <v>1986</v>
      </c>
      <c r="BH7" s="489">
        <v>1987</v>
      </c>
      <c r="BI7" s="489">
        <v>1988</v>
      </c>
      <c r="BJ7" s="489">
        <v>1989</v>
      </c>
      <c r="BK7" s="495">
        <v>1990</v>
      </c>
    </row>
    <row r="8" spans="1:63" s="2" customFormat="1" ht="15.6">
      <c r="B8" s="151" t="s">
        <v>8</v>
      </c>
      <c r="C8" s="496">
        <v>0.40600000000000003</v>
      </c>
      <c r="D8" s="497"/>
      <c r="E8" s="497">
        <v>0.40600000000000003</v>
      </c>
      <c r="F8" s="497"/>
      <c r="G8" s="497">
        <v>0.40400000000000003</v>
      </c>
      <c r="H8" s="497"/>
      <c r="I8" s="497">
        <v>0.40400000000000003</v>
      </c>
      <c r="J8" s="497"/>
      <c r="K8" s="497">
        <v>0.41</v>
      </c>
      <c r="L8" s="497"/>
      <c r="M8" s="497">
        <v>0.41299999999999998</v>
      </c>
      <c r="N8" s="497"/>
      <c r="O8" s="497">
        <v>0.41899999999999998</v>
      </c>
      <c r="P8" s="497"/>
      <c r="Q8" s="497">
        <v>0.42299999999999999</v>
      </c>
      <c r="R8" s="497">
        <v>0.42799999999999999</v>
      </c>
      <c r="S8" s="497">
        <v>0.434</v>
      </c>
      <c r="T8" s="497">
        <v>0.438</v>
      </c>
      <c r="U8" s="497">
        <v>0.44</v>
      </c>
      <c r="V8" s="497">
        <v>0.44400000000000001</v>
      </c>
      <c r="W8" s="497">
        <v>0.443</v>
      </c>
      <c r="X8" s="497">
        <v>0.44400000000000001</v>
      </c>
      <c r="Y8" s="497">
        <v>0.44700000000000001</v>
      </c>
      <c r="Z8" s="497">
        <v>0.44600000000000001</v>
      </c>
      <c r="AA8" s="497">
        <v>0.44600000000000001</v>
      </c>
      <c r="AB8" s="497">
        <v>0.44400000000000001</v>
      </c>
      <c r="AC8" s="497">
        <v>0.44700000000000001</v>
      </c>
      <c r="AD8" s="497">
        <v>0.44800000000000001</v>
      </c>
      <c r="AE8" s="497">
        <v>0.44700000000000001</v>
      </c>
      <c r="AF8" s="497">
        <v>0.44700000000000001</v>
      </c>
      <c r="AG8" s="497">
        <v>0.44600000000000001</v>
      </c>
      <c r="AH8" s="497">
        <v>0.44400000000000001</v>
      </c>
      <c r="AI8" s="497">
        <v>0.443</v>
      </c>
      <c r="AJ8" s="497">
        <v>0.441</v>
      </c>
      <c r="AK8" s="497">
        <v>0.44</v>
      </c>
      <c r="AL8" s="497">
        <v>0.436</v>
      </c>
      <c r="AM8" s="497">
        <v>0.434</v>
      </c>
      <c r="AN8" s="497">
        <v>0.43099999999999999</v>
      </c>
      <c r="AO8" s="497">
        <v>0.42699999999999999</v>
      </c>
      <c r="AP8" s="497">
        <v>0.42299999999999999</v>
      </c>
      <c r="AQ8" s="497">
        <v>0.41899999999999998</v>
      </c>
      <c r="AR8" s="497">
        <v>0.42</v>
      </c>
      <c r="AS8" s="497">
        <v>0.41799999999999998</v>
      </c>
      <c r="AT8" s="497">
        <v>0.41699999999999998</v>
      </c>
      <c r="AU8" s="497">
        <v>0.41499999999999998</v>
      </c>
      <c r="AV8" s="497">
        <v>0.41</v>
      </c>
      <c r="AW8" s="497">
        <v>0.41</v>
      </c>
      <c r="AX8" s="497">
        <v>0.41099999999999998</v>
      </c>
      <c r="AY8" s="497">
        <v>0.41199999999999998</v>
      </c>
      <c r="AZ8" s="497">
        <v>0.41499999999999998</v>
      </c>
      <c r="BA8" s="497">
        <v>0.41799999999999998</v>
      </c>
      <c r="BB8" s="497">
        <v>0.42</v>
      </c>
      <c r="BC8" s="497">
        <v>0.42</v>
      </c>
      <c r="BD8" s="497">
        <v>0.41899999999999998</v>
      </c>
      <c r="BE8" s="497">
        <v>0.41899999999999998</v>
      </c>
      <c r="BF8" s="497">
        <v>0.42099999999999999</v>
      </c>
      <c r="BG8" s="497">
        <v>0.42299999999999999</v>
      </c>
      <c r="BH8" s="497">
        <v>0.42199999999999999</v>
      </c>
      <c r="BI8" s="497">
        <v>0.42</v>
      </c>
      <c r="BJ8" s="497">
        <v>0.42</v>
      </c>
      <c r="BK8" s="498">
        <v>0.42</v>
      </c>
    </row>
    <row r="9" spans="1:63" s="2" customFormat="1" ht="15.6">
      <c r="B9" s="508" t="s">
        <v>9</v>
      </c>
      <c r="C9" s="499">
        <v>0.40699999999999997</v>
      </c>
      <c r="D9" s="500"/>
      <c r="E9" s="500">
        <v>0.40699999999999997</v>
      </c>
      <c r="F9" s="500"/>
      <c r="G9" s="500">
        <v>0.40500000000000003</v>
      </c>
      <c r="H9" s="500"/>
      <c r="I9" s="500">
        <v>0.40600000000000003</v>
      </c>
      <c r="J9" s="500"/>
      <c r="K9" s="500">
        <v>0.41199999999999998</v>
      </c>
      <c r="L9" s="500"/>
      <c r="M9" s="500">
        <v>0.41599999999999998</v>
      </c>
      <c r="N9" s="500"/>
      <c r="O9" s="500">
        <v>0.42199999999999999</v>
      </c>
      <c r="P9" s="500"/>
      <c r="Q9" s="500">
        <v>0.42599999999999999</v>
      </c>
      <c r="R9" s="500">
        <v>0.432</v>
      </c>
      <c r="S9" s="500">
        <v>0.438</v>
      </c>
      <c r="T9" s="500">
        <v>0.442</v>
      </c>
      <c r="U9" s="500">
        <v>0.44400000000000001</v>
      </c>
      <c r="V9" s="500">
        <v>0.44900000000000001</v>
      </c>
      <c r="W9" s="500">
        <v>0.44800000000000001</v>
      </c>
      <c r="X9" s="500">
        <v>0.44900000000000001</v>
      </c>
      <c r="Y9" s="500">
        <v>0.45200000000000001</v>
      </c>
      <c r="Z9" s="500">
        <v>0.45100000000000001</v>
      </c>
      <c r="AA9" s="500">
        <v>0.45200000000000001</v>
      </c>
      <c r="AB9" s="500">
        <v>0.45</v>
      </c>
      <c r="AC9" s="500">
        <v>0.45300000000000001</v>
      </c>
      <c r="AD9" s="500">
        <v>0.45500000000000002</v>
      </c>
      <c r="AE9" s="500">
        <v>0.45400000000000001</v>
      </c>
      <c r="AF9" s="500">
        <v>0.45400000000000001</v>
      </c>
      <c r="AG9" s="500">
        <v>0.45300000000000001</v>
      </c>
      <c r="AH9" s="500">
        <v>0.45100000000000001</v>
      </c>
      <c r="AI9" s="500">
        <v>0.45</v>
      </c>
      <c r="AJ9" s="500">
        <v>0.44800000000000001</v>
      </c>
      <c r="AK9" s="500">
        <v>0.44800000000000001</v>
      </c>
      <c r="AL9" s="500">
        <v>0.44400000000000001</v>
      </c>
      <c r="AM9" s="500">
        <v>0.442</v>
      </c>
      <c r="AN9" s="500">
        <v>0.439</v>
      </c>
      <c r="AO9" s="500">
        <v>0.435</v>
      </c>
      <c r="AP9" s="500">
        <v>0.43099999999999999</v>
      </c>
      <c r="AQ9" s="500">
        <v>0.42799999999999999</v>
      </c>
      <c r="AR9" s="500">
        <v>0.42799999999999999</v>
      </c>
      <c r="AS9" s="500">
        <v>0.42699999999999999</v>
      </c>
      <c r="AT9" s="500">
        <v>0.42599999999999999</v>
      </c>
      <c r="AU9" s="500">
        <v>0.42299999999999999</v>
      </c>
      <c r="AV9" s="500">
        <v>0.41899999999999998</v>
      </c>
      <c r="AW9" s="500">
        <v>0.42</v>
      </c>
      <c r="AX9" s="500">
        <v>0.42</v>
      </c>
      <c r="AY9" s="500">
        <v>0.42099999999999999</v>
      </c>
      <c r="AZ9" s="500">
        <v>0.42399999999999999</v>
      </c>
      <c r="BA9" s="500">
        <v>0.42799999999999999</v>
      </c>
      <c r="BB9" s="500">
        <v>0.43</v>
      </c>
      <c r="BC9" s="500">
        <v>0.43</v>
      </c>
      <c r="BD9" s="500">
        <v>0.42899999999999999</v>
      </c>
      <c r="BE9" s="500">
        <v>0.43</v>
      </c>
      <c r="BF9" s="500">
        <v>0.432</v>
      </c>
      <c r="BG9" s="500">
        <v>0.434</v>
      </c>
      <c r="BH9" s="500">
        <v>0.433</v>
      </c>
      <c r="BI9" s="500">
        <v>0.43099999999999999</v>
      </c>
      <c r="BJ9" s="500">
        <v>0.43099999999999999</v>
      </c>
      <c r="BK9" s="501">
        <v>0.43099999999999999</v>
      </c>
    </row>
    <row r="10" spans="1:63" s="2" customFormat="1" ht="16.2" thickBot="1">
      <c r="B10" s="153" t="s">
        <v>10</v>
      </c>
      <c r="C10" s="154">
        <v>0.40500000000000003</v>
      </c>
      <c r="D10" s="502"/>
      <c r="E10" s="502">
        <v>0.40400000000000003</v>
      </c>
      <c r="F10" s="502"/>
      <c r="G10" s="502">
        <v>0.40200000000000002</v>
      </c>
      <c r="H10" s="502"/>
      <c r="I10" s="502">
        <v>0.40200000000000002</v>
      </c>
      <c r="J10" s="502"/>
      <c r="K10" s="502">
        <v>0.40699999999999997</v>
      </c>
      <c r="L10" s="502"/>
      <c r="M10" s="502">
        <v>0.41</v>
      </c>
      <c r="N10" s="502"/>
      <c r="O10" s="502">
        <v>0.41499999999999998</v>
      </c>
      <c r="P10" s="502"/>
      <c r="Q10" s="502">
        <v>0.41899999999999998</v>
      </c>
      <c r="R10" s="502">
        <v>0.42299999999999999</v>
      </c>
      <c r="S10" s="502">
        <v>0.42899999999999999</v>
      </c>
      <c r="T10" s="502">
        <v>0.433</v>
      </c>
      <c r="U10" s="502">
        <v>0.434</v>
      </c>
      <c r="V10" s="502">
        <v>0.438</v>
      </c>
      <c r="W10" s="502">
        <v>0.437</v>
      </c>
      <c r="X10" s="502">
        <v>0.438</v>
      </c>
      <c r="Y10" s="502">
        <v>0.44</v>
      </c>
      <c r="Z10" s="502">
        <v>0.439</v>
      </c>
      <c r="AA10" s="502">
        <v>0.439</v>
      </c>
      <c r="AB10" s="502">
        <v>0.437</v>
      </c>
      <c r="AC10" s="502">
        <v>0.439</v>
      </c>
      <c r="AD10" s="502">
        <v>0.441</v>
      </c>
      <c r="AE10" s="502">
        <v>0.439</v>
      </c>
      <c r="AF10" s="502">
        <v>0.439</v>
      </c>
      <c r="AG10" s="502">
        <v>0.438</v>
      </c>
      <c r="AH10" s="502">
        <v>0.436</v>
      </c>
      <c r="AI10" s="502">
        <v>0.434</v>
      </c>
      <c r="AJ10" s="502">
        <v>0.432</v>
      </c>
      <c r="AK10" s="502">
        <v>0.43099999999999999</v>
      </c>
      <c r="AL10" s="502">
        <v>0.42699999999999999</v>
      </c>
      <c r="AM10" s="502">
        <v>0.42399999999999999</v>
      </c>
      <c r="AN10" s="502">
        <v>0.42099999999999999</v>
      </c>
      <c r="AO10" s="502">
        <v>0.41799999999999998</v>
      </c>
      <c r="AP10" s="502">
        <v>0.41299999999999998</v>
      </c>
      <c r="AQ10" s="502">
        <v>0.41</v>
      </c>
      <c r="AR10" s="502">
        <v>0.41</v>
      </c>
      <c r="AS10" s="502">
        <v>0.40799999999999997</v>
      </c>
      <c r="AT10" s="502">
        <v>0.40699999999999997</v>
      </c>
      <c r="AU10" s="502">
        <v>0.40400000000000003</v>
      </c>
      <c r="AV10" s="502">
        <v>0.4</v>
      </c>
      <c r="AW10" s="502">
        <v>0.4</v>
      </c>
      <c r="AX10" s="502">
        <v>0.4</v>
      </c>
      <c r="AY10" s="502">
        <v>0.40100000000000002</v>
      </c>
      <c r="AZ10" s="502">
        <v>0.40400000000000003</v>
      </c>
      <c r="BA10" s="502">
        <v>0.40699999999999997</v>
      </c>
      <c r="BB10" s="502">
        <v>0.40799999999999997</v>
      </c>
      <c r="BC10" s="502">
        <v>0.40899999999999997</v>
      </c>
      <c r="BD10" s="502">
        <v>0.40699999999999997</v>
      </c>
      <c r="BE10" s="502">
        <v>0.40799999999999997</v>
      </c>
      <c r="BF10" s="502">
        <v>0.40899999999999997</v>
      </c>
      <c r="BG10" s="502">
        <v>0.41099999999999998</v>
      </c>
      <c r="BH10" s="502">
        <v>0.41</v>
      </c>
      <c r="BI10" s="502">
        <v>0.40799999999999997</v>
      </c>
      <c r="BJ10" s="502">
        <v>0.40799999999999997</v>
      </c>
      <c r="BK10" s="503">
        <v>0.40699999999999997</v>
      </c>
    </row>
    <row r="11" spans="1:63" s="2" customFormat="1" ht="13.8"/>
    <row r="12" spans="1:63" s="2" customFormat="1" ht="13.8"/>
    <row r="13" spans="1:63" s="2" customFormat="1" ht="13.8"/>
    <row r="14" spans="1:63" s="2" customFormat="1" ht="13.8"/>
    <row r="15" spans="1:63" s="2" customFormat="1" ht="13.8"/>
    <row r="16" spans="1:63" s="2" customFormat="1" ht="13.8"/>
    <row r="17" spans="3:10" s="2" customFormat="1" ht="15.75" customHeight="1">
      <c r="C17" s="734" t="s">
        <v>176</v>
      </c>
      <c r="D17" s="734"/>
      <c r="E17" s="734"/>
      <c r="F17" s="734"/>
      <c r="G17" s="727" t="s">
        <v>244</v>
      </c>
      <c r="H17" s="727"/>
      <c r="I17" s="727"/>
      <c r="J17" s="727"/>
    </row>
    <row r="18" spans="3:10" ht="15" customHeight="1">
      <c r="C18" s="734"/>
      <c r="D18" s="734"/>
      <c r="E18" s="734"/>
      <c r="F18" s="734"/>
      <c r="G18" s="727"/>
      <c r="H18" s="727"/>
      <c r="I18" s="727"/>
      <c r="J18" s="727"/>
    </row>
    <row r="19" spans="3:10" ht="15" customHeight="1">
      <c r="C19" s="734"/>
      <c r="D19" s="734"/>
      <c r="E19" s="734"/>
      <c r="F19" s="734"/>
      <c r="G19" s="727"/>
      <c r="H19" s="727"/>
      <c r="I19" s="727"/>
      <c r="J19" s="727"/>
    </row>
    <row r="35" spans="2:63" s="103" customFormat="1" ht="15.6">
      <c r="B35" s="116" t="s">
        <v>35</v>
      </c>
    </row>
    <row r="36" spans="2:63" s="103" customFormat="1" thickBot="1"/>
    <row r="37" spans="2:63" s="103" customFormat="1" thickBot="1">
      <c r="B37" s="509" t="s">
        <v>151</v>
      </c>
      <c r="C37" s="510">
        <v>1930</v>
      </c>
      <c r="D37" s="511">
        <v>1931</v>
      </c>
      <c r="E37" s="511">
        <v>1932</v>
      </c>
      <c r="F37" s="511">
        <v>1933</v>
      </c>
      <c r="G37" s="511">
        <v>1934</v>
      </c>
      <c r="H37" s="511">
        <v>1935</v>
      </c>
      <c r="I37" s="511">
        <v>1936</v>
      </c>
      <c r="J37" s="511">
        <v>1937</v>
      </c>
      <c r="K37" s="511">
        <v>1938</v>
      </c>
      <c r="L37" s="511">
        <v>1939</v>
      </c>
      <c r="M37" s="511">
        <v>1940</v>
      </c>
      <c r="N37" s="511">
        <v>1941</v>
      </c>
      <c r="O37" s="511">
        <v>1942</v>
      </c>
      <c r="P37" s="511">
        <v>1943</v>
      </c>
      <c r="Q37" s="511">
        <v>1944</v>
      </c>
      <c r="R37" s="511">
        <v>1945</v>
      </c>
      <c r="S37" s="511">
        <v>1946</v>
      </c>
      <c r="T37" s="511">
        <v>1947</v>
      </c>
      <c r="U37" s="511">
        <v>1948</v>
      </c>
      <c r="V37" s="511">
        <v>1949</v>
      </c>
      <c r="W37" s="511">
        <v>1950</v>
      </c>
      <c r="X37" s="511">
        <v>1951</v>
      </c>
      <c r="Y37" s="511">
        <v>1952</v>
      </c>
      <c r="Z37" s="511">
        <v>1953</v>
      </c>
      <c r="AA37" s="511">
        <v>1954</v>
      </c>
      <c r="AB37" s="511">
        <v>1955</v>
      </c>
      <c r="AC37" s="511">
        <v>1956</v>
      </c>
      <c r="AD37" s="511">
        <v>1957</v>
      </c>
      <c r="AE37" s="511">
        <v>1958</v>
      </c>
      <c r="AF37" s="511">
        <v>1959</v>
      </c>
      <c r="AG37" s="511">
        <v>1960</v>
      </c>
      <c r="AH37" s="511">
        <v>1961</v>
      </c>
      <c r="AI37" s="511">
        <v>1962</v>
      </c>
      <c r="AJ37" s="511">
        <v>1963</v>
      </c>
      <c r="AK37" s="511">
        <v>1964</v>
      </c>
      <c r="AL37" s="511">
        <v>1965</v>
      </c>
      <c r="AM37" s="511">
        <v>1966</v>
      </c>
      <c r="AN37" s="511">
        <v>1967</v>
      </c>
      <c r="AO37" s="511">
        <v>1968</v>
      </c>
      <c r="AP37" s="511">
        <v>1969</v>
      </c>
      <c r="AQ37" s="511">
        <v>1970</v>
      </c>
      <c r="AR37" s="511">
        <v>1971</v>
      </c>
      <c r="AS37" s="511">
        <v>1972</v>
      </c>
      <c r="AT37" s="511">
        <v>1973</v>
      </c>
      <c r="AU37" s="511">
        <v>1974</v>
      </c>
      <c r="AV37" s="511">
        <v>1975</v>
      </c>
      <c r="AW37" s="511">
        <v>1976</v>
      </c>
      <c r="AX37" s="511">
        <v>1977</v>
      </c>
      <c r="AY37" s="511">
        <v>1978</v>
      </c>
      <c r="AZ37" s="511">
        <v>1979</v>
      </c>
      <c r="BA37" s="511">
        <v>1980</v>
      </c>
      <c r="BB37" s="511">
        <v>1981</v>
      </c>
      <c r="BC37" s="511">
        <v>1982</v>
      </c>
      <c r="BD37" s="511">
        <v>1983</v>
      </c>
      <c r="BE37" s="511">
        <v>1984</v>
      </c>
      <c r="BF37" s="511">
        <v>1985</v>
      </c>
      <c r="BG37" s="511">
        <v>1986</v>
      </c>
      <c r="BH37" s="511">
        <v>1987</v>
      </c>
      <c r="BI37" s="511">
        <v>1988</v>
      </c>
      <c r="BJ37" s="511">
        <v>1989</v>
      </c>
      <c r="BK37" s="512">
        <v>1990</v>
      </c>
    </row>
    <row r="38" spans="2:63" s="103" customFormat="1" thickBot="1">
      <c r="B38" s="513" t="s">
        <v>152</v>
      </c>
      <c r="C38" s="514"/>
      <c r="D38" s="515"/>
      <c r="E38" s="515">
        <v>42.9</v>
      </c>
      <c r="F38" s="515">
        <v>42.9</v>
      </c>
      <c r="G38" s="515">
        <v>42.9</v>
      </c>
      <c r="H38" s="515">
        <v>42.9</v>
      </c>
      <c r="I38" s="515">
        <v>42.9</v>
      </c>
      <c r="J38" s="515">
        <v>42.9</v>
      </c>
      <c r="K38" s="515">
        <v>42.9</v>
      </c>
      <c r="L38" s="515">
        <v>42.9</v>
      </c>
      <c r="M38" s="515">
        <v>42.9</v>
      </c>
      <c r="N38" s="515">
        <v>42.9</v>
      </c>
      <c r="O38" s="515">
        <v>42.9</v>
      </c>
      <c r="P38" s="515">
        <v>42.9</v>
      </c>
      <c r="Q38" s="515">
        <v>42.9</v>
      </c>
      <c r="R38" s="515">
        <v>42.9</v>
      </c>
      <c r="S38" s="515">
        <v>42.9</v>
      </c>
      <c r="T38" s="515">
        <v>42.8</v>
      </c>
      <c r="U38" s="515">
        <v>42.8</v>
      </c>
      <c r="V38" s="515">
        <v>42.7</v>
      </c>
      <c r="W38" s="515">
        <v>42.7</v>
      </c>
      <c r="X38" s="515">
        <v>42.6</v>
      </c>
      <c r="Y38" s="515">
        <v>42.4</v>
      </c>
      <c r="Z38" s="515">
        <v>42.3</v>
      </c>
      <c r="AA38" s="515">
        <v>42.2</v>
      </c>
      <c r="AB38" s="515">
        <v>42.1</v>
      </c>
      <c r="AC38" s="515">
        <v>42</v>
      </c>
      <c r="AD38" s="515">
        <v>41.9</v>
      </c>
      <c r="AE38" s="515">
        <v>41.8</v>
      </c>
      <c r="AF38" s="515">
        <v>41.7</v>
      </c>
      <c r="AG38" s="515">
        <v>41.6</v>
      </c>
      <c r="AH38" s="515">
        <v>41.7</v>
      </c>
      <c r="AI38" s="515">
        <v>41.9</v>
      </c>
      <c r="AJ38" s="515">
        <v>41.9</v>
      </c>
      <c r="AK38" s="515">
        <v>42.2</v>
      </c>
      <c r="AL38" s="515">
        <v>42</v>
      </c>
      <c r="AM38" s="515">
        <v>41.8</v>
      </c>
      <c r="AN38" s="515">
        <v>42.2</v>
      </c>
      <c r="AO38" s="515">
        <v>42.4</v>
      </c>
      <c r="AP38" s="515">
        <v>42.3</v>
      </c>
      <c r="AQ38" s="515">
        <v>42.7</v>
      </c>
      <c r="AR38" s="515">
        <v>42.8</v>
      </c>
      <c r="AS38" s="515">
        <v>42.6</v>
      </c>
      <c r="AT38" s="515">
        <v>42.7</v>
      </c>
      <c r="AU38" s="515">
        <v>42.5</v>
      </c>
      <c r="AV38" s="515">
        <v>42.7</v>
      </c>
      <c r="AW38" s="515">
        <v>42.7</v>
      </c>
      <c r="AX38" s="515">
        <v>42.6</v>
      </c>
      <c r="AY38" s="515">
        <v>42.9</v>
      </c>
      <c r="AZ38" s="515">
        <v>42.9</v>
      </c>
      <c r="BA38" s="515">
        <v>42.9</v>
      </c>
      <c r="BB38" s="515">
        <v>42.9</v>
      </c>
      <c r="BC38" s="515">
        <v>42.9</v>
      </c>
      <c r="BD38" s="515">
        <v>42.9</v>
      </c>
      <c r="BE38" s="515">
        <v>42.9</v>
      </c>
      <c r="BF38" s="515">
        <v>42.9</v>
      </c>
      <c r="BG38" s="515">
        <v>42.9</v>
      </c>
      <c r="BH38" s="515">
        <v>42.9</v>
      </c>
      <c r="BI38" s="515">
        <v>42.9</v>
      </c>
      <c r="BJ38" s="515">
        <v>42.9</v>
      </c>
      <c r="BK38" s="516">
        <v>42.9</v>
      </c>
    </row>
    <row r="39" spans="2:63" s="155" customFormat="1" ht="15" thickBot="1"/>
    <row r="40" spans="2:63" s="103" customFormat="1" ht="53.4" thickBot="1">
      <c r="B40" s="517" t="s">
        <v>153</v>
      </c>
      <c r="C40" s="518">
        <v>1930</v>
      </c>
      <c r="D40" s="519">
        <v>1931</v>
      </c>
      <c r="E40" s="519">
        <v>1932</v>
      </c>
      <c r="F40" s="519">
        <v>1933</v>
      </c>
      <c r="G40" s="519">
        <v>1934</v>
      </c>
      <c r="H40" s="519">
        <v>1935</v>
      </c>
      <c r="I40" s="519">
        <v>1936</v>
      </c>
      <c r="J40" s="519">
        <v>1937</v>
      </c>
      <c r="K40" s="519">
        <v>1938</v>
      </c>
      <c r="L40" s="519">
        <v>1939</v>
      </c>
      <c r="M40" s="519">
        <v>1940</v>
      </c>
      <c r="N40" s="519">
        <v>1941</v>
      </c>
      <c r="O40" s="519">
        <v>1942</v>
      </c>
      <c r="P40" s="519">
        <v>1943</v>
      </c>
      <c r="Q40" s="519">
        <v>1944</v>
      </c>
      <c r="R40" s="519">
        <v>1945</v>
      </c>
      <c r="S40" s="519">
        <v>1946</v>
      </c>
      <c r="T40" s="519">
        <v>1947</v>
      </c>
      <c r="U40" s="519">
        <v>1948</v>
      </c>
      <c r="V40" s="519">
        <v>1949</v>
      </c>
      <c r="W40" s="519">
        <v>1950</v>
      </c>
      <c r="X40" s="519">
        <v>1951</v>
      </c>
      <c r="Y40" s="519">
        <v>1952</v>
      </c>
      <c r="Z40" s="519">
        <v>1953</v>
      </c>
      <c r="AA40" s="519">
        <v>1954</v>
      </c>
      <c r="AB40" s="519">
        <v>1955</v>
      </c>
      <c r="AC40" s="519">
        <v>1956</v>
      </c>
      <c r="AD40" s="519">
        <v>1957</v>
      </c>
      <c r="AE40" s="519">
        <v>1958</v>
      </c>
      <c r="AF40" s="519">
        <v>1959</v>
      </c>
      <c r="AG40" s="519">
        <v>1960</v>
      </c>
      <c r="AH40" s="519">
        <v>1961</v>
      </c>
      <c r="AI40" s="519">
        <v>1962</v>
      </c>
      <c r="AJ40" s="519">
        <v>1963</v>
      </c>
      <c r="AK40" s="519">
        <v>1964</v>
      </c>
      <c r="AL40" s="519">
        <v>1965</v>
      </c>
      <c r="AM40" s="519">
        <v>1966</v>
      </c>
      <c r="AN40" s="519">
        <v>1967</v>
      </c>
      <c r="AO40" s="519">
        <v>1968</v>
      </c>
      <c r="AP40" s="519">
        <v>1969</v>
      </c>
      <c r="AQ40" s="519">
        <v>1970</v>
      </c>
      <c r="AR40" s="519">
        <v>1971</v>
      </c>
      <c r="AS40" s="519">
        <v>1972</v>
      </c>
      <c r="AT40" s="519">
        <v>1973</v>
      </c>
      <c r="AU40" s="519">
        <v>1974</v>
      </c>
      <c r="AV40" s="519">
        <v>1975</v>
      </c>
      <c r="AW40" s="519">
        <v>1976</v>
      </c>
      <c r="AX40" s="519">
        <v>1977</v>
      </c>
      <c r="AY40" s="519">
        <v>1978</v>
      </c>
      <c r="AZ40" s="519">
        <v>1979</v>
      </c>
      <c r="BA40" s="519">
        <v>1980</v>
      </c>
      <c r="BB40" s="519">
        <v>1981</v>
      </c>
      <c r="BC40" s="519">
        <v>1982</v>
      </c>
      <c r="BD40" s="519">
        <v>1983</v>
      </c>
      <c r="BE40" s="519">
        <v>1984</v>
      </c>
      <c r="BF40" s="519">
        <v>1985</v>
      </c>
      <c r="BG40" s="519">
        <v>1986</v>
      </c>
      <c r="BH40" s="519">
        <v>1987</v>
      </c>
      <c r="BI40" s="519">
        <v>1988</v>
      </c>
      <c r="BJ40" s="519">
        <v>1989</v>
      </c>
      <c r="BK40" s="520">
        <v>1990</v>
      </c>
    </row>
    <row r="41" spans="2:63" s="103" customFormat="1" ht="13.8">
      <c r="B41" s="157" t="s">
        <v>139</v>
      </c>
      <c r="C41" s="490">
        <v>34.200000000000003</v>
      </c>
      <c r="D41" s="491"/>
      <c r="E41" s="491">
        <v>34.299999999999997</v>
      </c>
      <c r="F41" s="491"/>
      <c r="G41" s="491">
        <v>34.299999999999997</v>
      </c>
      <c r="H41" s="491"/>
      <c r="I41" s="491">
        <v>34.5</v>
      </c>
      <c r="J41" s="491"/>
      <c r="K41" s="491">
        <v>35</v>
      </c>
      <c r="L41" s="491"/>
      <c r="M41" s="491">
        <v>35.4</v>
      </c>
      <c r="N41" s="491"/>
      <c r="O41" s="491">
        <v>36</v>
      </c>
      <c r="P41" s="491"/>
      <c r="Q41" s="491"/>
      <c r="R41" s="491"/>
      <c r="S41" s="491"/>
      <c r="T41" s="491"/>
      <c r="U41" s="491"/>
      <c r="V41" s="491"/>
      <c r="W41" s="491"/>
      <c r="X41" s="491"/>
      <c r="Y41" s="491"/>
      <c r="Z41" s="491"/>
      <c r="AA41" s="491"/>
      <c r="AB41" s="491"/>
      <c r="AC41" s="491"/>
      <c r="AD41" s="491"/>
      <c r="AE41" s="491"/>
      <c r="AF41" s="491"/>
      <c r="AG41" s="491"/>
      <c r="AH41" s="491"/>
      <c r="AI41" s="491"/>
      <c r="AJ41" s="491"/>
      <c r="AK41" s="491"/>
      <c r="AL41" s="491"/>
      <c r="AM41" s="491"/>
      <c r="AN41" s="491"/>
      <c r="AO41" s="491"/>
      <c r="AP41" s="491"/>
      <c r="AQ41" s="491"/>
      <c r="AR41" s="491"/>
      <c r="AS41" s="491"/>
      <c r="AT41" s="491"/>
      <c r="AU41" s="491"/>
      <c r="AV41" s="491"/>
      <c r="AW41" s="491"/>
      <c r="AX41" s="491"/>
      <c r="AY41" s="491"/>
      <c r="AZ41" s="491"/>
      <c r="BA41" s="491"/>
      <c r="BB41" s="491"/>
      <c r="BC41" s="491"/>
      <c r="BD41" s="491"/>
      <c r="BE41" s="491"/>
      <c r="BF41" s="491"/>
      <c r="BG41" s="491"/>
      <c r="BH41" s="491"/>
      <c r="BI41" s="491"/>
      <c r="BJ41" s="491"/>
      <c r="BK41" s="521"/>
    </row>
    <row r="42" spans="2:63" s="155" customFormat="1">
      <c r="B42" s="522" t="s">
        <v>140</v>
      </c>
      <c r="C42" s="492">
        <v>30.3</v>
      </c>
      <c r="D42" s="493"/>
      <c r="E42" s="493">
        <v>30.5</v>
      </c>
      <c r="F42" s="493"/>
      <c r="G42" s="493">
        <v>30.7</v>
      </c>
      <c r="H42" s="493"/>
      <c r="I42" s="493">
        <v>31.3</v>
      </c>
      <c r="J42" s="493"/>
      <c r="K42" s="493">
        <v>32.1</v>
      </c>
      <c r="L42" s="493"/>
      <c r="M42" s="493">
        <v>33</v>
      </c>
      <c r="N42" s="493"/>
      <c r="O42" s="493">
        <v>33.9</v>
      </c>
      <c r="P42" s="493"/>
      <c r="Q42" s="493"/>
      <c r="R42" s="493"/>
      <c r="S42" s="493"/>
      <c r="T42" s="493"/>
      <c r="U42" s="493"/>
      <c r="V42" s="493"/>
      <c r="W42" s="493"/>
      <c r="X42" s="493"/>
      <c r="Y42" s="493"/>
      <c r="Z42" s="493"/>
      <c r="AA42" s="493"/>
      <c r="AB42" s="493"/>
      <c r="AC42" s="493"/>
      <c r="AD42" s="493"/>
      <c r="AE42" s="493"/>
      <c r="AF42" s="493"/>
      <c r="AG42" s="493"/>
      <c r="AH42" s="493"/>
      <c r="AI42" s="493"/>
      <c r="AJ42" s="493"/>
      <c r="AK42" s="493"/>
      <c r="AL42" s="493"/>
      <c r="AM42" s="493"/>
      <c r="AN42" s="493"/>
      <c r="AO42" s="493"/>
      <c r="AP42" s="493"/>
      <c r="AQ42" s="493"/>
      <c r="AR42" s="493"/>
      <c r="AS42" s="493"/>
      <c r="AT42" s="493"/>
      <c r="AU42" s="493"/>
      <c r="AV42" s="493"/>
      <c r="AW42" s="493"/>
      <c r="AX42" s="493"/>
      <c r="AY42" s="493"/>
      <c r="AZ42" s="493"/>
      <c r="BA42" s="493"/>
      <c r="BB42" s="493"/>
      <c r="BC42" s="493"/>
      <c r="BD42" s="493"/>
      <c r="BE42" s="493"/>
      <c r="BF42" s="493"/>
      <c r="BG42" s="493"/>
      <c r="BH42" s="493"/>
      <c r="BI42" s="493"/>
      <c r="BJ42" s="493"/>
      <c r="BK42" s="523"/>
    </row>
    <row r="43" spans="2:63" s="155" customFormat="1" ht="15" thickBot="1">
      <c r="B43" s="158" t="s">
        <v>141</v>
      </c>
      <c r="C43" s="156">
        <v>37.9</v>
      </c>
      <c r="D43" s="494"/>
      <c r="E43" s="494">
        <v>37.9</v>
      </c>
      <c r="F43" s="494"/>
      <c r="G43" s="494">
        <v>37.6</v>
      </c>
      <c r="H43" s="494"/>
      <c r="I43" s="494">
        <v>37.299999999999997</v>
      </c>
      <c r="J43" s="494"/>
      <c r="K43" s="494">
        <v>37.700000000000003</v>
      </c>
      <c r="L43" s="494"/>
      <c r="M43" s="494">
        <v>37.700000000000003</v>
      </c>
      <c r="N43" s="494"/>
      <c r="O43" s="494">
        <v>38.1</v>
      </c>
      <c r="P43" s="494"/>
      <c r="Q43" s="494"/>
      <c r="R43" s="494"/>
      <c r="S43" s="494"/>
      <c r="T43" s="494"/>
      <c r="U43" s="494"/>
      <c r="V43" s="494"/>
      <c r="W43" s="494"/>
      <c r="X43" s="494"/>
      <c r="Y43" s="494"/>
      <c r="Z43" s="494"/>
      <c r="AA43" s="494"/>
      <c r="AB43" s="494"/>
      <c r="AC43" s="494"/>
      <c r="AD43" s="494"/>
      <c r="AE43" s="494"/>
      <c r="AF43" s="494"/>
      <c r="AG43" s="494"/>
      <c r="AH43" s="494"/>
      <c r="AI43" s="494"/>
      <c r="AJ43" s="494"/>
      <c r="AK43" s="494"/>
      <c r="AL43" s="494"/>
      <c r="AM43" s="494"/>
      <c r="AN43" s="494"/>
      <c r="AO43" s="494"/>
      <c r="AP43" s="494"/>
      <c r="AQ43" s="494"/>
      <c r="AR43" s="494"/>
      <c r="AS43" s="494"/>
      <c r="AT43" s="494"/>
      <c r="AU43" s="494"/>
      <c r="AV43" s="494"/>
      <c r="AW43" s="494"/>
      <c r="AX43" s="494"/>
      <c r="AY43" s="494"/>
      <c r="AZ43" s="494"/>
      <c r="BA43" s="494"/>
      <c r="BB43" s="494"/>
      <c r="BC43" s="494"/>
      <c r="BD43" s="494"/>
      <c r="BE43" s="494"/>
      <c r="BF43" s="494"/>
      <c r="BG43" s="494"/>
      <c r="BH43" s="494"/>
      <c r="BI43" s="494"/>
      <c r="BJ43" s="494"/>
      <c r="BK43" s="524"/>
    </row>
    <row r="44" spans="2:63" s="103" customFormat="1" ht="40.200000000000003" thickBot="1">
      <c r="B44" s="517" t="s">
        <v>154</v>
      </c>
      <c r="C44" s="518">
        <v>1930</v>
      </c>
      <c r="D44" s="519">
        <v>1931</v>
      </c>
      <c r="E44" s="519">
        <v>1932</v>
      </c>
      <c r="F44" s="519">
        <v>1933</v>
      </c>
      <c r="G44" s="519">
        <v>1934</v>
      </c>
      <c r="H44" s="519">
        <v>1935</v>
      </c>
      <c r="I44" s="519">
        <v>1936</v>
      </c>
      <c r="J44" s="519">
        <v>1937</v>
      </c>
      <c r="K44" s="519">
        <v>1938</v>
      </c>
      <c r="L44" s="519">
        <v>1939</v>
      </c>
      <c r="M44" s="519">
        <v>1940</v>
      </c>
      <c r="N44" s="519">
        <v>1941</v>
      </c>
      <c r="O44" s="519">
        <v>1942</v>
      </c>
      <c r="P44" s="519">
        <v>1943</v>
      </c>
      <c r="Q44" s="519">
        <v>1944</v>
      </c>
      <c r="R44" s="519">
        <v>1945</v>
      </c>
      <c r="S44" s="519">
        <v>1946</v>
      </c>
      <c r="T44" s="519">
        <v>1947</v>
      </c>
      <c r="U44" s="519">
        <v>1948</v>
      </c>
      <c r="V44" s="519">
        <v>1949</v>
      </c>
      <c r="W44" s="519">
        <v>1950</v>
      </c>
      <c r="X44" s="519">
        <v>1951</v>
      </c>
      <c r="Y44" s="519">
        <v>1952</v>
      </c>
      <c r="Z44" s="519">
        <v>1953</v>
      </c>
      <c r="AA44" s="519">
        <v>1954</v>
      </c>
      <c r="AB44" s="519">
        <v>1955</v>
      </c>
      <c r="AC44" s="519">
        <v>1956</v>
      </c>
      <c r="AD44" s="519">
        <v>1957</v>
      </c>
      <c r="AE44" s="519">
        <v>1958</v>
      </c>
      <c r="AF44" s="519">
        <v>1959</v>
      </c>
      <c r="AG44" s="519">
        <v>1960</v>
      </c>
      <c r="AH44" s="519">
        <v>1961</v>
      </c>
      <c r="AI44" s="519">
        <v>1962</v>
      </c>
      <c r="AJ44" s="519">
        <v>1963</v>
      </c>
      <c r="AK44" s="519">
        <v>1964</v>
      </c>
      <c r="AL44" s="519">
        <v>1965</v>
      </c>
      <c r="AM44" s="519">
        <v>1966</v>
      </c>
      <c r="AN44" s="519">
        <v>1967</v>
      </c>
      <c r="AO44" s="519">
        <v>1968</v>
      </c>
      <c r="AP44" s="519">
        <v>1969</v>
      </c>
      <c r="AQ44" s="519">
        <v>1970</v>
      </c>
      <c r="AR44" s="519">
        <v>1971</v>
      </c>
      <c r="AS44" s="519">
        <v>1972</v>
      </c>
      <c r="AT44" s="519">
        <v>1973</v>
      </c>
      <c r="AU44" s="519">
        <v>1974</v>
      </c>
      <c r="AV44" s="519">
        <v>1975</v>
      </c>
      <c r="AW44" s="519">
        <v>1976</v>
      </c>
      <c r="AX44" s="519">
        <v>1977</v>
      </c>
      <c r="AY44" s="519">
        <v>1978</v>
      </c>
      <c r="AZ44" s="519">
        <v>1979</v>
      </c>
      <c r="BA44" s="519">
        <v>1980</v>
      </c>
      <c r="BB44" s="519">
        <v>1981</v>
      </c>
      <c r="BC44" s="519">
        <v>1982</v>
      </c>
      <c r="BD44" s="519">
        <v>1983</v>
      </c>
      <c r="BE44" s="519">
        <v>1984</v>
      </c>
      <c r="BF44" s="519">
        <v>1985</v>
      </c>
      <c r="BG44" s="519">
        <v>1986</v>
      </c>
      <c r="BH44" s="519">
        <v>1987</v>
      </c>
      <c r="BI44" s="519">
        <v>1988</v>
      </c>
      <c r="BJ44" s="519">
        <v>1989</v>
      </c>
      <c r="BK44" s="520">
        <v>1990</v>
      </c>
    </row>
    <row r="45" spans="2:63" s="103" customFormat="1" ht="13.8">
      <c r="B45" s="157" t="s">
        <v>139</v>
      </c>
      <c r="C45" s="490"/>
      <c r="D45" s="491"/>
      <c r="E45" s="491"/>
      <c r="F45" s="491"/>
      <c r="G45" s="491">
        <v>32.9</v>
      </c>
      <c r="H45" s="491">
        <v>33.1</v>
      </c>
      <c r="I45" s="491">
        <v>33.299999999999997</v>
      </c>
      <c r="J45" s="491">
        <v>33.6</v>
      </c>
      <c r="K45" s="491">
        <v>34</v>
      </c>
      <c r="L45" s="491">
        <v>34.6</v>
      </c>
      <c r="M45" s="491">
        <v>34.5</v>
      </c>
      <c r="N45" s="491">
        <v>35.1</v>
      </c>
      <c r="O45" s="491">
        <v>35.5</v>
      </c>
      <c r="P45" s="491">
        <v>35.9</v>
      </c>
      <c r="Q45" s="491">
        <v>36.5</v>
      </c>
      <c r="R45" s="491">
        <v>37</v>
      </c>
      <c r="S45" s="491">
        <v>37.5</v>
      </c>
      <c r="T45" s="491">
        <v>37.9</v>
      </c>
      <c r="U45" s="491">
        <v>38.1</v>
      </c>
      <c r="V45" s="491">
        <v>38.6</v>
      </c>
      <c r="W45" s="491">
        <v>38.6</v>
      </c>
      <c r="X45" s="491">
        <v>38.700000000000003</v>
      </c>
      <c r="Y45" s="491">
        <v>39</v>
      </c>
      <c r="Z45" s="491">
        <v>38.9</v>
      </c>
      <c r="AA45" s="491">
        <v>39</v>
      </c>
      <c r="AB45" s="491">
        <v>38.9</v>
      </c>
      <c r="AC45" s="491">
        <v>39.200000000000003</v>
      </c>
      <c r="AD45" s="491">
        <v>39.4</v>
      </c>
      <c r="AE45" s="491">
        <v>39.299999999999997</v>
      </c>
      <c r="AF45" s="491">
        <v>39.299999999999997</v>
      </c>
      <c r="AG45" s="491">
        <v>39.299999999999997</v>
      </c>
      <c r="AH45" s="491">
        <v>39.200000000000003</v>
      </c>
      <c r="AI45" s="491">
        <v>39.200000000000003</v>
      </c>
      <c r="AJ45" s="491">
        <v>39</v>
      </c>
      <c r="AK45" s="491">
        <v>39</v>
      </c>
      <c r="AL45" s="491">
        <v>38.700000000000003</v>
      </c>
      <c r="AM45" s="491">
        <v>38.5</v>
      </c>
      <c r="AN45" s="491">
        <v>38.299999999999997</v>
      </c>
      <c r="AO45" s="491">
        <v>38</v>
      </c>
      <c r="AP45" s="491">
        <v>37.700000000000003</v>
      </c>
      <c r="AQ45" s="491">
        <v>37.4</v>
      </c>
      <c r="AR45" s="491">
        <v>37.5</v>
      </c>
      <c r="AS45" s="491">
        <v>37.4</v>
      </c>
      <c r="AT45" s="491">
        <v>37.4</v>
      </c>
      <c r="AU45" s="491">
        <v>37.200000000000003</v>
      </c>
      <c r="AV45" s="491">
        <v>36.799999999999997</v>
      </c>
      <c r="AW45" s="491">
        <v>36.9</v>
      </c>
      <c r="AX45" s="491">
        <v>37</v>
      </c>
      <c r="AY45" s="491">
        <v>37.1</v>
      </c>
      <c r="AZ45" s="491">
        <v>37.4</v>
      </c>
      <c r="BA45" s="491">
        <v>37.700000000000003</v>
      </c>
      <c r="BB45" s="491">
        <v>38</v>
      </c>
      <c r="BC45" s="491">
        <v>38.1</v>
      </c>
      <c r="BD45" s="491">
        <v>37.9</v>
      </c>
      <c r="BE45" s="491">
        <v>38.1</v>
      </c>
      <c r="BF45" s="491">
        <v>38.299999999999997</v>
      </c>
      <c r="BG45" s="491">
        <v>38.5</v>
      </c>
      <c r="BH45" s="491">
        <v>38.4</v>
      </c>
      <c r="BI45" s="491">
        <v>38.299999999999997</v>
      </c>
      <c r="BJ45" s="491">
        <v>38.299999999999997</v>
      </c>
      <c r="BK45" s="521">
        <v>38.4</v>
      </c>
    </row>
    <row r="46" spans="2:63" s="155" customFormat="1">
      <c r="B46" s="522" t="s">
        <v>140</v>
      </c>
      <c r="C46" s="492"/>
      <c r="D46" s="493"/>
      <c r="E46" s="493"/>
      <c r="F46" s="493"/>
      <c r="G46" s="493">
        <v>29.6</v>
      </c>
      <c r="H46" s="493">
        <v>29.8</v>
      </c>
      <c r="I46" s="493">
        <v>30.3</v>
      </c>
      <c r="J46" s="493">
        <v>30.6</v>
      </c>
      <c r="K46" s="493">
        <v>31.2</v>
      </c>
      <c r="L46" s="493">
        <v>31.9</v>
      </c>
      <c r="M46" s="493">
        <v>32.1</v>
      </c>
      <c r="N46" s="493">
        <v>32.9</v>
      </c>
      <c r="O46" s="493">
        <v>33.5</v>
      </c>
      <c r="P46" s="493">
        <v>33.799999999999997</v>
      </c>
      <c r="Q46" s="493">
        <v>34.5</v>
      </c>
      <c r="R46" s="493">
        <v>35.1</v>
      </c>
      <c r="S46" s="493">
        <v>35.799999999999997</v>
      </c>
      <c r="T46" s="493">
        <v>36.6</v>
      </c>
      <c r="U46" s="493">
        <v>37</v>
      </c>
      <c r="V46" s="493">
        <v>37.6</v>
      </c>
      <c r="W46" s="493">
        <v>37.799999999999997</v>
      </c>
      <c r="X46" s="493">
        <v>38</v>
      </c>
      <c r="Y46" s="493">
        <v>38.299999999999997</v>
      </c>
      <c r="Z46" s="493">
        <v>38.299999999999997</v>
      </c>
      <c r="AA46" s="493">
        <v>38.4</v>
      </c>
      <c r="AB46" s="493">
        <v>38.299999999999997</v>
      </c>
      <c r="AC46" s="493">
        <v>38.5</v>
      </c>
      <c r="AD46" s="493">
        <v>38.799999999999997</v>
      </c>
      <c r="AE46" s="493">
        <v>38.799999999999997</v>
      </c>
      <c r="AF46" s="493">
        <v>38.9</v>
      </c>
      <c r="AG46" s="493">
        <v>39</v>
      </c>
      <c r="AH46" s="493">
        <v>38.9</v>
      </c>
      <c r="AI46" s="493">
        <v>38.9</v>
      </c>
      <c r="AJ46" s="493">
        <v>38.6</v>
      </c>
      <c r="AK46" s="493">
        <v>38.700000000000003</v>
      </c>
      <c r="AL46" s="493">
        <v>38.5</v>
      </c>
      <c r="AM46" s="493">
        <v>38.200000000000003</v>
      </c>
      <c r="AN46" s="493">
        <v>38</v>
      </c>
      <c r="AO46" s="493">
        <v>37.700000000000003</v>
      </c>
      <c r="AP46" s="493">
        <v>37.4</v>
      </c>
      <c r="AQ46" s="493">
        <v>37.200000000000003</v>
      </c>
      <c r="AR46" s="493">
        <v>37.200000000000003</v>
      </c>
      <c r="AS46" s="493">
        <v>37.200000000000003</v>
      </c>
      <c r="AT46" s="493">
        <v>37.1</v>
      </c>
      <c r="AU46" s="493">
        <v>37</v>
      </c>
      <c r="AV46" s="493">
        <v>36.5</v>
      </c>
      <c r="AW46" s="493">
        <v>36.5</v>
      </c>
      <c r="AX46" s="493">
        <v>36.6</v>
      </c>
      <c r="AY46" s="493">
        <v>36.700000000000003</v>
      </c>
      <c r="AZ46" s="493">
        <v>36.9</v>
      </c>
      <c r="BA46" s="493">
        <v>37.299999999999997</v>
      </c>
      <c r="BB46" s="493">
        <v>37.5</v>
      </c>
      <c r="BC46" s="493">
        <v>37.6</v>
      </c>
      <c r="BD46" s="493">
        <v>37.5</v>
      </c>
      <c r="BE46" s="493">
        <v>37.6</v>
      </c>
      <c r="BF46" s="493">
        <v>37.700000000000003</v>
      </c>
      <c r="BG46" s="493">
        <v>37.9</v>
      </c>
      <c r="BH46" s="493">
        <v>37.799999999999997</v>
      </c>
      <c r="BI46" s="493">
        <v>37.4</v>
      </c>
      <c r="BJ46" s="493">
        <v>37.6</v>
      </c>
      <c r="BK46" s="523">
        <v>37.5</v>
      </c>
    </row>
    <row r="47" spans="2:63" s="155" customFormat="1" ht="15" thickBot="1">
      <c r="B47" s="158" t="s">
        <v>141</v>
      </c>
      <c r="C47" s="156"/>
      <c r="D47" s="494"/>
      <c r="E47" s="494"/>
      <c r="F47" s="494"/>
      <c r="G47" s="494">
        <v>36</v>
      </c>
      <c r="H47" s="494">
        <v>36.200000000000003</v>
      </c>
      <c r="I47" s="494">
        <v>36</v>
      </c>
      <c r="J47" s="494">
        <v>36.299999999999997</v>
      </c>
      <c r="K47" s="494">
        <v>36.6</v>
      </c>
      <c r="L47" s="494">
        <v>37.1</v>
      </c>
      <c r="M47" s="494">
        <v>36.6</v>
      </c>
      <c r="N47" s="494">
        <v>37</v>
      </c>
      <c r="O47" s="494">
        <v>37.299999999999997</v>
      </c>
      <c r="P47" s="494">
        <v>37.799999999999997</v>
      </c>
      <c r="Q47" s="494">
        <v>38.299999999999997</v>
      </c>
      <c r="R47" s="494">
        <v>38.6</v>
      </c>
      <c r="S47" s="494">
        <v>39.200000000000003</v>
      </c>
      <c r="T47" s="494">
        <v>39.299999999999997</v>
      </c>
      <c r="U47" s="494">
        <v>39.299999999999997</v>
      </c>
      <c r="V47" s="494">
        <v>39.6</v>
      </c>
      <c r="W47" s="494">
        <v>39.299999999999997</v>
      </c>
      <c r="X47" s="494">
        <v>39.4</v>
      </c>
      <c r="Y47" s="494">
        <v>39.6</v>
      </c>
      <c r="Z47" s="494">
        <v>39.6</v>
      </c>
      <c r="AA47" s="494">
        <v>39.700000000000003</v>
      </c>
      <c r="AB47" s="494">
        <v>39.6</v>
      </c>
      <c r="AC47" s="494">
        <v>39.9</v>
      </c>
      <c r="AD47" s="494">
        <v>40</v>
      </c>
      <c r="AE47" s="494">
        <v>39.9</v>
      </c>
      <c r="AF47" s="494">
        <v>39.799999999999997</v>
      </c>
      <c r="AG47" s="494">
        <v>39.700000000000003</v>
      </c>
      <c r="AH47" s="494">
        <v>39.5</v>
      </c>
      <c r="AI47" s="494">
        <v>39.4</v>
      </c>
      <c r="AJ47" s="494">
        <v>39.4</v>
      </c>
      <c r="AK47" s="494">
        <v>39.299999999999997</v>
      </c>
      <c r="AL47" s="494">
        <v>39</v>
      </c>
      <c r="AM47" s="494">
        <v>38.9</v>
      </c>
      <c r="AN47" s="494">
        <v>38.6</v>
      </c>
      <c r="AO47" s="494">
        <v>38.4</v>
      </c>
      <c r="AP47" s="494">
        <v>38</v>
      </c>
      <c r="AQ47" s="494">
        <v>37.700000000000003</v>
      </c>
      <c r="AR47" s="494">
        <v>37.9</v>
      </c>
      <c r="AS47" s="494">
        <v>37.700000000000003</v>
      </c>
      <c r="AT47" s="494">
        <v>37.700000000000003</v>
      </c>
      <c r="AU47" s="494">
        <v>37.4</v>
      </c>
      <c r="AV47" s="494">
        <v>37.200000000000003</v>
      </c>
      <c r="AW47" s="494">
        <v>37.299999999999997</v>
      </c>
      <c r="AX47" s="494">
        <v>37.4</v>
      </c>
      <c r="AY47" s="494">
        <v>37.5</v>
      </c>
      <c r="AZ47" s="494">
        <v>38</v>
      </c>
      <c r="BA47" s="494">
        <v>38.200000000000003</v>
      </c>
      <c r="BB47" s="494">
        <v>38.4</v>
      </c>
      <c r="BC47" s="494">
        <v>38.5</v>
      </c>
      <c r="BD47" s="494">
        <v>38.4</v>
      </c>
      <c r="BE47" s="494">
        <v>38.6</v>
      </c>
      <c r="BF47" s="494">
        <v>38.9</v>
      </c>
      <c r="BG47" s="494">
        <v>39</v>
      </c>
      <c r="BH47" s="494">
        <v>39.1</v>
      </c>
      <c r="BI47" s="494">
        <v>39.200000000000003</v>
      </c>
      <c r="BJ47" s="494">
        <v>39.1</v>
      </c>
      <c r="BK47" s="524">
        <v>39.200000000000003</v>
      </c>
    </row>
    <row r="48" spans="2:63" s="155" customFormat="1"/>
    <row r="49" s="155" customFormat="1"/>
  </sheetData>
  <mergeCells count="2">
    <mergeCell ref="C17:F19"/>
    <mergeCell ref="G17:J1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K167"/>
  <sheetViews>
    <sheetView workbookViewId="0">
      <selection activeCell="H112" sqref="H112"/>
    </sheetView>
  </sheetViews>
  <sheetFormatPr baseColWidth="10" defaultColWidth="11.44140625" defaultRowHeight="14.4"/>
  <cols>
    <col min="1" max="1" width="12" style="10" customWidth="1"/>
    <col min="2" max="3" width="11.44140625" style="11"/>
    <col min="4" max="6" width="17.6640625" style="11" customWidth="1"/>
    <col min="7" max="7" width="11.44140625" style="11" customWidth="1"/>
    <col min="8" max="12" width="11.44140625" style="11"/>
    <col min="13" max="16384" width="11.44140625" style="10"/>
  </cols>
  <sheetData>
    <row r="1" spans="1:12" ht="15.6">
      <c r="A1" s="116" t="s">
        <v>209</v>
      </c>
      <c r="B1" s="224"/>
      <c r="C1" s="224"/>
      <c r="D1" s="224"/>
      <c r="E1" s="224"/>
      <c r="F1" s="224"/>
      <c r="G1" s="224"/>
      <c r="H1" s="224"/>
      <c r="I1" s="225"/>
    </row>
    <row r="2" spans="1:12">
      <c r="A2" s="226"/>
      <c r="B2" s="224"/>
      <c r="C2" s="224"/>
      <c r="D2" s="224"/>
      <c r="E2" s="224"/>
      <c r="F2" s="224"/>
      <c r="G2" s="224"/>
      <c r="H2" s="224"/>
    </row>
    <row r="3" spans="1:12" ht="15" thickBot="1">
      <c r="A3" s="155"/>
      <c r="B3" s="224"/>
      <c r="C3" s="224"/>
      <c r="D3" s="224"/>
      <c r="E3" s="224"/>
      <c r="F3" s="224"/>
      <c r="G3" s="224"/>
      <c r="H3" s="224"/>
    </row>
    <row r="4" spans="1:12" s="102" customFormat="1" ht="80.099999999999994" customHeight="1" thickBot="1">
      <c r="A4" s="227"/>
      <c r="B4" s="525" t="s">
        <v>102</v>
      </c>
      <c r="C4" s="525" t="s">
        <v>103</v>
      </c>
      <c r="D4" s="526" t="s">
        <v>104</v>
      </c>
      <c r="E4" s="526" t="s">
        <v>105</v>
      </c>
      <c r="F4" s="526" t="s">
        <v>106</v>
      </c>
      <c r="G4" s="735" t="s">
        <v>107</v>
      </c>
      <c r="H4" s="736"/>
      <c r="I4" s="736"/>
      <c r="J4" s="736"/>
      <c r="K4" s="736"/>
      <c r="L4" s="737"/>
    </row>
    <row r="5" spans="1:12" s="102" customFormat="1" ht="15.75" customHeight="1" thickBot="1">
      <c r="B5" s="527"/>
      <c r="C5" s="527"/>
      <c r="D5" s="528"/>
      <c r="E5" s="528"/>
      <c r="F5" s="528"/>
      <c r="G5" s="228" t="s">
        <v>185</v>
      </c>
      <c r="H5" s="529" t="s">
        <v>54</v>
      </c>
      <c r="I5" s="530" t="s">
        <v>89</v>
      </c>
      <c r="J5" s="530" t="s">
        <v>55</v>
      </c>
      <c r="K5" s="530" t="s">
        <v>56</v>
      </c>
      <c r="L5" s="531" t="s">
        <v>57</v>
      </c>
    </row>
    <row r="6" spans="1:12" ht="14.25" customHeight="1">
      <c r="A6" s="738" t="s">
        <v>186</v>
      </c>
      <c r="B6" s="229"/>
      <c r="C6" s="229">
        <v>1924</v>
      </c>
      <c r="D6" s="230">
        <v>0.48399999999999999</v>
      </c>
      <c r="E6" s="231"/>
      <c r="F6" s="231"/>
      <c r="G6" s="231"/>
      <c r="H6" s="532"/>
      <c r="I6" s="533"/>
      <c r="J6" s="533"/>
      <c r="K6" s="533"/>
      <c r="L6" s="534"/>
    </row>
    <row r="7" spans="1:12">
      <c r="A7" s="739"/>
      <c r="B7" s="535"/>
      <c r="C7" s="535">
        <v>1925</v>
      </c>
      <c r="D7" s="536"/>
      <c r="E7" s="537"/>
      <c r="F7" s="537"/>
      <c r="G7" s="537"/>
      <c r="H7" s="538"/>
      <c r="I7" s="539"/>
      <c r="J7" s="539"/>
      <c r="K7" s="539"/>
      <c r="L7" s="540"/>
    </row>
    <row r="8" spans="1:12">
      <c r="A8" s="739"/>
      <c r="B8" s="535"/>
      <c r="C8" s="535">
        <v>1926</v>
      </c>
      <c r="D8" s="536">
        <v>0.48799999999999999</v>
      </c>
      <c r="E8" s="537"/>
      <c r="F8" s="537"/>
      <c r="G8" s="537"/>
      <c r="H8" s="538"/>
      <c r="I8" s="539"/>
      <c r="J8" s="539"/>
      <c r="K8" s="539"/>
      <c r="L8" s="540"/>
    </row>
    <row r="9" spans="1:12">
      <c r="A9" s="739"/>
      <c r="B9" s="535"/>
      <c r="C9" s="535">
        <v>1927</v>
      </c>
      <c r="D9" s="536"/>
      <c r="E9" s="537"/>
      <c r="F9" s="537"/>
      <c r="G9" s="537"/>
      <c r="H9" s="538"/>
      <c r="I9" s="539"/>
      <c r="J9" s="539"/>
      <c r="K9" s="539"/>
      <c r="L9" s="540"/>
    </row>
    <row r="10" spans="1:12">
      <c r="A10" s="739"/>
      <c r="B10" s="535"/>
      <c r="C10" s="535">
        <v>1928</v>
      </c>
      <c r="D10" s="536">
        <v>0.50700000000000001</v>
      </c>
      <c r="E10" s="537"/>
      <c r="F10" s="537"/>
      <c r="G10" s="537"/>
      <c r="H10" s="538"/>
      <c r="I10" s="539"/>
      <c r="J10" s="539"/>
      <c r="K10" s="539"/>
      <c r="L10" s="540"/>
    </row>
    <row r="11" spans="1:12">
      <c r="A11" s="739"/>
      <c r="B11" s="535"/>
      <c r="C11" s="535">
        <v>1929</v>
      </c>
      <c r="D11" s="536"/>
      <c r="E11" s="537"/>
      <c r="F11" s="537"/>
      <c r="G11" s="537"/>
      <c r="H11" s="538"/>
      <c r="I11" s="539"/>
      <c r="J11" s="539"/>
      <c r="K11" s="539"/>
      <c r="L11" s="540"/>
    </row>
    <row r="12" spans="1:12">
      <c r="A12" s="739"/>
      <c r="B12" s="535"/>
      <c r="C12" s="535">
        <v>1930</v>
      </c>
      <c r="D12" s="536">
        <v>0.52</v>
      </c>
      <c r="E12" s="537"/>
      <c r="F12" s="537"/>
      <c r="G12" s="537"/>
      <c r="H12" s="538"/>
      <c r="I12" s="539"/>
      <c r="J12" s="539"/>
      <c r="K12" s="539"/>
      <c r="L12" s="540"/>
    </row>
    <row r="13" spans="1:12">
      <c r="A13" s="739"/>
      <c r="B13" s="535"/>
      <c r="C13" s="535">
        <v>1931</v>
      </c>
      <c r="D13" s="536"/>
      <c r="E13" s="537"/>
      <c r="F13" s="537"/>
      <c r="G13" s="537"/>
      <c r="H13" s="538"/>
      <c r="I13" s="539"/>
      <c r="J13" s="539"/>
      <c r="K13" s="539"/>
      <c r="L13" s="540"/>
    </row>
    <row r="14" spans="1:12">
      <c r="A14" s="739"/>
      <c r="B14" s="535"/>
      <c r="C14" s="535">
        <v>1932</v>
      </c>
      <c r="D14" s="536">
        <v>0.52200000000000002</v>
      </c>
      <c r="E14" s="537"/>
      <c r="F14" s="537"/>
      <c r="G14" s="537"/>
      <c r="H14" s="538"/>
      <c r="I14" s="539"/>
      <c r="J14" s="539"/>
      <c r="K14" s="539"/>
      <c r="L14" s="540"/>
    </row>
    <row r="15" spans="1:12">
      <c r="A15" s="739"/>
      <c r="B15" s="535"/>
      <c r="C15" s="535">
        <v>1933</v>
      </c>
      <c r="D15" s="536"/>
      <c r="E15" s="537"/>
      <c r="F15" s="537"/>
      <c r="G15" s="537"/>
      <c r="H15" s="538"/>
      <c r="I15" s="539"/>
      <c r="J15" s="539"/>
      <c r="K15" s="539"/>
      <c r="L15" s="540"/>
    </row>
    <row r="16" spans="1:12">
      <c r="A16" s="739"/>
      <c r="B16" s="535"/>
      <c r="C16" s="535">
        <v>1934</v>
      </c>
      <c r="D16" s="536">
        <v>0.53400000000000003</v>
      </c>
      <c r="E16" s="537"/>
      <c r="F16" s="537"/>
      <c r="G16" s="537"/>
      <c r="H16" s="538"/>
      <c r="I16" s="539"/>
      <c r="J16" s="539"/>
      <c r="K16" s="539"/>
      <c r="L16" s="540"/>
    </row>
    <row r="17" spans="1:12">
      <c r="A17" s="739"/>
      <c r="B17" s="535"/>
      <c r="C17" s="535">
        <v>1935</v>
      </c>
      <c r="D17" s="536"/>
      <c r="E17" s="537"/>
      <c r="F17" s="537"/>
      <c r="G17" s="537"/>
      <c r="H17" s="538"/>
      <c r="I17" s="539"/>
      <c r="J17" s="539"/>
      <c r="K17" s="539"/>
      <c r="L17" s="540"/>
    </row>
    <row r="18" spans="1:12">
      <c r="A18" s="739"/>
      <c r="B18" s="535"/>
      <c r="C18" s="535">
        <v>1936</v>
      </c>
      <c r="D18" s="536">
        <v>0.56100000000000005</v>
      </c>
      <c r="E18" s="537"/>
      <c r="F18" s="537"/>
      <c r="G18" s="537"/>
      <c r="H18" s="538"/>
      <c r="I18" s="539"/>
      <c r="J18" s="539"/>
      <c r="K18" s="539"/>
      <c r="L18" s="540"/>
    </row>
    <row r="19" spans="1:12">
      <c r="A19" s="739"/>
      <c r="B19" s="535"/>
      <c r="C19" s="535">
        <v>1937</v>
      </c>
      <c r="D19" s="536"/>
      <c r="E19" s="537"/>
      <c r="F19" s="537"/>
      <c r="G19" s="537"/>
      <c r="H19" s="538"/>
      <c r="I19" s="539"/>
      <c r="J19" s="539"/>
      <c r="K19" s="539"/>
      <c r="L19" s="540"/>
    </row>
    <row r="20" spans="1:12" ht="15" thickBot="1">
      <c r="A20" s="740"/>
      <c r="B20" s="232"/>
      <c r="C20" s="232">
        <v>1938</v>
      </c>
      <c r="D20" s="233">
        <v>0.57699999999999996</v>
      </c>
      <c r="E20" s="234"/>
      <c r="F20" s="234"/>
      <c r="G20" s="234"/>
      <c r="H20" s="235"/>
      <c r="I20" s="236"/>
      <c r="J20" s="236"/>
      <c r="K20" s="236"/>
      <c r="L20" s="237"/>
    </row>
    <row r="21" spans="1:12" ht="15.75" customHeight="1">
      <c r="A21" s="741" t="s">
        <v>187</v>
      </c>
      <c r="B21" s="238">
        <v>2004</v>
      </c>
      <c r="C21" s="238">
        <v>1939</v>
      </c>
      <c r="D21" s="239">
        <v>0.58799999999999997</v>
      </c>
      <c r="E21" s="239">
        <v>0.66300000000000003</v>
      </c>
      <c r="F21" s="239">
        <v>0.54600000000000004</v>
      </c>
      <c r="G21" s="239">
        <v>0.70199999999999996</v>
      </c>
      <c r="H21" s="541"/>
      <c r="I21" s="542"/>
      <c r="J21" s="542"/>
      <c r="K21" s="542"/>
      <c r="L21" s="543"/>
    </row>
    <row r="22" spans="1:12">
      <c r="A22" s="742"/>
      <c r="B22" s="544">
        <v>2005</v>
      </c>
      <c r="C22" s="544">
        <v>1940</v>
      </c>
      <c r="D22" s="545">
        <v>0.60099999999999998</v>
      </c>
      <c r="E22" s="545">
        <v>0.67500000000000004</v>
      </c>
      <c r="F22" s="545">
        <v>0.54900000000000004</v>
      </c>
      <c r="G22" s="545">
        <v>0.70199999999999996</v>
      </c>
      <c r="H22" s="546"/>
      <c r="I22" s="547"/>
      <c r="J22" s="547"/>
      <c r="K22" s="547"/>
      <c r="L22" s="548"/>
    </row>
    <row r="23" spans="1:12">
      <c r="A23" s="742"/>
      <c r="B23" s="544">
        <v>2006</v>
      </c>
      <c r="C23" s="544">
        <v>1941</v>
      </c>
      <c r="D23" s="545">
        <v>0.61299999999999999</v>
      </c>
      <c r="E23" s="545">
        <v>0.68300000000000005</v>
      </c>
      <c r="F23" s="545">
        <v>0.55500000000000005</v>
      </c>
      <c r="G23" s="545">
        <v>0.70299999999999996</v>
      </c>
      <c r="H23" s="546"/>
      <c r="I23" s="547"/>
      <c r="J23" s="547"/>
      <c r="K23" s="547"/>
      <c r="L23" s="548"/>
    </row>
    <row r="24" spans="1:12">
      <c r="A24" s="742"/>
      <c r="B24" s="544">
        <v>2007</v>
      </c>
      <c r="C24" s="544">
        <v>1942</v>
      </c>
      <c r="D24" s="545">
        <v>0.61799999999999999</v>
      </c>
      <c r="E24" s="545">
        <v>0.68500000000000005</v>
      </c>
      <c r="F24" s="545">
        <v>0.56200000000000006</v>
      </c>
      <c r="G24" s="545">
        <v>0.70699999999999996</v>
      </c>
      <c r="H24" s="546"/>
      <c r="I24" s="547"/>
      <c r="J24" s="547"/>
      <c r="K24" s="547"/>
      <c r="L24" s="548"/>
    </row>
    <row r="25" spans="1:12">
      <c r="A25" s="742"/>
      <c r="B25" s="544">
        <v>2008</v>
      </c>
      <c r="C25" s="544">
        <v>1943</v>
      </c>
      <c r="D25" s="545">
        <v>0.626</v>
      </c>
      <c r="E25" s="545">
        <v>0.68799999999999994</v>
      </c>
      <c r="F25" s="545">
        <v>0.57099999999999995</v>
      </c>
      <c r="G25" s="545">
        <v>0.71799999999999997</v>
      </c>
      <c r="H25" s="546"/>
      <c r="I25" s="547"/>
      <c r="J25" s="547"/>
      <c r="K25" s="547"/>
      <c r="L25" s="548"/>
    </row>
    <row r="26" spans="1:12">
      <c r="A26" s="742"/>
      <c r="B26" s="544">
        <v>2009</v>
      </c>
      <c r="C26" s="544">
        <v>1944</v>
      </c>
      <c r="D26" s="545">
        <v>0.63</v>
      </c>
      <c r="E26" s="545">
        <v>0.68799999999999994</v>
      </c>
      <c r="F26" s="545">
        <v>0.57499999999999996</v>
      </c>
      <c r="G26" s="545">
        <v>0.72</v>
      </c>
      <c r="H26" s="546"/>
      <c r="I26" s="547"/>
      <c r="J26" s="547"/>
      <c r="K26" s="547"/>
      <c r="L26" s="548"/>
    </row>
    <row r="27" spans="1:12">
      <c r="A27" s="742"/>
      <c r="B27" s="544">
        <v>2010</v>
      </c>
      <c r="C27" s="544">
        <v>1945</v>
      </c>
      <c r="D27" s="545">
        <v>0.63700000000000001</v>
      </c>
      <c r="E27" s="545">
        <v>0.69599999999999995</v>
      </c>
      <c r="F27" s="545">
        <v>0.57899999999999996</v>
      </c>
      <c r="G27" s="545">
        <v>0.72399999999999998</v>
      </c>
      <c r="H27" s="546"/>
      <c r="I27" s="547"/>
      <c r="J27" s="547"/>
      <c r="K27" s="547"/>
      <c r="L27" s="548"/>
    </row>
    <row r="28" spans="1:12">
      <c r="A28" s="742"/>
      <c r="B28" s="240">
        <v>2011</v>
      </c>
      <c r="C28" s="240">
        <v>1946</v>
      </c>
      <c r="D28" s="241">
        <v>0.63700000000000001</v>
      </c>
      <c r="E28" s="241">
        <v>0.69199999999999995</v>
      </c>
      <c r="F28" s="241">
        <v>0.58099999999999996</v>
      </c>
      <c r="G28" s="241">
        <v>0.71799999999999997</v>
      </c>
      <c r="H28" s="242"/>
      <c r="I28" s="243"/>
      <c r="J28" s="243"/>
      <c r="K28" s="243"/>
      <c r="L28" s="244"/>
    </row>
    <row r="29" spans="1:12">
      <c r="A29" s="742"/>
      <c r="B29" s="240">
        <v>2012</v>
      </c>
      <c r="C29" s="240">
        <v>1947</v>
      </c>
      <c r="D29" s="241">
        <v>0.66</v>
      </c>
      <c r="E29" s="241">
        <v>0.70899999999999996</v>
      </c>
      <c r="F29" s="241">
        <v>0.59799999999999998</v>
      </c>
      <c r="G29" s="241">
        <v>0.74</v>
      </c>
      <c r="H29" s="242"/>
      <c r="I29" s="243"/>
      <c r="J29" s="243"/>
      <c r="K29" s="243"/>
      <c r="L29" s="244"/>
    </row>
    <row r="30" spans="1:12" ht="15" thickBot="1">
      <c r="A30" s="743"/>
      <c r="B30" s="245">
        <v>2013</v>
      </c>
      <c r="C30" s="245">
        <v>1948</v>
      </c>
      <c r="D30" s="246">
        <v>0.67900000000000005</v>
      </c>
      <c r="E30" s="246">
        <v>0.72499999999999998</v>
      </c>
      <c r="F30" s="246">
        <v>0.60499999999999998</v>
      </c>
      <c r="G30" s="246">
        <v>0.748</v>
      </c>
      <c r="H30" s="247"/>
      <c r="I30" s="549"/>
      <c r="J30" s="549"/>
      <c r="K30" s="549"/>
      <c r="L30" s="550"/>
    </row>
    <row r="31" spans="1:12">
      <c r="A31" s="738" t="s">
        <v>188</v>
      </c>
      <c r="B31" s="248">
        <v>2014</v>
      </c>
      <c r="C31" s="229"/>
      <c r="D31" s="230"/>
      <c r="E31" s="231"/>
      <c r="F31" s="231"/>
      <c r="G31" s="231"/>
      <c r="H31" s="551">
        <v>0.751</v>
      </c>
      <c r="I31" s="552">
        <v>0.751</v>
      </c>
      <c r="J31" s="552">
        <v>0.751</v>
      </c>
      <c r="K31" s="552">
        <v>0.751</v>
      </c>
      <c r="L31" s="553">
        <v>0.751</v>
      </c>
    </row>
    <row r="32" spans="1:12">
      <c r="A32" s="739"/>
      <c r="B32" s="535">
        <v>2015</v>
      </c>
      <c r="C32" s="535"/>
      <c r="D32" s="536"/>
      <c r="E32" s="537"/>
      <c r="F32" s="537"/>
      <c r="G32" s="537"/>
      <c r="H32" s="554">
        <v>0.75700000000000001</v>
      </c>
      <c r="I32" s="555">
        <v>0.75700000000000001</v>
      </c>
      <c r="J32" s="555">
        <v>0.75700000000000001</v>
      </c>
      <c r="K32" s="555">
        <v>0.75700000000000001</v>
      </c>
      <c r="L32" s="556">
        <v>0.75700000000000001</v>
      </c>
    </row>
    <row r="33" spans="1:12">
      <c r="A33" s="739"/>
      <c r="B33" s="229">
        <v>2016</v>
      </c>
      <c r="C33" s="535"/>
      <c r="D33" s="536"/>
      <c r="E33" s="537"/>
      <c r="F33" s="537"/>
      <c r="G33" s="537"/>
      <c r="H33" s="554">
        <v>0.75900000000000001</v>
      </c>
      <c r="I33" s="555">
        <v>0.75900000000000001</v>
      </c>
      <c r="J33" s="555">
        <v>0.75900000000000001</v>
      </c>
      <c r="K33" s="555">
        <v>0.75900000000000001</v>
      </c>
      <c r="L33" s="556">
        <v>0.75900000000000001</v>
      </c>
    </row>
    <row r="34" spans="1:12">
      <c r="A34" s="739"/>
      <c r="B34" s="535">
        <v>2017</v>
      </c>
      <c r="C34" s="535"/>
      <c r="D34" s="536"/>
      <c r="E34" s="537"/>
      <c r="F34" s="537"/>
      <c r="G34" s="537"/>
      <c r="H34" s="554">
        <v>0.76300000000000001</v>
      </c>
      <c r="I34" s="555">
        <v>0.76300000000000001</v>
      </c>
      <c r="J34" s="555">
        <v>0.76300000000000001</v>
      </c>
      <c r="K34" s="555">
        <v>0.76300000000000001</v>
      </c>
      <c r="L34" s="556">
        <v>0.76300000000000001</v>
      </c>
    </row>
    <row r="35" spans="1:12">
      <c r="A35" s="739"/>
      <c r="B35" s="229">
        <v>2018</v>
      </c>
      <c r="C35" s="535"/>
      <c r="D35" s="536"/>
      <c r="E35" s="537"/>
      <c r="F35" s="537"/>
      <c r="G35" s="537"/>
      <c r="H35" s="554">
        <v>0.76700000000000002</v>
      </c>
      <c r="I35" s="555">
        <v>0.76700000000000002</v>
      </c>
      <c r="J35" s="555">
        <v>0.76700000000000002</v>
      </c>
      <c r="K35" s="555">
        <v>0.76700000000000002</v>
      </c>
      <c r="L35" s="556">
        <v>0.76700000000000002</v>
      </c>
    </row>
    <row r="36" spans="1:12">
      <c r="A36" s="739"/>
      <c r="B36" s="535">
        <v>2019</v>
      </c>
      <c r="C36" s="535"/>
      <c r="D36" s="536"/>
      <c r="E36" s="537"/>
      <c r="F36" s="537"/>
      <c r="G36" s="537"/>
      <c r="H36" s="554">
        <v>0.76900000000000002</v>
      </c>
      <c r="I36" s="555">
        <v>0.76900000000000002</v>
      </c>
      <c r="J36" s="555">
        <v>0.76900000000000002</v>
      </c>
      <c r="K36" s="555">
        <v>0.76900000000000002</v>
      </c>
      <c r="L36" s="556">
        <v>0.76900000000000002</v>
      </c>
    </row>
    <row r="37" spans="1:12">
      <c r="A37" s="739"/>
      <c r="B37" s="229">
        <v>2020</v>
      </c>
      <c r="C37" s="535"/>
      <c r="D37" s="536"/>
      <c r="E37" s="537"/>
      <c r="F37" s="537"/>
      <c r="G37" s="537"/>
      <c r="H37" s="554">
        <v>0.77200000000000002</v>
      </c>
      <c r="I37" s="555">
        <v>0.77200000000000002</v>
      </c>
      <c r="J37" s="555">
        <v>0.77100000000000002</v>
      </c>
      <c r="K37" s="555">
        <v>0.77200000000000002</v>
      </c>
      <c r="L37" s="556">
        <v>0.77200000000000002</v>
      </c>
    </row>
    <row r="38" spans="1:12">
      <c r="A38" s="739"/>
      <c r="B38" s="535">
        <v>2021</v>
      </c>
      <c r="C38" s="535"/>
      <c r="D38" s="536"/>
      <c r="E38" s="537"/>
      <c r="F38" s="537"/>
      <c r="G38" s="537"/>
      <c r="H38" s="554">
        <v>0.77300000000000002</v>
      </c>
      <c r="I38" s="555">
        <v>0.77300000000000002</v>
      </c>
      <c r="J38" s="555">
        <v>0.77300000000000002</v>
      </c>
      <c r="K38" s="555">
        <v>0.77300000000000002</v>
      </c>
      <c r="L38" s="556">
        <v>0.77300000000000002</v>
      </c>
    </row>
    <row r="39" spans="1:12">
      <c r="A39" s="739"/>
      <c r="B39" s="229">
        <v>2022</v>
      </c>
      <c r="C39" s="535"/>
      <c r="D39" s="536"/>
      <c r="E39" s="537"/>
      <c r="F39" s="537"/>
      <c r="G39" s="537"/>
      <c r="H39" s="554">
        <v>0.77600000000000002</v>
      </c>
      <c r="I39" s="555">
        <v>0.77600000000000002</v>
      </c>
      <c r="J39" s="555">
        <v>0.77600000000000002</v>
      </c>
      <c r="K39" s="555">
        <v>0.77600000000000002</v>
      </c>
      <c r="L39" s="556">
        <v>0.77600000000000002</v>
      </c>
    </row>
    <row r="40" spans="1:12">
      <c r="A40" s="739"/>
      <c r="B40" s="535">
        <v>2023</v>
      </c>
      <c r="C40" s="535"/>
      <c r="D40" s="536"/>
      <c r="E40" s="537"/>
      <c r="F40" s="537"/>
      <c r="G40" s="537"/>
      <c r="H40" s="554">
        <v>0.78100000000000003</v>
      </c>
      <c r="I40" s="555">
        <v>0.78100000000000003</v>
      </c>
      <c r="J40" s="555">
        <v>0.78100000000000003</v>
      </c>
      <c r="K40" s="555">
        <v>0.78100000000000003</v>
      </c>
      <c r="L40" s="556">
        <v>0.78100000000000003</v>
      </c>
    </row>
    <row r="41" spans="1:12">
      <c r="A41" s="739"/>
      <c r="B41" s="229">
        <v>2024</v>
      </c>
      <c r="C41" s="535"/>
      <c r="D41" s="536"/>
      <c r="E41" s="537"/>
      <c r="F41" s="537"/>
      <c r="G41" s="537"/>
      <c r="H41" s="554">
        <v>0.78600000000000003</v>
      </c>
      <c r="I41" s="555">
        <v>0.78600000000000003</v>
      </c>
      <c r="J41" s="555">
        <v>0.78500000000000003</v>
      </c>
      <c r="K41" s="555">
        <v>0.78500000000000003</v>
      </c>
      <c r="L41" s="556">
        <v>0.78500000000000003</v>
      </c>
    </row>
    <row r="42" spans="1:12">
      <c r="A42" s="739"/>
      <c r="B42" s="535">
        <v>2025</v>
      </c>
      <c r="C42" s="535"/>
      <c r="D42" s="536"/>
      <c r="E42" s="537"/>
      <c r="F42" s="537"/>
      <c r="G42" s="537"/>
      <c r="H42" s="554">
        <v>0.79</v>
      </c>
      <c r="I42" s="555">
        <v>0.79</v>
      </c>
      <c r="J42" s="555">
        <v>0.79</v>
      </c>
      <c r="K42" s="555">
        <v>0.79</v>
      </c>
      <c r="L42" s="556">
        <v>0.79</v>
      </c>
    </row>
    <row r="43" spans="1:12">
      <c r="A43" s="739"/>
      <c r="B43" s="229">
        <v>2026</v>
      </c>
      <c r="C43" s="535"/>
      <c r="D43" s="536"/>
      <c r="E43" s="537"/>
      <c r="F43" s="537"/>
      <c r="G43" s="537"/>
      <c r="H43" s="554">
        <v>0.79200000000000004</v>
      </c>
      <c r="I43" s="555">
        <v>0.79200000000000004</v>
      </c>
      <c r="J43" s="555">
        <v>0.79200000000000004</v>
      </c>
      <c r="K43" s="555">
        <v>0.79200000000000004</v>
      </c>
      <c r="L43" s="556">
        <v>0.79200000000000004</v>
      </c>
    </row>
    <row r="44" spans="1:12">
      <c r="A44" s="739"/>
      <c r="B44" s="535">
        <v>2027</v>
      </c>
      <c r="C44" s="535"/>
      <c r="D44" s="536"/>
      <c r="E44" s="537"/>
      <c r="F44" s="537"/>
      <c r="G44" s="537"/>
      <c r="H44" s="554">
        <v>0.79400000000000004</v>
      </c>
      <c r="I44" s="555">
        <v>0.79400000000000004</v>
      </c>
      <c r="J44" s="555">
        <v>0.79400000000000004</v>
      </c>
      <c r="K44" s="555">
        <v>0.79400000000000004</v>
      </c>
      <c r="L44" s="556">
        <v>0.79400000000000004</v>
      </c>
    </row>
    <row r="45" spans="1:12">
      <c r="A45" s="739"/>
      <c r="B45" s="229">
        <v>2028</v>
      </c>
      <c r="C45" s="535"/>
      <c r="D45" s="536"/>
      <c r="E45" s="537"/>
      <c r="F45" s="537"/>
      <c r="G45" s="537"/>
      <c r="H45" s="554">
        <v>0.79600000000000004</v>
      </c>
      <c r="I45" s="555">
        <v>0.79600000000000004</v>
      </c>
      <c r="J45" s="555">
        <v>0.79600000000000004</v>
      </c>
      <c r="K45" s="555">
        <v>0.79600000000000004</v>
      </c>
      <c r="L45" s="556">
        <v>0.79600000000000004</v>
      </c>
    </row>
    <row r="46" spans="1:12">
      <c r="A46" s="739"/>
      <c r="B46" s="535">
        <v>2029</v>
      </c>
      <c r="C46" s="535"/>
      <c r="D46" s="536"/>
      <c r="E46" s="537"/>
      <c r="F46" s="537"/>
      <c r="G46" s="537"/>
      <c r="H46" s="554">
        <v>0.79900000000000004</v>
      </c>
      <c r="I46" s="555">
        <v>0.79900000000000004</v>
      </c>
      <c r="J46" s="555">
        <v>0.79900000000000004</v>
      </c>
      <c r="K46" s="555">
        <v>0.79900000000000004</v>
      </c>
      <c r="L46" s="556">
        <v>0.79900000000000004</v>
      </c>
    </row>
    <row r="47" spans="1:12">
      <c r="A47" s="739"/>
      <c r="B47" s="229">
        <v>2030</v>
      </c>
      <c r="C47" s="535"/>
      <c r="D47" s="536"/>
      <c r="E47" s="537"/>
      <c r="F47" s="537"/>
      <c r="G47" s="537"/>
      <c r="H47" s="554">
        <v>0.80200000000000005</v>
      </c>
      <c r="I47" s="555">
        <v>0.80200000000000005</v>
      </c>
      <c r="J47" s="555">
        <v>0.80200000000000005</v>
      </c>
      <c r="K47" s="555">
        <v>0.80200000000000005</v>
      </c>
      <c r="L47" s="556">
        <v>0.80200000000000005</v>
      </c>
    </row>
    <row r="48" spans="1:12">
      <c r="A48" s="739"/>
      <c r="B48" s="535">
        <v>2031</v>
      </c>
      <c r="C48" s="535"/>
      <c r="D48" s="536"/>
      <c r="E48" s="537"/>
      <c r="F48" s="537"/>
      <c r="G48" s="537"/>
      <c r="H48" s="554">
        <v>0.80600000000000005</v>
      </c>
      <c r="I48" s="555">
        <v>0.80500000000000005</v>
      </c>
      <c r="J48" s="555">
        <v>0.80500000000000005</v>
      </c>
      <c r="K48" s="555">
        <v>0.80600000000000005</v>
      </c>
      <c r="L48" s="556">
        <v>0.80600000000000005</v>
      </c>
    </row>
    <row r="49" spans="1:12">
      <c r="A49" s="739"/>
      <c r="B49" s="229">
        <v>2032</v>
      </c>
      <c r="C49" s="535"/>
      <c r="D49" s="536"/>
      <c r="E49" s="537"/>
      <c r="F49" s="537"/>
      <c r="G49" s="537"/>
      <c r="H49" s="554">
        <v>0.80800000000000005</v>
      </c>
      <c r="I49" s="555">
        <v>0.80800000000000005</v>
      </c>
      <c r="J49" s="555">
        <v>0.80800000000000005</v>
      </c>
      <c r="K49" s="555">
        <v>0.80800000000000005</v>
      </c>
      <c r="L49" s="556">
        <v>0.80900000000000005</v>
      </c>
    </row>
    <row r="50" spans="1:12">
      <c r="A50" s="739"/>
      <c r="B50" s="535">
        <v>2033</v>
      </c>
      <c r="C50" s="535"/>
      <c r="D50" s="536"/>
      <c r="E50" s="537"/>
      <c r="F50" s="537"/>
      <c r="G50" s="537"/>
      <c r="H50" s="554">
        <v>0.81</v>
      </c>
      <c r="I50" s="555">
        <v>0.81</v>
      </c>
      <c r="J50" s="555">
        <v>0.81</v>
      </c>
      <c r="K50" s="555">
        <v>0.81</v>
      </c>
      <c r="L50" s="556">
        <v>0.81100000000000005</v>
      </c>
    </row>
    <row r="51" spans="1:12">
      <c r="A51" s="739"/>
      <c r="B51" s="229">
        <v>2034</v>
      </c>
      <c r="C51" s="535"/>
      <c r="D51" s="536"/>
      <c r="E51" s="537"/>
      <c r="F51" s="537"/>
      <c r="G51" s="537"/>
      <c r="H51" s="554">
        <v>0.81399999999999995</v>
      </c>
      <c r="I51" s="555">
        <v>0.81399999999999995</v>
      </c>
      <c r="J51" s="555">
        <v>0.81399999999999995</v>
      </c>
      <c r="K51" s="555">
        <v>0.81399999999999995</v>
      </c>
      <c r="L51" s="556">
        <v>0.81499999999999995</v>
      </c>
    </row>
    <row r="52" spans="1:12">
      <c r="A52" s="739"/>
      <c r="B52" s="535">
        <v>2035</v>
      </c>
      <c r="C52" s="535"/>
      <c r="D52" s="536"/>
      <c r="E52" s="537"/>
      <c r="F52" s="537"/>
      <c r="G52" s="537"/>
      <c r="H52" s="554">
        <v>0.81599999999999995</v>
      </c>
      <c r="I52" s="555">
        <v>0.81599999999999995</v>
      </c>
      <c r="J52" s="555">
        <v>0.81599999999999995</v>
      </c>
      <c r="K52" s="555">
        <v>0.81699999999999995</v>
      </c>
      <c r="L52" s="556">
        <v>0.81699999999999995</v>
      </c>
    </row>
    <row r="53" spans="1:12">
      <c r="A53" s="739"/>
      <c r="B53" s="229">
        <v>2036</v>
      </c>
      <c r="C53" s="535"/>
      <c r="D53" s="536"/>
      <c r="E53" s="537"/>
      <c r="F53" s="537"/>
      <c r="G53" s="537"/>
      <c r="H53" s="554">
        <v>0.81899999999999995</v>
      </c>
      <c r="I53" s="555">
        <v>0.81899999999999995</v>
      </c>
      <c r="J53" s="555">
        <v>0.81899999999999995</v>
      </c>
      <c r="K53" s="555">
        <v>0.82</v>
      </c>
      <c r="L53" s="556">
        <v>0.82</v>
      </c>
    </row>
    <row r="54" spans="1:12">
      <c r="A54" s="739"/>
      <c r="B54" s="535">
        <v>2037</v>
      </c>
      <c r="C54" s="535"/>
      <c r="D54" s="536"/>
      <c r="E54" s="537"/>
      <c r="F54" s="537"/>
      <c r="G54" s="537"/>
      <c r="H54" s="554">
        <v>0.82099999999999995</v>
      </c>
      <c r="I54" s="555">
        <v>0.82099999999999995</v>
      </c>
      <c r="J54" s="555">
        <v>0.82199999999999995</v>
      </c>
      <c r="K54" s="555">
        <v>0.82199999999999995</v>
      </c>
      <c r="L54" s="556">
        <v>0.82299999999999995</v>
      </c>
    </row>
    <row r="55" spans="1:12">
      <c r="A55" s="739"/>
      <c r="B55" s="229">
        <v>2038</v>
      </c>
      <c r="C55" s="535"/>
      <c r="D55" s="536"/>
      <c r="E55" s="537"/>
      <c r="F55" s="537"/>
      <c r="G55" s="537"/>
      <c r="H55" s="554">
        <v>0.82399999999999995</v>
      </c>
      <c r="I55" s="555">
        <v>0.82399999999999995</v>
      </c>
      <c r="J55" s="555">
        <v>0.82399999999999995</v>
      </c>
      <c r="K55" s="555">
        <v>0.82499999999999996</v>
      </c>
      <c r="L55" s="556">
        <v>0.82599999999999996</v>
      </c>
    </row>
    <row r="56" spans="1:12">
      <c r="A56" s="739"/>
      <c r="B56" s="535">
        <v>2039</v>
      </c>
      <c r="C56" s="535"/>
      <c r="D56" s="536"/>
      <c r="E56" s="537"/>
      <c r="F56" s="537"/>
      <c r="G56" s="537"/>
      <c r="H56" s="554">
        <v>0.82699999999999996</v>
      </c>
      <c r="I56" s="555">
        <v>0.82699999999999996</v>
      </c>
      <c r="J56" s="555">
        <v>0.82699999999999996</v>
      </c>
      <c r="K56" s="555">
        <v>0.82799999999999996</v>
      </c>
      <c r="L56" s="556">
        <v>0.82899999999999996</v>
      </c>
    </row>
    <row r="57" spans="1:12">
      <c r="A57" s="739"/>
      <c r="B57" s="229">
        <v>2040</v>
      </c>
      <c r="C57" s="535"/>
      <c r="D57" s="536"/>
      <c r="E57" s="537"/>
      <c r="F57" s="537"/>
      <c r="G57" s="537"/>
      <c r="H57" s="554">
        <v>0.83</v>
      </c>
      <c r="I57" s="555">
        <v>0.83</v>
      </c>
      <c r="J57" s="555">
        <v>0.83</v>
      </c>
      <c r="K57" s="555">
        <v>0.83099999999999996</v>
      </c>
      <c r="L57" s="556">
        <v>0.83199999999999996</v>
      </c>
    </row>
    <row r="58" spans="1:12">
      <c r="A58" s="739"/>
      <c r="B58" s="535">
        <v>2041</v>
      </c>
      <c r="C58" s="535"/>
      <c r="D58" s="536"/>
      <c r="E58" s="537"/>
      <c r="F58" s="537"/>
      <c r="G58" s="537"/>
      <c r="H58" s="554">
        <v>0.83199999999999996</v>
      </c>
      <c r="I58" s="555">
        <v>0.83199999999999996</v>
      </c>
      <c r="J58" s="555">
        <v>0.83299999999999996</v>
      </c>
      <c r="K58" s="555">
        <v>0.83399999999999996</v>
      </c>
      <c r="L58" s="556">
        <v>0.83599999999999997</v>
      </c>
    </row>
    <row r="59" spans="1:12">
      <c r="A59" s="739"/>
      <c r="B59" s="229">
        <v>2042</v>
      </c>
      <c r="C59" s="535"/>
      <c r="D59" s="536"/>
      <c r="E59" s="537"/>
      <c r="F59" s="537"/>
      <c r="G59" s="537"/>
      <c r="H59" s="554">
        <v>0.83499999999999996</v>
      </c>
      <c r="I59" s="555">
        <v>0.83499999999999996</v>
      </c>
      <c r="J59" s="555">
        <v>0.83599999999999997</v>
      </c>
      <c r="K59" s="555">
        <v>0.83699999999999997</v>
      </c>
      <c r="L59" s="556">
        <v>0.83899999999999997</v>
      </c>
    </row>
    <row r="60" spans="1:12">
      <c r="A60" s="739"/>
      <c r="B60" s="535">
        <v>2043</v>
      </c>
      <c r="C60" s="535"/>
      <c r="D60" s="536"/>
      <c r="E60" s="537"/>
      <c r="F60" s="537"/>
      <c r="G60" s="537"/>
      <c r="H60" s="554">
        <v>0.83699999999999997</v>
      </c>
      <c r="I60" s="555">
        <v>0.83699999999999997</v>
      </c>
      <c r="J60" s="555">
        <v>0.83899999999999997</v>
      </c>
      <c r="K60" s="555">
        <v>0.84</v>
      </c>
      <c r="L60" s="556">
        <v>0.84199999999999997</v>
      </c>
    </row>
    <row r="61" spans="1:12">
      <c r="A61" s="739"/>
      <c r="B61" s="229">
        <v>2044</v>
      </c>
      <c r="C61" s="535"/>
      <c r="D61" s="536"/>
      <c r="E61" s="537"/>
      <c r="F61" s="537"/>
      <c r="G61" s="537"/>
      <c r="H61" s="554">
        <v>0.83899999999999997</v>
      </c>
      <c r="I61" s="555">
        <v>0.83899999999999997</v>
      </c>
      <c r="J61" s="555">
        <v>0.84099999999999997</v>
      </c>
      <c r="K61" s="555">
        <v>0.84199999999999997</v>
      </c>
      <c r="L61" s="556">
        <v>0.84399999999999997</v>
      </c>
    </row>
    <row r="62" spans="1:12">
      <c r="A62" s="739"/>
      <c r="B62" s="535">
        <v>2045</v>
      </c>
      <c r="C62" s="535"/>
      <c r="D62" s="536"/>
      <c r="E62" s="537"/>
      <c r="F62" s="537"/>
      <c r="G62" s="537"/>
      <c r="H62" s="554">
        <v>0.84199999999999997</v>
      </c>
      <c r="I62" s="555">
        <v>0.84199999999999997</v>
      </c>
      <c r="J62" s="555">
        <v>0.84399999999999997</v>
      </c>
      <c r="K62" s="555">
        <v>0.84599999999999997</v>
      </c>
      <c r="L62" s="556">
        <v>0.84799999999999998</v>
      </c>
    </row>
    <row r="63" spans="1:12">
      <c r="A63" s="739"/>
      <c r="B63" s="229">
        <v>2046</v>
      </c>
      <c r="C63" s="535"/>
      <c r="D63" s="536"/>
      <c r="E63" s="537"/>
      <c r="F63" s="537"/>
      <c r="G63" s="537"/>
      <c r="H63" s="554">
        <v>0.84499999999999997</v>
      </c>
      <c r="I63" s="555">
        <v>0.84499999999999997</v>
      </c>
      <c r="J63" s="555">
        <v>0.84699999999999998</v>
      </c>
      <c r="K63" s="555">
        <v>0.84899999999999998</v>
      </c>
      <c r="L63" s="556">
        <v>0.85099999999999998</v>
      </c>
    </row>
    <row r="64" spans="1:12">
      <c r="A64" s="739"/>
      <c r="B64" s="535">
        <v>2047</v>
      </c>
      <c r="C64" s="535"/>
      <c r="D64" s="536"/>
      <c r="E64" s="537"/>
      <c r="F64" s="537"/>
      <c r="G64" s="537"/>
      <c r="H64" s="554">
        <v>0.84699999999999998</v>
      </c>
      <c r="I64" s="555">
        <v>0.84699999999999998</v>
      </c>
      <c r="J64" s="555">
        <v>0.84899999999999998</v>
      </c>
      <c r="K64" s="555">
        <v>0.85099999999999998</v>
      </c>
      <c r="L64" s="556">
        <v>0.85399999999999998</v>
      </c>
    </row>
    <row r="65" spans="1:12">
      <c r="A65" s="739"/>
      <c r="B65" s="229">
        <v>2048</v>
      </c>
      <c r="C65" s="535"/>
      <c r="D65" s="536"/>
      <c r="E65" s="537"/>
      <c r="F65" s="537"/>
      <c r="G65" s="537"/>
      <c r="H65" s="554">
        <v>0.84799999999999998</v>
      </c>
      <c r="I65" s="555">
        <v>0.84899999999999998</v>
      </c>
      <c r="J65" s="555">
        <v>0.85099999999999998</v>
      </c>
      <c r="K65" s="555">
        <v>0.85299999999999998</v>
      </c>
      <c r="L65" s="556">
        <v>0.85599999999999998</v>
      </c>
    </row>
    <row r="66" spans="1:12">
      <c r="A66" s="739"/>
      <c r="B66" s="535">
        <v>2049</v>
      </c>
      <c r="C66" s="535"/>
      <c r="D66" s="536"/>
      <c r="E66" s="537"/>
      <c r="F66" s="537"/>
      <c r="G66" s="537"/>
      <c r="H66" s="554">
        <v>0.84899999999999998</v>
      </c>
      <c r="I66" s="555">
        <v>0.85</v>
      </c>
      <c r="J66" s="555">
        <v>0.85199999999999998</v>
      </c>
      <c r="K66" s="555">
        <v>0.85499999999999998</v>
      </c>
      <c r="L66" s="556">
        <v>0.85799999999999998</v>
      </c>
    </row>
    <row r="67" spans="1:12">
      <c r="A67" s="739"/>
      <c r="B67" s="229">
        <v>2050</v>
      </c>
      <c r="C67" s="535"/>
      <c r="D67" s="536"/>
      <c r="E67" s="537"/>
      <c r="F67" s="537"/>
      <c r="G67" s="537"/>
      <c r="H67" s="554">
        <v>0.85099999999999998</v>
      </c>
      <c r="I67" s="555">
        <v>0.85099999999999998</v>
      </c>
      <c r="J67" s="555">
        <v>0.85399999999999998</v>
      </c>
      <c r="K67" s="555">
        <v>0.85699999999999998</v>
      </c>
      <c r="L67" s="556">
        <v>0.86</v>
      </c>
    </row>
    <row r="68" spans="1:12">
      <c r="A68" s="739"/>
      <c r="B68" s="535">
        <v>2051</v>
      </c>
      <c r="C68" s="535"/>
      <c r="D68" s="557"/>
      <c r="E68" s="557"/>
      <c r="F68" s="557"/>
      <c r="G68" s="557"/>
      <c r="H68" s="554">
        <v>0.85099999999999998</v>
      </c>
      <c r="I68" s="555">
        <v>0.85199999999999998</v>
      </c>
      <c r="J68" s="555">
        <v>0.85399999999999998</v>
      </c>
      <c r="K68" s="555">
        <v>0.85799999999999998</v>
      </c>
      <c r="L68" s="556">
        <v>0.86099999999999999</v>
      </c>
    </row>
    <row r="69" spans="1:12">
      <c r="A69" s="739"/>
      <c r="B69" s="229">
        <v>2052</v>
      </c>
      <c r="C69" s="535"/>
      <c r="D69" s="557"/>
      <c r="E69" s="557"/>
      <c r="F69" s="557"/>
      <c r="G69" s="557"/>
      <c r="H69" s="554">
        <v>0.85199999999999998</v>
      </c>
      <c r="I69" s="555">
        <v>0.85299999999999998</v>
      </c>
      <c r="J69" s="555">
        <v>0.85499999999999998</v>
      </c>
      <c r="K69" s="555">
        <v>0.85899999999999999</v>
      </c>
      <c r="L69" s="556">
        <v>0.86299999999999999</v>
      </c>
    </row>
    <row r="70" spans="1:12">
      <c r="A70" s="739"/>
      <c r="B70" s="535">
        <v>2053</v>
      </c>
      <c r="C70" s="535"/>
      <c r="D70" s="557"/>
      <c r="E70" s="557"/>
      <c r="F70" s="557"/>
      <c r="G70" s="557"/>
      <c r="H70" s="554">
        <v>0.85099999999999998</v>
      </c>
      <c r="I70" s="555">
        <v>0.85299999999999998</v>
      </c>
      <c r="J70" s="555">
        <v>0.85499999999999998</v>
      </c>
      <c r="K70" s="555">
        <v>0.86</v>
      </c>
      <c r="L70" s="556">
        <v>0.86299999999999999</v>
      </c>
    </row>
    <row r="71" spans="1:12">
      <c r="A71" s="739"/>
      <c r="B71" s="229">
        <v>2054</v>
      </c>
      <c r="C71" s="535"/>
      <c r="D71" s="557"/>
      <c r="E71" s="557"/>
      <c r="F71" s="557"/>
      <c r="G71" s="557"/>
      <c r="H71" s="554">
        <v>0.85</v>
      </c>
      <c r="I71" s="555">
        <v>0.85199999999999998</v>
      </c>
      <c r="J71" s="555">
        <v>0.85499999999999998</v>
      </c>
      <c r="K71" s="555">
        <v>0.85899999999999999</v>
      </c>
      <c r="L71" s="556">
        <v>0.86299999999999999</v>
      </c>
    </row>
    <row r="72" spans="1:12">
      <c r="A72" s="739"/>
      <c r="B72" s="535">
        <v>2055</v>
      </c>
      <c r="C72" s="535"/>
      <c r="D72" s="557"/>
      <c r="E72" s="557"/>
      <c r="F72" s="557"/>
      <c r="G72" s="557"/>
      <c r="H72" s="554">
        <v>0.85</v>
      </c>
      <c r="I72" s="555">
        <v>0.85099999999999998</v>
      </c>
      <c r="J72" s="555">
        <v>0.85399999999999998</v>
      </c>
      <c r="K72" s="555">
        <v>0.85899999999999999</v>
      </c>
      <c r="L72" s="556">
        <v>0.86299999999999999</v>
      </c>
    </row>
    <row r="73" spans="1:12">
      <c r="A73" s="739"/>
      <c r="B73" s="229">
        <v>2056</v>
      </c>
      <c r="C73" s="535"/>
      <c r="D73" s="557"/>
      <c r="E73" s="557"/>
      <c r="F73" s="557"/>
      <c r="G73" s="557"/>
      <c r="H73" s="554">
        <v>0.84899999999999998</v>
      </c>
      <c r="I73" s="555">
        <v>0.85</v>
      </c>
      <c r="J73" s="555">
        <v>0.85399999999999998</v>
      </c>
      <c r="K73" s="555">
        <v>0.85799999999999998</v>
      </c>
      <c r="L73" s="556">
        <v>0.86299999999999999</v>
      </c>
    </row>
    <row r="74" spans="1:12">
      <c r="A74" s="739"/>
      <c r="B74" s="535">
        <v>2057</v>
      </c>
      <c r="C74" s="535"/>
      <c r="D74" s="557"/>
      <c r="E74" s="557"/>
      <c r="F74" s="557"/>
      <c r="G74" s="557"/>
      <c r="H74" s="554">
        <v>0.84799999999999998</v>
      </c>
      <c r="I74" s="555">
        <v>0.84899999999999998</v>
      </c>
      <c r="J74" s="555">
        <v>0.85299999999999998</v>
      </c>
      <c r="K74" s="555">
        <v>0.85799999999999998</v>
      </c>
      <c r="L74" s="556">
        <v>0.86299999999999999</v>
      </c>
    </row>
    <row r="75" spans="1:12">
      <c r="A75" s="739"/>
      <c r="B75" s="229">
        <v>2058</v>
      </c>
      <c r="C75" s="232"/>
      <c r="D75" s="249"/>
      <c r="E75" s="249"/>
      <c r="F75" s="249"/>
      <c r="G75" s="249"/>
      <c r="H75" s="250">
        <v>0.84699999999999998</v>
      </c>
      <c r="I75" s="251">
        <v>0.84899999999999998</v>
      </c>
      <c r="J75" s="251">
        <v>0.85299999999999998</v>
      </c>
      <c r="K75" s="251">
        <v>0.85799999999999998</v>
      </c>
      <c r="L75" s="252">
        <v>0.86399999999999999</v>
      </c>
    </row>
    <row r="76" spans="1:12">
      <c r="A76" s="739"/>
      <c r="B76" s="535">
        <v>2059</v>
      </c>
      <c r="C76" s="232"/>
      <c r="D76" s="249"/>
      <c r="E76" s="249"/>
      <c r="F76" s="249"/>
      <c r="G76" s="249"/>
      <c r="H76" s="250">
        <v>0.84599999999999997</v>
      </c>
      <c r="I76" s="251">
        <v>0.84699999999999998</v>
      </c>
      <c r="J76" s="251">
        <v>0.85199999999999998</v>
      </c>
      <c r="K76" s="251">
        <v>0.85799999999999998</v>
      </c>
      <c r="L76" s="252">
        <v>0.86299999999999999</v>
      </c>
    </row>
    <row r="77" spans="1:12" ht="15" thickBot="1">
      <c r="A77" s="740"/>
      <c r="B77" s="253">
        <v>2060</v>
      </c>
      <c r="C77" s="254"/>
      <c r="D77" s="255"/>
      <c r="E77" s="255"/>
      <c r="F77" s="255"/>
      <c r="G77" s="255"/>
      <c r="H77" s="256">
        <v>0.84499999999999997</v>
      </c>
      <c r="I77" s="558">
        <v>0.84599999999999997</v>
      </c>
      <c r="J77" s="558">
        <v>0.85099999999999998</v>
      </c>
      <c r="K77" s="558">
        <v>0.85699999999999998</v>
      </c>
      <c r="L77" s="559">
        <v>0.86299999999999999</v>
      </c>
    </row>
    <row r="78" spans="1:12">
      <c r="B78" s="212"/>
    </row>
    <row r="79" spans="1:12">
      <c r="B79" s="212"/>
    </row>
    <row r="80" spans="1:12">
      <c r="B80" s="212"/>
    </row>
    <row r="81" spans="2:2">
      <c r="B81" s="212"/>
    </row>
    <row r="82" spans="2:2">
      <c r="B82" s="212"/>
    </row>
    <row r="83" spans="2:2">
      <c r="B83" s="212"/>
    </row>
    <row r="84" spans="2:2">
      <c r="B84" s="212"/>
    </row>
    <row r="85" spans="2:2">
      <c r="B85" s="212"/>
    </row>
    <row r="86" spans="2:2">
      <c r="B86" s="212"/>
    </row>
    <row r="87" spans="2:2">
      <c r="B87" s="212"/>
    </row>
    <row r="88" spans="2:2">
      <c r="B88" s="212"/>
    </row>
    <row r="89" spans="2:2">
      <c r="B89" s="212"/>
    </row>
    <row r="90" spans="2:2">
      <c r="B90" s="212"/>
    </row>
    <row r="91" spans="2:2">
      <c r="B91" s="212"/>
    </row>
    <row r="92" spans="2:2">
      <c r="B92" s="212"/>
    </row>
    <row r="93" spans="2:2">
      <c r="B93" s="212"/>
    </row>
    <row r="94" spans="2:2">
      <c r="B94" s="212"/>
    </row>
    <row r="95" spans="2:2">
      <c r="B95" s="212"/>
    </row>
    <row r="96" spans="2:2">
      <c r="B96" s="212"/>
    </row>
    <row r="97" spans="2:2">
      <c r="B97" s="212"/>
    </row>
    <row r="98" spans="2:2">
      <c r="B98" s="212"/>
    </row>
    <row r="99" spans="2:2">
      <c r="B99" s="212"/>
    </row>
    <row r="100" spans="2:2">
      <c r="B100" s="212"/>
    </row>
    <row r="101" spans="2:2">
      <c r="B101" s="212"/>
    </row>
    <row r="102" spans="2:2">
      <c r="B102" s="212"/>
    </row>
    <row r="103" spans="2:2">
      <c r="B103" s="212"/>
    </row>
    <row r="104" spans="2:2">
      <c r="B104" s="212"/>
    </row>
    <row r="105" spans="2:2">
      <c r="B105" s="212"/>
    </row>
    <row r="106" spans="2:2">
      <c r="B106" s="212"/>
    </row>
    <row r="107" spans="2:2">
      <c r="B107" s="212"/>
    </row>
    <row r="108" spans="2:2">
      <c r="B108" s="212"/>
    </row>
    <row r="109" spans="2:2">
      <c r="B109" s="212"/>
    </row>
    <row r="110" spans="2:2">
      <c r="B110" s="212"/>
    </row>
    <row r="111" spans="2:2">
      <c r="B111" s="212"/>
    </row>
    <row r="112" spans="2:2">
      <c r="B112" s="212"/>
    </row>
    <row r="113" spans="2:2">
      <c r="B113" s="212"/>
    </row>
    <row r="114" spans="2:2">
      <c r="B114" s="212"/>
    </row>
    <row r="115" spans="2:2">
      <c r="B115" s="212"/>
    </row>
    <row r="116" spans="2:2">
      <c r="B116" s="212"/>
    </row>
    <row r="117" spans="2:2">
      <c r="B117" s="212"/>
    </row>
    <row r="118" spans="2:2">
      <c r="B118" s="212"/>
    </row>
    <row r="119" spans="2:2">
      <c r="B119" s="212"/>
    </row>
    <row r="120" spans="2:2">
      <c r="B120" s="212"/>
    </row>
    <row r="121" spans="2:2">
      <c r="B121" s="212"/>
    </row>
    <row r="122" spans="2:2">
      <c r="B122" s="212"/>
    </row>
    <row r="123" spans="2:2">
      <c r="B123" s="212"/>
    </row>
    <row r="124" spans="2:2">
      <c r="B124" s="212"/>
    </row>
    <row r="125" spans="2:2">
      <c r="B125" s="212"/>
    </row>
    <row r="126" spans="2:2">
      <c r="B126" s="212"/>
    </row>
    <row r="127" spans="2:2">
      <c r="B127" s="212"/>
    </row>
    <row r="128" spans="2:2">
      <c r="B128" s="212"/>
    </row>
    <row r="129" spans="2:2">
      <c r="B129" s="212"/>
    </row>
    <row r="130" spans="2:2">
      <c r="B130" s="212"/>
    </row>
    <row r="131" spans="2:2">
      <c r="B131" s="212"/>
    </row>
    <row r="132" spans="2:2">
      <c r="B132" s="212"/>
    </row>
    <row r="133" spans="2:2">
      <c r="B133" s="212"/>
    </row>
    <row r="134" spans="2:2">
      <c r="B134" s="212"/>
    </row>
    <row r="135" spans="2:2">
      <c r="B135" s="212"/>
    </row>
    <row r="136" spans="2:2">
      <c r="B136" s="212"/>
    </row>
    <row r="137" spans="2:2">
      <c r="B137" s="212"/>
    </row>
    <row r="138" spans="2:2">
      <c r="B138" s="212"/>
    </row>
    <row r="139" spans="2:2">
      <c r="B139" s="212"/>
    </row>
    <row r="140" spans="2:2">
      <c r="B140" s="212"/>
    </row>
    <row r="141" spans="2:2">
      <c r="B141" s="212"/>
    </row>
    <row r="142" spans="2:2">
      <c r="B142" s="212"/>
    </row>
    <row r="143" spans="2:2">
      <c r="B143" s="212"/>
    </row>
    <row r="144" spans="2:2">
      <c r="B144" s="212"/>
    </row>
    <row r="145" spans="2:63" customFormat="1" ht="15" thickBot="1">
      <c r="B145" s="257"/>
      <c r="C145" s="258">
        <v>2000</v>
      </c>
      <c r="D145" s="259">
        <v>2001</v>
      </c>
      <c r="E145" s="259">
        <v>2002</v>
      </c>
      <c r="F145" s="259">
        <v>2003</v>
      </c>
      <c r="G145" s="259">
        <v>2004</v>
      </c>
      <c r="H145" s="259">
        <v>2005</v>
      </c>
      <c r="I145" s="259">
        <v>2006</v>
      </c>
      <c r="J145" s="259">
        <v>2007</v>
      </c>
      <c r="K145" s="259">
        <v>2008</v>
      </c>
      <c r="L145" s="259">
        <v>2009</v>
      </c>
      <c r="M145" s="259">
        <v>2010</v>
      </c>
      <c r="N145" s="259">
        <v>2011</v>
      </c>
      <c r="O145" s="259">
        <v>2012</v>
      </c>
      <c r="P145" s="259">
        <v>2013</v>
      </c>
      <c r="Q145" s="259">
        <v>2014</v>
      </c>
      <c r="R145" s="259">
        <v>2015</v>
      </c>
      <c r="S145" s="259">
        <v>2016</v>
      </c>
      <c r="T145" s="259">
        <v>2017</v>
      </c>
      <c r="U145" s="259">
        <v>2018</v>
      </c>
      <c r="V145" s="259">
        <v>2019</v>
      </c>
      <c r="W145" s="259">
        <v>2020</v>
      </c>
      <c r="X145" s="259">
        <v>2021</v>
      </c>
      <c r="Y145" s="259">
        <v>2022</v>
      </c>
      <c r="Z145" s="259">
        <v>2023</v>
      </c>
      <c r="AA145" s="259">
        <v>2024</v>
      </c>
      <c r="AB145" s="259">
        <v>2025</v>
      </c>
      <c r="AC145" s="259">
        <v>2026</v>
      </c>
      <c r="AD145" s="259">
        <v>2027</v>
      </c>
      <c r="AE145" s="259">
        <v>2028</v>
      </c>
      <c r="AF145" s="259">
        <v>2029</v>
      </c>
      <c r="AG145" s="259">
        <v>2030</v>
      </c>
      <c r="AH145" s="259">
        <v>2031</v>
      </c>
      <c r="AI145" s="259">
        <v>2032</v>
      </c>
      <c r="AJ145" s="259">
        <v>2033</v>
      </c>
      <c r="AK145" s="259">
        <v>2034</v>
      </c>
      <c r="AL145" s="259">
        <v>2035</v>
      </c>
      <c r="AM145" s="259">
        <v>2036</v>
      </c>
      <c r="AN145" s="259">
        <v>2037</v>
      </c>
      <c r="AO145" s="259">
        <v>2038</v>
      </c>
      <c r="AP145" s="259">
        <v>2039</v>
      </c>
      <c r="AQ145" s="259">
        <v>2040</v>
      </c>
      <c r="AR145" s="259">
        <v>2041</v>
      </c>
      <c r="AS145" s="259">
        <v>2042</v>
      </c>
      <c r="AT145" s="259">
        <v>2043</v>
      </c>
      <c r="AU145" s="259">
        <v>2044</v>
      </c>
      <c r="AV145" s="259">
        <v>2045</v>
      </c>
      <c r="AW145" s="259">
        <v>2046</v>
      </c>
      <c r="AX145" s="259">
        <v>2047</v>
      </c>
      <c r="AY145" s="259">
        <v>2048</v>
      </c>
      <c r="AZ145" s="259">
        <v>2049</v>
      </c>
      <c r="BA145" s="259">
        <v>2050</v>
      </c>
      <c r="BB145" s="259">
        <v>2051</v>
      </c>
      <c r="BC145" s="259">
        <v>2052</v>
      </c>
      <c r="BD145" s="259">
        <v>2053</v>
      </c>
      <c r="BE145" s="259">
        <v>2054</v>
      </c>
      <c r="BF145" s="259">
        <v>2055</v>
      </c>
      <c r="BG145" s="259">
        <v>2056</v>
      </c>
      <c r="BH145" s="259">
        <v>2057</v>
      </c>
      <c r="BI145" s="259">
        <v>2058</v>
      </c>
      <c r="BJ145" s="259">
        <v>2059</v>
      </c>
      <c r="BK145" s="260">
        <v>2060</v>
      </c>
    </row>
    <row r="146" spans="2:63" customFormat="1" ht="15" customHeight="1">
      <c r="B146" s="222" t="s">
        <v>66</v>
      </c>
      <c r="C146" s="261">
        <v>60.737911570475433</v>
      </c>
      <c r="D146" s="262">
        <v>60.763717921115287</v>
      </c>
      <c r="E146" s="262">
        <v>60.763140978348261</v>
      </c>
      <c r="F146" s="262">
        <v>60.793393014291709</v>
      </c>
      <c r="G146" s="262">
        <v>60.661270922435136</v>
      </c>
      <c r="H146" s="262">
        <v>60.605935721803121</v>
      </c>
      <c r="I146" s="262">
        <v>60.539830802886271</v>
      </c>
      <c r="J146" s="262">
        <v>60.488031780649344</v>
      </c>
      <c r="K146" s="262">
        <v>60.438827762237487</v>
      </c>
      <c r="L146" s="262">
        <v>60.536533412850197</v>
      </c>
      <c r="M146" s="262">
        <v>60.551473525037636</v>
      </c>
      <c r="N146" s="262">
        <v>60.748274764431876</v>
      </c>
      <c r="O146" s="262">
        <v>60.950382057865518</v>
      </c>
      <c r="P146" s="262">
        <v>61.045200271924344</v>
      </c>
      <c r="Q146" s="262"/>
      <c r="R146" s="262"/>
      <c r="S146" s="262"/>
      <c r="T146" s="262"/>
      <c r="U146" s="262"/>
      <c r="V146" s="262"/>
      <c r="W146" s="262"/>
      <c r="X146" s="262"/>
      <c r="Y146" s="262"/>
      <c r="Z146" s="262"/>
      <c r="AA146" s="262"/>
      <c r="AB146" s="262"/>
      <c r="AC146" s="262"/>
      <c r="AD146" s="262"/>
      <c r="AE146" s="262"/>
      <c r="AF146" s="262"/>
      <c r="AG146" s="262"/>
      <c r="AH146" s="262"/>
      <c r="AI146" s="262"/>
      <c r="AJ146" s="262"/>
      <c r="AK146" s="262"/>
      <c r="AL146" s="262"/>
      <c r="AM146" s="262"/>
      <c r="AN146" s="262"/>
      <c r="AO146" s="262"/>
      <c r="AP146" s="262"/>
      <c r="AQ146" s="262"/>
      <c r="AR146" s="262"/>
      <c r="AS146" s="262"/>
      <c r="AT146" s="262"/>
      <c r="AU146" s="262"/>
      <c r="AV146" s="262"/>
      <c r="AW146" s="262"/>
      <c r="AX146" s="262"/>
      <c r="AY146" s="262"/>
      <c r="AZ146" s="262"/>
      <c r="BA146" s="262"/>
      <c r="BB146" s="262"/>
      <c r="BC146" s="262"/>
      <c r="BD146" s="262"/>
      <c r="BE146" s="262"/>
      <c r="BF146" s="262"/>
      <c r="BG146" s="262"/>
      <c r="BH146" s="262"/>
      <c r="BI146" s="262"/>
      <c r="BJ146" s="262"/>
      <c r="BK146" s="263"/>
    </row>
    <row r="147" spans="2:63" customFormat="1">
      <c r="B147" s="264" t="s">
        <v>54</v>
      </c>
      <c r="C147" s="265"/>
      <c r="D147" s="266"/>
      <c r="E147" s="266"/>
      <c r="F147" s="266"/>
      <c r="G147" s="266"/>
      <c r="H147" s="266"/>
      <c r="I147" s="266"/>
      <c r="J147" s="266"/>
      <c r="K147" s="266"/>
      <c r="L147" s="266"/>
      <c r="M147" s="266"/>
      <c r="N147" s="266"/>
      <c r="O147" s="266"/>
      <c r="P147" s="266"/>
      <c r="Q147" s="266">
        <v>61.256370698694305</v>
      </c>
      <c r="R147" s="266">
        <v>61.508801019757321</v>
      </c>
      <c r="S147" s="266">
        <v>61.766933977371075</v>
      </c>
      <c r="T147" s="266">
        <v>61.970397629536947</v>
      </c>
      <c r="U147" s="266">
        <v>62.097630001237469</v>
      </c>
      <c r="V147" s="266">
        <v>62.223904647137878</v>
      </c>
      <c r="W147" s="266">
        <v>62.360954080344698</v>
      </c>
      <c r="X147" s="266">
        <v>62.487034004494028</v>
      </c>
      <c r="Y147" s="266">
        <v>62.561462829138343</v>
      </c>
      <c r="Z147" s="266">
        <v>62.625687324797411</v>
      </c>
      <c r="AA147" s="266">
        <v>62.702193163367383</v>
      </c>
      <c r="AB147" s="266">
        <v>62.779166219544578</v>
      </c>
      <c r="AC147" s="266">
        <v>62.882289791310669</v>
      </c>
      <c r="AD147" s="266">
        <v>63.015638551948022</v>
      </c>
      <c r="AE147" s="266">
        <v>63.104594661087148</v>
      </c>
      <c r="AF147" s="266">
        <v>63.195777731934463</v>
      </c>
      <c r="AG147" s="266">
        <v>63.301659488364152</v>
      </c>
      <c r="AH147" s="266">
        <v>63.384184950337698</v>
      </c>
      <c r="AI147" s="266">
        <v>63.51005959953099</v>
      </c>
      <c r="AJ147" s="266">
        <v>63.580687003420941</v>
      </c>
      <c r="AK147" s="266">
        <v>63.679600459861561</v>
      </c>
      <c r="AL147" s="266">
        <v>63.7865228237306</v>
      </c>
      <c r="AM147" s="266">
        <v>63.894724864179565</v>
      </c>
      <c r="AN147" s="266">
        <v>63.961302927737641</v>
      </c>
      <c r="AO147" s="266">
        <v>64.039569076548062</v>
      </c>
      <c r="AP147" s="266">
        <v>64.105681429771067</v>
      </c>
      <c r="AQ147" s="266">
        <v>64.145982401721255</v>
      </c>
      <c r="AR147" s="266">
        <v>64.171336272365863</v>
      </c>
      <c r="AS147" s="266">
        <v>64.172412431580696</v>
      </c>
      <c r="AT147" s="266">
        <v>64.142934700596953</v>
      </c>
      <c r="AU147" s="266">
        <v>64.122794072946363</v>
      </c>
      <c r="AV147" s="266">
        <v>64.09297160183138</v>
      </c>
      <c r="AW147" s="266">
        <v>64.085951143011101</v>
      </c>
      <c r="AX147" s="266">
        <v>64.084635888667279</v>
      </c>
      <c r="AY147" s="266">
        <v>64.104222487291651</v>
      </c>
      <c r="AZ147" s="266">
        <v>64.103757341514637</v>
      </c>
      <c r="BA147" s="266">
        <v>64.067137615227267</v>
      </c>
      <c r="BB147" s="266">
        <v>64.061321571403795</v>
      </c>
      <c r="BC147" s="266">
        <v>64.051736257175307</v>
      </c>
      <c r="BD147" s="266">
        <v>64.042582246471738</v>
      </c>
      <c r="BE147" s="266">
        <v>64.045362687072029</v>
      </c>
      <c r="BF147" s="266">
        <v>64.061680960429655</v>
      </c>
      <c r="BG147" s="266">
        <v>64.062416321438988</v>
      </c>
      <c r="BH147" s="266">
        <v>64.066479089046808</v>
      </c>
      <c r="BI147" s="266">
        <v>64.06675201246226</v>
      </c>
      <c r="BJ147" s="266">
        <v>64.073806522895879</v>
      </c>
      <c r="BK147" s="267">
        <v>64.074394072684242</v>
      </c>
    </row>
    <row r="148" spans="2:63" customFormat="1">
      <c r="B148" s="264" t="s">
        <v>89</v>
      </c>
      <c r="C148" s="265"/>
      <c r="D148" s="266"/>
      <c r="E148" s="266"/>
      <c r="F148" s="266"/>
      <c r="G148" s="266"/>
      <c r="H148" s="266"/>
      <c r="I148" s="266"/>
      <c r="J148" s="266"/>
      <c r="K148" s="266"/>
      <c r="L148" s="266"/>
      <c r="M148" s="266"/>
      <c r="N148" s="266"/>
      <c r="O148" s="266"/>
      <c r="P148" s="266"/>
      <c r="Q148" s="266">
        <v>61.256375970259555</v>
      </c>
      <c r="R148" s="266">
        <v>61.508820376094206</v>
      </c>
      <c r="S148" s="266">
        <v>61.766975382786434</v>
      </c>
      <c r="T148" s="266">
        <v>61.970479156996248</v>
      </c>
      <c r="U148" s="266">
        <v>62.097755360500088</v>
      </c>
      <c r="V148" s="266">
        <v>62.224080631013706</v>
      </c>
      <c r="W148" s="266">
        <v>62.361182008358504</v>
      </c>
      <c r="X148" s="266">
        <v>62.487371259796177</v>
      </c>
      <c r="Y148" s="266">
        <v>62.561901750508582</v>
      </c>
      <c r="Z148" s="266">
        <v>62.626242611694423</v>
      </c>
      <c r="AA148" s="266">
        <v>62.703004211588976</v>
      </c>
      <c r="AB148" s="266">
        <v>62.779990190064098</v>
      </c>
      <c r="AC148" s="266">
        <v>62.883095663727246</v>
      </c>
      <c r="AD148" s="266">
        <v>63.016424418248654</v>
      </c>
      <c r="AE148" s="266">
        <v>63.105631122524201</v>
      </c>
      <c r="AF148" s="266">
        <v>63.197047626311054</v>
      </c>
      <c r="AG148" s="266">
        <v>63.302776788360077</v>
      </c>
      <c r="AH148" s="266">
        <v>63.385406433867729</v>
      </c>
      <c r="AI148" s="266">
        <v>63.51125551537595</v>
      </c>
      <c r="AJ148" s="266">
        <v>63.581873809528808</v>
      </c>
      <c r="AK148" s="266">
        <v>63.681080335988284</v>
      </c>
      <c r="AL148" s="266">
        <v>63.788108578920905</v>
      </c>
      <c r="AM148" s="266">
        <v>63.895450391757336</v>
      </c>
      <c r="AN148" s="266">
        <v>63.962059381506485</v>
      </c>
      <c r="AO148" s="266">
        <v>64.040476560737389</v>
      </c>
      <c r="AP148" s="266">
        <v>64.106864823552812</v>
      </c>
      <c r="AQ148" s="266">
        <v>64.14766044345609</v>
      </c>
      <c r="AR148" s="266">
        <v>64.172626935333781</v>
      </c>
      <c r="AS148" s="266">
        <v>64.173949050955898</v>
      </c>
      <c r="AT148" s="266">
        <v>64.144243731698992</v>
      </c>
      <c r="AU148" s="266">
        <v>64.12331450073782</v>
      </c>
      <c r="AV148" s="266">
        <v>64.09359055137682</v>
      </c>
      <c r="AW148" s="266">
        <v>64.08646914601502</v>
      </c>
      <c r="AX148" s="266">
        <v>64.084609616509084</v>
      </c>
      <c r="AY148" s="266">
        <v>64.103598748749818</v>
      </c>
      <c r="AZ148" s="266">
        <v>64.102378796134275</v>
      </c>
      <c r="BA148" s="266">
        <v>64.065733380608251</v>
      </c>
      <c r="BB148" s="266">
        <v>64.058874763774</v>
      </c>
      <c r="BC148" s="266">
        <v>64.048316171597421</v>
      </c>
      <c r="BD148" s="266">
        <v>64.038203314658176</v>
      </c>
      <c r="BE148" s="266">
        <v>64.040776561969466</v>
      </c>
      <c r="BF148" s="266">
        <v>64.055613163539519</v>
      </c>
      <c r="BG148" s="266">
        <v>64.056084827253031</v>
      </c>
      <c r="BH148" s="266">
        <v>64.059134203232887</v>
      </c>
      <c r="BI148" s="266">
        <v>64.058546950055813</v>
      </c>
      <c r="BJ148" s="266">
        <v>64.06400792540758</v>
      </c>
      <c r="BK148" s="267">
        <v>64.063357117924582</v>
      </c>
    </row>
    <row r="149" spans="2:63" customFormat="1">
      <c r="B149" s="264" t="s">
        <v>55</v>
      </c>
      <c r="C149" s="265"/>
      <c r="D149" s="266"/>
      <c r="E149" s="266"/>
      <c r="F149" s="266"/>
      <c r="G149" s="266"/>
      <c r="H149" s="266"/>
      <c r="I149" s="266"/>
      <c r="J149" s="266"/>
      <c r="K149" s="266"/>
      <c r="L149" s="266"/>
      <c r="M149" s="266"/>
      <c r="N149" s="266"/>
      <c r="O149" s="266"/>
      <c r="P149" s="266"/>
      <c r="Q149" s="266">
        <v>61.256981360179566</v>
      </c>
      <c r="R149" s="266">
        <v>61.509502479075081</v>
      </c>
      <c r="S149" s="266">
        <v>61.767787315633605</v>
      </c>
      <c r="T149" s="266">
        <v>61.971284787862601</v>
      </c>
      <c r="U149" s="266">
        <v>62.098732858481057</v>
      </c>
      <c r="V149" s="266">
        <v>62.225118990475536</v>
      </c>
      <c r="W149" s="266">
        <v>62.363027849741066</v>
      </c>
      <c r="X149" s="266">
        <v>62.489289014869726</v>
      </c>
      <c r="Y149" s="266">
        <v>62.56335275708954</v>
      </c>
      <c r="Z149" s="266">
        <v>62.628405105030488</v>
      </c>
      <c r="AA149" s="266">
        <v>62.705372036328498</v>
      </c>
      <c r="AB149" s="266">
        <v>62.782175642587802</v>
      </c>
      <c r="AC149" s="266">
        <v>62.885013319559775</v>
      </c>
      <c r="AD149" s="266">
        <v>63.01896855535125</v>
      </c>
      <c r="AE149" s="266">
        <v>63.108408796609623</v>
      </c>
      <c r="AF149" s="266">
        <v>63.198967443392966</v>
      </c>
      <c r="AG149" s="266">
        <v>63.304604981529266</v>
      </c>
      <c r="AH149" s="266">
        <v>63.389151501750206</v>
      </c>
      <c r="AI149" s="266">
        <v>63.514255589244115</v>
      </c>
      <c r="AJ149" s="266">
        <v>63.584376721094777</v>
      </c>
      <c r="AK149" s="266">
        <v>63.683178972552426</v>
      </c>
      <c r="AL149" s="266">
        <v>63.790256901249485</v>
      </c>
      <c r="AM149" s="266">
        <v>63.897846699680827</v>
      </c>
      <c r="AN149" s="266">
        <v>63.964133879654945</v>
      </c>
      <c r="AO149" s="266">
        <v>64.041720003126471</v>
      </c>
      <c r="AP149" s="266">
        <v>64.10792673351321</v>
      </c>
      <c r="AQ149" s="266">
        <v>64.14873148011425</v>
      </c>
      <c r="AR149" s="266">
        <v>64.173125764812994</v>
      </c>
      <c r="AS149" s="266">
        <v>64.174959508881926</v>
      </c>
      <c r="AT149" s="266">
        <v>64.145455391445907</v>
      </c>
      <c r="AU149" s="266">
        <v>64.124079811095612</v>
      </c>
      <c r="AV149" s="266">
        <v>64.095668011376205</v>
      </c>
      <c r="AW149" s="266">
        <v>64.08657807953567</v>
      </c>
      <c r="AX149" s="266">
        <v>64.081880616602291</v>
      </c>
      <c r="AY149" s="266">
        <v>64.1006215163343</v>
      </c>
      <c r="AZ149" s="266">
        <v>64.099761347654507</v>
      </c>
      <c r="BA149" s="266">
        <v>64.060955257884231</v>
      </c>
      <c r="BB149" s="266">
        <v>64.052769515570475</v>
      </c>
      <c r="BC149" s="266">
        <v>64.040396036095657</v>
      </c>
      <c r="BD149" s="266">
        <v>64.029681533383481</v>
      </c>
      <c r="BE149" s="266">
        <v>64.031997630097834</v>
      </c>
      <c r="BF149" s="266">
        <v>64.047405707958134</v>
      </c>
      <c r="BG149" s="266">
        <v>64.047405707958134</v>
      </c>
      <c r="BH149" s="266">
        <v>64.047405707958134</v>
      </c>
      <c r="BI149" s="266">
        <v>64.047405707958134</v>
      </c>
      <c r="BJ149" s="266">
        <v>64.047405707958134</v>
      </c>
      <c r="BK149" s="267">
        <v>64.047405707958134</v>
      </c>
    </row>
    <row r="150" spans="2:63" customFormat="1">
      <c r="B150" s="264" t="s">
        <v>56</v>
      </c>
      <c r="C150" s="265"/>
      <c r="D150" s="266"/>
      <c r="E150" s="266"/>
      <c r="F150" s="266"/>
      <c r="G150" s="266"/>
      <c r="H150" s="266"/>
      <c r="I150" s="266"/>
      <c r="J150" s="266"/>
      <c r="K150" s="266"/>
      <c r="L150" s="266"/>
      <c r="M150" s="266"/>
      <c r="N150" s="266"/>
      <c r="O150" s="266"/>
      <c r="P150" s="266"/>
      <c r="Q150" s="266">
        <v>61.255679770780574</v>
      </c>
      <c r="R150" s="266">
        <v>61.508075228325602</v>
      </c>
      <c r="S150" s="266">
        <v>61.76623010818593</v>
      </c>
      <c r="T150" s="266">
        <v>61.969697106955735</v>
      </c>
      <c r="U150" s="266">
        <v>62.097113737545236</v>
      </c>
      <c r="V150" s="266">
        <v>62.223642667862627</v>
      </c>
      <c r="W150" s="266">
        <v>62.361801422344129</v>
      </c>
      <c r="X150" s="266">
        <v>62.488303613162117</v>
      </c>
      <c r="Y150" s="266">
        <v>62.563434542443517</v>
      </c>
      <c r="Z150" s="266">
        <v>62.628476574721333</v>
      </c>
      <c r="AA150" s="266">
        <v>62.705195397391357</v>
      </c>
      <c r="AB150" s="266">
        <v>62.782875127329646</v>
      </c>
      <c r="AC150" s="266">
        <v>62.887144268061803</v>
      </c>
      <c r="AD150" s="266">
        <v>63.021924448664336</v>
      </c>
      <c r="AE150" s="266">
        <v>63.111000051120314</v>
      </c>
      <c r="AF150" s="266">
        <v>63.203169337552232</v>
      </c>
      <c r="AG150" s="266">
        <v>63.309442291974193</v>
      </c>
      <c r="AH150" s="266">
        <v>63.392146869866892</v>
      </c>
      <c r="AI150" s="266">
        <v>63.515526510858734</v>
      </c>
      <c r="AJ150" s="266">
        <v>63.585608677604107</v>
      </c>
      <c r="AK150" s="266">
        <v>63.682555109030815</v>
      </c>
      <c r="AL150" s="266">
        <v>63.787752124268501</v>
      </c>
      <c r="AM150" s="266">
        <v>63.895394057454141</v>
      </c>
      <c r="AN150" s="266">
        <v>63.963991236029223</v>
      </c>
      <c r="AO150" s="266">
        <v>64.038324112923107</v>
      </c>
      <c r="AP150" s="266">
        <v>64.104922160240733</v>
      </c>
      <c r="AQ150" s="266">
        <v>64.147677451014019</v>
      </c>
      <c r="AR150" s="266">
        <v>64.172951042912288</v>
      </c>
      <c r="AS150" s="266">
        <v>64.173301392707899</v>
      </c>
      <c r="AT150" s="266">
        <v>64.139723417869234</v>
      </c>
      <c r="AU150" s="266">
        <v>64.11765167911895</v>
      </c>
      <c r="AV150" s="266">
        <v>64.08970338490451</v>
      </c>
      <c r="AW150" s="266">
        <v>64.083948575764538</v>
      </c>
      <c r="AX150" s="266">
        <v>64.076529771710469</v>
      </c>
      <c r="AY150" s="266">
        <v>64.093443364885204</v>
      </c>
      <c r="AZ150" s="266">
        <v>64.093992866138208</v>
      </c>
      <c r="BA150" s="266">
        <v>64.053268044238663</v>
      </c>
      <c r="BB150" s="266">
        <v>64.041938033795319</v>
      </c>
      <c r="BC150" s="266">
        <v>64.025870332034273</v>
      </c>
      <c r="BD150" s="266">
        <v>64.01156627407866</v>
      </c>
      <c r="BE150" s="266">
        <v>64.010226444120946</v>
      </c>
      <c r="BF150" s="266">
        <v>64.022330883316073</v>
      </c>
      <c r="BG150" s="266">
        <v>64.019128678027073</v>
      </c>
      <c r="BH150" s="266">
        <v>64.019032487932904</v>
      </c>
      <c r="BI150" s="266">
        <v>64.013440804178288</v>
      </c>
      <c r="BJ150" s="266">
        <v>64.011347057842642</v>
      </c>
      <c r="BK150" s="267">
        <v>64.011532957596714</v>
      </c>
    </row>
    <row r="151" spans="2:63" customFormat="1" ht="15" thickBot="1">
      <c r="B151" s="89" t="s">
        <v>57</v>
      </c>
      <c r="C151" s="90"/>
      <c r="D151" s="91"/>
      <c r="E151" s="91"/>
      <c r="F151" s="91"/>
      <c r="G151" s="91"/>
      <c r="H151" s="91"/>
      <c r="I151" s="91"/>
      <c r="J151" s="91"/>
      <c r="K151" s="91"/>
      <c r="L151" s="91"/>
      <c r="M151" s="91"/>
      <c r="N151" s="91"/>
      <c r="O151" s="91"/>
      <c r="P151" s="91"/>
      <c r="Q151" s="91">
        <v>61.255815928074696</v>
      </c>
      <c r="R151" s="91">
        <v>61.508258596919262</v>
      </c>
      <c r="S151" s="91">
        <v>61.76647407581325</v>
      </c>
      <c r="T151" s="91">
        <v>61.970025137091028</v>
      </c>
      <c r="U151" s="91">
        <v>62.097532835599004</v>
      </c>
      <c r="V151" s="91">
        <v>62.224202959881204</v>
      </c>
      <c r="W151" s="91">
        <v>62.362470830288565</v>
      </c>
      <c r="X151" s="91">
        <v>62.489212675965646</v>
      </c>
      <c r="Y151" s="91">
        <v>62.564624811231539</v>
      </c>
      <c r="Z151" s="91">
        <v>62.630003861487985</v>
      </c>
      <c r="AA151" s="91">
        <v>62.706967292733644</v>
      </c>
      <c r="AB151" s="91">
        <v>62.784748149593725</v>
      </c>
      <c r="AC151" s="91">
        <v>62.889222744018895</v>
      </c>
      <c r="AD151" s="91">
        <v>63.024524005406285</v>
      </c>
      <c r="AE151" s="91">
        <v>63.113843809013488</v>
      </c>
      <c r="AF151" s="91">
        <v>63.206940596558645</v>
      </c>
      <c r="AG151" s="91">
        <v>63.313051305136071</v>
      </c>
      <c r="AH151" s="91">
        <v>63.395421527715257</v>
      </c>
      <c r="AI151" s="91">
        <v>63.519227246683485</v>
      </c>
      <c r="AJ151" s="91">
        <v>63.58896397204375</v>
      </c>
      <c r="AK151" s="91">
        <v>63.685513849097802</v>
      </c>
      <c r="AL151" s="91">
        <v>63.789731496639682</v>
      </c>
      <c r="AM151" s="91">
        <v>63.897467592855136</v>
      </c>
      <c r="AN151" s="91">
        <v>63.965833731633602</v>
      </c>
      <c r="AO151" s="91">
        <v>64.040087138514522</v>
      </c>
      <c r="AP151" s="91">
        <v>64.107208080085599</v>
      </c>
      <c r="AQ151" s="91">
        <v>64.150726206194491</v>
      </c>
      <c r="AR151" s="91">
        <v>64.175506772375542</v>
      </c>
      <c r="AS151" s="91">
        <v>64.176882875450957</v>
      </c>
      <c r="AT151" s="91">
        <v>64.143017390639372</v>
      </c>
      <c r="AU151" s="91">
        <v>64.120102947026254</v>
      </c>
      <c r="AV151" s="91">
        <v>64.091292447304326</v>
      </c>
      <c r="AW151" s="91">
        <v>64.085466217884104</v>
      </c>
      <c r="AX151" s="91">
        <v>64.077231042886055</v>
      </c>
      <c r="AY151" s="91">
        <v>64.092032040757189</v>
      </c>
      <c r="AZ151" s="91">
        <v>64.091538847531851</v>
      </c>
      <c r="BA151" s="91">
        <v>64.048710661975065</v>
      </c>
      <c r="BB151" s="91">
        <v>64.036549626619646</v>
      </c>
      <c r="BC151" s="91">
        <v>64.01938124848499</v>
      </c>
      <c r="BD151" s="91">
        <v>64.003623899788735</v>
      </c>
      <c r="BE151" s="91">
        <v>64.000311957595756</v>
      </c>
      <c r="BF151" s="91">
        <v>64.011098741263197</v>
      </c>
      <c r="BG151" s="91">
        <v>64.006581504330399</v>
      </c>
      <c r="BH151" s="91">
        <v>64.005004082798337</v>
      </c>
      <c r="BI151" s="91">
        <v>63.996694107288192</v>
      </c>
      <c r="BJ151" s="91">
        <v>63.992039783599807</v>
      </c>
      <c r="BK151" s="92">
        <v>63.990439243569043</v>
      </c>
    </row>
    <row r="152" spans="2:63" customFormat="1">
      <c r="B152" s="29"/>
      <c r="C152" s="29"/>
      <c r="D152" s="29"/>
      <c r="E152" s="29"/>
      <c r="F152" s="29"/>
      <c r="G152" s="29"/>
      <c r="H152" s="29"/>
      <c r="I152" s="29"/>
      <c r="J152" s="29"/>
      <c r="K152" s="29"/>
      <c r="L152" s="29"/>
    </row>
    <row r="153" spans="2:63" customFormat="1">
      <c r="B153" s="29"/>
      <c r="C153" s="29"/>
      <c r="D153" s="29"/>
      <c r="E153" s="29"/>
      <c r="F153" s="29"/>
      <c r="G153" s="29"/>
      <c r="H153" s="29"/>
      <c r="I153" s="29"/>
      <c r="J153" s="29"/>
      <c r="K153" s="29"/>
      <c r="L153" s="29"/>
    </row>
    <row r="154" spans="2:63" customFormat="1">
      <c r="B154" s="29"/>
      <c r="C154" s="29"/>
      <c r="D154" s="29"/>
      <c r="E154" s="29"/>
      <c r="F154" s="29"/>
      <c r="G154" s="29"/>
      <c r="H154" s="29"/>
      <c r="I154" s="29"/>
      <c r="J154" s="29"/>
      <c r="K154" s="29"/>
      <c r="L154" s="29"/>
    </row>
    <row r="155" spans="2:63" customFormat="1">
      <c r="B155" s="29"/>
      <c r="C155" s="29"/>
      <c r="D155" s="29"/>
      <c r="E155" s="29"/>
      <c r="F155" s="29"/>
      <c r="G155" s="29"/>
      <c r="H155" s="29"/>
      <c r="I155" s="29"/>
      <c r="J155" s="29"/>
      <c r="K155" s="29"/>
      <c r="L155" s="29"/>
    </row>
    <row r="156" spans="2:63" customFormat="1">
      <c r="B156" s="29"/>
      <c r="C156" s="29"/>
      <c r="D156" s="29"/>
      <c r="E156" s="29"/>
      <c r="F156" s="29"/>
      <c r="G156" s="29"/>
      <c r="H156" s="29"/>
      <c r="I156" s="29"/>
      <c r="J156" s="29"/>
      <c r="K156" s="29"/>
      <c r="L156" s="29"/>
    </row>
    <row r="157" spans="2:63" customFormat="1">
      <c r="B157" s="29"/>
      <c r="C157" s="29"/>
      <c r="D157" s="29"/>
      <c r="E157" s="29"/>
      <c r="F157" s="29"/>
      <c r="G157" s="29"/>
      <c r="H157" s="29"/>
      <c r="I157" s="29"/>
      <c r="J157" s="29"/>
      <c r="K157" s="29"/>
      <c r="L157" s="29"/>
    </row>
    <row r="158" spans="2:63" customFormat="1">
      <c r="B158" s="29"/>
      <c r="C158" s="29"/>
      <c r="D158" s="29"/>
      <c r="E158" s="29"/>
      <c r="F158" s="29"/>
      <c r="G158" s="29"/>
      <c r="H158" s="29"/>
      <c r="I158" s="29"/>
      <c r="J158" s="29"/>
      <c r="K158" s="29"/>
      <c r="L158" s="29"/>
    </row>
    <row r="159" spans="2:63" customFormat="1">
      <c r="B159" s="29"/>
      <c r="C159" s="29"/>
      <c r="D159" s="29"/>
      <c r="E159" s="29"/>
      <c r="F159" s="29"/>
      <c r="G159" s="29"/>
      <c r="H159" s="29"/>
      <c r="I159" s="29"/>
      <c r="J159" s="29"/>
      <c r="K159" s="29"/>
      <c r="L159" s="29"/>
    </row>
    <row r="160" spans="2:63" customFormat="1">
      <c r="B160" s="29"/>
      <c r="C160" s="29"/>
      <c r="D160" s="29"/>
      <c r="E160" s="29"/>
      <c r="F160" s="29"/>
      <c r="G160" s="29"/>
      <c r="H160" s="29"/>
      <c r="I160" s="29"/>
      <c r="J160" s="29"/>
      <c r="K160" s="29"/>
      <c r="L160" s="29"/>
    </row>
    <row r="161" spans="2:12" customFormat="1">
      <c r="B161" s="29"/>
      <c r="C161" s="29"/>
      <c r="D161" s="29"/>
      <c r="E161" s="29"/>
      <c r="F161" s="29"/>
      <c r="G161" s="29"/>
      <c r="H161" s="29"/>
      <c r="I161" s="29"/>
      <c r="J161" s="29"/>
      <c r="K161" s="29"/>
      <c r="L161" s="29"/>
    </row>
    <row r="162" spans="2:12" customFormat="1">
      <c r="B162" s="29"/>
      <c r="C162" s="29"/>
      <c r="D162" s="29"/>
      <c r="E162" s="29"/>
      <c r="F162" s="29"/>
      <c r="G162" s="29"/>
      <c r="H162" s="29"/>
      <c r="I162" s="29"/>
      <c r="J162" s="29"/>
      <c r="K162" s="29"/>
      <c r="L162" s="29"/>
    </row>
    <row r="163" spans="2:12" customFormat="1">
      <c r="B163" s="29"/>
      <c r="C163" s="29"/>
      <c r="D163" s="29"/>
      <c r="E163" s="29"/>
      <c r="F163" s="29"/>
      <c r="G163" s="29"/>
      <c r="H163" s="29"/>
      <c r="I163" s="29"/>
      <c r="J163" s="29"/>
      <c r="K163" s="29"/>
      <c r="L163" s="29"/>
    </row>
    <row r="164" spans="2:12" customFormat="1">
      <c r="B164" s="29"/>
      <c r="C164" s="29"/>
      <c r="D164" s="29"/>
      <c r="E164" s="29"/>
      <c r="F164" s="29"/>
      <c r="G164" s="29"/>
      <c r="H164" s="29"/>
      <c r="I164" s="29"/>
      <c r="J164" s="29"/>
      <c r="K164" s="29"/>
      <c r="L164" s="29"/>
    </row>
    <row r="165" spans="2:12" customFormat="1">
      <c r="B165" s="29"/>
      <c r="C165" s="29"/>
      <c r="D165" s="29"/>
      <c r="E165" s="29"/>
      <c r="F165" s="29"/>
      <c r="G165" s="29"/>
      <c r="H165" s="29"/>
      <c r="I165" s="29"/>
      <c r="J165" s="29"/>
      <c r="K165" s="29"/>
      <c r="L165" s="29"/>
    </row>
    <row r="166" spans="2:12" customFormat="1">
      <c r="B166" s="29"/>
      <c r="C166" s="29"/>
      <c r="D166" s="29"/>
      <c r="E166" s="29"/>
      <c r="F166" s="29"/>
      <c r="G166" s="29"/>
      <c r="H166" s="29"/>
      <c r="I166" s="29"/>
      <c r="J166" s="29"/>
      <c r="K166" s="29"/>
      <c r="L166" s="29"/>
    </row>
    <row r="167" spans="2:12" customFormat="1">
      <c r="B167" s="29"/>
      <c r="C167" s="29"/>
      <c r="D167" s="29"/>
      <c r="E167" s="29"/>
      <c r="F167" s="29"/>
      <c r="G167" s="29"/>
      <c r="H167" s="29"/>
      <c r="I167" s="29"/>
      <c r="J167" s="29"/>
      <c r="K167" s="29"/>
      <c r="L167" s="29"/>
    </row>
  </sheetData>
  <mergeCells count="4">
    <mergeCell ref="G4:L4"/>
    <mergeCell ref="A6:A20"/>
    <mergeCell ref="A21:A30"/>
    <mergeCell ref="A31:A77"/>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7"/>
  <sheetViews>
    <sheetView workbookViewId="0">
      <selection activeCell="F14" sqref="F14"/>
    </sheetView>
  </sheetViews>
  <sheetFormatPr baseColWidth="10" defaultColWidth="11.44140625" defaultRowHeight="14.4"/>
  <cols>
    <col min="1" max="1" width="11.44140625" style="10"/>
    <col min="2" max="6" width="20.6640625" style="10" customWidth="1"/>
    <col min="7" max="7" width="12.5546875" style="10" customWidth="1"/>
    <col min="8" max="8" width="12.5546875" style="10" bestFit="1" customWidth="1"/>
    <col min="9" max="11" width="11.5546875" style="10" bestFit="1" customWidth="1"/>
    <col min="12" max="16384" width="11.44140625" style="10"/>
  </cols>
  <sheetData>
    <row r="1" spans="1:7" ht="15.6">
      <c r="A1" s="116" t="s">
        <v>208</v>
      </c>
      <c r="B1" s="155"/>
      <c r="C1" s="155"/>
      <c r="D1" s="155"/>
      <c r="E1" s="155"/>
      <c r="F1" s="155"/>
      <c r="G1" s="155"/>
    </row>
    <row r="2" spans="1:7" ht="15.6">
      <c r="A2" s="116"/>
      <c r="B2" s="155"/>
      <c r="C2" s="155"/>
      <c r="D2" s="155"/>
      <c r="E2" s="155"/>
      <c r="F2" s="155"/>
      <c r="G2" s="155"/>
    </row>
    <row r="3" spans="1:7" ht="15" thickBot="1">
      <c r="A3" s="155"/>
      <c r="B3" s="155"/>
      <c r="C3" s="155"/>
      <c r="D3" s="155"/>
      <c r="E3" s="155"/>
      <c r="F3" s="155"/>
      <c r="G3" s="155"/>
    </row>
    <row r="4" spans="1:7" ht="42.6" thickBot="1">
      <c r="A4" s="155"/>
      <c r="B4" s="192" t="s">
        <v>111</v>
      </c>
      <c r="C4" s="193" t="s">
        <v>215</v>
      </c>
      <c r="D4" s="193" t="s">
        <v>112</v>
      </c>
      <c r="E4" s="193" t="s">
        <v>113</v>
      </c>
      <c r="F4" s="193" t="s">
        <v>114</v>
      </c>
      <c r="G4" s="155"/>
    </row>
    <row r="5" spans="1:7">
      <c r="A5" s="155"/>
      <c r="B5" s="175">
        <v>1924</v>
      </c>
      <c r="C5" s="176">
        <v>0.49399999999999999</v>
      </c>
      <c r="D5" s="176">
        <v>0.495</v>
      </c>
      <c r="E5" s="176">
        <v>0.63300000000000001</v>
      </c>
      <c r="F5" s="176">
        <v>0.56799999999999995</v>
      </c>
      <c r="G5" s="155"/>
    </row>
    <row r="6" spans="1:7">
      <c r="A6" s="155"/>
      <c r="B6" s="181">
        <v>1926</v>
      </c>
      <c r="C6" s="560">
        <v>0.498</v>
      </c>
      <c r="D6" s="560">
        <v>0.503</v>
      </c>
      <c r="E6" s="560">
        <v>0.65200000000000002</v>
      </c>
      <c r="F6" s="560">
        <v>0.59599999999999997</v>
      </c>
      <c r="G6" s="155"/>
    </row>
    <row r="7" spans="1:7">
      <c r="A7" s="155"/>
      <c r="B7" s="181">
        <v>1928</v>
      </c>
      <c r="C7" s="560">
        <v>0.51800000000000002</v>
      </c>
      <c r="D7" s="560">
        <v>0.52500000000000002</v>
      </c>
      <c r="E7" s="560">
        <v>0.67200000000000004</v>
      </c>
      <c r="F7" s="560">
        <v>0.622</v>
      </c>
      <c r="G7" s="155"/>
    </row>
    <row r="8" spans="1:7">
      <c r="A8" s="155"/>
      <c r="B8" s="181">
        <v>1930</v>
      </c>
      <c r="C8" s="560">
        <v>0.53100000000000003</v>
      </c>
      <c r="D8" s="560">
        <v>0.53600000000000003</v>
      </c>
      <c r="E8" s="560">
        <v>0.67600000000000005</v>
      </c>
      <c r="F8" s="560">
        <v>0.61499999999999999</v>
      </c>
      <c r="G8" s="155"/>
    </row>
    <row r="9" spans="1:7">
      <c r="A9" s="155"/>
      <c r="B9" s="181">
        <v>1932</v>
      </c>
      <c r="C9" s="560">
        <v>0.53400000000000003</v>
      </c>
      <c r="D9" s="560">
        <v>0.53800000000000003</v>
      </c>
      <c r="E9" s="560">
        <v>0.66</v>
      </c>
      <c r="F9" s="560">
        <v>0.60399999999999998</v>
      </c>
      <c r="G9" s="155"/>
    </row>
    <row r="10" spans="1:7">
      <c r="A10" s="155"/>
      <c r="B10" s="181">
        <v>1934</v>
      </c>
      <c r="C10" s="560">
        <v>0.54600000000000004</v>
      </c>
      <c r="D10" s="560">
        <v>0.55100000000000005</v>
      </c>
      <c r="E10" s="560">
        <v>0.66300000000000003</v>
      </c>
      <c r="F10" s="560">
        <v>0.60599999999999998</v>
      </c>
      <c r="G10" s="155"/>
    </row>
    <row r="11" spans="1:7">
      <c r="A11" s="155"/>
      <c r="B11" s="181">
        <v>1936</v>
      </c>
      <c r="C11" s="560">
        <v>0.57399999999999995</v>
      </c>
      <c r="D11" s="560">
        <v>0.57699999999999996</v>
      </c>
      <c r="E11" s="560">
        <v>0.67500000000000004</v>
      </c>
      <c r="F11" s="560">
        <v>0.61899999999999999</v>
      </c>
      <c r="G11" s="155"/>
    </row>
    <row r="12" spans="1:7">
      <c r="A12" s="155"/>
      <c r="B12" s="181">
        <v>1938</v>
      </c>
      <c r="C12" s="560">
        <v>0.59</v>
      </c>
      <c r="D12" s="560">
        <v>0.59399999999999997</v>
      </c>
      <c r="E12" s="560">
        <v>0.68200000000000005</v>
      </c>
      <c r="F12" s="560">
        <v>0.626</v>
      </c>
      <c r="G12" s="155"/>
    </row>
    <row r="13" spans="1:7">
      <c r="A13" s="155"/>
      <c r="B13" s="181">
        <v>1940</v>
      </c>
      <c r="C13" s="560">
        <v>0.61399999999999999</v>
      </c>
      <c r="D13" s="560">
        <v>0.61499999999999999</v>
      </c>
      <c r="E13" s="560">
        <v>0.69199999999999995</v>
      </c>
      <c r="F13" s="560">
        <v>0.63900000000000001</v>
      </c>
      <c r="G13" s="155"/>
    </row>
    <row r="14" spans="1:7" ht="15" thickBot="1">
      <c r="A14" s="155"/>
      <c r="B14" s="177">
        <v>1942</v>
      </c>
      <c r="C14" s="178">
        <v>0.624</v>
      </c>
      <c r="D14" s="178">
        <v>0.624</v>
      </c>
      <c r="E14" s="178">
        <v>0.69299999999999995</v>
      </c>
      <c r="F14" s="178">
        <v>0.64100000000000001</v>
      </c>
      <c r="G14" s="155"/>
    </row>
    <row r="15" spans="1:7">
      <c r="A15" s="155"/>
      <c r="B15" s="155"/>
      <c r="C15" s="155"/>
      <c r="D15" s="155"/>
      <c r="E15" s="155"/>
      <c r="F15" s="155"/>
      <c r="G15" s="155"/>
    </row>
    <row r="16" spans="1:7">
      <c r="A16" s="155"/>
      <c r="B16" s="155"/>
      <c r="C16" s="155"/>
      <c r="D16" s="155"/>
      <c r="E16" s="155"/>
      <c r="F16" s="155"/>
      <c r="G16" s="155"/>
    </row>
    <row r="17" spans="1:7">
      <c r="A17" s="155"/>
      <c r="B17" s="155"/>
      <c r="C17" s="155"/>
      <c r="D17" s="155"/>
      <c r="E17" s="155"/>
      <c r="F17" s="155"/>
      <c r="G17" s="155"/>
    </row>
  </sheetData>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21"/>
  <sheetViews>
    <sheetView workbookViewId="0">
      <selection activeCell="L8" sqref="L8"/>
    </sheetView>
  </sheetViews>
  <sheetFormatPr baseColWidth="10" defaultColWidth="11.44140625" defaultRowHeight="13.8"/>
  <cols>
    <col min="1" max="1" width="11.44140625" style="103"/>
    <col min="2" max="2" width="32.33203125" style="103" customWidth="1"/>
    <col min="3" max="16384" width="11.44140625" style="103"/>
  </cols>
  <sheetData>
    <row r="1" spans="1:13" ht="15.6">
      <c r="A1" s="114" t="s">
        <v>207</v>
      </c>
    </row>
    <row r="2" spans="1:13" ht="15.6">
      <c r="A2" s="114"/>
    </row>
    <row r="3" spans="1:13" ht="16.2" thickBot="1">
      <c r="A3" s="113"/>
    </row>
    <row r="4" spans="1:13" ht="42" thickBot="1">
      <c r="B4" s="195" t="s">
        <v>108</v>
      </c>
      <c r="C4" s="561">
        <v>2002</v>
      </c>
      <c r="D4" s="561">
        <v>2003</v>
      </c>
      <c r="E4" s="561">
        <v>2004</v>
      </c>
      <c r="F4" s="562">
        <v>2005</v>
      </c>
      <c r="G4" s="561">
        <f t="shared" ref="G4:L4" si="0">F4+1</f>
        <v>2006</v>
      </c>
      <c r="H4" s="561">
        <f t="shared" si="0"/>
        <v>2007</v>
      </c>
      <c r="I4" s="561">
        <f t="shared" si="0"/>
        <v>2008</v>
      </c>
      <c r="J4" s="561">
        <f t="shared" si="0"/>
        <v>2009</v>
      </c>
      <c r="K4" s="561">
        <f t="shared" si="0"/>
        <v>2010</v>
      </c>
      <c r="L4" s="561">
        <f t="shared" si="0"/>
        <v>2011</v>
      </c>
      <c r="M4" s="563">
        <v>2012</v>
      </c>
    </row>
    <row r="5" spans="1:13" ht="14.4" thickBot="1">
      <c r="B5" s="196" t="s">
        <v>5</v>
      </c>
      <c r="C5" s="112">
        <v>0.94399999999999995</v>
      </c>
      <c r="D5" s="112">
        <v>0.93500000000000005</v>
      </c>
      <c r="E5" s="112">
        <v>0.93899999999999995</v>
      </c>
      <c r="F5" s="112">
        <v>0.93899999999999995</v>
      </c>
      <c r="G5" s="112">
        <v>0.94299999999999995</v>
      </c>
      <c r="H5" s="112">
        <v>0.94099999999999995</v>
      </c>
      <c r="I5" s="112">
        <v>0.94099999999999995</v>
      </c>
      <c r="J5" s="112">
        <v>0.94599999999999995</v>
      </c>
      <c r="K5" s="112">
        <v>0.95099999999999996</v>
      </c>
      <c r="L5" s="111">
        <v>0.95499999999999996</v>
      </c>
      <c r="M5" s="110">
        <v>0.95399999999999996</v>
      </c>
    </row>
    <row r="6" spans="1:13" ht="14.4" thickBot="1">
      <c r="C6" s="105"/>
      <c r="D6" s="105"/>
      <c r="E6" s="105"/>
    </row>
    <row r="7" spans="1:13" ht="28.2" thickBot="1">
      <c r="B7" s="195" t="s">
        <v>109</v>
      </c>
      <c r="C7" s="561">
        <v>2002</v>
      </c>
      <c r="D7" s="561">
        <v>2003</v>
      </c>
      <c r="E7" s="561">
        <v>2004</v>
      </c>
      <c r="F7" s="562">
        <v>2005</v>
      </c>
      <c r="G7" s="561">
        <f t="shared" ref="G7:L7" si="1">F7+1</f>
        <v>2006</v>
      </c>
      <c r="H7" s="561">
        <f t="shared" si="1"/>
        <v>2007</v>
      </c>
      <c r="I7" s="561">
        <f t="shared" si="1"/>
        <v>2008</v>
      </c>
      <c r="J7" s="561">
        <f t="shared" si="1"/>
        <v>2009</v>
      </c>
      <c r="K7" s="561">
        <f t="shared" si="1"/>
        <v>2010</v>
      </c>
      <c r="L7" s="561">
        <f t="shared" si="1"/>
        <v>2011</v>
      </c>
      <c r="M7" s="563">
        <v>2012</v>
      </c>
    </row>
    <row r="8" spans="1:13" ht="14.4" thickBot="1">
      <c r="B8" s="196" t="s">
        <v>5</v>
      </c>
      <c r="C8" s="109">
        <v>2.2999999999999998</v>
      </c>
      <c r="D8" s="109">
        <v>1.9</v>
      </c>
      <c r="E8" s="109">
        <v>2.7</v>
      </c>
      <c r="F8" s="109">
        <v>2.6</v>
      </c>
      <c r="G8" s="109">
        <v>2.4</v>
      </c>
      <c r="H8" s="109">
        <v>2.2000000000000002</v>
      </c>
      <c r="I8" s="109">
        <v>3.3</v>
      </c>
      <c r="J8" s="109">
        <v>2.4</v>
      </c>
      <c r="K8" s="109">
        <v>1.8</v>
      </c>
      <c r="L8" s="108">
        <v>1.8</v>
      </c>
      <c r="M8" s="107">
        <v>1.5</v>
      </c>
    </row>
    <row r="9" spans="1:13">
      <c r="C9" s="105"/>
      <c r="D9" s="105"/>
      <c r="E9" s="105"/>
      <c r="F9" s="105"/>
      <c r="G9" s="105"/>
      <c r="H9" s="105"/>
      <c r="I9" s="105"/>
      <c r="J9" s="105"/>
      <c r="K9" s="105"/>
      <c r="L9" s="105"/>
      <c r="M9" s="105"/>
    </row>
    <row r="10" spans="1:13">
      <c r="B10" s="106"/>
    </row>
    <row r="11" spans="1:13">
      <c r="B11" s="106"/>
    </row>
    <row r="12" spans="1:13">
      <c r="B12" s="106"/>
    </row>
    <row r="21" spans="3:10" ht="15.6">
      <c r="C21" s="744" t="s">
        <v>110</v>
      </c>
      <c r="D21" s="744"/>
      <c r="E21" s="744"/>
      <c r="F21" s="744"/>
      <c r="G21" s="744" t="s">
        <v>49</v>
      </c>
      <c r="H21" s="744"/>
      <c r="I21" s="744"/>
      <c r="J21" s="744"/>
    </row>
  </sheetData>
  <mergeCells count="2">
    <mergeCell ref="C21:F21"/>
    <mergeCell ref="G21:J21"/>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4"/>
  <sheetViews>
    <sheetView workbookViewId="0">
      <selection activeCell="H7" sqref="H7"/>
    </sheetView>
  </sheetViews>
  <sheetFormatPr baseColWidth="10" defaultRowHeight="14.4"/>
  <cols>
    <col min="4" max="4" width="19.5546875" customWidth="1"/>
    <col min="5" max="5" width="20" customWidth="1"/>
  </cols>
  <sheetData>
    <row r="1" spans="1:8" ht="15.6">
      <c r="A1" s="114" t="s">
        <v>206</v>
      </c>
    </row>
    <row r="4" spans="1:8" ht="15.6">
      <c r="B4" s="745" t="s">
        <v>133</v>
      </c>
      <c r="C4" s="746" t="s">
        <v>132</v>
      </c>
      <c r="D4" s="746" t="s">
        <v>131</v>
      </c>
      <c r="E4" s="745" t="s">
        <v>130</v>
      </c>
      <c r="F4" s="746" t="s">
        <v>110</v>
      </c>
      <c r="G4" s="746"/>
      <c r="H4" s="746" t="s">
        <v>49</v>
      </c>
    </row>
    <row r="5" spans="1:8">
      <c r="B5" s="745"/>
      <c r="C5" s="746"/>
      <c r="D5" s="746"/>
      <c r="E5" s="745"/>
      <c r="F5" s="747" t="s">
        <v>129</v>
      </c>
      <c r="G5" s="747" t="s">
        <v>128</v>
      </c>
      <c r="H5" s="746"/>
    </row>
    <row r="6" spans="1:8" hidden="1">
      <c r="B6" s="745"/>
      <c r="C6" s="746"/>
      <c r="D6" s="746"/>
      <c r="E6" s="745"/>
      <c r="F6" s="747"/>
      <c r="G6" s="747"/>
      <c r="H6" s="746"/>
    </row>
    <row r="7" spans="1:8" ht="15.6">
      <c r="B7" s="748" t="s">
        <v>11</v>
      </c>
      <c r="C7" s="749" t="s">
        <v>126</v>
      </c>
      <c r="D7" s="749"/>
      <c r="E7" s="564">
        <v>3663</v>
      </c>
      <c r="F7" s="565">
        <v>2205</v>
      </c>
      <c r="G7" s="566">
        <v>102</v>
      </c>
      <c r="H7" s="567">
        <v>0.04</v>
      </c>
    </row>
    <row r="8" spans="1:8" ht="15.6">
      <c r="B8" s="748"/>
      <c r="C8" s="197"/>
      <c r="D8" s="197" t="s">
        <v>125</v>
      </c>
      <c r="E8" s="198">
        <v>2584</v>
      </c>
      <c r="F8" s="199">
        <v>1740</v>
      </c>
      <c r="G8" s="200">
        <v>81</v>
      </c>
      <c r="H8" s="568">
        <v>0.128</v>
      </c>
    </row>
    <row r="9" spans="1:8" ht="15.6">
      <c r="B9" s="748"/>
      <c r="C9" s="197" t="s">
        <v>127</v>
      </c>
      <c r="D9" s="197" t="s">
        <v>123</v>
      </c>
      <c r="E9" s="200">
        <v>746</v>
      </c>
      <c r="F9" s="199">
        <v>1599</v>
      </c>
      <c r="G9" s="200">
        <v>74</v>
      </c>
      <c r="H9" s="568">
        <v>0.16800000000000001</v>
      </c>
    </row>
    <row r="10" spans="1:8" ht="15.6">
      <c r="B10" s="748"/>
      <c r="C10" s="201"/>
      <c r="D10" s="197" t="s">
        <v>122</v>
      </c>
      <c r="E10" s="200">
        <v>418</v>
      </c>
      <c r="F10" s="199">
        <v>1784</v>
      </c>
      <c r="G10" s="200">
        <v>83</v>
      </c>
      <c r="H10" s="568">
        <v>0.16900000000000001</v>
      </c>
    </row>
    <row r="11" spans="1:8" ht="15.6">
      <c r="B11" s="748" t="s">
        <v>12</v>
      </c>
      <c r="C11" s="749" t="s">
        <v>126</v>
      </c>
      <c r="D11" s="749"/>
      <c r="E11" s="564">
        <v>4582</v>
      </c>
      <c r="F11" s="565">
        <v>2121</v>
      </c>
      <c r="G11" s="566">
        <v>98</v>
      </c>
      <c r="H11" s="567">
        <v>6.2E-2</v>
      </c>
    </row>
    <row r="12" spans="1:8" ht="15.6">
      <c r="B12" s="748"/>
      <c r="C12" s="197"/>
      <c r="D12" s="197" t="s">
        <v>197</v>
      </c>
      <c r="E12" s="200">
        <v>518</v>
      </c>
      <c r="F12" s="199">
        <v>2096</v>
      </c>
      <c r="G12" s="200">
        <v>97</v>
      </c>
      <c r="H12" s="568">
        <v>4.4999999999999998E-2</v>
      </c>
    </row>
    <row r="13" spans="1:8" ht="15.6">
      <c r="B13" s="748"/>
      <c r="C13" s="197" t="s">
        <v>124</v>
      </c>
      <c r="D13" s="197" t="s">
        <v>198</v>
      </c>
      <c r="E13" s="200">
        <v>491</v>
      </c>
      <c r="F13" s="199">
        <v>1811</v>
      </c>
      <c r="G13" s="200">
        <v>84</v>
      </c>
      <c r="H13" s="568">
        <v>0.129</v>
      </c>
    </row>
    <row r="14" spans="1:8" ht="15.6">
      <c r="B14" s="748"/>
      <c r="C14" s="202"/>
      <c r="D14" s="203" t="s">
        <v>122</v>
      </c>
      <c r="E14" s="204">
        <v>394</v>
      </c>
      <c r="F14" s="205">
        <v>1535</v>
      </c>
      <c r="G14" s="204">
        <v>71</v>
      </c>
      <c r="H14" s="206">
        <v>0.221</v>
      </c>
    </row>
  </sheetData>
  <mergeCells count="12">
    <mergeCell ref="B7:B10"/>
    <mergeCell ref="C7:D7"/>
    <mergeCell ref="B11:B14"/>
    <mergeCell ref="C11:D11"/>
    <mergeCell ref="B4:B6"/>
    <mergeCell ref="C4:C6"/>
    <mergeCell ref="D4:D6"/>
    <mergeCell ref="E4:E6"/>
    <mergeCell ref="F4:G4"/>
    <mergeCell ref="H4:H6"/>
    <mergeCell ref="F5:F6"/>
    <mergeCell ref="G5:G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J101"/>
  <sheetViews>
    <sheetView topLeftCell="A16" zoomScaleNormal="100" workbookViewId="0">
      <selection activeCell="D18" sqref="D18"/>
    </sheetView>
  </sheetViews>
  <sheetFormatPr baseColWidth="10" defaultColWidth="11.44140625" defaultRowHeight="13.8"/>
  <cols>
    <col min="1" max="2" width="11.44140625" style="103"/>
    <col min="3" max="5" width="30.6640625" style="103" customWidth="1"/>
    <col min="6" max="16384" width="11.44140625" style="103"/>
  </cols>
  <sheetData>
    <row r="1" spans="1:322" s="208" customFormat="1" ht="15.6">
      <c r="A1" s="116" t="s">
        <v>205</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c r="CU1" s="103"/>
      <c r="CV1" s="103"/>
      <c r="CW1" s="103"/>
      <c r="CX1" s="103"/>
      <c r="CY1" s="103"/>
      <c r="CZ1" s="103"/>
      <c r="DA1" s="103"/>
      <c r="DB1" s="103"/>
      <c r="DC1" s="103"/>
      <c r="DD1" s="103"/>
      <c r="DE1" s="103"/>
      <c r="DF1" s="103"/>
      <c r="DG1" s="103"/>
      <c r="DH1" s="103"/>
      <c r="DI1" s="103"/>
      <c r="DJ1" s="103"/>
      <c r="DK1" s="103"/>
      <c r="DL1" s="103"/>
      <c r="DM1" s="103"/>
      <c r="DN1" s="103"/>
      <c r="DO1" s="103"/>
      <c r="DP1" s="103"/>
      <c r="DQ1" s="103"/>
      <c r="DR1" s="103"/>
      <c r="DS1" s="103"/>
      <c r="DT1" s="103"/>
      <c r="DU1" s="103"/>
      <c r="DV1" s="103"/>
      <c r="DW1" s="103"/>
      <c r="DX1" s="103"/>
      <c r="DY1" s="103"/>
      <c r="DZ1" s="103"/>
      <c r="EA1" s="103"/>
      <c r="EB1" s="103"/>
      <c r="EC1" s="103"/>
      <c r="ED1" s="103"/>
      <c r="EE1" s="103"/>
      <c r="EF1" s="103"/>
      <c r="EG1" s="103"/>
      <c r="EH1" s="103"/>
      <c r="EI1" s="103"/>
      <c r="EJ1" s="103"/>
      <c r="EK1" s="103"/>
      <c r="EL1" s="103"/>
      <c r="EM1" s="103"/>
      <c r="EN1" s="103"/>
      <c r="EO1" s="103"/>
      <c r="EP1" s="103"/>
      <c r="EQ1" s="103"/>
      <c r="ER1" s="103"/>
      <c r="ES1" s="103"/>
      <c r="ET1" s="103"/>
      <c r="EU1" s="103"/>
      <c r="EV1" s="103"/>
      <c r="EW1" s="103"/>
      <c r="EX1" s="103"/>
      <c r="EY1" s="103"/>
      <c r="EZ1" s="103"/>
      <c r="FA1" s="103"/>
      <c r="FB1" s="103"/>
      <c r="FC1" s="103"/>
      <c r="FD1" s="103"/>
      <c r="FE1" s="103"/>
      <c r="FF1" s="103"/>
      <c r="FG1" s="103"/>
      <c r="FH1" s="103"/>
      <c r="FI1" s="103"/>
      <c r="FJ1" s="103"/>
      <c r="FK1" s="103"/>
      <c r="FL1" s="103"/>
      <c r="FM1" s="103"/>
      <c r="FN1" s="103"/>
      <c r="FO1" s="103"/>
      <c r="FP1" s="103"/>
      <c r="FQ1" s="103"/>
      <c r="FR1" s="103"/>
      <c r="FS1" s="103"/>
      <c r="FT1" s="103"/>
      <c r="FU1" s="103"/>
      <c r="FV1" s="103"/>
      <c r="FW1" s="103"/>
      <c r="FX1" s="103"/>
      <c r="FY1" s="103"/>
      <c r="FZ1" s="103"/>
      <c r="GA1" s="103"/>
      <c r="GB1" s="103"/>
      <c r="GC1" s="103"/>
      <c r="GD1" s="103"/>
      <c r="GE1" s="103"/>
      <c r="GF1" s="103"/>
      <c r="GG1" s="103"/>
      <c r="GH1" s="103"/>
      <c r="GI1" s="103"/>
      <c r="GJ1" s="103"/>
      <c r="GK1" s="103"/>
      <c r="GL1" s="103"/>
      <c r="GM1" s="103"/>
      <c r="GN1" s="103"/>
      <c r="GO1" s="103"/>
      <c r="GP1" s="103"/>
      <c r="GQ1" s="103"/>
      <c r="GR1" s="103"/>
      <c r="GS1" s="103"/>
      <c r="GT1" s="103"/>
      <c r="GU1" s="103"/>
      <c r="GV1" s="103"/>
      <c r="GW1" s="103"/>
      <c r="GX1" s="103"/>
      <c r="GY1" s="103"/>
      <c r="GZ1" s="103"/>
      <c r="HA1" s="103"/>
      <c r="HB1" s="103"/>
      <c r="HC1" s="103"/>
      <c r="HD1" s="103"/>
      <c r="HE1" s="103"/>
      <c r="HF1" s="103"/>
      <c r="HG1" s="103"/>
      <c r="HH1" s="103"/>
      <c r="HI1" s="103"/>
      <c r="HJ1" s="103"/>
      <c r="HK1" s="103"/>
      <c r="HL1" s="103"/>
      <c r="HM1" s="103"/>
      <c r="HN1" s="103"/>
      <c r="HO1" s="103"/>
      <c r="HP1" s="103"/>
      <c r="HQ1" s="103"/>
      <c r="HR1" s="103"/>
      <c r="HS1" s="103"/>
      <c r="HT1" s="103"/>
      <c r="HU1" s="103"/>
      <c r="HV1" s="103"/>
      <c r="HW1" s="103"/>
      <c r="HX1" s="103"/>
      <c r="HY1" s="103"/>
      <c r="HZ1" s="103"/>
      <c r="IA1" s="103"/>
      <c r="IB1" s="103"/>
      <c r="IC1" s="103"/>
      <c r="ID1" s="103"/>
      <c r="IE1" s="103"/>
      <c r="IF1" s="103"/>
      <c r="IG1" s="103"/>
      <c r="IH1" s="103"/>
      <c r="II1" s="103"/>
      <c r="IJ1" s="103"/>
      <c r="IK1" s="103"/>
      <c r="IL1" s="103"/>
      <c r="IM1" s="103"/>
      <c r="IN1" s="103"/>
      <c r="IO1" s="103"/>
      <c r="IP1" s="103"/>
      <c r="IQ1" s="103"/>
      <c r="IR1" s="103"/>
      <c r="IS1" s="103"/>
      <c r="IT1" s="103"/>
      <c r="IU1" s="103"/>
      <c r="IV1" s="103"/>
      <c r="IW1" s="103"/>
      <c r="IX1" s="103"/>
      <c r="IY1" s="103"/>
      <c r="IZ1" s="103"/>
      <c r="JA1" s="103"/>
      <c r="JB1" s="103"/>
      <c r="JC1" s="103"/>
      <c r="JD1" s="103"/>
      <c r="JE1" s="103"/>
      <c r="JF1" s="103"/>
      <c r="JG1" s="103"/>
      <c r="JH1" s="103"/>
      <c r="JI1" s="103"/>
      <c r="JJ1" s="103"/>
      <c r="JK1" s="103"/>
      <c r="JL1" s="103"/>
      <c r="JM1" s="103"/>
      <c r="JN1" s="103"/>
      <c r="JO1" s="103"/>
      <c r="JP1" s="103"/>
      <c r="JQ1" s="103"/>
      <c r="JR1" s="103"/>
      <c r="JS1" s="103"/>
      <c r="JT1" s="103"/>
      <c r="JU1" s="103"/>
      <c r="JV1" s="103"/>
      <c r="JW1" s="103"/>
      <c r="JX1" s="103"/>
      <c r="JY1" s="103"/>
      <c r="JZ1" s="103"/>
      <c r="KA1" s="103"/>
      <c r="KB1" s="103"/>
      <c r="KC1" s="103"/>
      <c r="KD1" s="103"/>
      <c r="KE1" s="103"/>
      <c r="KF1" s="103"/>
      <c r="KG1" s="103"/>
      <c r="KH1" s="103"/>
      <c r="KI1" s="103"/>
      <c r="KJ1" s="103"/>
      <c r="KK1" s="103"/>
      <c r="KL1" s="103"/>
      <c r="KM1" s="103"/>
      <c r="KN1" s="103"/>
      <c r="KO1" s="103"/>
      <c r="KP1" s="103"/>
      <c r="KQ1" s="103"/>
      <c r="KR1" s="103"/>
      <c r="KS1" s="103"/>
      <c r="KT1" s="103"/>
      <c r="KU1" s="103"/>
      <c r="KV1" s="103"/>
      <c r="KW1" s="103"/>
      <c r="KX1" s="103"/>
      <c r="KY1" s="103"/>
      <c r="KZ1" s="103"/>
      <c r="LA1" s="103"/>
      <c r="LB1" s="103"/>
      <c r="LC1" s="103"/>
      <c r="LD1" s="103"/>
      <c r="LE1" s="103"/>
      <c r="LF1" s="103"/>
      <c r="LG1" s="103"/>
      <c r="LH1" s="103"/>
      <c r="LI1" s="103"/>
      <c r="LJ1" s="103"/>
    </row>
    <row r="2" spans="1:322" s="208" customFormat="1">
      <c r="A2" s="209"/>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103"/>
      <c r="FZ2" s="103"/>
      <c r="GA2" s="103"/>
      <c r="GB2" s="103"/>
      <c r="GC2" s="103"/>
      <c r="GD2" s="103"/>
      <c r="GE2" s="103"/>
      <c r="GF2" s="103"/>
      <c r="GG2" s="103"/>
      <c r="GH2" s="103"/>
      <c r="GI2" s="103"/>
      <c r="GJ2" s="103"/>
      <c r="GK2" s="103"/>
      <c r="GL2" s="103"/>
      <c r="GM2" s="103"/>
      <c r="GN2" s="103"/>
      <c r="GO2" s="103"/>
      <c r="GP2" s="103"/>
      <c r="GQ2" s="103"/>
      <c r="GR2" s="103"/>
      <c r="GS2" s="103"/>
      <c r="GT2" s="103"/>
      <c r="GU2" s="103"/>
      <c r="GV2" s="103"/>
      <c r="GW2" s="103"/>
      <c r="GX2" s="103"/>
      <c r="GY2" s="103"/>
      <c r="GZ2" s="103"/>
      <c r="HA2" s="103"/>
      <c r="HB2" s="103"/>
      <c r="HC2" s="103"/>
      <c r="HD2" s="103"/>
      <c r="HE2" s="103"/>
      <c r="HF2" s="103"/>
      <c r="HG2" s="103"/>
      <c r="HH2" s="103"/>
      <c r="HI2" s="103"/>
      <c r="HJ2" s="103"/>
      <c r="HK2" s="103"/>
      <c r="HL2" s="103"/>
      <c r="HM2" s="103"/>
      <c r="HN2" s="103"/>
      <c r="HO2" s="103"/>
      <c r="HP2" s="103"/>
      <c r="HQ2" s="103"/>
      <c r="HR2" s="103"/>
      <c r="HS2" s="103"/>
      <c r="HT2" s="103"/>
      <c r="HU2" s="103"/>
      <c r="HV2" s="103"/>
      <c r="HW2" s="103"/>
      <c r="HX2" s="103"/>
      <c r="HY2" s="103"/>
      <c r="HZ2" s="103"/>
      <c r="IA2" s="103"/>
      <c r="IB2" s="103"/>
      <c r="IC2" s="103"/>
      <c r="ID2" s="103"/>
      <c r="IE2" s="103"/>
      <c r="IF2" s="103"/>
      <c r="IG2" s="103"/>
      <c r="IH2" s="103"/>
      <c r="II2" s="103"/>
      <c r="IJ2" s="103"/>
      <c r="IK2" s="103"/>
      <c r="IL2" s="103"/>
      <c r="IM2" s="103"/>
      <c r="IN2" s="103"/>
      <c r="IO2" s="103"/>
      <c r="IP2" s="103"/>
      <c r="IQ2" s="103"/>
      <c r="IR2" s="103"/>
      <c r="IS2" s="103"/>
      <c r="IT2" s="103"/>
      <c r="IU2" s="103"/>
      <c r="IV2" s="103"/>
      <c r="IW2" s="103"/>
      <c r="IX2" s="103"/>
      <c r="IY2" s="103"/>
      <c r="IZ2" s="103"/>
      <c r="JA2" s="103"/>
      <c r="JB2" s="103"/>
      <c r="JC2" s="103"/>
      <c r="JD2" s="103"/>
      <c r="JE2" s="103"/>
      <c r="JF2" s="103"/>
      <c r="JG2" s="103"/>
      <c r="JH2" s="103"/>
      <c r="JI2" s="103"/>
      <c r="JJ2" s="103"/>
      <c r="JK2" s="103"/>
      <c r="JL2" s="103"/>
      <c r="JM2" s="103"/>
      <c r="JN2" s="103"/>
      <c r="JO2" s="103"/>
      <c r="JP2" s="103"/>
      <c r="JQ2" s="103"/>
      <c r="JR2" s="103"/>
      <c r="JS2" s="103"/>
      <c r="JT2" s="103"/>
      <c r="JU2" s="103"/>
      <c r="JV2" s="103"/>
      <c r="JW2" s="103"/>
      <c r="JX2" s="103"/>
      <c r="JY2" s="103"/>
      <c r="JZ2" s="103"/>
      <c r="KA2" s="103"/>
      <c r="KB2" s="103"/>
      <c r="KC2" s="103"/>
      <c r="KD2" s="103"/>
      <c r="KE2" s="103"/>
      <c r="KF2" s="103"/>
      <c r="KG2" s="103"/>
      <c r="KH2" s="103"/>
      <c r="KI2" s="103"/>
      <c r="KJ2" s="103"/>
      <c r="KK2" s="103"/>
      <c r="KL2" s="103"/>
      <c r="KM2" s="103"/>
      <c r="KN2" s="103"/>
      <c r="KO2" s="103"/>
      <c r="KP2" s="103"/>
      <c r="KQ2" s="103"/>
      <c r="KR2" s="103"/>
      <c r="KS2" s="103"/>
      <c r="KT2" s="103"/>
      <c r="KU2" s="103"/>
      <c r="KV2" s="103"/>
      <c r="KW2" s="103"/>
      <c r="KX2" s="103"/>
      <c r="KY2" s="103"/>
      <c r="KZ2" s="103"/>
      <c r="LA2" s="103"/>
      <c r="LB2" s="103"/>
      <c r="LC2" s="103"/>
      <c r="LD2" s="103"/>
      <c r="LE2" s="103"/>
      <c r="LF2" s="103"/>
      <c r="LG2" s="103"/>
      <c r="LH2" s="103"/>
      <c r="LI2" s="103"/>
      <c r="LJ2" s="103"/>
    </row>
    <row r="3" spans="1:322" s="208" customFormat="1" ht="14.4" thickBot="1">
      <c r="A3" s="103"/>
      <c r="B3" s="103"/>
      <c r="C3" s="103"/>
      <c r="D3" s="103"/>
      <c r="E3" s="103"/>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c r="GG3" s="103"/>
      <c r="GH3" s="103"/>
      <c r="GI3" s="103"/>
      <c r="GJ3" s="103"/>
      <c r="GK3" s="103"/>
      <c r="GL3" s="103"/>
      <c r="GM3" s="103"/>
      <c r="GN3" s="103"/>
      <c r="GO3" s="103"/>
      <c r="GP3" s="103"/>
      <c r="GQ3" s="103"/>
      <c r="GR3" s="103"/>
      <c r="GS3" s="103"/>
      <c r="GT3" s="103"/>
      <c r="GU3" s="103"/>
      <c r="GV3" s="103"/>
      <c r="GW3" s="103"/>
      <c r="GX3" s="103"/>
      <c r="GY3" s="103"/>
      <c r="GZ3" s="103"/>
      <c r="HA3" s="103"/>
      <c r="HB3" s="103"/>
      <c r="HC3" s="103"/>
      <c r="HD3" s="103"/>
      <c r="HE3" s="103"/>
      <c r="HF3" s="103"/>
      <c r="HG3" s="103"/>
      <c r="HH3" s="103"/>
      <c r="HI3" s="103"/>
      <c r="HJ3" s="103"/>
      <c r="HK3" s="103"/>
      <c r="HL3" s="103"/>
      <c r="HM3" s="103"/>
      <c r="HN3" s="103"/>
      <c r="HO3" s="103"/>
      <c r="HP3" s="103"/>
      <c r="HQ3" s="103"/>
      <c r="HR3" s="103"/>
      <c r="HS3" s="103"/>
      <c r="HT3" s="103"/>
      <c r="HU3" s="103"/>
      <c r="HV3" s="103"/>
      <c r="HW3" s="103"/>
      <c r="HX3" s="103"/>
      <c r="HY3" s="103"/>
      <c r="HZ3" s="103"/>
      <c r="IA3" s="103"/>
      <c r="IB3" s="103"/>
      <c r="IC3" s="103"/>
      <c r="ID3" s="103"/>
      <c r="IE3" s="103"/>
      <c r="IF3" s="103"/>
      <c r="IG3" s="103"/>
      <c r="IH3" s="103"/>
      <c r="II3" s="103"/>
      <c r="IJ3" s="103"/>
      <c r="IK3" s="103"/>
      <c r="IL3" s="103"/>
      <c r="IM3" s="103"/>
      <c r="IN3" s="103"/>
      <c r="IO3" s="103"/>
      <c r="IP3" s="103"/>
      <c r="IQ3" s="103"/>
      <c r="IR3" s="103"/>
      <c r="IS3" s="103"/>
      <c r="IT3" s="103"/>
      <c r="IU3" s="103"/>
      <c r="IV3" s="103"/>
      <c r="IW3" s="103"/>
      <c r="IX3" s="103"/>
      <c r="IY3" s="103"/>
      <c r="IZ3" s="103"/>
      <c r="JA3" s="103"/>
      <c r="JB3" s="103"/>
      <c r="JC3" s="103"/>
      <c r="JD3" s="103"/>
      <c r="JE3" s="103"/>
      <c r="JF3" s="103"/>
      <c r="JG3" s="103"/>
      <c r="JH3" s="103"/>
      <c r="JI3" s="103"/>
      <c r="JJ3" s="103"/>
      <c r="JK3" s="103"/>
      <c r="JL3" s="103"/>
      <c r="JM3" s="103"/>
      <c r="JN3" s="103"/>
      <c r="JO3" s="103"/>
      <c r="JP3" s="103"/>
      <c r="JQ3" s="103"/>
      <c r="JR3" s="103"/>
      <c r="JS3" s="103"/>
      <c r="JT3" s="103"/>
      <c r="JU3" s="103"/>
      <c r="JV3" s="103"/>
      <c r="JW3" s="103"/>
      <c r="JX3" s="103"/>
      <c r="JY3" s="103"/>
      <c r="JZ3" s="103"/>
      <c r="KA3" s="103"/>
      <c r="KB3" s="103"/>
      <c r="KC3" s="103"/>
      <c r="KD3" s="103"/>
      <c r="KE3" s="103"/>
      <c r="KF3" s="103"/>
      <c r="KG3" s="103"/>
      <c r="KH3" s="103"/>
      <c r="KI3" s="103"/>
      <c r="KJ3" s="103"/>
      <c r="KK3" s="103"/>
      <c r="KL3" s="103"/>
      <c r="KM3" s="103"/>
      <c r="KN3" s="103"/>
      <c r="KO3" s="103"/>
      <c r="KP3" s="103"/>
      <c r="KQ3" s="103"/>
      <c r="KR3" s="103"/>
      <c r="KS3" s="103"/>
      <c r="KT3" s="103"/>
      <c r="KU3" s="103"/>
      <c r="KV3" s="103"/>
      <c r="KW3" s="103"/>
      <c r="KX3" s="103"/>
      <c r="KY3" s="103"/>
      <c r="KZ3" s="103"/>
      <c r="LA3" s="103"/>
      <c r="LB3" s="103"/>
      <c r="LC3" s="103"/>
      <c r="LD3" s="103"/>
      <c r="LE3" s="103"/>
      <c r="LF3" s="103"/>
      <c r="LG3" s="103"/>
      <c r="LH3" s="103"/>
      <c r="LI3" s="103"/>
      <c r="LJ3" s="103"/>
    </row>
    <row r="4" spans="1:322" s="208" customFormat="1" ht="28.2" thickBot="1">
      <c r="A4" s="103"/>
      <c r="B4" s="210" t="s">
        <v>111</v>
      </c>
      <c r="C4" s="526" t="s">
        <v>117</v>
      </c>
      <c r="D4" s="211" t="s">
        <v>118</v>
      </c>
      <c r="E4" s="212"/>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c r="CJ4" s="103"/>
      <c r="CK4" s="103"/>
      <c r="CL4" s="103"/>
      <c r="CM4" s="103"/>
      <c r="CN4" s="103"/>
      <c r="CO4" s="103"/>
      <c r="CP4" s="103"/>
      <c r="CQ4" s="103"/>
      <c r="CR4" s="103"/>
      <c r="CS4" s="103"/>
      <c r="CT4" s="103"/>
      <c r="CU4" s="103"/>
      <c r="CV4" s="103"/>
      <c r="CW4" s="103"/>
      <c r="CX4" s="103"/>
      <c r="CY4" s="103"/>
      <c r="CZ4" s="103"/>
      <c r="DA4" s="103"/>
      <c r="DB4" s="103"/>
      <c r="DC4" s="103"/>
      <c r="DD4" s="103"/>
      <c r="DE4" s="103"/>
      <c r="DF4" s="103"/>
      <c r="DG4" s="103"/>
      <c r="DH4" s="103"/>
      <c r="DI4" s="103"/>
      <c r="DJ4" s="103"/>
      <c r="DK4" s="103"/>
      <c r="DL4" s="103"/>
      <c r="DM4" s="103"/>
      <c r="DN4" s="103"/>
      <c r="DO4" s="103"/>
      <c r="DP4" s="103"/>
      <c r="DQ4" s="103"/>
      <c r="DR4" s="103"/>
      <c r="DS4" s="103"/>
      <c r="DT4" s="103"/>
      <c r="DU4" s="103"/>
      <c r="DV4" s="103"/>
      <c r="DW4" s="103"/>
      <c r="DX4" s="103"/>
      <c r="DY4" s="103"/>
      <c r="DZ4" s="103"/>
      <c r="EA4" s="103"/>
      <c r="EB4" s="103"/>
      <c r="EC4" s="103"/>
      <c r="ED4" s="103"/>
      <c r="EE4" s="103"/>
      <c r="EF4" s="103"/>
      <c r="EG4" s="103"/>
      <c r="EH4" s="103"/>
      <c r="EI4" s="103"/>
      <c r="EJ4" s="103"/>
      <c r="EK4" s="103"/>
      <c r="EL4" s="103"/>
      <c r="EM4" s="103"/>
      <c r="EN4" s="103"/>
      <c r="EO4" s="103"/>
      <c r="EP4" s="103"/>
      <c r="EQ4" s="103"/>
      <c r="ER4" s="103"/>
      <c r="ES4" s="103"/>
      <c r="ET4" s="103"/>
      <c r="EU4" s="103"/>
      <c r="EV4" s="103"/>
      <c r="EW4" s="103"/>
      <c r="EX4" s="103"/>
      <c r="EY4" s="103"/>
      <c r="EZ4" s="103"/>
      <c r="FA4" s="103"/>
      <c r="FB4" s="103"/>
      <c r="FC4" s="103"/>
      <c r="FD4" s="103"/>
      <c r="FE4" s="103"/>
      <c r="FF4" s="103"/>
      <c r="FG4" s="103"/>
      <c r="FH4" s="103"/>
      <c r="FI4" s="103"/>
      <c r="FJ4" s="103"/>
      <c r="FK4" s="103"/>
      <c r="FL4" s="103"/>
      <c r="FM4" s="103"/>
      <c r="FN4" s="103"/>
      <c r="FO4" s="103"/>
      <c r="FP4" s="103"/>
      <c r="FQ4" s="103"/>
      <c r="FR4" s="103"/>
      <c r="FS4" s="103"/>
      <c r="FT4" s="103"/>
      <c r="FU4" s="103"/>
      <c r="FV4" s="103"/>
      <c r="FW4" s="103"/>
      <c r="FX4" s="103"/>
      <c r="FY4" s="103"/>
      <c r="FZ4" s="103"/>
      <c r="GA4" s="103"/>
      <c r="GB4" s="103"/>
      <c r="GC4" s="103"/>
      <c r="GD4" s="103"/>
      <c r="GE4" s="103"/>
      <c r="GF4" s="103"/>
      <c r="GG4" s="103"/>
      <c r="GH4" s="103"/>
      <c r="GI4" s="103"/>
      <c r="GJ4" s="103"/>
      <c r="GK4" s="103"/>
      <c r="GL4" s="103"/>
      <c r="GM4" s="103"/>
      <c r="GN4" s="103"/>
      <c r="GO4" s="103"/>
      <c r="GP4" s="103"/>
      <c r="GQ4" s="103"/>
      <c r="GR4" s="103"/>
      <c r="GS4" s="103"/>
      <c r="GT4" s="103"/>
      <c r="GU4" s="103"/>
      <c r="GV4" s="103"/>
      <c r="GW4" s="103"/>
      <c r="GX4" s="103"/>
      <c r="GY4" s="103"/>
      <c r="GZ4" s="103"/>
      <c r="HA4" s="103"/>
      <c r="HB4" s="103"/>
      <c r="HC4" s="103"/>
      <c r="HD4" s="103"/>
      <c r="HE4" s="103"/>
      <c r="HF4" s="103"/>
      <c r="HG4" s="103"/>
      <c r="HH4" s="103"/>
      <c r="HI4" s="103"/>
      <c r="HJ4" s="103"/>
      <c r="HK4" s="103"/>
      <c r="HL4" s="103"/>
      <c r="HM4" s="103"/>
      <c r="HN4" s="103"/>
      <c r="HO4" s="103"/>
      <c r="HP4" s="103"/>
      <c r="HQ4" s="103"/>
      <c r="HR4" s="103"/>
      <c r="HS4" s="103"/>
      <c r="HT4" s="103"/>
      <c r="HU4" s="103"/>
      <c r="HV4" s="103"/>
      <c r="HW4" s="103"/>
      <c r="HX4" s="103"/>
      <c r="HY4" s="103"/>
      <c r="HZ4" s="103"/>
      <c r="IA4" s="103"/>
      <c r="IB4" s="103"/>
      <c r="IC4" s="103"/>
      <c r="ID4" s="103"/>
      <c r="IE4" s="103"/>
      <c r="IF4" s="103"/>
      <c r="IG4" s="103"/>
      <c r="IH4" s="103"/>
      <c r="II4" s="103"/>
      <c r="IJ4" s="103"/>
      <c r="IK4" s="103"/>
      <c r="IL4" s="103"/>
      <c r="IM4" s="103"/>
      <c r="IN4" s="103"/>
      <c r="IO4" s="103"/>
      <c r="IP4" s="103"/>
      <c r="IQ4" s="103"/>
      <c r="IR4" s="103"/>
      <c r="IS4" s="103"/>
      <c r="IT4" s="103"/>
      <c r="IU4" s="103"/>
      <c r="IV4" s="103"/>
      <c r="IW4" s="103"/>
      <c r="IX4" s="103"/>
      <c r="IY4" s="103"/>
      <c r="IZ4" s="103"/>
      <c r="JA4" s="103"/>
      <c r="JB4" s="103"/>
      <c r="JC4" s="103"/>
      <c r="JD4" s="103"/>
      <c r="JE4" s="103"/>
      <c r="JF4" s="103"/>
      <c r="JG4" s="103"/>
      <c r="JH4" s="103"/>
      <c r="JI4" s="103"/>
      <c r="JJ4" s="103"/>
      <c r="JK4" s="103"/>
      <c r="JL4" s="103"/>
      <c r="JM4" s="103"/>
      <c r="JN4" s="103"/>
      <c r="JO4" s="103"/>
      <c r="JP4" s="103"/>
      <c r="JQ4" s="103"/>
      <c r="JR4" s="103"/>
      <c r="JS4" s="103"/>
      <c r="JT4" s="103"/>
      <c r="JU4" s="103"/>
      <c r="JV4" s="103"/>
      <c r="JW4" s="103"/>
      <c r="JX4" s="103"/>
      <c r="JY4" s="103"/>
      <c r="JZ4" s="103"/>
      <c r="KA4" s="103"/>
      <c r="KB4" s="103"/>
      <c r="KC4" s="103"/>
      <c r="KD4" s="103"/>
      <c r="KE4" s="103"/>
      <c r="KF4" s="103"/>
      <c r="KG4" s="103"/>
      <c r="KH4" s="103"/>
      <c r="KI4" s="103"/>
      <c r="KJ4" s="103"/>
      <c r="KK4" s="103"/>
      <c r="KL4" s="103"/>
      <c r="KM4" s="103"/>
      <c r="KN4" s="103"/>
      <c r="KO4" s="103"/>
      <c r="KP4" s="103"/>
      <c r="KQ4" s="103"/>
      <c r="KR4" s="103"/>
      <c r="KS4" s="103"/>
      <c r="KT4" s="103"/>
      <c r="KU4" s="103"/>
      <c r="KV4" s="103"/>
      <c r="KW4" s="103"/>
      <c r="KX4" s="103"/>
      <c r="KY4" s="103"/>
      <c r="KZ4" s="103"/>
      <c r="LA4" s="103"/>
      <c r="LB4" s="103"/>
      <c r="LC4" s="103"/>
      <c r="LD4" s="103"/>
      <c r="LE4" s="103"/>
      <c r="LF4" s="103"/>
      <c r="LG4" s="103"/>
      <c r="LH4" s="103"/>
      <c r="LI4" s="103"/>
      <c r="LJ4" s="103"/>
    </row>
    <row r="5" spans="1:322" s="208" customFormat="1">
      <c r="A5" s="103"/>
      <c r="B5" s="175">
        <v>1930</v>
      </c>
      <c r="C5" s="194">
        <v>0.93300000000000005</v>
      </c>
      <c r="D5" s="194">
        <v>1.1200000000000001</v>
      </c>
      <c r="E5" s="104"/>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103"/>
      <c r="FZ5" s="103"/>
      <c r="GA5" s="103"/>
      <c r="GB5" s="103"/>
      <c r="GC5" s="103"/>
      <c r="GD5" s="103"/>
      <c r="GE5" s="103"/>
      <c r="GF5" s="103"/>
      <c r="GG5" s="103"/>
      <c r="GH5" s="103"/>
      <c r="GI5" s="103"/>
      <c r="GJ5" s="103"/>
      <c r="GK5" s="103"/>
      <c r="GL5" s="103"/>
      <c r="GM5" s="103"/>
      <c r="GN5" s="103"/>
      <c r="GO5" s="103"/>
      <c r="GP5" s="103"/>
      <c r="GQ5" s="103"/>
      <c r="GR5" s="103"/>
      <c r="GS5" s="103"/>
      <c r="GT5" s="103"/>
      <c r="GU5" s="103"/>
      <c r="GV5" s="103"/>
      <c r="GW5" s="103"/>
      <c r="GX5" s="103"/>
      <c r="GY5" s="103"/>
      <c r="GZ5" s="103"/>
      <c r="HA5" s="103"/>
      <c r="HB5" s="103"/>
      <c r="HC5" s="103"/>
      <c r="HD5" s="103"/>
      <c r="HE5" s="103"/>
      <c r="HF5" s="103"/>
      <c r="HG5" s="103"/>
      <c r="HH5" s="103"/>
      <c r="HI5" s="103"/>
      <c r="HJ5" s="103"/>
      <c r="HK5" s="103"/>
      <c r="HL5" s="103"/>
      <c r="HM5" s="103"/>
      <c r="HN5" s="103"/>
      <c r="HO5" s="103"/>
      <c r="HP5" s="103"/>
      <c r="HQ5" s="103"/>
      <c r="HR5" s="103"/>
      <c r="HS5" s="103"/>
      <c r="HT5" s="103"/>
      <c r="HU5" s="103"/>
      <c r="HV5" s="103"/>
      <c r="HW5" s="103"/>
      <c r="HX5" s="103"/>
      <c r="HY5" s="103"/>
      <c r="HZ5" s="103"/>
      <c r="IA5" s="103"/>
      <c r="IB5" s="103"/>
      <c r="IC5" s="103"/>
      <c r="ID5" s="103"/>
      <c r="IE5" s="103"/>
      <c r="IF5" s="103"/>
      <c r="IG5" s="103"/>
      <c r="IH5" s="103"/>
      <c r="II5" s="103"/>
      <c r="IJ5" s="103"/>
      <c r="IK5" s="103"/>
      <c r="IL5" s="103"/>
      <c r="IM5" s="103"/>
      <c r="IN5" s="103"/>
      <c r="IO5" s="103"/>
      <c r="IP5" s="103"/>
      <c r="IQ5" s="103"/>
      <c r="IR5" s="103"/>
      <c r="IS5" s="103"/>
      <c r="IT5" s="103"/>
      <c r="IU5" s="103"/>
      <c r="IV5" s="103"/>
      <c r="IW5" s="103"/>
      <c r="IX5" s="103"/>
      <c r="IY5" s="103"/>
      <c r="IZ5" s="103"/>
      <c r="JA5" s="103"/>
      <c r="JB5" s="103"/>
      <c r="JC5" s="103"/>
      <c r="JD5" s="103"/>
      <c r="JE5" s="103"/>
      <c r="JF5" s="103"/>
      <c r="JG5" s="103"/>
      <c r="JH5" s="103"/>
      <c r="JI5" s="103"/>
      <c r="JJ5" s="103"/>
      <c r="JK5" s="103"/>
      <c r="JL5" s="103"/>
      <c r="JM5" s="103"/>
      <c r="JN5" s="103"/>
      <c r="JO5" s="103"/>
      <c r="JP5" s="103"/>
      <c r="JQ5" s="103"/>
      <c r="JR5" s="103"/>
      <c r="JS5" s="103"/>
      <c r="JT5" s="103"/>
      <c r="JU5" s="103"/>
      <c r="JV5" s="103"/>
      <c r="JW5" s="103"/>
      <c r="JX5" s="103"/>
      <c r="JY5" s="103"/>
      <c r="JZ5" s="103"/>
      <c r="KA5" s="103"/>
      <c r="KB5" s="103"/>
      <c r="KC5" s="103"/>
      <c r="KD5" s="103"/>
      <c r="KE5" s="103"/>
      <c r="KF5" s="103"/>
      <c r="KG5" s="103"/>
      <c r="KH5" s="103"/>
      <c r="KI5" s="103"/>
      <c r="KJ5" s="103"/>
      <c r="KK5" s="103"/>
      <c r="KL5" s="103"/>
      <c r="KM5" s="103"/>
      <c r="KN5" s="103"/>
      <c r="KO5" s="103"/>
      <c r="KP5" s="103"/>
      <c r="KQ5" s="103"/>
      <c r="KR5" s="103"/>
      <c r="KS5" s="103"/>
      <c r="KT5" s="103"/>
      <c r="KU5" s="103"/>
      <c r="KV5" s="103"/>
      <c r="KW5" s="103"/>
      <c r="KX5" s="103"/>
      <c r="KY5" s="103"/>
      <c r="KZ5" s="103"/>
      <c r="LA5" s="103"/>
      <c r="LB5" s="103"/>
      <c r="LC5" s="103"/>
      <c r="LD5" s="103"/>
      <c r="LE5" s="103"/>
      <c r="LF5" s="103"/>
      <c r="LG5" s="103"/>
      <c r="LH5" s="103"/>
      <c r="LI5" s="103"/>
      <c r="LJ5" s="103"/>
    </row>
    <row r="6" spans="1:322" s="208" customFormat="1">
      <c r="A6" s="103"/>
      <c r="B6" s="181">
        <v>1931</v>
      </c>
      <c r="C6" s="569"/>
      <c r="D6" s="569"/>
      <c r="E6" s="104"/>
      <c r="F6" s="103"/>
      <c r="G6" s="103"/>
      <c r="H6" s="103"/>
      <c r="I6" s="103"/>
      <c r="J6" s="103"/>
      <c r="K6" s="103"/>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c r="CI6" s="103"/>
      <c r="CJ6" s="103"/>
      <c r="CK6" s="103"/>
      <c r="CL6" s="103"/>
      <c r="CM6" s="103"/>
      <c r="CN6" s="103"/>
      <c r="CO6" s="103"/>
      <c r="CP6" s="103"/>
      <c r="CQ6" s="103"/>
      <c r="CR6" s="103"/>
      <c r="CS6" s="103"/>
      <c r="CT6" s="103"/>
      <c r="CU6" s="103"/>
      <c r="CV6" s="103"/>
      <c r="CW6" s="103"/>
      <c r="CX6" s="103"/>
      <c r="CY6" s="103"/>
      <c r="CZ6" s="103"/>
      <c r="DA6" s="103"/>
      <c r="DB6" s="103"/>
      <c r="DC6" s="103"/>
      <c r="DD6" s="103"/>
      <c r="DE6" s="103"/>
      <c r="DF6" s="103"/>
      <c r="DG6" s="103"/>
      <c r="DH6" s="103"/>
      <c r="DI6" s="103"/>
      <c r="DJ6" s="103"/>
      <c r="DK6" s="103"/>
      <c r="DL6" s="103"/>
      <c r="DM6" s="103"/>
      <c r="DN6" s="103"/>
      <c r="DO6" s="103"/>
      <c r="DP6" s="103"/>
      <c r="DQ6" s="103"/>
      <c r="DR6" s="103"/>
      <c r="DS6" s="103"/>
      <c r="DT6" s="103"/>
      <c r="DU6" s="103"/>
      <c r="DV6" s="103"/>
      <c r="DW6" s="103"/>
      <c r="DX6" s="103"/>
      <c r="DY6" s="103"/>
      <c r="DZ6" s="103"/>
      <c r="EA6" s="103"/>
      <c r="EB6" s="103"/>
      <c r="EC6" s="103"/>
      <c r="ED6" s="103"/>
      <c r="EE6" s="103"/>
      <c r="EF6" s="103"/>
      <c r="EG6" s="103"/>
      <c r="EH6" s="103"/>
      <c r="EI6" s="103"/>
      <c r="EJ6" s="103"/>
      <c r="EK6" s="103"/>
      <c r="EL6" s="103"/>
      <c r="EM6" s="103"/>
      <c r="EN6" s="103"/>
      <c r="EO6" s="103"/>
      <c r="EP6" s="103"/>
      <c r="EQ6" s="103"/>
      <c r="ER6" s="103"/>
      <c r="ES6" s="103"/>
      <c r="ET6" s="103"/>
      <c r="EU6" s="103"/>
      <c r="EV6" s="103"/>
      <c r="EW6" s="103"/>
      <c r="EX6" s="103"/>
      <c r="EY6" s="103"/>
      <c r="EZ6" s="103"/>
      <c r="FA6" s="103"/>
      <c r="FB6" s="103"/>
      <c r="FC6" s="103"/>
      <c r="FD6" s="103"/>
      <c r="FE6" s="103"/>
      <c r="FF6" s="103"/>
      <c r="FG6" s="103"/>
      <c r="FH6" s="103"/>
      <c r="FI6" s="103"/>
      <c r="FJ6" s="103"/>
      <c r="FK6" s="103"/>
      <c r="FL6" s="103"/>
      <c r="FM6" s="103"/>
      <c r="FN6" s="103"/>
      <c r="FO6" s="103"/>
      <c r="FP6" s="103"/>
      <c r="FQ6" s="103"/>
      <c r="FR6" s="103"/>
      <c r="FS6" s="103"/>
      <c r="FT6" s="103"/>
      <c r="FU6" s="103"/>
      <c r="FV6" s="103"/>
      <c r="FW6" s="103"/>
      <c r="FX6" s="103"/>
      <c r="FY6" s="103"/>
      <c r="FZ6" s="103"/>
      <c r="GA6" s="103"/>
      <c r="GB6" s="103"/>
      <c r="GC6" s="103"/>
      <c r="GD6" s="103"/>
      <c r="GE6" s="103"/>
      <c r="GF6" s="103"/>
      <c r="GG6" s="103"/>
      <c r="GH6" s="103"/>
      <c r="GI6" s="103"/>
      <c r="GJ6" s="103"/>
      <c r="GK6" s="103"/>
      <c r="GL6" s="103"/>
      <c r="GM6" s="103"/>
      <c r="GN6" s="103"/>
      <c r="GO6" s="103"/>
      <c r="GP6" s="103"/>
      <c r="GQ6" s="103"/>
      <c r="GR6" s="103"/>
      <c r="GS6" s="103"/>
      <c r="GT6" s="103"/>
      <c r="GU6" s="103"/>
      <c r="GV6" s="103"/>
      <c r="GW6" s="103"/>
      <c r="GX6" s="103"/>
      <c r="GY6" s="103"/>
      <c r="GZ6" s="103"/>
      <c r="HA6" s="103"/>
      <c r="HB6" s="103"/>
      <c r="HC6" s="103"/>
      <c r="HD6" s="103"/>
      <c r="HE6" s="103"/>
      <c r="HF6" s="103"/>
      <c r="HG6" s="103"/>
      <c r="HH6" s="103"/>
      <c r="HI6" s="103"/>
      <c r="HJ6" s="103"/>
      <c r="HK6" s="103"/>
      <c r="HL6" s="103"/>
      <c r="HM6" s="103"/>
      <c r="HN6" s="103"/>
      <c r="HO6" s="103"/>
      <c r="HP6" s="103"/>
      <c r="HQ6" s="103"/>
      <c r="HR6" s="103"/>
      <c r="HS6" s="103"/>
      <c r="HT6" s="103"/>
      <c r="HU6" s="103"/>
      <c r="HV6" s="103"/>
      <c r="HW6" s="103"/>
      <c r="HX6" s="103"/>
      <c r="HY6" s="103"/>
      <c r="HZ6" s="103"/>
      <c r="IA6" s="103"/>
      <c r="IB6" s="103"/>
      <c r="IC6" s="103"/>
      <c r="ID6" s="103"/>
      <c r="IE6" s="103"/>
      <c r="IF6" s="103"/>
      <c r="IG6" s="103"/>
      <c r="IH6" s="103"/>
      <c r="II6" s="103"/>
      <c r="IJ6" s="103"/>
      <c r="IK6" s="103"/>
      <c r="IL6" s="103"/>
      <c r="IM6" s="103"/>
      <c r="IN6" s="103"/>
      <c r="IO6" s="103"/>
      <c r="IP6" s="103"/>
      <c r="IQ6" s="103"/>
      <c r="IR6" s="103"/>
      <c r="IS6" s="103"/>
      <c r="IT6" s="103"/>
      <c r="IU6" s="103"/>
      <c r="IV6" s="103"/>
      <c r="IW6" s="103"/>
      <c r="IX6" s="103"/>
      <c r="IY6" s="103"/>
      <c r="IZ6" s="103"/>
      <c r="JA6" s="103"/>
      <c r="JB6" s="103"/>
      <c r="JC6" s="103"/>
      <c r="JD6" s="103"/>
      <c r="JE6" s="103"/>
      <c r="JF6" s="103"/>
      <c r="JG6" s="103"/>
      <c r="JH6" s="103"/>
      <c r="JI6" s="103"/>
      <c r="JJ6" s="103"/>
      <c r="JK6" s="103"/>
      <c r="JL6" s="103"/>
      <c r="JM6" s="103"/>
      <c r="JN6" s="103"/>
      <c r="JO6" s="103"/>
      <c r="JP6" s="103"/>
      <c r="JQ6" s="103"/>
      <c r="JR6" s="103"/>
      <c r="JS6" s="103"/>
      <c r="JT6" s="103"/>
      <c r="JU6" s="103"/>
      <c r="JV6" s="103"/>
      <c r="JW6" s="103"/>
      <c r="JX6" s="103"/>
      <c r="JY6" s="103"/>
      <c r="JZ6" s="103"/>
      <c r="KA6" s="103"/>
      <c r="KB6" s="103"/>
      <c r="KC6" s="103"/>
      <c r="KD6" s="103"/>
      <c r="KE6" s="103"/>
      <c r="KF6" s="103"/>
      <c r="KG6" s="103"/>
      <c r="KH6" s="103"/>
      <c r="KI6" s="103"/>
      <c r="KJ6" s="103"/>
      <c r="KK6" s="103"/>
      <c r="KL6" s="103"/>
      <c r="KM6" s="103"/>
      <c r="KN6" s="103"/>
      <c r="KO6" s="103"/>
      <c r="KP6" s="103"/>
      <c r="KQ6" s="103"/>
      <c r="KR6" s="103"/>
      <c r="KS6" s="103"/>
      <c r="KT6" s="103"/>
      <c r="KU6" s="103"/>
      <c r="KV6" s="103"/>
      <c r="KW6" s="103"/>
      <c r="KX6" s="103"/>
      <c r="KY6" s="103"/>
      <c r="KZ6" s="103"/>
      <c r="LA6" s="103"/>
      <c r="LB6" s="103"/>
      <c r="LC6" s="103"/>
      <c r="LD6" s="103"/>
      <c r="LE6" s="103"/>
      <c r="LF6" s="103"/>
      <c r="LG6" s="103"/>
      <c r="LH6" s="103"/>
      <c r="LI6" s="103"/>
      <c r="LJ6" s="103"/>
    </row>
    <row r="7" spans="1:322" s="208" customFormat="1">
      <c r="A7" s="103"/>
      <c r="B7" s="181">
        <v>1932</v>
      </c>
      <c r="C7" s="569">
        <v>0.93300000000000005</v>
      </c>
      <c r="D7" s="569">
        <v>1.111</v>
      </c>
      <c r="E7" s="104"/>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c r="BM7" s="103"/>
      <c r="BN7" s="103"/>
      <c r="BO7" s="103"/>
      <c r="BP7" s="103"/>
      <c r="BQ7" s="103"/>
      <c r="BR7" s="103"/>
      <c r="BS7" s="103"/>
      <c r="BT7" s="103"/>
      <c r="BU7" s="103"/>
      <c r="BV7" s="103"/>
      <c r="BW7" s="103"/>
      <c r="BX7" s="103"/>
      <c r="BY7" s="103"/>
      <c r="BZ7" s="103"/>
      <c r="CA7" s="103"/>
      <c r="CB7" s="103"/>
      <c r="CC7" s="103"/>
      <c r="CD7" s="103"/>
      <c r="CE7" s="103"/>
      <c r="CF7" s="103"/>
      <c r="CG7" s="103"/>
      <c r="CH7" s="103"/>
      <c r="CI7" s="103"/>
      <c r="CJ7" s="103"/>
      <c r="CK7" s="103"/>
      <c r="CL7" s="103"/>
      <c r="CM7" s="103"/>
      <c r="CN7" s="103"/>
      <c r="CO7" s="103"/>
      <c r="CP7" s="103"/>
      <c r="CQ7" s="103"/>
      <c r="CR7" s="103"/>
      <c r="CS7" s="103"/>
      <c r="CT7" s="103"/>
      <c r="CU7" s="103"/>
      <c r="CV7" s="103"/>
      <c r="CW7" s="103"/>
      <c r="CX7" s="103"/>
      <c r="CY7" s="103"/>
      <c r="CZ7" s="103"/>
      <c r="DA7" s="103"/>
      <c r="DB7" s="103"/>
      <c r="DC7" s="103"/>
      <c r="DD7" s="103"/>
      <c r="DE7" s="103"/>
      <c r="DF7" s="103"/>
      <c r="DG7" s="103"/>
      <c r="DH7" s="103"/>
      <c r="DI7" s="103"/>
      <c r="DJ7" s="103"/>
      <c r="DK7" s="103"/>
      <c r="DL7" s="103"/>
      <c r="DM7" s="103"/>
      <c r="DN7" s="103"/>
      <c r="DO7" s="103"/>
      <c r="DP7" s="103"/>
      <c r="DQ7" s="103"/>
      <c r="DR7" s="103"/>
      <c r="DS7" s="103"/>
      <c r="DT7" s="103"/>
      <c r="DU7" s="103"/>
      <c r="DV7" s="103"/>
      <c r="DW7" s="103"/>
      <c r="DX7" s="103"/>
      <c r="DY7" s="103"/>
      <c r="DZ7" s="103"/>
      <c r="EA7" s="103"/>
      <c r="EB7" s="103"/>
      <c r="EC7" s="103"/>
      <c r="ED7" s="103"/>
      <c r="EE7" s="103"/>
      <c r="EF7" s="103"/>
      <c r="EG7" s="103"/>
      <c r="EH7" s="103"/>
      <c r="EI7" s="103"/>
      <c r="EJ7" s="103"/>
      <c r="EK7" s="103"/>
      <c r="EL7" s="103"/>
      <c r="EM7" s="103"/>
      <c r="EN7" s="103"/>
      <c r="EO7" s="103"/>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3"/>
      <c r="FO7" s="103"/>
      <c r="FP7" s="103"/>
      <c r="FQ7" s="103"/>
      <c r="FR7" s="103"/>
      <c r="FS7" s="103"/>
      <c r="FT7" s="103"/>
      <c r="FU7" s="103"/>
      <c r="FV7" s="103"/>
      <c r="FW7" s="103"/>
      <c r="FX7" s="103"/>
      <c r="FY7" s="103"/>
      <c r="FZ7" s="103"/>
      <c r="GA7" s="103"/>
      <c r="GB7" s="103"/>
      <c r="GC7" s="103"/>
      <c r="GD7" s="103"/>
      <c r="GE7" s="103"/>
      <c r="GF7" s="103"/>
      <c r="GG7" s="103"/>
      <c r="GH7" s="103"/>
      <c r="GI7" s="103"/>
      <c r="GJ7" s="103"/>
      <c r="GK7" s="103"/>
      <c r="GL7" s="103"/>
      <c r="GM7" s="103"/>
      <c r="GN7" s="103"/>
      <c r="GO7" s="103"/>
      <c r="GP7" s="103"/>
      <c r="GQ7" s="103"/>
      <c r="GR7" s="103"/>
      <c r="GS7" s="103"/>
      <c r="GT7" s="103"/>
      <c r="GU7" s="103"/>
      <c r="GV7" s="103"/>
      <c r="GW7" s="103"/>
      <c r="GX7" s="103"/>
      <c r="GY7" s="103"/>
      <c r="GZ7" s="103"/>
      <c r="HA7" s="103"/>
      <c r="HB7" s="103"/>
      <c r="HC7" s="103"/>
      <c r="HD7" s="103"/>
      <c r="HE7" s="103"/>
      <c r="HF7" s="103"/>
      <c r="HG7" s="103"/>
      <c r="HH7" s="103"/>
      <c r="HI7" s="103"/>
      <c r="HJ7" s="103"/>
      <c r="HK7" s="103"/>
      <c r="HL7" s="103"/>
      <c r="HM7" s="103"/>
      <c r="HN7" s="103"/>
      <c r="HO7" s="103"/>
      <c r="HP7" s="103"/>
      <c r="HQ7" s="103"/>
      <c r="HR7" s="103"/>
      <c r="HS7" s="103"/>
      <c r="HT7" s="103"/>
      <c r="HU7" s="103"/>
      <c r="HV7" s="103"/>
      <c r="HW7" s="103"/>
      <c r="HX7" s="103"/>
      <c r="HY7" s="103"/>
      <c r="HZ7" s="103"/>
      <c r="IA7" s="103"/>
      <c r="IB7" s="103"/>
      <c r="IC7" s="103"/>
      <c r="ID7" s="103"/>
      <c r="IE7" s="103"/>
      <c r="IF7" s="103"/>
      <c r="IG7" s="103"/>
      <c r="IH7" s="103"/>
      <c r="II7" s="103"/>
      <c r="IJ7" s="103"/>
      <c r="IK7" s="103"/>
      <c r="IL7" s="103"/>
      <c r="IM7" s="103"/>
      <c r="IN7" s="103"/>
      <c r="IO7" s="103"/>
      <c r="IP7" s="103"/>
      <c r="IQ7" s="103"/>
      <c r="IR7" s="103"/>
      <c r="IS7" s="103"/>
      <c r="IT7" s="103"/>
      <c r="IU7" s="103"/>
      <c r="IV7" s="103"/>
      <c r="IW7" s="103"/>
      <c r="IX7" s="103"/>
      <c r="IY7" s="103"/>
      <c r="IZ7" s="103"/>
      <c r="JA7" s="103"/>
      <c r="JB7" s="103"/>
      <c r="JC7" s="103"/>
      <c r="JD7" s="103"/>
      <c r="JE7" s="103"/>
      <c r="JF7" s="103"/>
      <c r="JG7" s="103"/>
      <c r="JH7" s="103"/>
      <c r="JI7" s="103"/>
      <c r="JJ7" s="103"/>
      <c r="JK7" s="103"/>
      <c r="JL7" s="103"/>
      <c r="JM7" s="103"/>
      <c r="JN7" s="103"/>
      <c r="JO7" s="103"/>
      <c r="JP7" s="103"/>
      <c r="JQ7" s="103"/>
      <c r="JR7" s="103"/>
      <c r="JS7" s="103"/>
      <c r="JT7" s="103"/>
      <c r="JU7" s="103"/>
      <c r="JV7" s="103"/>
      <c r="JW7" s="103"/>
      <c r="JX7" s="103"/>
      <c r="JY7" s="103"/>
      <c r="JZ7" s="103"/>
      <c r="KA7" s="103"/>
      <c r="KB7" s="103"/>
      <c r="KC7" s="103"/>
      <c r="KD7" s="103"/>
      <c r="KE7" s="103"/>
      <c r="KF7" s="103"/>
      <c r="KG7" s="103"/>
      <c r="KH7" s="103"/>
      <c r="KI7" s="103"/>
      <c r="KJ7" s="103"/>
      <c r="KK7" s="103"/>
      <c r="KL7" s="103"/>
      <c r="KM7" s="103"/>
      <c r="KN7" s="103"/>
      <c r="KO7" s="103"/>
      <c r="KP7" s="103"/>
      <c r="KQ7" s="103"/>
      <c r="KR7" s="103"/>
      <c r="KS7" s="103"/>
      <c r="KT7" s="103"/>
      <c r="KU7" s="103"/>
      <c r="KV7" s="103"/>
      <c r="KW7" s="103"/>
      <c r="KX7" s="103"/>
      <c r="KY7" s="103"/>
      <c r="KZ7" s="103"/>
      <c r="LA7" s="103"/>
      <c r="LB7" s="103"/>
      <c r="LC7" s="103"/>
      <c r="LD7" s="103"/>
      <c r="LE7" s="103"/>
      <c r="LF7" s="103"/>
      <c r="LG7" s="103"/>
      <c r="LH7" s="103"/>
      <c r="LI7" s="103"/>
      <c r="LJ7" s="103"/>
    </row>
    <row r="8" spans="1:322" s="208" customFormat="1">
      <c r="A8" s="103"/>
      <c r="B8" s="181">
        <v>1933</v>
      </c>
      <c r="C8" s="569"/>
      <c r="D8" s="569"/>
      <c r="E8" s="104"/>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c r="BM8" s="103"/>
      <c r="BN8" s="103"/>
      <c r="BO8" s="103"/>
      <c r="BP8" s="103"/>
      <c r="BQ8" s="103"/>
      <c r="BR8" s="103"/>
      <c r="BS8" s="103"/>
      <c r="BT8" s="103"/>
      <c r="BU8" s="103"/>
      <c r="BV8" s="103"/>
      <c r="BW8" s="103"/>
      <c r="BX8" s="103"/>
      <c r="BY8" s="103"/>
      <c r="BZ8" s="103"/>
      <c r="CA8" s="103"/>
      <c r="CB8" s="103"/>
      <c r="CC8" s="103"/>
      <c r="CD8" s="103"/>
      <c r="CE8" s="103"/>
      <c r="CF8" s="103"/>
      <c r="CG8" s="103"/>
      <c r="CH8" s="103"/>
      <c r="CI8" s="103"/>
      <c r="CJ8" s="103"/>
      <c r="CK8" s="103"/>
      <c r="CL8" s="103"/>
      <c r="CM8" s="103"/>
      <c r="CN8" s="103"/>
      <c r="CO8" s="103"/>
      <c r="CP8" s="103"/>
      <c r="CQ8" s="103"/>
      <c r="CR8" s="103"/>
      <c r="CS8" s="103"/>
      <c r="CT8" s="103"/>
      <c r="CU8" s="103"/>
      <c r="CV8" s="103"/>
      <c r="CW8" s="103"/>
      <c r="CX8" s="103"/>
      <c r="CY8" s="103"/>
      <c r="CZ8" s="103"/>
      <c r="DA8" s="103"/>
      <c r="DB8" s="103"/>
      <c r="DC8" s="103"/>
      <c r="DD8" s="103"/>
      <c r="DE8" s="103"/>
      <c r="DF8" s="103"/>
      <c r="DG8" s="103"/>
      <c r="DH8" s="103"/>
      <c r="DI8" s="103"/>
      <c r="DJ8" s="103"/>
      <c r="DK8" s="103"/>
      <c r="DL8" s="103"/>
      <c r="DM8" s="103"/>
      <c r="DN8" s="103"/>
      <c r="DO8" s="103"/>
      <c r="DP8" s="103"/>
      <c r="DQ8" s="103"/>
      <c r="DR8" s="103"/>
      <c r="DS8" s="103"/>
      <c r="DT8" s="103"/>
      <c r="DU8" s="103"/>
      <c r="DV8" s="103"/>
      <c r="DW8" s="103"/>
      <c r="DX8" s="103"/>
      <c r="DY8" s="103"/>
      <c r="DZ8" s="103"/>
      <c r="EA8" s="103"/>
      <c r="EB8" s="103"/>
      <c r="EC8" s="103"/>
      <c r="ED8" s="103"/>
      <c r="EE8" s="103"/>
      <c r="EF8" s="103"/>
      <c r="EG8" s="103"/>
      <c r="EH8" s="103"/>
      <c r="EI8" s="103"/>
      <c r="EJ8" s="103"/>
      <c r="EK8" s="103"/>
      <c r="EL8" s="103"/>
      <c r="EM8" s="103"/>
      <c r="EN8" s="103"/>
      <c r="EO8" s="103"/>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3"/>
      <c r="FO8" s="103"/>
      <c r="FP8" s="103"/>
      <c r="FQ8" s="103"/>
      <c r="FR8" s="103"/>
      <c r="FS8" s="103"/>
      <c r="FT8" s="103"/>
      <c r="FU8" s="103"/>
      <c r="FV8" s="103"/>
      <c r="FW8" s="103"/>
      <c r="FX8" s="103"/>
      <c r="FY8" s="103"/>
      <c r="FZ8" s="103"/>
      <c r="GA8" s="103"/>
      <c r="GB8" s="103"/>
      <c r="GC8" s="103"/>
      <c r="GD8" s="103"/>
      <c r="GE8" s="103"/>
      <c r="GF8" s="103"/>
      <c r="GG8" s="103"/>
      <c r="GH8" s="103"/>
      <c r="GI8" s="103"/>
      <c r="GJ8" s="103"/>
      <c r="GK8" s="103"/>
      <c r="GL8" s="103"/>
      <c r="GM8" s="103"/>
      <c r="GN8" s="103"/>
      <c r="GO8" s="103"/>
      <c r="GP8" s="103"/>
      <c r="GQ8" s="103"/>
      <c r="GR8" s="103"/>
      <c r="GS8" s="103"/>
      <c r="GT8" s="103"/>
      <c r="GU8" s="103"/>
      <c r="GV8" s="103"/>
      <c r="GW8" s="103"/>
      <c r="GX8" s="103"/>
      <c r="GY8" s="103"/>
      <c r="GZ8" s="103"/>
      <c r="HA8" s="103"/>
      <c r="HB8" s="103"/>
      <c r="HC8" s="103"/>
      <c r="HD8" s="103"/>
      <c r="HE8" s="103"/>
      <c r="HF8" s="103"/>
      <c r="HG8" s="103"/>
      <c r="HH8" s="103"/>
      <c r="HI8" s="103"/>
      <c r="HJ8" s="103"/>
      <c r="HK8" s="103"/>
      <c r="HL8" s="103"/>
      <c r="HM8" s="103"/>
      <c r="HN8" s="103"/>
      <c r="HO8" s="103"/>
      <c r="HP8" s="103"/>
      <c r="HQ8" s="103"/>
      <c r="HR8" s="103"/>
      <c r="HS8" s="103"/>
      <c r="HT8" s="103"/>
      <c r="HU8" s="103"/>
      <c r="HV8" s="103"/>
      <c r="HW8" s="103"/>
      <c r="HX8" s="103"/>
      <c r="HY8" s="103"/>
      <c r="HZ8" s="103"/>
      <c r="IA8" s="103"/>
      <c r="IB8" s="103"/>
      <c r="IC8" s="103"/>
      <c r="ID8" s="103"/>
      <c r="IE8" s="103"/>
      <c r="IF8" s="103"/>
      <c r="IG8" s="103"/>
      <c r="IH8" s="103"/>
      <c r="II8" s="103"/>
      <c r="IJ8" s="103"/>
      <c r="IK8" s="103"/>
      <c r="IL8" s="103"/>
      <c r="IM8" s="103"/>
      <c r="IN8" s="103"/>
      <c r="IO8" s="103"/>
      <c r="IP8" s="103"/>
      <c r="IQ8" s="103"/>
      <c r="IR8" s="103"/>
      <c r="IS8" s="103"/>
      <c r="IT8" s="103"/>
      <c r="IU8" s="103"/>
      <c r="IV8" s="103"/>
      <c r="IW8" s="103"/>
      <c r="IX8" s="103"/>
      <c r="IY8" s="103"/>
      <c r="IZ8" s="103"/>
      <c r="JA8" s="103"/>
      <c r="JB8" s="103"/>
      <c r="JC8" s="103"/>
      <c r="JD8" s="103"/>
      <c r="JE8" s="103"/>
      <c r="JF8" s="103"/>
      <c r="JG8" s="103"/>
      <c r="JH8" s="103"/>
      <c r="JI8" s="103"/>
      <c r="JJ8" s="103"/>
      <c r="JK8" s="103"/>
      <c r="JL8" s="103"/>
      <c r="JM8" s="103"/>
      <c r="JN8" s="103"/>
      <c r="JO8" s="103"/>
      <c r="JP8" s="103"/>
      <c r="JQ8" s="103"/>
      <c r="JR8" s="103"/>
      <c r="JS8" s="103"/>
      <c r="JT8" s="103"/>
      <c r="JU8" s="103"/>
      <c r="JV8" s="103"/>
      <c r="JW8" s="103"/>
      <c r="JX8" s="103"/>
      <c r="JY8" s="103"/>
      <c r="JZ8" s="103"/>
      <c r="KA8" s="103"/>
      <c r="KB8" s="103"/>
      <c r="KC8" s="103"/>
      <c r="KD8" s="103"/>
      <c r="KE8" s="103"/>
      <c r="KF8" s="103"/>
      <c r="KG8" s="103"/>
      <c r="KH8" s="103"/>
      <c r="KI8" s="103"/>
      <c r="KJ8" s="103"/>
      <c r="KK8" s="103"/>
      <c r="KL8" s="103"/>
      <c r="KM8" s="103"/>
      <c r="KN8" s="103"/>
      <c r="KO8" s="103"/>
      <c r="KP8" s="103"/>
      <c r="KQ8" s="103"/>
      <c r="KR8" s="103"/>
      <c r="KS8" s="103"/>
      <c r="KT8" s="103"/>
      <c r="KU8" s="103"/>
      <c r="KV8" s="103"/>
      <c r="KW8" s="103"/>
      <c r="KX8" s="103"/>
      <c r="KY8" s="103"/>
      <c r="KZ8" s="103"/>
      <c r="LA8" s="103"/>
      <c r="LB8" s="103"/>
      <c r="LC8" s="103"/>
      <c r="LD8" s="103"/>
      <c r="LE8" s="103"/>
      <c r="LF8" s="103"/>
      <c r="LG8" s="103"/>
      <c r="LH8" s="103"/>
      <c r="LI8" s="103"/>
      <c r="LJ8" s="103"/>
    </row>
    <row r="9" spans="1:322" s="208" customFormat="1">
      <c r="A9" s="103"/>
      <c r="B9" s="181">
        <v>1934</v>
      </c>
      <c r="C9" s="569">
        <v>0.93200000000000005</v>
      </c>
      <c r="D9" s="569">
        <v>1.1020000000000001</v>
      </c>
      <c r="E9" s="104"/>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c r="CE9" s="103"/>
      <c r="CF9" s="103"/>
      <c r="CG9" s="103"/>
      <c r="CH9" s="103"/>
      <c r="CI9" s="103"/>
      <c r="CJ9" s="103"/>
      <c r="CK9" s="103"/>
      <c r="CL9" s="103"/>
      <c r="CM9" s="103"/>
      <c r="CN9" s="103"/>
      <c r="CO9" s="103"/>
      <c r="CP9" s="103"/>
      <c r="CQ9" s="103"/>
      <c r="CR9" s="103"/>
      <c r="CS9" s="103"/>
      <c r="CT9" s="103"/>
      <c r="CU9" s="103"/>
      <c r="CV9" s="103"/>
      <c r="CW9" s="103"/>
      <c r="CX9" s="103"/>
      <c r="CY9" s="103"/>
      <c r="CZ9" s="103"/>
      <c r="DA9" s="103"/>
      <c r="DB9" s="103"/>
      <c r="DC9" s="103"/>
      <c r="DD9" s="103"/>
      <c r="DE9" s="103"/>
      <c r="DF9" s="103"/>
      <c r="DG9" s="103"/>
      <c r="DH9" s="103"/>
      <c r="DI9" s="103"/>
      <c r="DJ9" s="103"/>
      <c r="DK9" s="103"/>
      <c r="DL9" s="103"/>
      <c r="DM9" s="103"/>
      <c r="DN9" s="103"/>
      <c r="DO9" s="103"/>
      <c r="DP9" s="103"/>
      <c r="DQ9" s="103"/>
      <c r="DR9" s="103"/>
      <c r="DS9" s="103"/>
      <c r="DT9" s="103"/>
      <c r="DU9" s="103"/>
      <c r="DV9" s="103"/>
      <c r="DW9" s="103"/>
      <c r="DX9" s="103"/>
      <c r="DY9" s="103"/>
      <c r="DZ9" s="103"/>
      <c r="EA9" s="103"/>
      <c r="EB9" s="103"/>
      <c r="EC9" s="103"/>
      <c r="ED9" s="103"/>
      <c r="EE9" s="103"/>
      <c r="EF9" s="103"/>
      <c r="EG9" s="103"/>
      <c r="EH9" s="103"/>
      <c r="EI9" s="103"/>
      <c r="EJ9" s="103"/>
      <c r="EK9" s="103"/>
      <c r="EL9" s="103"/>
      <c r="EM9" s="103"/>
      <c r="EN9" s="103"/>
      <c r="EO9" s="103"/>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3"/>
      <c r="FO9" s="103"/>
      <c r="FP9" s="103"/>
      <c r="FQ9" s="103"/>
      <c r="FR9" s="103"/>
      <c r="FS9" s="103"/>
      <c r="FT9" s="103"/>
      <c r="FU9" s="103"/>
      <c r="FV9" s="103"/>
      <c r="FW9" s="103"/>
      <c r="FX9" s="103"/>
      <c r="FY9" s="103"/>
      <c r="FZ9" s="103"/>
      <c r="GA9" s="103"/>
      <c r="GB9" s="103"/>
      <c r="GC9" s="103"/>
      <c r="GD9" s="103"/>
      <c r="GE9" s="103"/>
      <c r="GF9" s="103"/>
      <c r="GG9" s="103"/>
      <c r="GH9" s="103"/>
      <c r="GI9" s="103"/>
      <c r="GJ9" s="103"/>
      <c r="GK9" s="103"/>
      <c r="GL9" s="103"/>
      <c r="GM9" s="103"/>
      <c r="GN9" s="103"/>
      <c r="GO9" s="103"/>
      <c r="GP9" s="103"/>
      <c r="GQ9" s="103"/>
      <c r="GR9" s="103"/>
      <c r="GS9" s="103"/>
      <c r="GT9" s="103"/>
      <c r="GU9" s="103"/>
      <c r="GV9" s="103"/>
      <c r="GW9" s="103"/>
      <c r="GX9" s="103"/>
      <c r="GY9" s="103"/>
      <c r="GZ9" s="103"/>
      <c r="HA9" s="103"/>
      <c r="HB9" s="103"/>
      <c r="HC9" s="103"/>
      <c r="HD9" s="103"/>
      <c r="HE9" s="103"/>
      <c r="HF9" s="103"/>
      <c r="HG9" s="103"/>
      <c r="HH9" s="103"/>
      <c r="HI9" s="103"/>
      <c r="HJ9" s="103"/>
      <c r="HK9" s="103"/>
      <c r="HL9" s="103"/>
      <c r="HM9" s="103"/>
      <c r="HN9" s="103"/>
      <c r="HO9" s="103"/>
      <c r="HP9" s="103"/>
      <c r="HQ9" s="103"/>
      <c r="HR9" s="103"/>
      <c r="HS9" s="103"/>
      <c r="HT9" s="103"/>
      <c r="HU9" s="103"/>
      <c r="HV9" s="103"/>
      <c r="HW9" s="103"/>
      <c r="HX9" s="103"/>
      <c r="HY9" s="103"/>
      <c r="HZ9" s="103"/>
      <c r="IA9" s="103"/>
      <c r="IB9" s="103"/>
      <c r="IC9" s="103"/>
      <c r="ID9" s="103"/>
      <c r="IE9" s="103"/>
      <c r="IF9" s="103"/>
      <c r="IG9" s="103"/>
      <c r="IH9" s="103"/>
      <c r="II9" s="103"/>
      <c r="IJ9" s="103"/>
      <c r="IK9" s="103"/>
      <c r="IL9" s="103"/>
      <c r="IM9" s="103"/>
      <c r="IN9" s="103"/>
      <c r="IO9" s="103"/>
      <c r="IP9" s="103"/>
      <c r="IQ9" s="103"/>
      <c r="IR9" s="103"/>
      <c r="IS9" s="103"/>
      <c r="IT9" s="103"/>
      <c r="IU9" s="103"/>
      <c r="IV9" s="103"/>
      <c r="IW9" s="103"/>
      <c r="IX9" s="103"/>
      <c r="IY9" s="103"/>
      <c r="IZ9" s="103"/>
      <c r="JA9" s="103"/>
      <c r="JB9" s="103"/>
      <c r="JC9" s="103"/>
      <c r="JD9" s="103"/>
      <c r="JE9" s="103"/>
      <c r="JF9" s="103"/>
      <c r="JG9" s="103"/>
      <c r="JH9" s="103"/>
      <c r="JI9" s="103"/>
      <c r="JJ9" s="103"/>
      <c r="JK9" s="103"/>
      <c r="JL9" s="103"/>
      <c r="JM9" s="103"/>
      <c r="JN9" s="103"/>
      <c r="JO9" s="103"/>
      <c r="JP9" s="103"/>
      <c r="JQ9" s="103"/>
      <c r="JR9" s="103"/>
      <c r="JS9" s="103"/>
      <c r="JT9" s="103"/>
      <c r="JU9" s="103"/>
      <c r="JV9" s="103"/>
      <c r="JW9" s="103"/>
      <c r="JX9" s="103"/>
      <c r="JY9" s="103"/>
      <c r="JZ9" s="103"/>
      <c r="KA9" s="103"/>
      <c r="KB9" s="103"/>
      <c r="KC9" s="103"/>
      <c r="KD9" s="103"/>
      <c r="KE9" s="103"/>
      <c r="KF9" s="103"/>
      <c r="KG9" s="103"/>
      <c r="KH9" s="103"/>
      <c r="KI9" s="103"/>
      <c r="KJ9" s="103"/>
      <c r="KK9" s="103"/>
      <c r="KL9" s="103"/>
      <c r="KM9" s="103"/>
      <c r="KN9" s="103"/>
      <c r="KO9" s="103"/>
      <c r="KP9" s="103"/>
      <c r="KQ9" s="103"/>
      <c r="KR9" s="103"/>
      <c r="KS9" s="103"/>
      <c r="KT9" s="103"/>
      <c r="KU9" s="103"/>
      <c r="KV9" s="103"/>
      <c r="KW9" s="103"/>
      <c r="KX9" s="103"/>
      <c r="KY9" s="103"/>
      <c r="KZ9" s="103"/>
      <c r="LA9" s="103"/>
      <c r="LB9" s="103"/>
      <c r="LC9" s="103"/>
      <c r="LD9" s="103"/>
      <c r="LE9" s="103"/>
      <c r="LF9" s="103"/>
      <c r="LG9" s="103"/>
      <c r="LH9" s="103"/>
      <c r="LI9" s="103"/>
      <c r="LJ9" s="103"/>
    </row>
    <row r="10" spans="1:322" s="208" customFormat="1">
      <c r="A10" s="103"/>
      <c r="B10" s="181">
        <v>1935</v>
      </c>
      <c r="C10" s="569"/>
      <c r="D10" s="569"/>
      <c r="E10" s="104"/>
      <c r="F10" s="103"/>
      <c r="G10" s="103"/>
      <c r="H10" s="103"/>
      <c r="I10" s="103"/>
      <c r="J10" s="103"/>
      <c r="K10" s="103"/>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103"/>
      <c r="BA10" s="103"/>
      <c r="BB10" s="103"/>
      <c r="BC10" s="103"/>
      <c r="BD10" s="103"/>
      <c r="BE10" s="103"/>
      <c r="BF10" s="103"/>
      <c r="BG10" s="103"/>
      <c r="BH10" s="103"/>
      <c r="BI10" s="103"/>
      <c r="BJ10" s="103"/>
      <c r="BK10" s="103"/>
      <c r="BL10" s="103"/>
      <c r="BM10" s="103"/>
      <c r="BN10" s="103"/>
      <c r="BO10" s="103"/>
      <c r="BP10" s="103"/>
      <c r="BQ10" s="103"/>
      <c r="BR10" s="103"/>
      <c r="BS10" s="103"/>
      <c r="BT10" s="103"/>
      <c r="BU10" s="103"/>
      <c r="BV10" s="103"/>
      <c r="BW10" s="103"/>
      <c r="BX10" s="103"/>
      <c r="BY10" s="103"/>
      <c r="BZ10" s="103"/>
      <c r="CA10" s="103"/>
      <c r="CB10" s="103"/>
      <c r="CC10" s="103"/>
      <c r="CD10" s="103"/>
      <c r="CE10" s="103"/>
      <c r="CF10" s="103"/>
      <c r="CG10" s="103"/>
      <c r="CH10" s="103"/>
      <c r="CI10" s="103"/>
      <c r="CJ10" s="103"/>
      <c r="CK10" s="103"/>
      <c r="CL10" s="103"/>
      <c r="CM10" s="103"/>
      <c r="CN10" s="103"/>
      <c r="CO10" s="103"/>
      <c r="CP10" s="103"/>
      <c r="CQ10" s="103"/>
      <c r="CR10" s="103"/>
      <c r="CS10" s="103"/>
      <c r="CT10" s="103"/>
      <c r="CU10" s="103"/>
      <c r="CV10" s="103"/>
      <c r="CW10" s="103"/>
      <c r="CX10" s="103"/>
      <c r="CY10" s="103"/>
      <c r="CZ10" s="103"/>
      <c r="DA10" s="103"/>
      <c r="DB10" s="103"/>
      <c r="DC10" s="103"/>
      <c r="DD10" s="103"/>
      <c r="DE10" s="103"/>
      <c r="DF10" s="103"/>
      <c r="DG10" s="103"/>
      <c r="DH10" s="103"/>
      <c r="DI10" s="103"/>
      <c r="DJ10" s="103"/>
      <c r="DK10" s="103"/>
      <c r="DL10" s="103"/>
      <c r="DM10" s="103"/>
      <c r="DN10" s="103"/>
      <c r="DO10" s="103"/>
      <c r="DP10" s="103"/>
      <c r="DQ10" s="103"/>
      <c r="DR10" s="103"/>
      <c r="DS10" s="103"/>
      <c r="DT10" s="103"/>
      <c r="DU10" s="103"/>
      <c r="DV10" s="103"/>
      <c r="DW10" s="103"/>
      <c r="DX10" s="103"/>
      <c r="DY10" s="103"/>
      <c r="DZ10" s="103"/>
      <c r="EA10" s="103"/>
      <c r="EB10" s="103"/>
      <c r="EC10" s="103"/>
      <c r="ED10" s="103"/>
      <c r="EE10" s="103"/>
      <c r="EF10" s="103"/>
      <c r="EG10" s="103"/>
      <c r="EH10" s="103"/>
      <c r="EI10" s="103"/>
      <c r="EJ10" s="103"/>
      <c r="EK10" s="103"/>
      <c r="EL10" s="103"/>
      <c r="EM10" s="103"/>
      <c r="EN10" s="103"/>
      <c r="EO10" s="103"/>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3"/>
      <c r="FO10" s="103"/>
      <c r="FP10" s="103"/>
      <c r="FQ10" s="103"/>
      <c r="FR10" s="103"/>
      <c r="FS10" s="103"/>
      <c r="FT10" s="103"/>
      <c r="FU10" s="103"/>
      <c r="FV10" s="103"/>
      <c r="FW10" s="103"/>
      <c r="FX10" s="103"/>
      <c r="FY10" s="103"/>
      <c r="FZ10" s="103"/>
      <c r="GA10" s="103"/>
      <c r="GB10" s="103"/>
      <c r="GC10" s="103"/>
      <c r="GD10" s="103"/>
      <c r="GE10" s="103"/>
      <c r="GF10" s="103"/>
      <c r="GG10" s="103"/>
      <c r="GH10" s="103"/>
      <c r="GI10" s="103"/>
      <c r="GJ10" s="103"/>
      <c r="GK10" s="103"/>
      <c r="GL10" s="103"/>
      <c r="GM10" s="103"/>
      <c r="GN10" s="103"/>
      <c r="GO10" s="103"/>
      <c r="GP10" s="103"/>
      <c r="GQ10" s="103"/>
      <c r="GR10" s="103"/>
      <c r="GS10" s="103"/>
      <c r="GT10" s="103"/>
      <c r="GU10" s="103"/>
      <c r="GV10" s="103"/>
      <c r="GW10" s="103"/>
      <c r="GX10" s="103"/>
      <c r="GY10" s="103"/>
      <c r="GZ10" s="103"/>
      <c r="HA10" s="103"/>
      <c r="HB10" s="103"/>
      <c r="HC10" s="103"/>
      <c r="HD10" s="103"/>
      <c r="HE10" s="103"/>
      <c r="HF10" s="103"/>
      <c r="HG10" s="103"/>
      <c r="HH10" s="103"/>
      <c r="HI10" s="103"/>
      <c r="HJ10" s="103"/>
      <c r="HK10" s="103"/>
      <c r="HL10" s="103"/>
      <c r="HM10" s="103"/>
      <c r="HN10" s="103"/>
      <c r="HO10" s="103"/>
      <c r="HP10" s="103"/>
      <c r="HQ10" s="103"/>
      <c r="HR10" s="103"/>
      <c r="HS10" s="103"/>
      <c r="HT10" s="103"/>
      <c r="HU10" s="103"/>
      <c r="HV10" s="103"/>
      <c r="HW10" s="103"/>
      <c r="HX10" s="103"/>
      <c r="HY10" s="103"/>
      <c r="HZ10" s="103"/>
      <c r="IA10" s="103"/>
      <c r="IB10" s="103"/>
      <c r="IC10" s="103"/>
      <c r="ID10" s="103"/>
      <c r="IE10" s="103"/>
      <c r="IF10" s="103"/>
      <c r="IG10" s="103"/>
      <c r="IH10" s="103"/>
      <c r="II10" s="103"/>
      <c r="IJ10" s="103"/>
      <c r="IK10" s="103"/>
      <c r="IL10" s="103"/>
      <c r="IM10" s="103"/>
      <c r="IN10" s="103"/>
      <c r="IO10" s="103"/>
      <c r="IP10" s="103"/>
      <c r="IQ10" s="103"/>
      <c r="IR10" s="103"/>
      <c r="IS10" s="103"/>
      <c r="IT10" s="103"/>
      <c r="IU10" s="103"/>
      <c r="IV10" s="103"/>
      <c r="IW10" s="103"/>
      <c r="IX10" s="103"/>
      <c r="IY10" s="103"/>
      <c r="IZ10" s="103"/>
      <c r="JA10" s="103"/>
      <c r="JB10" s="103"/>
      <c r="JC10" s="103"/>
      <c r="JD10" s="103"/>
      <c r="JE10" s="103"/>
      <c r="JF10" s="103"/>
      <c r="JG10" s="103"/>
      <c r="JH10" s="103"/>
      <c r="JI10" s="103"/>
      <c r="JJ10" s="103"/>
      <c r="JK10" s="103"/>
      <c r="JL10" s="103"/>
      <c r="JM10" s="103"/>
      <c r="JN10" s="103"/>
      <c r="JO10" s="103"/>
      <c r="JP10" s="103"/>
      <c r="JQ10" s="103"/>
      <c r="JR10" s="103"/>
      <c r="JS10" s="103"/>
      <c r="JT10" s="103"/>
      <c r="JU10" s="103"/>
      <c r="JV10" s="103"/>
      <c r="JW10" s="103"/>
      <c r="JX10" s="103"/>
      <c r="JY10" s="103"/>
      <c r="JZ10" s="103"/>
      <c r="KA10" s="103"/>
      <c r="KB10" s="103"/>
      <c r="KC10" s="103"/>
      <c r="KD10" s="103"/>
      <c r="KE10" s="103"/>
      <c r="KF10" s="103"/>
      <c r="KG10" s="103"/>
      <c r="KH10" s="103"/>
      <c r="KI10" s="103"/>
      <c r="KJ10" s="103"/>
      <c r="KK10" s="103"/>
      <c r="KL10" s="103"/>
      <c r="KM10" s="103"/>
      <c r="KN10" s="103"/>
      <c r="KO10" s="103"/>
      <c r="KP10" s="103"/>
      <c r="KQ10" s="103"/>
      <c r="KR10" s="103"/>
      <c r="KS10" s="103"/>
      <c r="KT10" s="103"/>
      <c r="KU10" s="103"/>
      <c r="KV10" s="103"/>
      <c r="KW10" s="103"/>
      <c r="KX10" s="103"/>
      <c r="KY10" s="103"/>
      <c r="KZ10" s="103"/>
      <c r="LA10" s="103"/>
      <c r="LB10" s="103"/>
      <c r="LC10" s="103"/>
      <c r="LD10" s="103"/>
      <c r="LE10" s="103"/>
      <c r="LF10" s="103"/>
      <c r="LG10" s="103"/>
      <c r="LH10" s="103"/>
      <c r="LI10" s="103"/>
      <c r="LJ10" s="103"/>
    </row>
    <row r="11" spans="1:322" s="208" customFormat="1">
      <c r="A11" s="103"/>
      <c r="B11" s="181">
        <v>1936</v>
      </c>
      <c r="C11" s="569">
        <v>0.93600000000000005</v>
      </c>
      <c r="D11" s="569">
        <v>1.1000000000000001</v>
      </c>
      <c r="E11" s="104"/>
      <c r="F11" s="103"/>
      <c r="G11" s="103"/>
      <c r="H11" s="103"/>
      <c r="I11" s="103"/>
      <c r="J11" s="103"/>
      <c r="K11" s="103"/>
      <c r="L11" s="103"/>
      <c r="M11" s="103"/>
      <c r="N11" s="103"/>
      <c r="O11" s="103"/>
      <c r="P11" s="103"/>
      <c r="Q11" s="103"/>
      <c r="R11" s="103"/>
      <c r="S11" s="103"/>
      <c r="T11" s="103"/>
      <c r="U11" s="103"/>
      <c r="V11" s="103"/>
      <c r="W11" s="103"/>
      <c r="X11" s="103"/>
      <c r="Y11" s="103"/>
      <c r="Z11" s="103"/>
      <c r="AA11" s="103"/>
      <c r="AB11" s="103"/>
      <c r="AC11" s="103"/>
      <c r="AD11" s="103"/>
      <c r="AE11" s="103"/>
      <c r="AF11" s="103"/>
      <c r="AG11" s="103"/>
      <c r="AH11" s="103"/>
      <c r="AI11" s="103"/>
      <c r="AJ11" s="103"/>
      <c r="AK11" s="103"/>
      <c r="AL11" s="103"/>
      <c r="AM11" s="103"/>
      <c r="AN11" s="103"/>
      <c r="AO11" s="103"/>
      <c r="AP11" s="103"/>
      <c r="AQ11" s="103"/>
      <c r="AR11" s="103"/>
      <c r="AS11" s="103"/>
      <c r="AT11" s="103"/>
      <c r="AU11" s="103"/>
      <c r="AV11" s="103"/>
      <c r="AW11" s="103"/>
      <c r="AX11" s="103"/>
      <c r="AY11" s="103"/>
      <c r="AZ11" s="103"/>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c r="CI11" s="103"/>
      <c r="CJ11" s="103"/>
      <c r="CK11" s="103"/>
      <c r="CL11" s="103"/>
      <c r="CM11" s="103"/>
      <c r="CN11" s="103"/>
      <c r="CO11" s="103"/>
      <c r="CP11" s="103"/>
      <c r="CQ11" s="103"/>
      <c r="CR11" s="103"/>
      <c r="CS11" s="103"/>
      <c r="CT11" s="103"/>
      <c r="CU11" s="103"/>
      <c r="CV11" s="103"/>
      <c r="CW11" s="103"/>
      <c r="CX11" s="103"/>
      <c r="CY11" s="103"/>
      <c r="CZ11" s="103"/>
      <c r="DA11" s="103"/>
      <c r="DB11" s="103"/>
      <c r="DC11" s="103"/>
      <c r="DD11" s="103"/>
      <c r="DE11" s="103"/>
      <c r="DF11" s="103"/>
      <c r="DG11" s="103"/>
      <c r="DH11" s="103"/>
      <c r="DI11" s="103"/>
      <c r="DJ11" s="103"/>
      <c r="DK11" s="103"/>
      <c r="DL11" s="103"/>
      <c r="DM11" s="103"/>
      <c r="DN11" s="103"/>
      <c r="DO11" s="103"/>
      <c r="DP11" s="103"/>
      <c r="DQ11" s="103"/>
      <c r="DR11" s="103"/>
      <c r="DS11" s="103"/>
      <c r="DT11" s="103"/>
      <c r="DU11" s="103"/>
      <c r="DV11" s="103"/>
      <c r="DW11" s="103"/>
      <c r="DX11" s="103"/>
      <c r="DY11" s="103"/>
      <c r="DZ11" s="103"/>
      <c r="EA11" s="103"/>
      <c r="EB11" s="103"/>
      <c r="EC11" s="103"/>
      <c r="ED11" s="103"/>
      <c r="EE11" s="103"/>
      <c r="EF11" s="103"/>
      <c r="EG11" s="103"/>
      <c r="EH11" s="103"/>
      <c r="EI11" s="103"/>
      <c r="EJ11" s="103"/>
      <c r="EK11" s="103"/>
      <c r="EL11" s="103"/>
      <c r="EM11" s="103"/>
      <c r="EN11" s="103"/>
      <c r="EO11" s="103"/>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3"/>
      <c r="FO11" s="103"/>
      <c r="FP11" s="103"/>
      <c r="FQ11" s="103"/>
      <c r="FR11" s="103"/>
      <c r="FS11" s="103"/>
      <c r="FT11" s="103"/>
      <c r="FU11" s="103"/>
      <c r="FV11" s="103"/>
      <c r="FW11" s="103"/>
      <c r="FX11" s="103"/>
      <c r="FY11" s="103"/>
      <c r="FZ11" s="103"/>
      <c r="GA11" s="103"/>
      <c r="GB11" s="103"/>
      <c r="GC11" s="103"/>
      <c r="GD11" s="103"/>
      <c r="GE11" s="103"/>
      <c r="GF11" s="103"/>
      <c r="GG11" s="103"/>
      <c r="GH11" s="103"/>
      <c r="GI11" s="103"/>
      <c r="GJ11" s="103"/>
      <c r="GK11" s="103"/>
      <c r="GL11" s="103"/>
      <c r="GM11" s="103"/>
      <c r="GN11" s="103"/>
      <c r="GO11" s="103"/>
      <c r="GP11" s="103"/>
      <c r="GQ11" s="103"/>
      <c r="GR11" s="103"/>
      <c r="GS11" s="103"/>
      <c r="GT11" s="103"/>
      <c r="GU11" s="103"/>
      <c r="GV11" s="103"/>
      <c r="GW11" s="103"/>
      <c r="GX11" s="103"/>
      <c r="GY11" s="103"/>
      <c r="GZ11" s="103"/>
      <c r="HA11" s="103"/>
      <c r="HB11" s="103"/>
      <c r="HC11" s="103"/>
      <c r="HD11" s="103"/>
      <c r="HE11" s="103"/>
      <c r="HF11" s="103"/>
      <c r="HG11" s="103"/>
      <c r="HH11" s="103"/>
      <c r="HI11" s="103"/>
      <c r="HJ11" s="103"/>
      <c r="HK11" s="103"/>
      <c r="HL11" s="103"/>
      <c r="HM11" s="103"/>
      <c r="HN11" s="103"/>
      <c r="HO11" s="103"/>
      <c r="HP11" s="103"/>
      <c r="HQ11" s="103"/>
      <c r="HR11" s="103"/>
      <c r="HS11" s="103"/>
      <c r="HT11" s="103"/>
      <c r="HU11" s="103"/>
      <c r="HV11" s="103"/>
      <c r="HW11" s="103"/>
      <c r="HX11" s="103"/>
      <c r="HY11" s="103"/>
      <c r="HZ11" s="103"/>
      <c r="IA11" s="103"/>
      <c r="IB11" s="103"/>
      <c r="IC11" s="103"/>
      <c r="ID11" s="103"/>
      <c r="IE11" s="103"/>
      <c r="IF11" s="103"/>
      <c r="IG11" s="103"/>
      <c r="IH11" s="103"/>
      <c r="II11" s="103"/>
      <c r="IJ11" s="103"/>
      <c r="IK11" s="103"/>
      <c r="IL11" s="103"/>
      <c r="IM11" s="103"/>
      <c r="IN11" s="103"/>
      <c r="IO11" s="103"/>
      <c r="IP11" s="103"/>
      <c r="IQ11" s="103"/>
      <c r="IR11" s="103"/>
      <c r="IS11" s="103"/>
      <c r="IT11" s="103"/>
      <c r="IU11" s="103"/>
      <c r="IV11" s="103"/>
      <c r="IW11" s="103"/>
      <c r="IX11" s="103"/>
      <c r="IY11" s="103"/>
      <c r="IZ11" s="103"/>
      <c r="JA11" s="103"/>
      <c r="JB11" s="103"/>
      <c r="JC11" s="103"/>
      <c r="JD11" s="103"/>
      <c r="JE11" s="103"/>
      <c r="JF11" s="103"/>
      <c r="JG11" s="103"/>
      <c r="JH11" s="103"/>
      <c r="JI11" s="103"/>
      <c r="JJ11" s="103"/>
      <c r="JK11" s="103"/>
      <c r="JL11" s="103"/>
      <c r="JM11" s="103"/>
      <c r="JN11" s="103"/>
      <c r="JO11" s="103"/>
      <c r="JP11" s="103"/>
      <c r="JQ11" s="103"/>
      <c r="JR11" s="103"/>
      <c r="JS11" s="103"/>
      <c r="JT11" s="103"/>
      <c r="JU11" s="103"/>
      <c r="JV11" s="103"/>
      <c r="JW11" s="103"/>
      <c r="JX11" s="103"/>
      <c r="JY11" s="103"/>
      <c r="JZ11" s="103"/>
      <c r="KA11" s="103"/>
      <c r="KB11" s="103"/>
      <c r="KC11" s="103"/>
      <c r="KD11" s="103"/>
      <c r="KE11" s="103"/>
      <c r="KF11" s="103"/>
      <c r="KG11" s="103"/>
      <c r="KH11" s="103"/>
      <c r="KI11" s="103"/>
      <c r="KJ11" s="103"/>
      <c r="KK11" s="103"/>
      <c r="KL11" s="103"/>
      <c r="KM11" s="103"/>
      <c r="KN11" s="103"/>
      <c r="KO11" s="103"/>
      <c r="KP11" s="103"/>
      <c r="KQ11" s="103"/>
      <c r="KR11" s="103"/>
      <c r="KS11" s="103"/>
      <c r="KT11" s="103"/>
      <c r="KU11" s="103"/>
      <c r="KV11" s="103"/>
      <c r="KW11" s="103"/>
      <c r="KX11" s="103"/>
      <c r="KY11" s="103"/>
      <c r="KZ11" s="103"/>
      <c r="LA11" s="103"/>
      <c r="LB11" s="103"/>
      <c r="LC11" s="103"/>
      <c r="LD11" s="103"/>
      <c r="LE11" s="103"/>
      <c r="LF11" s="103"/>
      <c r="LG11" s="103"/>
      <c r="LH11" s="103"/>
      <c r="LI11" s="103"/>
      <c r="LJ11" s="103"/>
    </row>
    <row r="12" spans="1:322" s="208" customFormat="1">
      <c r="A12" s="103"/>
      <c r="B12" s="181">
        <v>1937</v>
      </c>
      <c r="C12" s="569"/>
      <c r="D12" s="569"/>
      <c r="E12" s="104"/>
      <c r="F12" s="103"/>
      <c r="G12" s="103"/>
      <c r="H12" s="103"/>
      <c r="I12" s="103"/>
      <c r="J12" s="103"/>
      <c r="K12" s="103"/>
      <c r="L12" s="103"/>
      <c r="M12" s="103"/>
      <c r="N12" s="103"/>
      <c r="O12" s="103"/>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c r="CI12" s="103"/>
      <c r="CJ12" s="103"/>
      <c r="CK12" s="103"/>
      <c r="CL12" s="103"/>
      <c r="CM12" s="103"/>
      <c r="CN12" s="103"/>
      <c r="CO12" s="103"/>
      <c r="CP12" s="103"/>
      <c r="CQ12" s="103"/>
      <c r="CR12" s="103"/>
      <c r="CS12" s="103"/>
      <c r="CT12" s="103"/>
      <c r="CU12" s="103"/>
      <c r="CV12" s="103"/>
      <c r="CW12" s="103"/>
      <c r="CX12" s="103"/>
      <c r="CY12" s="103"/>
      <c r="CZ12" s="103"/>
      <c r="DA12" s="103"/>
      <c r="DB12" s="103"/>
      <c r="DC12" s="103"/>
      <c r="DD12" s="103"/>
      <c r="DE12" s="103"/>
      <c r="DF12" s="103"/>
      <c r="DG12" s="103"/>
      <c r="DH12" s="103"/>
      <c r="DI12" s="103"/>
      <c r="DJ12" s="103"/>
      <c r="DK12" s="103"/>
      <c r="DL12" s="103"/>
      <c r="DM12" s="103"/>
      <c r="DN12" s="103"/>
      <c r="DO12" s="103"/>
      <c r="DP12" s="103"/>
      <c r="DQ12" s="103"/>
      <c r="DR12" s="103"/>
      <c r="DS12" s="103"/>
      <c r="DT12" s="103"/>
      <c r="DU12" s="103"/>
      <c r="DV12" s="103"/>
      <c r="DW12" s="103"/>
      <c r="DX12" s="103"/>
      <c r="DY12" s="103"/>
      <c r="DZ12" s="103"/>
      <c r="EA12" s="103"/>
      <c r="EB12" s="103"/>
      <c r="EC12" s="103"/>
      <c r="ED12" s="103"/>
      <c r="EE12" s="103"/>
      <c r="EF12" s="103"/>
      <c r="EG12" s="103"/>
      <c r="EH12" s="103"/>
      <c r="EI12" s="103"/>
      <c r="EJ12" s="103"/>
      <c r="EK12" s="103"/>
      <c r="EL12" s="103"/>
      <c r="EM12" s="103"/>
      <c r="EN12" s="103"/>
      <c r="EO12" s="103"/>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3"/>
      <c r="FO12" s="103"/>
      <c r="FP12" s="103"/>
      <c r="FQ12" s="103"/>
      <c r="FR12" s="103"/>
      <c r="FS12" s="103"/>
      <c r="FT12" s="103"/>
      <c r="FU12" s="103"/>
      <c r="FV12" s="103"/>
      <c r="FW12" s="103"/>
      <c r="FX12" s="103"/>
      <c r="FY12" s="103"/>
      <c r="FZ12" s="103"/>
      <c r="GA12" s="103"/>
      <c r="GB12" s="103"/>
      <c r="GC12" s="103"/>
      <c r="GD12" s="103"/>
      <c r="GE12" s="103"/>
      <c r="GF12" s="103"/>
      <c r="GG12" s="103"/>
      <c r="GH12" s="103"/>
      <c r="GI12" s="103"/>
      <c r="GJ12" s="103"/>
      <c r="GK12" s="103"/>
      <c r="GL12" s="103"/>
      <c r="GM12" s="103"/>
      <c r="GN12" s="103"/>
      <c r="GO12" s="103"/>
      <c r="GP12" s="103"/>
      <c r="GQ12" s="103"/>
      <c r="GR12" s="103"/>
      <c r="GS12" s="103"/>
      <c r="GT12" s="103"/>
      <c r="GU12" s="103"/>
      <c r="GV12" s="103"/>
      <c r="GW12" s="103"/>
      <c r="GX12" s="103"/>
      <c r="GY12" s="103"/>
      <c r="GZ12" s="103"/>
      <c r="HA12" s="103"/>
      <c r="HB12" s="103"/>
      <c r="HC12" s="103"/>
      <c r="HD12" s="103"/>
      <c r="HE12" s="103"/>
      <c r="HF12" s="103"/>
      <c r="HG12" s="103"/>
      <c r="HH12" s="103"/>
      <c r="HI12" s="103"/>
      <c r="HJ12" s="103"/>
      <c r="HK12" s="103"/>
      <c r="HL12" s="103"/>
      <c r="HM12" s="103"/>
      <c r="HN12" s="103"/>
      <c r="HO12" s="103"/>
      <c r="HP12" s="103"/>
      <c r="HQ12" s="103"/>
      <c r="HR12" s="103"/>
      <c r="HS12" s="103"/>
      <c r="HT12" s="103"/>
      <c r="HU12" s="103"/>
      <c r="HV12" s="103"/>
      <c r="HW12" s="103"/>
      <c r="HX12" s="103"/>
      <c r="HY12" s="103"/>
      <c r="HZ12" s="103"/>
      <c r="IA12" s="103"/>
      <c r="IB12" s="103"/>
      <c r="IC12" s="103"/>
      <c r="ID12" s="103"/>
      <c r="IE12" s="103"/>
      <c r="IF12" s="103"/>
      <c r="IG12" s="103"/>
      <c r="IH12" s="103"/>
      <c r="II12" s="103"/>
      <c r="IJ12" s="103"/>
      <c r="IK12" s="103"/>
      <c r="IL12" s="103"/>
      <c r="IM12" s="103"/>
      <c r="IN12" s="103"/>
      <c r="IO12" s="103"/>
      <c r="IP12" s="103"/>
      <c r="IQ12" s="103"/>
      <c r="IR12" s="103"/>
      <c r="IS12" s="103"/>
      <c r="IT12" s="103"/>
      <c r="IU12" s="103"/>
      <c r="IV12" s="103"/>
      <c r="IW12" s="103"/>
      <c r="IX12" s="103"/>
      <c r="IY12" s="103"/>
      <c r="IZ12" s="103"/>
      <c r="JA12" s="103"/>
      <c r="JB12" s="103"/>
      <c r="JC12" s="103"/>
      <c r="JD12" s="103"/>
      <c r="JE12" s="103"/>
      <c r="JF12" s="103"/>
      <c r="JG12" s="103"/>
      <c r="JH12" s="103"/>
      <c r="JI12" s="103"/>
      <c r="JJ12" s="103"/>
      <c r="JK12" s="103"/>
      <c r="JL12" s="103"/>
      <c r="JM12" s="103"/>
      <c r="JN12" s="103"/>
      <c r="JO12" s="103"/>
      <c r="JP12" s="103"/>
      <c r="JQ12" s="103"/>
      <c r="JR12" s="103"/>
      <c r="JS12" s="103"/>
      <c r="JT12" s="103"/>
      <c r="JU12" s="103"/>
      <c r="JV12" s="103"/>
      <c r="JW12" s="103"/>
      <c r="JX12" s="103"/>
      <c r="JY12" s="103"/>
      <c r="JZ12" s="103"/>
      <c r="KA12" s="103"/>
      <c r="KB12" s="103"/>
      <c r="KC12" s="103"/>
      <c r="KD12" s="103"/>
      <c r="KE12" s="103"/>
      <c r="KF12" s="103"/>
      <c r="KG12" s="103"/>
      <c r="KH12" s="103"/>
      <c r="KI12" s="103"/>
      <c r="KJ12" s="103"/>
      <c r="KK12" s="103"/>
      <c r="KL12" s="103"/>
      <c r="KM12" s="103"/>
      <c r="KN12" s="103"/>
      <c r="KO12" s="103"/>
      <c r="KP12" s="103"/>
      <c r="KQ12" s="103"/>
      <c r="KR12" s="103"/>
      <c r="KS12" s="103"/>
      <c r="KT12" s="103"/>
      <c r="KU12" s="103"/>
      <c r="KV12" s="103"/>
      <c r="KW12" s="103"/>
      <c r="KX12" s="103"/>
      <c r="KY12" s="103"/>
      <c r="KZ12" s="103"/>
      <c r="LA12" s="103"/>
      <c r="LB12" s="103"/>
      <c r="LC12" s="103"/>
      <c r="LD12" s="103"/>
      <c r="LE12" s="103"/>
      <c r="LF12" s="103"/>
      <c r="LG12" s="103"/>
      <c r="LH12" s="103"/>
      <c r="LI12" s="103"/>
      <c r="LJ12" s="103"/>
    </row>
    <row r="13" spans="1:322" s="208" customFormat="1">
      <c r="A13" s="103"/>
      <c r="B13" s="181">
        <v>1938</v>
      </c>
      <c r="C13" s="569">
        <v>0.94499999999999995</v>
      </c>
      <c r="D13" s="569">
        <v>1.105</v>
      </c>
      <c r="E13" s="104"/>
      <c r="F13" s="103"/>
      <c r="G13" s="103"/>
      <c r="H13" s="103"/>
      <c r="I13" s="103"/>
      <c r="J13" s="103"/>
      <c r="K13" s="103"/>
      <c r="L13" s="103"/>
      <c r="M13" s="103"/>
      <c r="N13" s="103"/>
      <c r="O13" s="103"/>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c r="CE13" s="103"/>
      <c r="CF13" s="103"/>
      <c r="CG13" s="103"/>
      <c r="CH13" s="103"/>
      <c r="CI13" s="103"/>
      <c r="CJ13" s="103"/>
      <c r="CK13" s="103"/>
      <c r="CL13" s="103"/>
      <c r="CM13" s="103"/>
      <c r="CN13" s="103"/>
      <c r="CO13" s="103"/>
      <c r="CP13" s="103"/>
      <c r="CQ13" s="103"/>
      <c r="CR13" s="103"/>
      <c r="CS13" s="103"/>
      <c r="CT13" s="103"/>
      <c r="CU13" s="103"/>
      <c r="CV13" s="103"/>
      <c r="CW13" s="103"/>
      <c r="CX13" s="103"/>
      <c r="CY13" s="103"/>
      <c r="CZ13" s="103"/>
      <c r="DA13" s="103"/>
      <c r="DB13" s="103"/>
      <c r="DC13" s="103"/>
      <c r="DD13" s="103"/>
      <c r="DE13" s="103"/>
      <c r="DF13" s="103"/>
      <c r="DG13" s="103"/>
      <c r="DH13" s="103"/>
      <c r="DI13" s="103"/>
      <c r="DJ13" s="103"/>
      <c r="DK13" s="103"/>
      <c r="DL13" s="103"/>
      <c r="DM13" s="103"/>
      <c r="DN13" s="103"/>
      <c r="DO13" s="103"/>
      <c r="DP13" s="103"/>
      <c r="DQ13" s="103"/>
      <c r="DR13" s="103"/>
      <c r="DS13" s="103"/>
      <c r="DT13" s="103"/>
      <c r="DU13" s="103"/>
      <c r="DV13" s="103"/>
      <c r="DW13" s="103"/>
      <c r="DX13" s="103"/>
      <c r="DY13" s="103"/>
      <c r="DZ13" s="103"/>
      <c r="EA13" s="103"/>
      <c r="EB13" s="103"/>
      <c r="EC13" s="103"/>
      <c r="ED13" s="103"/>
      <c r="EE13" s="103"/>
      <c r="EF13" s="103"/>
      <c r="EG13" s="103"/>
      <c r="EH13" s="103"/>
      <c r="EI13" s="103"/>
      <c r="EJ13" s="103"/>
      <c r="EK13" s="103"/>
      <c r="EL13" s="103"/>
      <c r="EM13" s="103"/>
      <c r="EN13" s="103"/>
      <c r="EO13" s="103"/>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3"/>
      <c r="FO13" s="103"/>
      <c r="FP13" s="103"/>
      <c r="FQ13" s="103"/>
      <c r="FR13" s="103"/>
      <c r="FS13" s="103"/>
      <c r="FT13" s="103"/>
      <c r="FU13" s="103"/>
      <c r="FV13" s="103"/>
      <c r="FW13" s="103"/>
      <c r="FX13" s="103"/>
      <c r="FY13" s="103"/>
      <c r="FZ13" s="103"/>
      <c r="GA13" s="103"/>
      <c r="GB13" s="103"/>
      <c r="GC13" s="103"/>
      <c r="GD13" s="103"/>
      <c r="GE13" s="103"/>
      <c r="GF13" s="103"/>
      <c r="GG13" s="103"/>
      <c r="GH13" s="103"/>
      <c r="GI13" s="103"/>
      <c r="GJ13" s="103"/>
      <c r="GK13" s="103"/>
      <c r="GL13" s="103"/>
      <c r="GM13" s="103"/>
      <c r="GN13" s="103"/>
      <c r="GO13" s="103"/>
      <c r="GP13" s="103"/>
      <c r="GQ13" s="103"/>
      <c r="GR13" s="103"/>
      <c r="GS13" s="103"/>
      <c r="GT13" s="103"/>
      <c r="GU13" s="103"/>
      <c r="GV13" s="103"/>
      <c r="GW13" s="103"/>
      <c r="GX13" s="103"/>
      <c r="GY13" s="103"/>
      <c r="GZ13" s="103"/>
      <c r="HA13" s="103"/>
      <c r="HB13" s="103"/>
      <c r="HC13" s="103"/>
      <c r="HD13" s="103"/>
      <c r="HE13" s="103"/>
      <c r="HF13" s="103"/>
      <c r="HG13" s="103"/>
      <c r="HH13" s="103"/>
      <c r="HI13" s="103"/>
      <c r="HJ13" s="103"/>
      <c r="HK13" s="103"/>
      <c r="HL13" s="103"/>
      <c r="HM13" s="103"/>
      <c r="HN13" s="103"/>
      <c r="HO13" s="103"/>
      <c r="HP13" s="103"/>
      <c r="HQ13" s="103"/>
      <c r="HR13" s="103"/>
      <c r="HS13" s="103"/>
      <c r="HT13" s="103"/>
      <c r="HU13" s="103"/>
      <c r="HV13" s="103"/>
      <c r="HW13" s="103"/>
      <c r="HX13" s="103"/>
      <c r="HY13" s="103"/>
      <c r="HZ13" s="103"/>
      <c r="IA13" s="103"/>
      <c r="IB13" s="103"/>
      <c r="IC13" s="103"/>
      <c r="ID13" s="103"/>
      <c r="IE13" s="103"/>
      <c r="IF13" s="103"/>
      <c r="IG13" s="103"/>
      <c r="IH13" s="103"/>
      <c r="II13" s="103"/>
      <c r="IJ13" s="103"/>
      <c r="IK13" s="103"/>
      <c r="IL13" s="103"/>
      <c r="IM13" s="103"/>
      <c r="IN13" s="103"/>
      <c r="IO13" s="103"/>
      <c r="IP13" s="103"/>
      <c r="IQ13" s="103"/>
      <c r="IR13" s="103"/>
      <c r="IS13" s="103"/>
      <c r="IT13" s="103"/>
      <c r="IU13" s="103"/>
      <c r="IV13" s="103"/>
      <c r="IW13" s="103"/>
      <c r="IX13" s="103"/>
      <c r="IY13" s="103"/>
      <c r="IZ13" s="103"/>
      <c r="JA13" s="103"/>
      <c r="JB13" s="103"/>
      <c r="JC13" s="103"/>
      <c r="JD13" s="103"/>
      <c r="JE13" s="103"/>
      <c r="JF13" s="103"/>
      <c r="JG13" s="103"/>
      <c r="JH13" s="103"/>
      <c r="JI13" s="103"/>
      <c r="JJ13" s="103"/>
      <c r="JK13" s="103"/>
      <c r="JL13" s="103"/>
      <c r="JM13" s="103"/>
      <c r="JN13" s="103"/>
      <c r="JO13" s="103"/>
      <c r="JP13" s="103"/>
      <c r="JQ13" s="103"/>
      <c r="JR13" s="103"/>
      <c r="JS13" s="103"/>
      <c r="JT13" s="103"/>
      <c r="JU13" s="103"/>
      <c r="JV13" s="103"/>
      <c r="JW13" s="103"/>
      <c r="JX13" s="103"/>
      <c r="JY13" s="103"/>
      <c r="JZ13" s="103"/>
      <c r="KA13" s="103"/>
      <c r="KB13" s="103"/>
      <c r="KC13" s="103"/>
      <c r="KD13" s="103"/>
      <c r="KE13" s="103"/>
      <c r="KF13" s="103"/>
      <c r="KG13" s="103"/>
      <c r="KH13" s="103"/>
      <c r="KI13" s="103"/>
      <c r="KJ13" s="103"/>
      <c r="KK13" s="103"/>
      <c r="KL13" s="103"/>
      <c r="KM13" s="103"/>
      <c r="KN13" s="103"/>
      <c r="KO13" s="103"/>
      <c r="KP13" s="103"/>
      <c r="KQ13" s="103"/>
      <c r="KR13" s="103"/>
      <c r="KS13" s="103"/>
      <c r="KT13" s="103"/>
      <c r="KU13" s="103"/>
      <c r="KV13" s="103"/>
      <c r="KW13" s="103"/>
      <c r="KX13" s="103"/>
      <c r="KY13" s="103"/>
      <c r="KZ13" s="103"/>
      <c r="LA13" s="103"/>
      <c r="LB13" s="103"/>
      <c r="LC13" s="103"/>
      <c r="LD13" s="103"/>
      <c r="LE13" s="103"/>
      <c r="LF13" s="103"/>
      <c r="LG13" s="103"/>
      <c r="LH13" s="103"/>
      <c r="LI13" s="103"/>
      <c r="LJ13" s="103"/>
    </row>
    <row r="14" spans="1:322" s="208" customFormat="1">
      <c r="A14" s="103"/>
      <c r="B14" s="181">
        <v>1939</v>
      </c>
      <c r="C14" s="569"/>
      <c r="D14" s="569"/>
      <c r="E14" s="104"/>
      <c r="F14" s="103"/>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c r="CD14" s="103"/>
      <c r="CE14" s="103"/>
      <c r="CF14" s="103"/>
      <c r="CG14" s="103"/>
      <c r="CH14" s="103"/>
      <c r="CI14" s="103"/>
      <c r="CJ14" s="103"/>
      <c r="CK14" s="103"/>
      <c r="CL14" s="103"/>
      <c r="CM14" s="103"/>
      <c r="CN14" s="103"/>
      <c r="CO14" s="103"/>
      <c r="CP14" s="103"/>
      <c r="CQ14" s="103"/>
      <c r="CR14" s="103"/>
      <c r="CS14" s="103"/>
      <c r="CT14" s="103"/>
      <c r="CU14" s="103"/>
      <c r="CV14" s="103"/>
      <c r="CW14" s="103"/>
      <c r="CX14" s="103"/>
      <c r="CY14" s="103"/>
      <c r="CZ14" s="103"/>
      <c r="DA14" s="103"/>
      <c r="DB14" s="103"/>
      <c r="DC14" s="103"/>
      <c r="DD14" s="103"/>
      <c r="DE14" s="103"/>
      <c r="DF14" s="103"/>
      <c r="DG14" s="103"/>
      <c r="DH14" s="103"/>
      <c r="DI14" s="103"/>
      <c r="DJ14" s="103"/>
      <c r="DK14" s="103"/>
      <c r="DL14" s="103"/>
      <c r="DM14" s="103"/>
      <c r="DN14" s="103"/>
      <c r="DO14" s="103"/>
      <c r="DP14" s="103"/>
      <c r="DQ14" s="103"/>
      <c r="DR14" s="103"/>
      <c r="DS14" s="103"/>
      <c r="DT14" s="103"/>
      <c r="DU14" s="103"/>
      <c r="DV14" s="103"/>
      <c r="DW14" s="103"/>
      <c r="DX14" s="103"/>
      <c r="DY14" s="103"/>
      <c r="DZ14" s="103"/>
      <c r="EA14" s="103"/>
      <c r="EB14" s="103"/>
      <c r="EC14" s="103"/>
      <c r="ED14" s="103"/>
      <c r="EE14" s="103"/>
      <c r="EF14" s="103"/>
      <c r="EG14" s="103"/>
      <c r="EH14" s="103"/>
      <c r="EI14" s="103"/>
      <c r="EJ14" s="103"/>
      <c r="EK14" s="103"/>
      <c r="EL14" s="103"/>
      <c r="EM14" s="103"/>
      <c r="EN14" s="103"/>
      <c r="EO14" s="103"/>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3"/>
      <c r="FO14" s="103"/>
      <c r="FP14" s="103"/>
      <c r="FQ14" s="103"/>
      <c r="FR14" s="103"/>
      <c r="FS14" s="103"/>
      <c r="FT14" s="103"/>
      <c r="FU14" s="103"/>
      <c r="FV14" s="103"/>
      <c r="FW14" s="103"/>
      <c r="FX14" s="103"/>
      <c r="FY14" s="103"/>
      <c r="FZ14" s="103"/>
      <c r="GA14" s="103"/>
      <c r="GB14" s="103"/>
      <c r="GC14" s="103"/>
      <c r="GD14" s="103"/>
      <c r="GE14" s="103"/>
      <c r="GF14" s="103"/>
      <c r="GG14" s="103"/>
      <c r="GH14" s="103"/>
      <c r="GI14" s="103"/>
      <c r="GJ14" s="103"/>
      <c r="GK14" s="103"/>
      <c r="GL14" s="103"/>
      <c r="GM14" s="103"/>
      <c r="GN14" s="103"/>
      <c r="GO14" s="103"/>
      <c r="GP14" s="103"/>
      <c r="GQ14" s="103"/>
      <c r="GR14" s="103"/>
      <c r="GS14" s="103"/>
      <c r="GT14" s="103"/>
      <c r="GU14" s="103"/>
      <c r="GV14" s="103"/>
      <c r="GW14" s="103"/>
      <c r="GX14" s="103"/>
      <c r="GY14" s="103"/>
      <c r="GZ14" s="103"/>
      <c r="HA14" s="103"/>
      <c r="HB14" s="103"/>
      <c r="HC14" s="103"/>
      <c r="HD14" s="103"/>
      <c r="HE14" s="103"/>
      <c r="HF14" s="103"/>
      <c r="HG14" s="103"/>
      <c r="HH14" s="103"/>
      <c r="HI14" s="103"/>
      <c r="HJ14" s="103"/>
      <c r="HK14" s="103"/>
      <c r="HL14" s="103"/>
      <c r="HM14" s="103"/>
      <c r="HN14" s="103"/>
      <c r="HO14" s="103"/>
      <c r="HP14" s="103"/>
      <c r="HQ14" s="103"/>
      <c r="HR14" s="103"/>
      <c r="HS14" s="103"/>
      <c r="HT14" s="103"/>
      <c r="HU14" s="103"/>
      <c r="HV14" s="103"/>
      <c r="HW14" s="103"/>
      <c r="HX14" s="103"/>
      <c r="HY14" s="103"/>
      <c r="HZ14" s="103"/>
      <c r="IA14" s="103"/>
      <c r="IB14" s="103"/>
      <c r="IC14" s="103"/>
      <c r="ID14" s="103"/>
      <c r="IE14" s="103"/>
      <c r="IF14" s="103"/>
      <c r="IG14" s="103"/>
      <c r="IH14" s="103"/>
      <c r="II14" s="103"/>
      <c r="IJ14" s="103"/>
      <c r="IK14" s="103"/>
      <c r="IL14" s="103"/>
      <c r="IM14" s="103"/>
      <c r="IN14" s="103"/>
      <c r="IO14" s="103"/>
      <c r="IP14" s="103"/>
      <c r="IQ14" s="103"/>
      <c r="IR14" s="103"/>
      <c r="IS14" s="103"/>
      <c r="IT14" s="103"/>
      <c r="IU14" s="103"/>
      <c r="IV14" s="103"/>
      <c r="IW14" s="103"/>
      <c r="IX14" s="103"/>
      <c r="IY14" s="103"/>
      <c r="IZ14" s="103"/>
      <c r="JA14" s="103"/>
      <c r="JB14" s="103"/>
      <c r="JC14" s="103"/>
      <c r="JD14" s="103"/>
      <c r="JE14" s="103"/>
      <c r="JF14" s="103"/>
      <c r="JG14" s="103"/>
      <c r="JH14" s="103"/>
      <c r="JI14" s="103"/>
      <c r="JJ14" s="103"/>
      <c r="JK14" s="103"/>
      <c r="JL14" s="103"/>
      <c r="JM14" s="103"/>
      <c r="JN14" s="103"/>
      <c r="JO14" s="103"/>
      <c r="JP14" s="103"/>
      <c r="JQ14" s="103"/>
      <c r="JR14" s="103"/>
      <c r="JS14" s="103"/>
      <c r="JT14" s="103"/>
      <c r="JU14" s="103"/>
      <c r="JV14" s="103"/>
      <c r="JW14" s="103"/>
      <c r="JX14" s="103"/>
      <c r="JY14" s="103"/>
      <c r="JZ14" s="103"/>
      <c r="KA14" s="103"/>
      <c r="KB14" s="103"/>
      <c r="KC14" s="103"/>
      <c r="KD14" s="103"/>
      <c r="KE14" s="103"/>
      <c r="KF14" s="103"/>
      <c r="KG14" s="103"/>
      <c r="KH14" s="103"/>
      <c r="KI14" s="103"/>
      <c r="KJ14" s="103"/>
      <c r="KK14" s="103"/>
      <c r="KL14" s="103"/>
      <c r="KM14" s="103"/>
      <c r="KN14" s="103"/>
      <c r="KO14" s="103"/>
      <c r="KP14" s="103"/>
      <c r="KQ14" s="103"/>
      <c r="KR14" s="103"/>
      <c r="KS14" s="103"/>
      <c r="KT14" s="103"/>
      <c r="KU14" s="103"/>
      <c r="KV14" s="103"/>
      <c r="KW14" s="103"/>
      <c r="KX14" s="103"/>
      <c r="KY14" s="103"/>
      <c r="KZ14" s="103"/>
      <c r="LA14" s="103"/>
      <c r="LB14" s="103"/>
      <c r="LC14" s="103"/>
      <c r="LD14" s="103"/>
      <c r="LE14" s="103"/>
      <c r="LF14" s="103"/>
      <c r="LG14" s="103"/>
      <c r="LH14" s="103"/>
      <c r="LI14" s="103"/>
      <c r="LJ14" s="103"/>
    </row>
    <row r="15" spans="1:322" s="208" customFormat="1">
      <c r="A15" s="103"/>
      <c r="B15" s="181">
        <v>1940</v>
      </c>
      <c r="C15" s="569">
        <v>0.95499999999999996</v>
      </c>
      <c r="D15" s="569">
        <v>1.1140000000000001</v>
      </c>
      <c r="E15" s="104"/>
      <c r="F15" s="103"/>
      <c r="G15" s="103"/>
      <c r="H15" s="103"/>
      <c r="I15" s="103"/>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103"/>
      <c r="AQ15" s="103"/>
      <c r="AR15" s="103"/>
      <c r="AS15" s="103"/>
      <c r="AT15" s="103"/>
      <c r="AU15" s="103"/>
      <c r="AV15" s="103"/>
      <c r="AW15" s="103"/>
      <c r="AX15" s="103"/>
      <c r="AY15" s="103"/>
      <c r="AZ15" s="103"/>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c r="CD15" s="103"/>
      <c r="CE15" s="103"/>
      <c r="CF15" s="103"/>
      <c r="CG15" s="103"/>
      <c r="CH15" s="103"/>
      <c r="CI15" s="103"/>
      <c r="CJ15" s="103"/>
      <c r="CK15" s="103"/>
      <c r="CL15" s="103"/>
      <c r="CM15" s="103"/>
      <c r="CN15" s="103"/>
      <c r="CO15" s="103"/>
      <c r="CP15" s="103"/>
      <c r="CQ15" s="103"/>
      <c r="CR15" s="103"/>
      <c r="CS15" s="103"/>
      <c r="CT15" s="103"/>
      <c r="CU15" s="103"/>
      <c r="CV15" s="103"/>
      <c r="CW15" s="103"/>
      <c r="CX15" s="103"/>
      <c r="CY15" s="103"/>
      <c r="CZ15" s="103"/>
      <c r="DA15" s="103"/>
      <c r="DB15" s="103"/>
      <c r="DC15" s="103"/>
      <c r="DD15" s="103"/>
      <c r="DE15" s="103"/>
      <c r="DF15" s="103"/>
      <c r="DG15" s="103"/>
      <c r="DH15" s="103"/>
      <c r="DI15" s="103"/>
      <c r="DJ15" s="103"/>
      <c r="DK15" s="103"/>
      <c r="DL15" s="103"/>
      <c r="DM15" s="103"/>
      <c r="DN15" s="103"/>
      <c r="DO15" s="103"/>
      <c r="DP15" s="103"/>
      <c r="DQ15" s="103"/>
      <c r="DR15" s="103"/>
      <c r="DS15" s="103"/>
      <c r="DT15" s="103"/>
      <c r="DU15" s="103"/>
      <c r="DV15" s="103"/>
      <c r="DW15" s="103"/>
      <c r="DX15" s="103"/>
      <c r="DY15" s="103"/>
      <c r="DZ15" s="103"/>
      <c r="EA15" s="103"/>
      <c r="EB15" s="103"/>
      <c r="EC15" s="103"/>
      <c r="ED15" s="103"/>
      <c r="EE15" s="103"/>
      <c r="EF15" s="103"/>
      <c r="EG15" s="103"/>
      <c r="EH15" s="103"/>
      <c r="EI15" s="103"/>
      <c r="EJ15" s="103"/>
      <c r="EK15" s="103"/>
      <c r="EL15" s="103"/>
      <c r="EM15" s="103"/>
      <c r="EN15" s="103"/>
      <c r="EO15" s="103"/>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3"/>
      <c r="FO15" s="103"/>
      <c r="FP15" s="103"/>
      <c r="FQ15" s="103"/>
      <c r="FR15" s="103"/>
      <c r="FS15" s="103"/>
      <c r="FT15" s="103"/>
      <c r="FU15" s="103"/>
      <c r="FV15" s="103"/>
      <c r="FW15" s="103"/>
      <c r="FX15" s="103"/>
      <c r="FY15" s="103"/>
      <c r="FZ15" s="103"/>
      <c r="GA15" s="103"/>
      <c r="GB15" s="103"/>
      <c r="GC15" s="103"/>
      <c r="GD15" s="103"/>
      <c r="GE15" s="103"/>
      <c r="GF15" s="103"/>
      <c r="GG15" s="103"/>
      <c r="GH15" s="103"/>
      <c r="GI15" s="103"/>
      <c r="GJ15" s="103"/>
      <c r="GK15" s="103"/>
      <c r="GL15" s="103"/>
      <c r="GM15" s="103"/>
      <c r="GN15" s="103"/>
      <c r="GO15" s="103"/>
      <c r="GP15" s="103"/>
      <c r="GQ15" s="103"/>
      <c r="GR15" s="103"/>
      <c r="GS15" s="103"/>
      <c r="GT15" s="103"/>
      <c r="GU15" s="103"/>
      <c r="GV15" s="103"/>
      <c r="GW15" s="103"/>
      <c r="GX15" s="103"/>
      <c r="GY15" s="103"/>
      <c r="GZ15" s="103"/>
      <c r="HA15" s="103"/>
      <c r="HB15" s="103"/>
      <c r="HC15" s="103"/>
      <c r="HD15" s="103"/>
      <c r="HE15" s="103"/>
      <c r="HF15" s="103"/>
      <c r="HG15" s="103"/>
      <c r="HH15" s="103"/>
      <c r="HI15" s="103"/>
      <c r="HJ15" s="103"/>
      <c r="HK15" s="103"/>
      <c r="HL15" s="103"/>
      <c r="HM15" s="103"/>
      <c r="HN15" s="103"/>
      <c r="HO15" s="103"/>
      <c r="HP15" s="103"/>
      <c r="HQ15" s="103"/>
      <c r="HR15" s="103"/>
      <c r="HS15" s="103"/>
      <c r="HT15" s="103"/>
      <c r="HU15" s="103"/>
      <c r="HV15" s="103"/>
      <c r="HW15" s="103"/>
      <c r="HX15" s="103"/>
      <c r="HY15" s="103"/>
      <c r="HZ15" s="103"/>
      <c r="IA15" s="103"/>
      <c r="IB15" s="103"/>
      <c r="IC15" s="103"/>
      <c r="ID15" s="103"/>
      <c r="IE15" s="103"/>
      <c r="IF15" s="103"/>
      <c r="IG15" s="103"/>
      <c r="IH15" s="103"/>
      <c r="II15" s="103"/>
      <c r="IJ15" s="103"/>
      <c r="IK15" s="103"/>
      <c r="IL15" s="103"/>
      <c r="IM15" s="103"/>
      <c r="IN15" s="103"/>
      <c r="IO15" s="103"/>
      <c r="IP15" s="103"/>
      <c r="IQ15" s="103"/>
      <c r="IR15" s="103"/>
      <c r="IS15" s="103"/>
      <c r="IT15" s="103"/>
      <c r="IU15" s="103"/>
      <c r="IV15" s="103"/>
      <c r="IW15" s="103"/>
      <c r="IX15" s="103"/>
      <c r="IY15" s="103"/>
      <c r="IZ15" s="103"/>
      <c r="JA15" s="103"/>
      <c r="JB15" s="103"/>
      <c r="JC15" s="103"/>
      <c r="JD15" s="103"/>
      <c r="JE15" s="103"/>
      <c r="JF15" s="103"/>
      <c r="JG15" s="103"/>
      <c r="JH15" s="103"/>
      <c r="JI15" s="103"/>
      <c r="JJ15" s="103"/>
      <c r="JK15" s="103"/>
      <c r="JL15" s="103"/>
      <c r="JM15" s="103"/>
      <c r="JN15" s="103"/>
      <c r="JO15" s="103"/>
      <c r="JP15" s="103"/>
      <c r="JQ15" s="103"/>
      <c r="JR15" s="103"/>
      <c r="JS15" s="103"/>
      <c r="JT15" s="103"/>
      <c r="JU15" s="103"/>
      <c r="JV15" s="103"/>
      <c r="JW15" s="103"/>
      <c r="JX15" s="103"/>
      <c r="JY15" s="103"/>
      <c r="JZ15" s="103"/>
      <c r="KA15" s="103"/>
      <c r="KB15" s="103"/>
      <c r="KC15" s="103"/>
      <c r="KD15" s="103"/>
      <c r="KE15" s="103"/>
      <c r="KF15" s="103"/>
      <c r="KG15" s="103"/>
      <c r="KH15" s="103"/>
      <c r="KI15" s="103"/>
      <c r="KJ15" s="103"/>
      <c r="KK15" s="103"/>
      <c r="KL15" s="103"/>
      <c r="KM15" s="103"/>
      <c r="KN15" s="103"/>
      <c r="KO15" s="103"/>
      <c r="KP15" s="103"/>
      <c r="KQ15" s="103"/>
      <c r="KR15" s="103"/>
      <c r="KS15" s="103"/>
      <c r="KT15" s="103"/>
      <c r="KU15" s="103"/>
      <c r="KV15" s="103"/>
      <c r="KW15" s="103"/>
      <c r="KX15" s="103"/>
      <c r="KY15" s="103"/>
      <c r="KZ15" s="103"/>
      <c r="LA15" s="103"/>
      <c r="LB15" s="103"/>
      <c r="LC15" s="103"/>
      <c r="LD15" s="103"/>
      <c r="LE15" s="103"/>
      <c r="LF15" s="103"/>
      <c r="LG15" s="103"/>
      <c r="LH15" s="103"/>
      <c r="LI15" s="103"/>
      <c r="LJ15" s="103"/>
    </row>
    <row r="16" spans="1:322" s="208" customFormat="1">
      <c r="A16" s="103"/>
      <c r="B16" s="181">
        <v>1941</v>
      </c>
      <c r="C16" s="569"/>
      <c r="D16" s="569"/>
      <c r="E16" s="104"/>
      <c r="F16" s="103"/>
      <c r="G16" s="103"/>
      <c r="H16" s="103"/>
      <c r="I16" s="103"/>
      <c r="J16" s="103"/>
      <c r="K16" s="103"/>
      <c r="L16" s="103"/>
      <c r="M16" s="103"/>
      <c r="N16" s="103"/>
      <c r="O16" s="103"/>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03"/>
      <c r="CF16" s="103"/>
      <c r="CG16" s="103"/>
      <c r="CH16" s="103"/>
      <c r="CI16" s="103"/>
      <c r="CJ16" s="103"/>
      <c r="CK16" s="103"/>
      <c r="CL16" s="103"/>
      <c r="CM16" s="103"/>
      <c r="CN16" s="103"/>
      <c r="CO16" s="103"/>
      <c r="CP16" s="103"/>
      <c r="CQ16" s="103"/>
      <c r="CR16" s="103"/>
      <c r="CS16" s="103"/>
      <c r="CT16" s="103"/>
      <c r="CU16" s="103"/>
      <c r="CV16" s="103"/>
      <c r="CW16" s="103"/>
      <c r="CX16" s="103"/>
      <c r="CY16" s="103"/>
      <c r="CZ16" s="103"/>
      <c r="DA16" s="103"/>
      <c r="DB16" s="103"/>
      <c r="DC16" s="103"/>
      <c r="DD16" s="103"/>
      <c r="DE16" s="103"/>
      <c r="DF16" s="103"/>
      <c r="DG16" s="103"/>
      <c r="DH16" s="103"/>
      <c r="DI16" s="103"/>
      <c r="DJ16" s="103"/>
      <c r="DK16" s="103"/>
      <c r="DL16" s="103"/>
      <c r="DM16" s="103"/>
      <c r="DN16" s="103"/>
      <c r="DO16" s="103"/>
      <c r="DP16" s="103"/>
      <c r="DQ16" s="103"/>
      <c r="DR16" s="103"/>
      <c r="DS16" s="103"/>
      <c r="DT16" s="103"/>
      <c r="DU16" s="103"/>
      <c r="DV16" s="103"/>
      <c r="DW16" s="103"/>
      <c r="DX16" s="103"/>
      <c r="DY16" s="103"/>
      <c r="DZ16" s="103"/>
      <c r="EA16" s="103"/>
      <c r="EB16" s="103"/>
      <c r="EC16" s="103"/>
      <c r="ED16" s="103"/>
      <c r="EE16" s="103"/>
      <c r="EF16" s="103"/>
      <c r="EG16" s="103"/>
      <c r="EH16" s="103"/>
      <c r="EI16" s="103"/>
      <c r="EJ16" s="103"/>
      <c r="EK16" s="103"/>
      <c r="EL16" s="103"/>
      <c r="EM16" s="103"/>
      <c r="EN16" s="103"/>
      <c r="EO16" s="103"/>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3"/>
      <c r="FO16" s="103"/>
      <c r="FP16" s="103"/>
      <c r="FQ16" s="103"/>
      <c r="FR16" s="103"/>
      <c r="FS16" s="103"/>
      <c r="FT16" s="103"/>
      <c r="FU16" s="103"/>
      <c r="FV16" s="103"/>
      <c r="FW16" s="103"/>
      <c r="FX16" s="103"/>
      <c r="FY16" s="103"/>
      <c r="FZ16" s="103"/>
      <c r="GA16" s="103"/>
      <c r="GB16" s="103"/>
      <c r="GC16" s="103"/>
      <c r="GD16" s="103"/>
      <c r="GE16" s="103"/>
      <c r="GF16" s="103"/>
      <c r="GG16" s="103"/>
      <c r="GH16" s="103"/>
      <c r="GI16" s="103"/>
      <c r="GJ16" s="103"/>
      <c r="GK16" s="103"/>
      <c r="GL16" s="103"/>
      <c r="GM16" s="103"/>
      <c r="GN16" s="103"/>
      <c r="GO16" s="103"/>
      <c r="GP16" s="103"/>
      <c r="GQ16" s="103"/>
      <c r="GR16" s="103"/>
      <c r="GS16" s="103"/>
      <c r="GT16" s="103"/>
      <c r="GU16" s="103"/>
      <c r="GV16" s="103"/>
      <c r="GW16" s="103"/>
      <c r="GX16" s="103"/>
      <c r="GY16" s="103"/>
      <c r="GZ16" s="103"/>
      <c r="HA16" s="103"/>
      <c r="HB16" s="103"/>
      <c r="HC16" s="103"/>
      <c r="HD16" s="103"/>
      <c r="HE16" s="103"/>
      <c r="HF16" s="103"/>
      <c r="HG16" s="103"/>
      <c r="HH16" s="103"/>
      <c r="HI16" s="103"/>
      <c r="HJ16" s="103"/>
      <c r="HK16" s="103"/>
      <c r="HL16" s="103"/>
      <c r="HM16" s="103"/>
      <c r="HN16" s="103"/>
      <c r="HO16" s="103"/>
      <c r="HP16" s="103"/>
      <c r="HQ16" s="103"/>
      <c r="HR16" s="103"/>
      <c r="HS16" s="103"/>
      <c r="HT16" s="103"/>
      <c r="HU16" s="103"/>
      <c r="HV16" s="103"/>
      <c r="HW16" s="103"/>
      <c r="HX16" s="103"/>
      <c r="HY16" s="103"/>
      <c r="HZ16" s="103"/>
      <c r="IA16" s="103"/>
      <c r="IB16" s="103"/>
      <c r="IC16" s="103"/>
      <c r="ID16" s="103"/>
      <c r="IE16" s="103"/>
      <c r="IF16" s="103"/>
      <c r="IG16" s="103"/>
      <c r="IH16" s="103"/>
      <c r="II16" s="103"/>
      <c r="IJ16" s="103"/>
      <c r="IK16" s="103"/>
      <c r="IL16" s="103"/>
      <c r="IM16" s="103"/>
      <c r="IN16" s="103"/>
      <c r="IO16" s="103"/>
      <c r="IP16" s="103"/>
      <c r="IQ16" s="103"/>
      <c r="IR16" s="103"/>
      <c r="IS16" s="103"/>
      <c r="IT16" s="103"/>
      <c r="IU16" s="103"/>
      <c r="IV16" s="103"/>
      <c r="IW16" s="103"/>
      <c r="IX16" s="103"/>
      <c r="IY16" s="103"/>
      <c r="IZ16" s="103"/>
      <c r="JA16" s="103"/>
      <c r="JB16" s="103"/>
      <c r="JC16" s="103"/>
      <c r="JD16" s="103"/>
      <c r="JE16" s="103"/>
      <c r="JF16" s="103"/>
      <c r="JG16" s="103"/>
      <c r="JH16" s="103"/>
      <c r="JI16" s="103"/>
      <c r="JJ16" s="103"/>
      <c r="JK16" s="103"/>
      <c r="JL16" s="103"/>
      <c r="JM16" s="103"/>
      <c r="JN16" s="103"/>
      <c r="JO16" s="103"/>
      <c r="JP16" s="103"/>
      <c r="JQ16" s="103"/>
      <c r="JR16" s="103"/>
      <c r="JS16" s="103"/>
      <c r="JT16" s="103"/>
      <c r="JU16" s="103"/>
      <c r="JV16" s="103"/>
      <c r="JW16" s="103"/>
      <c r="JX16" s="103"/>
      <c r="JY16" s="103"/>
      <c r="JZ16" s="103"/>
      <c r="KA16" s="103"/>
      <c r="KB16" s="103"/>
      <c r="KC16" s="103"/>
      <c r="KD16" s="103"/>
      <c r="KE16" s="103"/>
      <c r="KF16" s="103"/>
      <c r="KG16" s="103"/>
      <c r="KH16" s="103"/>
      <c r="KI16" s="103"/>
      <c r="KJ16" s="103"/>
      <c r="KK16" s="103"/>
      <c r="KL16" s="103"/>
      <c r="KM16" s="103"/>
      <c r="KN16" s="103"/>
      <c r="KO16" s="103"/>
      <c r="KP16" s="103"/>
      <c r="KQ16" s="103"/>
      <c r="KR16" s="103"/>
      <c r="KS16" s="103"/>
      <c r="KT16" s="103"/>
      <c r="KU16" s="103"/>
      <c r="KV16" s="103"/>
      <c r="KW16" s="103"/>
      <c r="KX16" s="103"/>
      <c r="KY16" s="103"/>
      <c r="KZ16" s="103"/>
      <c r="LA16" s="103"/>
      <c r="LB16" s="103"/>
      <c r="LC16" s="103"/>
      <c r="LD16" s="103"/>
      <c r="LE16" s="103"/>
      <c r="LF16" s="103"/>
      <c r="LG16" s="103"/>
      <c r="LH16" s="103"/>
      <c r="LI16" s="103"/>
      <c r="LJ16" s="103"/>
    </row>
    <row r="17" spans="1:322" s="208" customFormat="1">
      <c r="A17" s="103"/>
      <c r="B17" s="181">
        <v>1942</v>
      </c>
      <c r="C17" s="569">
        <v>0.96399999999999997</v>
      </c>
      <c r="D17" s="569">
        <v>1.1200000000000001</v>
      </c>
      <c r="E17" s="104"/>
      <c r="F17" s="103"/>
      <c r="G17" s="103"/>
      <c r="H17" s="103"/>
      <c r="I17" s="103"/>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c r="CI17" s="103"/>
      <c r="CJ17" s="103"/>
      <c r="CK17" s="103"/>
      <c r="CL17" s="103"/>
      <c r="CM17" s="103"/>
      <c r="CN17" s="103"/>
      <c r="CO17" s="103"/>
      <c r="CP17" s="103"/>
      <c r="CQ17" s="103"/>
      <c r="CR17" s="103"/>
      <c r="CS17" s="103"/>
      <c r="CT17" s="103"/>
      <c r="CU17" s="103"/>
      <c r="CV17" s="103"/>
      <c r="CW17" s="103"/>
      <c r="CX17" s="103"/>
      <c r="CY17" s="103"/>
      <c r="CZ17" s="103"/>
      <c r="DA17" s="103"/>
      <c r="DB17" s="103"/>
      <c r="DC17" s="103"/>
      <c r="DD17" s="103"/>
      <c r="DE17" s="103"/>
      <c r="DF17" s="103"/>
      <c r="DG17" s="103"/>
      <c r="DH17" s="103"/>
      <c r="DI17" s="103"/>
      <c r="DJ17" s="103"/>
      <c r="DK17" s="103"/>
      <c r="DL17" s="103"/>
      <c r="DM17" s="103"/>
      <c r="DN17" s="103"/>
      <c r="DO17" s="103"/>
      <c r="DP17" s="103"/>
      <c r="DQ17" s="103"/>
      <c r="DR17" s="103"/>
      <c r="DS17" s="103"/>
      <c r="DT17" s="103"/>
      <c r="DU17" s="103"/>
      <c r="DV17" s="103"/>
      <c r="DW17" s="103"/>
      <c r="DX17" s="103"/>
      <c r="DY17" s="103"/>
      <c r="DZ17" s="103"/>
      <c r="EA17" s="103"/>
      <c r="EB17" s="103"/>
      <c r="EC17" s="103"/>
      <c r="ED17" s="103"/>
      <c r="EE17" s="103"/>
      <c r="EF17" s="103"/>
      <c r="EG17" s="103"/>
      <c r="EH17" s="103"/>
      <c r="EI17" s="103"/>
      <c r="EJ17" s="103"/>
      <c r="EK17" s="103"/>
      <c r="EL17" s="103"/>
      <c r="EM17" s="103"/>
      <c r="EN17" s="103"/>
      <c r="EO17" s="103"/>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3"/>
      <c r="FO17" s="103"/>
      <c r="FP17" s="103"/>
      <c r="FQ17" s="103"/>
      <c r="FR17" s="103"/>
      <c r="FS17" s="103"/>
      <c r="FT17" s="103"/>
      <c r="FU17" s="103"/>
      <c r="FV17" s="103"/>
      <c r="FW17" s="103"/>
      <c r="FX17" s="103"/>
      <c r="FY17" s="103"/>
      <c r="FZ17" s="103"/>
      <c r="GA17" s="103"/>
      <c r="GB17" s="103"/>
      <c r="GC17" s="103"/>
      <c r="GD17" s="103"/>
      <c r="GE17" s="103"/>
      <c r="GF17" s="103"/>
      <c r="GG17" s="103"/>
      <c r="GH17" s="103"/>
      <c r="GI17" s="103"/>
      <c r="GJ17" s="103"/>
      <c r="GK17" s="103"/>
      <c r="GL17" s="103"/>
      <c r="GM17" s="103"/>
      <c r="GN17" s="103"/>
      <c r="GO17" s="103"/>
      <c r="GP17" s="103"/>
      <c r="GQ17" s="103"/>
      <c r="GR17" s="103"/>
      <c r="GS17" s="103"/>
      <c r="GT17" s="103"/>
      <c r="GU17" s="103"/>
      <c r="GV17" s="103"/>
      <c r="GW17" s="103"/>
      <c r="GX17" s="103"/>
      <c r="GY17" s="103"/>
      <c r="GZ17" s="103"/>
      <c r="HA17" s="103"/>
      <c r="HB17" s="103"/>
      <c r="HC17" s="103"/>
      <c r="HD17" s="103"/>
      <c r="HE17" s="103"/>
      <c r="HF17" s="103"/>
      <c r="HG17" s="103"/>
      <c r="HH17" s="103"/>
      <c r="HI17" s="103"/>
      <c r="HJ17" s="103"/>
      <c r="HK17" s="103"/>
      <c r="HL17" s="103"/>
      <c r="HM17" s="103"/>
      <c r="HN17" s="103"/>
      <c r="HO17" s="103"/>
      <c r="HP17" s="103"/>
      <c r="HQ17" s="103"/>
      <c r="HR17" s="103"/>
      <c r="HS17" s="103"/>
      <c r="HT17" s="103"/>
      <c r="HU17" s="103"/>
      <c r="HV17" s="103"/>
      <c r="HW17" s="103"/>
      <c r="HX17" s="103"/>
      <c r="HY17" s="103"/>
      <c r="HZ17" s="103"/>
      <c r="IA17" s="103"/>
      <c r="IB17" s="103"/>
      <c r="IC17" s="103"/>
      <c r="ID17" s="103"/>
      <c r="IE17" s="103"/>
      <c r="IF17" s="103"/>
      <c r="IG17" s="103"/>
      <c r="IH17" s="103"/>
      <c r="II17" s="103"/>
      <c r="IJ17" s="103"/>
      <c r="IK17" s="103"/>
      <c r="IL17" s="103"/>
      <c r="IM17" s="103"/>
      <c r="IN17" s="103"/>
      <c r="IO17" s="103"/>
      <c r="IP17" s="103"/>
      <c r="IQ17" s="103"/>
      <c r="IR17" s="103"/>
      <c r="IS17" s="103"/>
      <c r="IT17" s="103"/>
      <c r="IU17" s="103"/>
      <c r="IV17" s="103"/>
      <c r="IW17" s="103"/>
      <c r="IX17" s="103"/>
      <c r="IY17" s="103"/>
      <c r="IZ17" s="103"/>
      <c r="JA17" s="103"/>
      <c r="JB17" s="103"/>
      <c r="JC17" s="103"/>
      <c r="JD17" s="103"/>
      <c r="JE17" s="103"/>
      <c r="JF17" s="103"/>
      <c r="JG17" s="103"/>
      <c r="JH17" s="103"/>
      <c r="JI17" s="103"/>
      <c r="JJ17" s="103"/>
      <c r="JK17" s="103"/>
      <c r="JL17" s="103"/>
      <c r="JM17" s="103"/>
      <c r="JN17" s="103"/>
      <c r="JO17" s="103"/>
      <c r="JP17" s="103"/>
      <c r="JQ17" s="103"/>
      <c r="JR17" s="103"/>
      <c r="JS17" s="103"/>
      <c r="JT17" s="103"/>
      <c r="JU17" s="103"/>
      <c r="JV17" s="103"/>
      <c r="JW17" s="103"/>
      <c r="JX17" s="103"/>
      <c r="JY17" s="103"/>
      <c r="JZ17" s="103"/>
      <c r="KA17" s="103"/>
      <c r="KB17" s="103"/>
      <c r="KC17" s="103"/>
      <c r="KD17" s="103"/>
      <c r="KE17" s="103"/>
      <c r="KF17" s="103"/>
      <c r="KG17" s="103"/>
      <c r="KH17" s="103"/>
      <c r="KI17" s="103"/>
      <c r="KJ17" s="103"/>
      <c r="KK17" s="103"/>
      <c r="KL17" s="103"/>
      <c r="KM17" s="103"/>
      <c r="KN17" s="103"/>
      <c r="KO17" s="103"/>
      <c r="KP17" s="103"/>
      <c r="KQ17" s="103"/>
      <c r="KR17" s="103"/>
      <c r="KS17" s="103"/>
      <c r="KT17" s="103"/>
      <c r="KU17" s="103"/>
      <c r="KV17" s="103"/>
      <c r="KW17" s="103"/>
      <c r="KX17" s="103"/>
      <c r="KY17" s="103"/>
      <c r="KZ17" s="103"/>
      <c r="LA17" s="103"/>
      <c r="LB17" s="103"/>
      <c r="LC17" s="103"/>
      <c r="LD17" s="103"/>
      <c r="LE17" s="103"/>
      <c r="LF17" s="103"/>
      <c r="LG17" s="103"/>
      <c r="LH17" s="103"/>
      <c r="LI17" s="103"/>
      <c r="LJ17" s="103"/>
    </row>
    <row r="18" spans="1:322" s="208" customFormat="1">
      <c r="A18" s="103"/>
      <c r="B18" s="181">
        <v>1943</v>
      </c>
      <c r="C18" s="569">
        <v>0.96799999999999997</v>
      </c>
      <c r="D18" s="569">
        <v>1.123</v>
      </c>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c r="CJ18" s="103"/>
      <c r="CK18" s="103"/>
      <c r="CL18" s="103"/>
      <c r="CM18" s="103"/>
      <c r="CN18" s="103"/>
      <c r="CO18" s="103"/>
      <c r="CP18" s="103"/>
      <c r="CQ18" s="103"/>
      <c r="CR18" s="103"/>
      <c r="CS18" s="103"/>
      <c r="CT18" s="103"/>
      <c r="CU18" s="103"/>
      <c r="CV18" s="103"/>
      <c r="CW18" s="103"/>
      <c r="CX18" s="103"/>
      <c r="CY18" s="103"/>
      <c r="CZ18" s="103"/>
      <c r="DA18" s="103"/>
      <c r="DB18" s="103"/>
      <c r="DC18" s="103"/>
      <c r="DD18" s="103"/>
      <c r="DE18" s="103"/>
      <c r="DF18" s="103"/>
      <c r="DG18" s="103"/>
      <c r="DH18" s="103"/>
      <c r="DI18" s="103"/>
      <c r="DJ18" s="103"/>
      <c r="DK18" s="103"/>
      <c r="DL18" s="103"/>
      <c r="DM18" s="103"/>
      <c r="DN18" s="103"/>
      <c r="DO18" s="103"/>
      <c r="DP18" s="103"/>
      <c r="DQ18" s="103"/>
      <c r="DR18" s="103"/>
      <c r="DS18" s="103"/>
      <c r="DT18" s="103"/>
      <c r="DU18" s="103"/>
      <c r="DV18" s="103"/>
      <c r="DW18" s="103"/>
      <c r="DX18" s="103"/>
      <c r="DY18" s="103"/>
      <c r="DZ18" s="103"/>
      <c r="EA18" s="103"/>
      <c r="EB18" s="103"/>
      <c r="EC18" s="103"/>
      <c r="ED18" s="103"/>
      <c r="EE18" s="103"/>
      <c r="EF18" s="103"/>
      <c r="EG18" s="103"/>
      <c r="EH18" s="103"/>
      <c r="EI18" s="103"/>
      <c r="EJ18" s="103"/>
      <c r="EK18" s="103"/>
      <c r="EL18" s="103"/>
      <c r="EM18" s="103"/>
      <c r="EN18" s="103"/>
      <c r="EO18" s="103"/>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3"/>
      <c r="FO18" s="103"/>
      <c r="FP18" s="103"/>
      <c r="FQ18" s="103"/>
      <c r="FR18" s="103"/>
      <c r="FS18" s="103"/>
      <c r="FT18" s="103"/>
      <c r="FU18" s="103"/>
      <c r="FV18" s="103"/>
      <c r="FW18" s="103"/>
      <c r="FX18" s="103"/>
      <c r="FY18" s="103"/>
      <c r="FZ18" s="103"/>
      <c r="GA18" s="103"/>
      <c r="GB18" s="103"/>
      <c r="GC18" s="103"/>
      <c r="GD18" s="103"/>
      <c r="GE18" s="103"/>
      <c r="GF18" s="103"/>
      <c r="GG18" s="103"/>
      <c r="GH18" s="103"/>
      <c r="GI18" s="103"/>
      <c r="GJ18" s="103"/>
      <c r="GK18" s="103"/>
      <c r="GL18" s="103"/>
      <c r="GM18" s="103"/>
      <c r="GN18" s="103"/>
      <c r="GO18" s="103"/>
      <c r="GP18" s="103"/>
      <c r="GQ18" s="103"/>
      <c r="GR18" s="103"/>
      <c r="GS18" s="103"/>
      <c r="GT18" s="103"/>
      <c r="GU18" s="103"/>
      <c r="GV18" s="103"/>
      <c r="GW18" s="103"/>
      <c r="GX18" s="103"/>
      <c r="GY18" s="103"/>
      <c r="GZ18" s="103"/>
      <c r="HA18" s="103"/>
      <c r="HB18" s="103"/>
      <c r="HC18" s="103"/>
      <c r="HD18" s="103"/>
      <c r="HE18" s="103"/>
      <c r="HF18" s="103"/>
      <c r="HG18" s="103"/>
      <c r="HH18" s="103"/>
      <c r="HI18" s="103"/>
      <c r="HJ18" s="103"/>
      <c r="HK18" s="103"/>
      <c r="HL18" s="103"/>
      <c r="HM18" s="103"/>
      <c r="HN18" s="103"/>
      <c r="HO18" s="103"/>
      <c r="HP18" s="103"/>
      <c r="HQ18" s="103"/>
      <c r="HR18" s="103"/>
      <c r="HS18" s="103"/>
      <c r="HT18" s="103"/>
      <c r="HU18" s="103"/>
      <c r="HV18" s="103"/>
      <c r="HW18" s="103"/>
      <c r="HX18" s="103"/>
      <c r="HY18" s="103"/>
      <c r="HZ18" s="103"/>
      <c r="IA18" s="103"/>
      <c r="IB18" s="103"/>
      <c r="IC18" s="103"/>
      <c r="ID18" s="103"/>
      <c r="IE18" s="103"/>
      <c r="IF18" s="103"/>
      <c r="IG18" s="103"/>
      <c r="IH18" s="103"/>
      <c r="II18" s="103"/>
      <c r="IJ18" s="103"/>
      <c r="IK18" s="103"/>
      <c r="IL18" s="103"/>
      <c r="IM18" s="103"/>
      <c r="IN18" s="103"/>
      <c r="IO18" s="103"/>
      <c r="IP18" s="103"/>
      <c r="IQ18" s="103"/>
      <c r="IR18" s="103"/>
      <c r="IS18" s="103"/>
      <c r="IT18" s="103"/>
      <c r="IU18" s="103"/>
      <c r="IV18" s="103"/>
      <c r="IW18" s="103"/>
      <c r="IX18" s="103"/>
      <c r="IY18" s="103"/>
      <c r="IZ18" s="103"/>
      <c r="JA18" s="103"/>
      <c r="JB18" s="103"/>
      <c r="JC18" s="103"/>
      <c r="JD18" s="103"/>
      <c r="JE18" s="103"/>
      <c r="JF18" s="103"/>
      <c r="JG18" s="103"/>
      <c r="JH18" s="103"/>
      <c r="JI18" s="103"/>
      <c r="JJ18" s="103"/>
      <c r="JK18" s="103"/>
      <c r="JL18" s="103"/>
      <c r="JM18" s="103"/>
      <c r="JN18" s="103"/>
      <c r="JO18" s="103"/>
      <c r="JP18" s="103"/>
      <c r="JQ18" s="103"/>
      <c r="JR18" s="103"/>
      <c r="JS18" s="103"/>
      <c r="JT18" s="103"/>
      <c r="JU18" s="103"/>
      <c r="JV18" s="103"/>
      <c r="JW18" s="103"/>
      <c r="JX18" s="103"/>
      <c r="JY18" s="103"/>
      <c r="JZ18" s="103"/>
      <c r="KA18" s="103"/>
      <c r="KB18" s="103"/>
      <c r="KC18" s="103"/>
      <c r="KD18" s="103"/>
      <c r="KE18" s="103"/>
      <c r="KF18" s="103"/>
      <c r="KG18" s="103"/>
      <c r="KH18" s="103"/>
      <c r="KI18" s="103"/>
      <c r="KJ18" s="103"/>
      <c r="KK18" s="103"/>
      <c r="KL18" s="103"/>
      <c r="KM18" s="103"/>
      <c r="KN18" s="103"/>
      <c r="KO18" s="103"/>
      <c r="KP18" s="103"/>
      <c r="KQ18" s="103"/>
      <c r="KR18" s="103"/>
      <c r="KS18" s="103"/>
      <c r="KT18" s="103"/>
      <c r="KU18" s="103"/>
      <c r="KV18" s="103"/>
      <c r="KW18" s="103"/>
      <c r="KX18" s="103"/>
      <c r="KY18" s="103"/>
      <c r="KZ18" s="103"/>
      <c r="LA18" s="103"/>
      <c r="LB18" s="103"/>
      <c r="LC18" s="103"/>
      <c r="LD18" s="103"/>
      <c r="LE18" s="103"/>
      <c r="LF18" s="103"/>
      <c r="LG18" s="103"/>
      <c r="LH18" s="103"/>
      <c r="LI18" s="103"/>
      <c r="LJ18" s="103"/>
    </row>
    <row r="19" spans="1:322" s="208" customFormat="1">
      <c r="A19" s="103"/>
      <c r="B19" s="181">
        <v>1944</v>
      </c>
      <c r="C19" s="569">
        <v>0.96899999999999997</v>
      </c>
      <c r="D19" s="569">
        <v>1.1220000000000001</v>
      </c>
      <c r="E19" s="103"/>
      <c r="F19" s="103"/>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c r="CE19" s="103"/>
      <c r="CF19" s="103"/>
      <c r="CG19" s="103"/>
      <c r="CH19" s="103"/>
      <c r="CI19" s="103"/>
      <c r="CJ19" s="103"/>
      <c r="CK19" s="103"/>
      <c r="CL19" s="103"/>
      <c r="CM19" s="103"/>
      <c r="CN19" s="103"/>
      <c r="CO19" s="103"/>
      <c r="CP19" s="103"/>
      <c r="CQ19" s="103"/>
      <c r="CR19" s="103"/>
      <c r="CS19" s="103"/>
      <c r="CT19" s="103"/>
      <c r="CU19" s="103"/>
      <c r="CV19" s="103"/>
      <c r="CW19" s="103"/>
      <c r="CX19" s="103"/>
      <c r="CY19" s="103"/>
      <c r="CZ19" s="103"/>
      <c r="DA19" s="103"/>
      <c r="DB19" s="103"/>
      <c r="DC19" s="103"/>
      <c r="DD19" s="103"/>
      <c r="DE19" s="103"/>
      <c r="DF19" s="103"/>
      <c r="DG19" s="103"/>
      <c r="DH19" s="103"/>
      <c r="DI19" s="103"/>
      <c r="DJ19" s="103"/>
      <c r="DK19" s="103"/>
      <c r="DL19" s="103"/>
      <c r="DM19" s="103"/>
      <c r="DN19" s="103"/>
      <c r="DO19" s="103"/>
      <c r="DP19" s="103"/>
      <c r="DQ19" s="103"/>
      <c r="DR19" s="103"/>
      <c r="DS19" s="103"/>
      <c r="DT19" s="103"/>
      <c r="DU19" s="103"/>
      <c r="DV19" s="103"/>
      <c r="DW19" s="103"/>
      <c r="DX19" s="103"/>
      <c r="DY19" s="103"/>
      <c r="DZ19" s="103"/>
      <c r="EA19" s="103"/>
      <c r="EB19" s="103"/>
      <c r="EC19" s="103"/>
      <c r="ED19" s="103"/>
      <c r="EE19" s="103"/>
      <c r="EF19" s="103"/>
      <c r="EG19" s="103"/>
      <c r="EH19" s="103"/>
      <c r="EI19" s="103"/>
      <c r="EJ19" s="103"/>
      <c r="EK19" s="103"/>
      <c r="EL19" s="103"/>
      <c r="EM19" s="103"/>
      <c r="EN19" s="103"/>
      <c r="EO19" s="103"/>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3"/>
      <c r="FO19" s="103"/>
      <c r="FP19" s="103"/>
      <c r="FQ19" s="103"/>
      <c r="FR19" s="103"/>
      <c r="FS19" s="103"/>
      <c r="FT19" s="103"/>
      <c r="FU19" s="103"/>
      <c r="FV19" s="103"/>
      <c r="FW19" s="103"/>
      <c r="FX19" s="103"/>
      <c r="FY19" s="103"/>
      <c r="FZ19" s="103"/>
      <c r="GA19" s="103"/>
      <c r="GB19" s="103"/>
      <c r="GC19" s="103"/>
      <c r="GD19" s="103"/>
      <c r="GE19" s="103"/>
      <c r="GF19" s="103"/>
      <c r="GG19" s="103"/>
      <c r="GH19" s="103"/>
      <c r="GI19" s="103"/>
      <c r="GJ19" s="103"/>
      <c r="GK19" s="103"/>
      <c r="GL19" s="103"/>
      <c r="GM19" s="103"/>
      <c r="GN19" s="103"/>
      <c r="GO19" s="103"/>
      <c r="GP19" s="103"/>
      <c r="GQ19" s="103"/>
      <c r="GR19" s="103"/>
      <c r="GS19" s="103"/>
      <c r="GT19" s="103"/>
      <c r="GU19" s="103"/>
      <c r="GV19" s="103"/>
      <c r="GW19" s="103"/>
      <c r="GX19" s="103"/>
      <c r="GY19" s="103"/>
      <c r="GZ19" s="103"/>
      <c r="HA19" s="103"/>
      <c r="HB19" s="103"/>
      <c r="HC19" s="103"/>
      <c r="HD19" s="103"/>
      <c r="HE19" s="103"/>
      <c r="HF19" s="103"/>
      <c r="HG19" s="103"/>
      <c r="HH19" s="103"/>
      <c r="HI19" s="103"/>
      <c r="HJ19" s="103"/>
      <c r="HK19" s="103"/>
      <c r="HL19" s="103"/>
      <c r="HM19" s="103"/>
      <c r="HN19" s="103"/>
      <c r="HO19" s="103"/>
      <c r="HP19" s="103"/>
      <c r="HQ19" s="103"/>
      <c r="HR19" s="103"/>
      <c r="HS19" s="103"/>
      <c r="HT19" s="103"/>
      <c r="HU19" s="103"/>
      <c r="HV19" s="103"/>
      <c r="HW19" s="103"/>
      <c r="HX19" s="103"/>
      <c r="HY19" s="103"/>
      <c r="HZ19" s="103"/>
      <c r="IA19" s="103"/>
      <c r="IB19" s="103"/>
      <c r="IC19" s="103"/>
      <c r="ID19" s="103"/>
      <c r="IE19" s="103"/>
      <c r="IF19" s="103"/>
      <c r="IG19" s="103"/>
      <c r="IH19" s="103"/>
      <c r="II19" s="103"/>
      <c r="IJ19" s="103"/>
      <c r="IK19" s="103"/>
      <c r="IL19" s="103"/>
      <c r="IM19" s="103"/>
      <c r="IN19" s="103"/>
      <c r="IO19" s="103"/>
      <c r="IP19" s="103"/>
      <c r="IQ19" s="103"/>
      <c r="IR19" s="103"/>
      <c r="IS19" s="103"/>
      <c r="IT19" s="103"/>
      <c r="IU19" s="103"/>
      <c r="IV19" s="103"/>
      <c r="IW19" s="103"/>
      <c r="IX19" s="103"/>
      <c r="IY19" s="103"/>
      <c r="IZ19" s="103"/>
      <c r="JA19" s="103"/>
      <c r="JB19" s="103"/>
      <c r="JC19" s="103"/>
      <c r="JD19" s="103"/>
      <c r="JE19" s="103"/>
      <c r="JF19" s="103"/>
      <c r="JG19" s="103"/>
      <c r="JH19" s="103"/>
      <c r="JI19" s="103"/>
      <c r="JJ19" s="103"/>
      <c r="JK19" s="103"/>
      <c r="JL19" s="103"/>
      <c r="JM19" s="103"/>
      <c r="JN19" s="103"/>
      <c r="JO19" s="103"/>
      <c r="JP19" s="103"/>
      <c r="JQ19" s="103"/>
      <c r="JR19" s="103"/>
      <c r="JS19" s="103"/>
      <c r="JT19" s="103"/>
      <c r="JU19" s="103"/>
      <c r="JV19" s="103"/>
      <c r="JW19" s="103"/>
      <c r="JX19" s="103"/>
      <c r="JY19" s="103"/>
      <c r="JZ19" s="103"/>
      <c r="KA19" s="103"/>
      <c r="KB19" s="103"/>
      <c r="KC19" s="103"/>
      <c r="KD19" s="103"/>
      <c r="KE19" s="103"/>
      <c r="KF19" s="103"/>
      <c r="KG19" s="103"/>
      <c r="KH19" s="103"/>
      <c r="KI19" s="103"/>
      <c r="KJ19" s="103"/>
      <c r="KK19" s="103"/>
      <c r="KL19" s="103"/>
      <c r="KM19" s="103"/>
      <c r="KN19" s="103"/>
      <c r="KO19" s="103"/>
      <c r="KP19" s="103"/>
      <c r="KQ19" s="103"/>
      <c r="KR19" s="103"/>
      <c r="KS19" s="103"/>
      <c r="KT19" s="103"/>
      <c r="KU19" s="103"/>
      <c r="KV19" s="103"/>
      <c r="KW19" s="103"/>
      <c r="KX19" s="103"/>
      <c r="KY19" s="103"/>
      <c r="KZ19" s="103"/>
      <c r="LA19" s="103"/>
      <c r="LB19" s="103"/>
      <c r="LC19" s="103"/>
      <c r="LD19" s="103"/>
      <c r="LE19" s="103"/>
      <c r="LF19" s="103"/>
      <c r="LG19" s="103"/>
      <c r="LH19" s="103"/>
      <c r="LI19" s="103"/>
      <c r="LJ19" s="103"/>
    </row>
    <row r="20" spans="1:322" s="208" customFormat="1">
      <c r="A20" s="103"/>
      <c r="B20" s="181">
        <v>1945</v>
      </c>
      <c r="C20" s="569">
        <v>0.96699999999999997</v>
      </c>
      <c r="D20" s="569">
        <v>1.119</v>
      </c>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03"/>
      <c r="DO20" s="103"/>
      <c r="DP20" s="103"/>
      <c r="DQ20" s="103"/>
      <c r="DR20" s="103"/>
      <c r="DS20" s="103"/>
      <c r="DT20" s="103"/>
      <c r="DU20" s="103"/>
      <c r="DV20" s="103"/>
      <c r="DW20" s="103"/>
      <c r="DX20" s="103"/>
      <c r="DY20" s="103"/>
      <c r="DZ20" s="103"/>
      <c r="EA20" s="103"/>
      <c r="EB20" s="103"/>
      <c r="EC20" s="103"/>
      <c r="ED20" s="103"/>
      <c r="EE20" s="103"/>
      <c r="EF20" s="103"/>
      <c r="EG20" s="103"/>
      <c r="EH20" s="103"/>
      <c r="EI20" s="103"/>
      <c r="EJ20" s="103"/>
      <c r="EK20" s="103"/>
      <c r="EL20" s="103"/>
      <c r="EM20" s="103"/>
      <c r="EN20" s="103"/>
      <c r="EO20" s="103"/>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3"/>
      <c r="FO20" s="103"/>
      <c r="FP20" s="103"/>
      <c r="FQ20" s="103"/>
      <c r="FR20" s="103"/>
      <c r="FS20" s="103"/>
      <c r="FT20" s="103"/>
      <c r="FU20" s="103"/>
      <c r="FV20" s="103"/>
      <c r="FW20" s="103"/>
      <c r="FX20" s="103"/>
      <c r="FY20" s="103"/>
      <c r="FZ20" s="103"/>
      <c r="GA20" s="103"/>
      <c r="GB20" s="103"/>
      <c r="GC20" s="103"/>
      <c r="GD20" s="103"/>
      <c r="GE20" s="103"/>
      <c r="GF20" s="103"/>
      <c r="GG20" s="103"/>
      <c r="GH20" s="103"/>
      <c r="GI20" s="103"/>
      <c r="GJ20" s="103"/>
      <c r="GK20" s="103"/>
      <c r="GL20" s="103"/>
      <c r="GM20" s="103"/>
      <c r="GN20" s="103"/>
      <c r="GO20" s="103"/>
      <c r="GP20" s="103"/>
      <c r="GQ20" s="103"/>
      <c r="GR20" s="103"/>
      <c r="GS20" s="103"/>
      <c r="GT20" s="103"/>
      <c r="GU20" s="103"/>
      <c r="GV20" s="103"/>
      <c r="GW20" s="103"/>
      <c r="GX20" s="103"/>
      <c r="GY20" s="103"/>
      <c r="GZ20" s="103"/>
      <c r="HA20" s="103"/>
      <c r="HB20" s="103"/>
      <c r="HC20" s="103"/>
      <c r="HD20" s="103"/>
      <c r="HE20" s="103"/>
      <c r="HF20" s="103"/>
      <c r="HG20" s="103"/>
      <c r="HH20" s="103"/>
      <c r="HI20" s="103"/>
      <c r="HJ20" s="103"/>
      <c r="HK20" s="103"/>
      <c r="HL20" s="103"/>
      <c r="HM20" s="103"/>
      <c r="HN20" s="103"/>
      <c r="HO20" s="103"/>
      <c r="HP20" s="103"/>
      <c r="HQ20" s="103"/>
      <c r="HR20" s="103"/>
      <c r="HS20" s="103"/>
      <c r="HT20" s="103"/>
      <c r="HU20" s="103"/>
      <c r="HV20" s="103"/>
      <c r="HW20" s="103"/>
      <c r="HX20" s="103"/>
      <c r="HY20" s="103"/>
      <c r="HZ20" s="103"/>
      <c r="IA20" s="103"/>
      <c r="IB20" s="103"/>
      <c r="IC20" s="103"/>
      <c r="ID20" s="103"/>
      <c r="IE20" s="103"/>
      <c r="IF20" s="103"/>
      <c r="IG20" s="103"/>
      <c r="IH20" s="103"/>
      <c r="II20" s="103"/>
      <c r="IJ20" s="103"/>
      <c r="IK20" s="103"/>
      <c r="IL20" s="103"/>
      <c r="IM20" s="103"/>
      <c r="IN20" s="103"/>
      <c r="IO20" s="103"/>
      <c r="IP20" s="103"/>
      <c r="IQ20" s="103"/>
      <c r="IR20" s="103"/>
      <c r="IS20" s="103"/>
      <c r="IT20" s="103"/>
      <c r="IU20" s="103"/>
      <c r="IV20" s="103"/>
      <c r="IW20" s="103"/>
      <c r="IX20" s="103"/>
      <c r="IY20" s="103"/>
      <c r="IZ20" s="103"/>
      <c r="JA20" s="103"/>
      <c r="JB20" s="103"/>
      <c r="JC20" s="103"/>
      <c r="JD20" s="103"/>
      <c r="JE20" s="103"/>
      <c r="JF20" s="103"/>
      <c r="JG20" s="103"/>
      <c r="JH20" s="103"/>
      <c r="JI20" s="103"/>
      <c r="JJ20" s="103"/>
      <c r="JK20" s="103"/>
      <c r="JL20" s="103"/>
      <c r="JM20" s="103"/>
      <c r="JN20" s="103"/>
      <c r="JO20" s="103"/>
      <c r="JP20" s="103"/>
      <c r="JQ20" s="103"/>
      <c r="JR20" s="103"/>
      <c r="JS20" s="103"/>
      <c r="JT20" s="103"/>
      <c r="JU20" s="103"/>
      <c r="JV20" s="103"/>
      <c r="JW20" s="103"/>
      <c r="JX20" s="103"/>
      <c r="JY20" s="103"/>
      <c r="JZ20" s="103"/>
      <c r="KA20" s="103"/>
      <c r="KB20" s="103"/>
      <c r="KC20" s="103"/>
      <c r="KD20" s="103"/>
      <c r="KE20" s="103"/>
      <c r="KF20" s="103"/>
      <c r="KG20" s="103"/>
      <c r="KH20" s="103"/>
      <c r="KI20" s="103"/>
      <c r="KJ20" s="103"/>
      <c r="KK20" s="103"/>
      <c r="KL20" s="103"/>
      <c r="KM20" s="103"/>
      <c r="KN20" s="103"/>
      <c r="KO20" s="103"/>
      <c r="KP20" s="103"/>
      <c r="KQ20" s="103"/>
      <c r="KR20" s="103"/>
      <c r="KS20" s="103"/>
      <c r="KT20" s="103"/>
      <c r="KU20" s="103"/>
      <c r="KV20" s="103"/>
      <c r="KW20" s="103"/>
      <c r="KX20" s="103"/>
      <c r="KY20" s="103"/>
      <c r="KZ20" s="103"/>
      <c r="LA20" s="103"/>
      <c r="LB20" s="103"/>
      <c r="LC20" s="103"/>
      <c r="LD20" s="103"/>
      <c r="LE20" s="103"/>
      <c r="LF20" s="103"/>
      <c r="LG20" s="103"/>
      <c r="LH20" s="103"/>
      <c r="LI20" s="103"/>
      <c r="LJ20" s="103"/>
    </row>
    <row r="21" spans="1:322" s="208" customFormat="1">
      <c r="A21" s="103"/>
      <c r="B21" s="181">
        <v>1946</v>
      </c>
      <c r="C21" s="569">
        <v>0.96799999999999997</v>
      </c>
      <c r="D21" s="569">
        <v>1.1160000000000001</v>
      </c>
      <c r="E21" s="103"/>
      <c r="F21" s="103"/>
      <c r="G21" s="103"/>
      <c r="H21" s="103"/>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c r="CE21" s="103"/>
      <c r="CF21" s="103"/>
      <c r="CG21" s="103"/>
      <c r="CH21" s="103"/>
      <c r="CI21" s="103"/>
      <c r="CJ21" s="103"/>
      <c r="CK21" s="103"/>
      <c r="CL21" s="103"/>
      <c r="CM21" s="103"/>
      <c r="CN21" s="103"/>
      <c r="CO21" s="103"/>
      <c r="CP21" s="103"/>
      <c r="CQ21" s="103"/>
      <c r="CR21" s="103"/>
      <c r="CS21" s="103"/>
      <c r="CT21" s="103"/>
      <c r="CU21" s="103"/>
      <c r="CV21" s="103"/>
      <c r="CW21" s="103"/>
      <c r="CX21" s="103"/>
      <c r="CY21" s="103"/>
      <c r="CZ21" s="103"/>
      <c r="DA21" s="103"/>
      <c r="DB21" s="103"/>
      <c r="DC21" s="103"/>
      <c r="DD21" s="103"/>
      <c r="DE21" s="103"/>
      <c r="DF21" s="103"/>
      <c r="DG21" s="103"/>
      <c r="DH21" s="103"/>
      <c r="DI21" s="103"/>
      <c r="DJ21" s="103"/>
      <c r="DK21" s="103"/>
      <c r="DL21" s="103"/>
      <c r="DM21" s="103"/>
      <c r="DN21" s="103"/>
      <c r="DO21" s="103"/>
      <c r="DP21" s="103"/>
      <c r="DQ21" s="103"/>
      <c r="DR21" s="103"/>
      <c r="DS21" s="103"/>
      <c r="DT21" s="103"/>
      <c r="DU21" s="103"/>
      <c r="DV21" s="103"/>
      <c r="DW21" s="103"/>
      <c r="DX21" s="103"/>
      <c r="DY21" s="103"/>
      <c r="DZ21" s="103"/>
      <c r="EA21" s="103"/>
      <c r="EB21" s="103"/>
      <c r="EC21" s="103"/>
      <c r="ED21" s="103"/>
      <c r="EE21" s="103"/>
      <c r="EF21" s="103"/>
      <c r="EG21" s="103"/>
      <c r="EH21" s="103"/>
      <c r="EI21" s="103"/>
      <c r="EJ21" s="103"/>
      <c r="EK21" s="103"/>
      <c r="EL21" s="103"/>
      <c r="EM21" s="103"/>
      <c r="EN21" s="103"/>
      <c r="EO21" s="103"/>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3"/>
      <c r="FO21" s="103"/>
      <c r="FP21" s="103"/>
      <c r="FQ21" s="103"/>
      <c r="FR21" s="103"/>
      <c r="FS21" s="103"/>
      <c r="FT21" s="103"/>
      <c r="FU21" s="103"/>
      <c r="FV21" s="103"/>
      <c r="FW21" s="103"/>
      <c r="FX21" s="103"/>
      <c r="FY21" s="103"/>
      <c r="FZ21" s="103"/>
      <c r="GA21" s="103"/>
      <c r="GB21" s="103"/>
      <c r="GC21" s="103"/>
      <c r="GD21" s="103"/>
      <c r="GE21" s="103"/>
      <c r="GF21" s="103"/>
      <c r="GG21" s="103"/>
      <c r="GH21" s="103"/>
      <c r="GI21" s="103"/>
      <c r="GJ21" s="103"/>
      <c r="GK21" s="103"/>
      <c r="GL21" s="103"/>
      <c r="GM21" s="103"/>
      <c r="GN21" s="103"/>
      <c r="GO21" s="103"/>
      <c r="GP21" s="103"/>
      <c r="GQ21" s="103"/>
      <c r="GR21" s="103"/>
      <c r="GS21" s="103"/>
      <c r="GT21" s="103"/>
      <c r="GU21" s="103"/>
      <c r="GV21" s="103"/>
      <c r="GW21" s="103"/>
      <c r="GX21" s="103"/>
      <c r="GY21" s="103"/>
      <c r="GZ21" s="103"/>
      <c r="HA21" s="103"/>
      <c r="HB21" s="103"/>
      <c r="HC21" s="103"/>
      <c r="HD21" s="103"/>
      <c r="HE21" s="103"/>
      <c r="HF21" s="103"/>
      <c r="HG21" s="103"/>
      <c r="HH21" s="103"/>
      <c r="HI21" s="103"/>
      <c r="HJ21" s="103"/>
      <c r="HK21" s="103"/>
      <c r="HL21" s="103"/>
      <c r="HM21" s="103"/>
      <c r="HN21" s="103"/>
      <c r="HO21" s="103"/>
      <c r="HP21" s="103"/>
      <c r="HQ21" s="103"/>
      <c r="HR21" s="103"/>
      <c r="HS21" s="103"/>
      <c r="HT21" s="103"/>
      <c r="HU21" s="103"/>
      <c r="HV21" s="103"/>
      <c r="HW21" s="103"/>
      <c r="HX21" s="103"/>
      <c r="HY21" s="103"/>
      <c r="HZ21" s="103"/>
      <c r="IA21" s="103"/>
      <c r="IB21" s="103"/>
      <c r="IC21" s="103"/>
      <c r="ID21" s="103"/>
      <c r="IE21" s="103"/>
      <c r="IF21" s="103"/>
      <c r="IG21" s="103"/>
      <c r="IH21" s="103"/>
      <c r="II21" s="103"/>
      <c r="IJ21" s="103"/>
      <c r="IK21" s="103"/>
      <c r="IL21" s="103"/>
      <c r="IM21" s="103"/>
      <c r="IN21" s="103"/>
      <c r="IO21" s="103"/>
      <c r="IP21" s="103"/>
      <c r="IQ21" s="103"/>
      <c r="IR21" s="103"/>
      <c r="IS21" s="103"/>
      <c r="IT21" s="103"/>
      <c r="IU21" s="103"/>
      <c r="IV21" s="103"/>
      <c r="IW21" s="103"/>
      <c r="IX21" s="103"/>
      <c r="IY21" s="103"/>
      <c r="IZ21" s="103"/>
      <c r="JA21" s="103"/>
      <c r="JB21" s="103"/>
      <c r="JC21" s="103"/>
      <c r="JD21" s="103"/>
      <c r="JE21" s="103"/>
      <c r="JF21" s="103"/>
      <c r="JG21" s="103"/>
      <c r="JH21" s="103"/>
      <c r="JI21" s="103"/>
      <c r="JJ21" s="103"/>
      <c r="JK21" s="103"/>
      <c r="JL21" s="103"/>
      <c r="JM21" s="103"/>
      <c r="JN21" s="103"/>
      <c r="JO21" s="103"/>
      <c r="JP21" s="103"/>
      <c r="JQ21" s="103"/>
      <c r="JR21" s="103"/>
      <c r="JS21" s="103"/>
      <c r="JT21" s="103"/>
      <c r="JU21" s="103"/>
      <c r="JV21" s="103"/>
      <c r="JW21" s="103"/>
      <c r="JX21" s="103"/>
      <c r="JY21" s="103"/>
      <c r="JZ21" s="103"/>
      <c r="KA21" s="103"/>
      <c r="KB21" s="103"/>
      <c r="KC21" s="103"/>
      <c r="KD21" s="103"/>
      <c r="KE21" s="103"/>
      <c r="KF21" s="103"/>
      <c r="KG21" s="103"/>
      <c r="KH21" s="103"/>
      <c r="KI21" s="103"/>
      <c r="KJ21" s="103"/>
      <c r="KK21" s="103"/>
      <c r="KL21" s="103"/>
      <c r="KM21" s="103"/>
      <c r="KN21" s="103"/>
      <c r="KO21" s="103"/>
      <c r="KP21" s="103"/>
      <c r="KQ21" s="103"/>
      <c r="KR21" s="103"/>
      <c r="KS21" s="103"/>
      <c r="KT21" s="103"/>
      <c r="KU21" s="103"/>
      <c r="KV21" s="103"/>
      <c r="KW21" s="103"/>
      <c r="KX21" s="103"/>
      <c r="KY21" s="103"/>
      <c r="KZ21" s="103"/>
      <c r="LA21" s="103"/>
      <c r="LB21" s="103"/>
      <c r="LC21" s="103"/>
      <c r="LD21" s="103"/>
      <c r="LE21" s="103"/>
      <c r="LF21" s="103"/>
      <c r="LG21" s="103"/>
      <c r="LH21" s="103"/>
      <c r="LI21" s="103"/>
      <c r="LJ21" s="103"/>
    </row>
    <row r="22" spans="1:322" s="208" customFormat="1">
      <c r="A22" s="103"/>
      <c r="B22" s="181">
        <v>1947</v>
      </c>
      <c r="C22" s="569">
        <v>0.96599999999999997</v>
      </c>
      <c r="D22" s="569">
        <v>1.1120000000000001</v>
      </c>
      <c r="E22" s="103"/>
      <c r="F22" s="103"/>
      <c r="G22" s="103"/>
      <c r="H22" s="103"/>
      <c r="I22" s="103"/>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c r="CI22" s="103"/>
      <c r="CJ22" s="103"/>
      <c r="CK22" s="103"/>
      <c r="CL22" s="103"/>
      <c r="CM22" s="103"/>
      <c r="CN22" s="103"/>
      <c r="CO22" s="103"/>
      <c r="CP22" s="103"/>
      <c r="CQ22" s="103"/>
      <c r="CR22" s="103"/>
      <c r="CS22" s="103"/>
      <c r="CT22" s="103"/>
      <c r="CU22" s="103"/>
      <c r="CV22" s="103"/>
      <c r="CW22" s="103"/>
      <c r="CX22" s="103"/>
      <c r="CY22" s="103"/>
      <c r="CZ22" s="103"/>
      <c r="DA22" s="103"/>
      <c r="DB22" s="103"/>
      <c r="DC22" s="103"/>
      <c r="DD22" s="103"/>
      <c r="DE22" s="103"/>
      <c r="DF22" s="103"/>
      <c r="DG22" s="103"/>
      <c r="DH22" s="103"/>
      <c r="DI22" s="103"/>
      <c r="DJ22" s="103"/>
      <c r="DK22" s="103"/>
      <c r="DL22" s="103"/>
      <c r="DM22" s="103"/>
      <c r="DN22" s="103"/>
      <c r="DO22" s="103"/>
      <c r="DP22" s="103"/>
      <c r="DQ22" s="103"/>
      <c r="DR22" s="103"/>
      <c r="DS22" s="103"/>
      <c r="DT22" s="103"/>
      <c r="DU22" s="103"/>
      <c r="DV22" s="103"/>
      <c r="DW22" s="103"/>
      <c r="DX22" s="103"/>
      <c r="DY22" s="103"/>
      <c r="DZ22" s="103"/>
      <c r="EA22" s="103"/>
      <c r="EB22" s="103"/>
      <c r="EC22" s="103"/>
      <c r="ED22" s="103"/>
      <c r="EE22" s="103"/>
      <c r="EF22" s="103"/>
      <c r="EG22" s="103"/>
      <c r="EH22" s="103"/>
      <c r="EI22" s="103"/>
      <c r="EJ22" s="103"/>
      <c r="EK22" s="103"/>
      <c r="EL22" s="103"/>
      <c r="EM22" s="103"/>
      <c r="EN22" s="103"/>
      <c r="EO22" s="103"/>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3"/>
      <c r="FO22" s="103"/>
      <c r="FP22" s="103"/>
      <c r="FQ22" s="103"/>
      <c r="FR22" s="103"/>
      <c r="FS22" s="103"/>
      <c r="FT22" s="103"/>
      <c r="FU22" s="103"/>
      <c r="FV22" s="103"/>
      <c r="FW22" s="103"/>
      <c r="FX22" s="103"/>
      <c r="FY22" s="103"/>
      <c r="FZ22" s="103"/>
      <c r="GA22" s="103"/>
      <c r="GB22" s="103"/>
      <c r="GC22" s="103"/>
      <c r="GD22" s="103"/>
      <c r="GE22" s="103"/>
      <c r="GF22" s="103"/>
      <c r="GG22" s="103"/>
      <c r="GH22" s="103"/>
      <c r="GI22" s="103"/>
      <c r="GJ22" s="103"/>
      <c r="GK22" s="103"/>
      <c r="GL22" s="103"/>
      <c r="GM22" s="103"/>
      <c r="GN22" s="103"/>
      <c r="GO22" s="103"/>
      <c r="GP22" s="103"/>
      <c r="GQ22" s="103"/>
      <c r="GR22" s="103"/>
      <c r="GS22" s="103"/>
      <c r="GT22" s="103"/>
      <c r="GU22" s="103"/>
      <c r="GV22" s="103"/>
      <c r="GW22" s="103"/>
      <c r="GX22" s="103"/>
      <c r="GY22" s="103"/>
      <c r="GZ22" s="103"/>
      <c r="HA22" s="103"/>
      <c r="HB22" s="103"/>
      <c r="HC22" s="103"/>
      <c r="HD22" s="103"/>
      <c r="HE22" s="103"/>
      <c r="HF22" s="103"/>
      <c r="HG22" s="103"/>
      <c r="HH22" s="103"/>
      <c r="HI22" s="103"/>
      <c r="HJ22" s="103"/>
      <c r="HK22" s="103"/>
      <c r="HL22" s="103"/>
      <c r="HM22" s="103"/>
      <c r="HN22" s="103"/>
      <c r="HO22" s="103"/>
      <c r="HP22" s="103"/>
      <c r="HQ22" s="103"/>
      <c r="HR22" s="103"/>
      <c r="HS22" s="103"/>
      <c r="HT22" s="103"/>
      <c r="HU22" s="103"/>
      <c r="HV22" s="103"/>
      <c r="HW22" s="103"/>
      <c r="HX22" s="103"/>
      <c r="HY22" s="103"/>
      <c r="HZ22" s="103"/>
      <c r="IA22" s="103"/>
      <c r="IB22" s="103"/>
      <c r="IC22" s="103"/>
      <c r="ID22" s="103"/>
      <c r="IE22" s="103"/>
      <c r="IF22" s="103"/>
      <c r="IG22" s="103"/>
      <c r="IH22" s="103"/>
      <c r="II22" s="103"/>
      <c r="IJ22" s="103"/>
      <c r="IK22" s="103"/>
      <c r="IL22" s="103"/>
      <c r="IM22" s="103"/>
      <c r="IN22" s="103"/>
      <c r="IO22" s="103"/>
      <c r="IP22" s="103"/>
      <c r="IQ22" s="103"/>
      <c r="IR22" s="103"/>
      <c r="IS22" s="103"/>
      <c r="IT22" s="103"/>
      <c r="IU22" s="103"/>
      <c r="IV22" s="103"/>
      <c r="IW22" s="103"/>
      <c r="IX22" s="103"/>
      <c r="IY22" s="103"/>
      <c r="IZ22" s="103"/>
      <c r="JA22" s="103"/>
      <c r="JB22" s="103"/>
      <c r="JC22" s="103"/>
      <c r="JD22" s="103"/>
      <c r="JE22" s="103"/>
      <c r="JF22" s="103"/>
      <c r="JG22" s="103"/>
      <c r="JH22" s="103"/>
      <c r="JI22" s="103"/>
      <c r="JJ22" s="103"/>
      <c r="JK22" s="103"/>
      <c r="JL22" s="103"/>
      <c r="JM22" s="103"/>
      <c r="JN22" s="103"/>
      <c r="JO22" s="103"/>
      <c r="JP22" s="103"/>
      <c r="JQ22" s="103"/>
      <c r="JR22" s="103"/>
      <c r="JS22" s="103"/>
      <c r="JT22" s="103"/>
      <c r="JU22" s="103"/>
      <c r="JV22" s="103"/>
      <c r="JW22" s="103"/>
      <c r="JX22" s="103"/>
      <c r="JY22" s="103"/>
      <c r="JZ22" s="103"/>
      <c r="KA22" s="103"/>
      <c r="KB22" s="103"/>
      <c r="KC22" s="103"/>
      <c r="KD22" s="103"/>
      <c r="KE22" s="103"/>
      <c r="KF22" s="103"/>
      <c r="KG22" s="103"/>
      <c r="KH22" s="103"/>
      <c r="KI22" s="103"/>
      <c r="KJ22" s="103"/>
      <c r="KK22" s="103"/>
      <c r="KL22" s="103"/>
      <c r="KM22" s="103"/>
      <c r="KN22" s="103"/>
      <c r="KO22" s="103"/>
      <c r="KP22" s="103"/>
      <c r="KQ22" s="103"/>
      <c r="KR22" s="103"/>
      <c r="KS22" s="103"/>
      <c r="KT22" s="103"/>
      <c r="KU22" s="103"/>
      <c r="KV22" s="103"/>
      <c r="KW22" s="103"/>
      <c r="KX22" s="103"/>
      <c r="KY22" s="103"/>
      <c r="KZ22" s="103"/>
      <c r="LA22" s="103"/>
      <c r="LB22" s="103"/>
      <c r="LC22" s="103"/>
      <c r="LD22" s="103"/>
      <c r="LE22" s="103"/>
      <c r="LF22" s="103"/>
      <c r="LG22" s="103"/>
      <c r="LH22" s="103"/>
      <c r="LI22" s="103"/>
      <c r="LJ22" s="103"/>
    </row>
    <row r="23" spans="1:322" s="208" customFormat="1">
      <c r="A23" s="103"/>
      <c r="B23" s="181">
        <v>1948</v>
      </c>
      <c r="C23" s="569">
        <v>0.96699999999999997</v>
      </c>
      <c r="D23" s="569">
        <v>1.111</v>
      </c>
      <c r="E23" s="103"/>
      <c r="F23" s="103"/>
      <c r="G23" s="103"/>
      <c r="H23" s="103"/>
      <c r="I23" s="103"/>
      <c r="J23" s="103"/>
      <c r="K23" s="103"/>
      <c r="L23" s="103"/>
      <c r="M23" s="103"/>
      <c r="N23" s="103"/>
      <c r="O23" s="103"/>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3"/>
      <c r="BB23" s="103"/>
      <c r="BC23" s="103"/>
      <c r="BD23" s="103"/>
      <c r="BE23" s="103"/>
      <c r="BF23" s="103"/>
      <c r="BG23" s="103"/>
      <c r="BH23" s="103"/>
      <c r="BI23" s="103"/>
      <c r="BJ23" s="103"/>
      <c r="BK23" s="103"/>
      <c r="BL23" s="103"/>
      <c r="BM23" s="103"/>
      <c r="BN23" s="103"/>
      <c r="BO23" s="103"/>
      <c r="BP23" s="103"/>
      <c r="BQ23" s="103"/>
      <c r="BR23" s="103"/>
      <c r="BS23" s="103"/>
      <c r="BT23" s="103"/>
      <c r="BU23" s="103"/>
      <c r="BV23" s="103"/>
      <c r="BW23" s="103"/>
      <c r="BX23" s="103"/>
      <c r="BY23" s="103"/>
      <c r="BZ23" s="103"/>
      <c r="CA23" s="103"/>
      <c r="CB23" s="103"/>
      <c r="CC23" s="103"/>
      <c r="CD23" s="103"/>
      <c r="CE23" s="103"/>
      <c r="CF23" s="103"/>
      <c r="CG23" s="103"/>
      <c r="CH23" s="103"/>
      <c r="CI23" s="103"/>
      <c r="CJ23" s="103"/>
      <c r="CK23" s="103"/>
      <c r="CL23" s="103"/>
      <c r="CM23" s="103"/>
      <c r="CN23" s="103"/>
      <c r="CO23" s="103"/>
      <c r="CP23" s="103"/>
      <c r="CQ23" s="103"/>
      <c r="CR23" s="103"/>
      <c r="CS23" s="103"/>
      <c r="CT23" s="103"/>
      <c r="CU23" s="103"/>
      <c r="CV23" s="103"/>
      <c r="CW23" s="103"/>
      <c r="CX23" s="103"/>
      <c r="CY23" s="103"/>
      <c r="CZ23" s="103"/>
      <c r="DA23" s="103"/>
      <c r="DB23" s="103"/>
      <c r="DC23" s="103"/>
      <c r="DD23" s="103"/>
      <c r="DE23" s="103"/>
      <c r="DF23" s="103"/>
      <c r="DG23" s="103"/>
      <c r="DH23" s="103"/>
      <c r="DI23" s="103"/>
      <c r="DJ23" s="103"/>
      <c r="DK23" s="103"/>
      <c r="DL23" s="103"/>
      <c r="DM23" s="103"/>
      <c r="DN23" s="103"/>
      <c r="DO23" s="103"/>
      <c r="DP23" s="103"/>
      <c r="DQ23" s="103"/>
      <c r="DR23" s="103"/>
      <c r="DS23" s="103"/>
      <c r="DT23" s="103"/>
      <c r="DU23" s="103"/>
      <c r="DV23" s="103"/>
      <c r="DW23" s="103"/>
      <c r="DX23" s="103"/>
      <c r="DY23" s="103"/>
      <c r="DZ23" s="103"/>
      <c r="EA23" s="103"/>
      <c r="EB23" s="103"/>
      <c r="EC23" s="103"/>
      <c r="ED23" s="103"/>
      <c r="EE23" s="103"/>
      <c r="EF23" s="103"/>
      <c r="EG23" s="103"/>
      <c r="EH23" s="103"/>
      <c r="EI23" s="103"/>
      <c r="EJ23" s="103"/>
      <c r="EK23" s="103"/>
      <c r="EL23" s="103"/>
      <c r="EM23" s="103"/>
      <c r="EN23" s="103"/>
      <c r="EO23" s="103"/>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3"/>
      <c r="FO23" s="103"/>
      <c r="FP23" s="103"/>
      <c r="FQ23" s="103"/>
      <c r="FR23" s="103"/>
      <c r="FS23" s="103"/>
      <c r="FT23" s="103"/>
      <c r="FU23" s="103"/>
      <c r="FV23" s="103"/>
      <c r="FW23" s="103"/>
      <c r="FX23" s="103"/>
      <c r="FY23" s="103"/>
      <c r="FZ23" s="103"/>
      <c r="GA23" s="103"/>
      <c r="GB23" s="103"/>
      <c r="GC23" s="103"/>
      <c r="GD23" s="103"/>
      <c r="GE23" s="103"/>
      <c r="GF23" s="103"/>
      <c r="GG23" s="103"/>
      <c r="GH23" s="103"/>
      <c r="GI23" s="103"/>
      <c r="GJ23" s="103"/>
      <c r="GK23" s="103"/>
      <c r="GL23" s="103"/>
      <c r="GM23" s="103"/>
      <c r="GN23" s="103"/>
      <c r="GO23" s="103"/>
      <c r="GP23" s="103"/>
      <c r="GQ23" s="103"/>
      <c r="GR23" s="103"/>
      <c r="GS23" s="103"/>
      <c r="GT23" s="103"/>
      <c r="GU23" s="103"/>
      <c r="GV23" s="103"/>
      <c r="GW23" s="103"/>
      <c r="GX23" s="103"/>
      <c r="GY23" s="103"/>
      <c r="GZ23" s="103"/>
      <c r="HA23" s="103"/>
      <c r="HB23" s="103"/>
      <c r="HC23" s="103"/>
      <c r="HD23" s="103"/>
      <c r="HE23" s="103"/>
      <c r="HF23" s="103"/>
      <c r="HG23" s="103"/>
      <c r="HH23" s="103"/>
      <c r="HI23" s="103"/>
      <c r="HJ23" s="103"/>
      <c r="HK23" s="103"/>
      <c r="HL23" s="103"/>
      <c r="HM23" s="103"/>
      <c r="HN23" s="103"/>
      <c r="HO23" s="103"/>
      <c r="HP23" s="103"/>
      <c r="HQ23" s="103"/>
      <c r="HR23" s="103"/>
      <c r="HS23" s="103"/>
      <c r="HT23" s="103"/>
      <c r="HU23" s="103"/>
      <c r="HV23" s="103"/>
      <c r="HW23" s="103"/>
      <c r="HX23" s="103"/>
      <c r="HY23" s="103"/>
      <c r="HZ23" s="103"/>
      <c r="IA23" s="103"/>
      <c r="IB23" s="103"/>
      <c r="IC23" s="103"/>
      <c r="ID23" s="103"/>
      <c r="IE23" s="103"/>
      <c r="IF23" s="103"/>
      <c r="IG23" s="103"/>
      <c r="IH23" s="103"/>
      <c r="II23" s="103"/>
      <c r="IJ23" s="103"/>
      <c r="IK23" s="103"/>
      <c r="IL23" s="103"/>
      <c r="IM23" s="103"/>
      <c r="IN23" s="103"/>
      <c r="IO23" s="103"/>
      <c r="IP23" s="103"/>
      <c r="IQ23" s="103"/>
      <c r="IR23" s="103"/>
      <c r="IS23" s="103"/>
      <c r="IT23" s="103"/>
      <c r="IU23" s="103"/>
      <c r="IV23" s="103"/>
      <c r="IW23" s="103"/>
      <c r="IX23" s="103"/>
      <c r="IY23" s="103"/>
      <c r="IZ23" s="103"/>
      <c r="JA23" s="103"/>
      <c r="JB23" s="103"/>
      <c r="JC23" s="103"/>
      <c r="JD23" s="103"/>
      <c r="JE23" s="103"/>
      <c r="JF23" s="103"/>
      <c r="JG23" s="103"/>
      <c r="JH23" s="103"/>
      <c r="JI23" s="103"/>
      <c r="JJ23" s="103"/>
      <c r="JK23" s="103"/>
      <c r="JL23" s="103"/>
      <c r="JM23" s="103"/>
      <c r="JN23" s="103"/>
      <c r="JO23" s="103"/>
      <c r="JP23" s="103"/>
      <c r="JQ23" s="103"/>
      <c r="JR23" s="103"/>
      <c r="JS23" s="103"/>
      <c r="JT23" s="103"/>
      <c r="JU23" s="103"/>
      <c r="JV23" s="103"/>
      <c r="JW23" s="103"/>
      <c r="JX23" s="103"/>
      <c r="JY23" s="103"/>
      <c r="JZ23" s="103"/>
      <c r="KA23" s="103"/>
      <c r="KB23" s="103"/>
      <c r="KC23" s="103"/>
      <c r="KD23" s="103"/>
      <c r="KE23" s="103"/>
      <c r="KF23" s="103"/>
      <c r="KG23" s="103"/>
      <c r="KH23" s="103"/>
      <c r="KI23" s="103"/>
      <c r="KJ23" s="103"/>
      <c r="KK23" s="103"/>
      <c r="KL23" s="103"/>
      <c r="KM23" s="103"/>
      <c r="KN23" s="103"/>
      <c r="KO23" s="103"/>
      <c r="KP23" s="103"/>
      <c r="KQ23" s="103"/>
      <c r="KR23" s="103"/>
      <c r="KS23" s="103"/>
      <c r="KT23" s="103"/>
      <c r="KU23" s="103"/>
      <c r="KV23" s="103"/>
      <c r="KW23" s="103"/>
      <c r="KX23" s="103"/>
      <c r="KY23" s="103"/>
      <c r="KZ23" s="103"/>
      <c r="LA23" s="103"/>
      <c r="LB23" s="103"/>
      <c r="LC23" s="103"/>
      <c r="LD23" s="103"/>
      <c r="LE23" s="103"/>
      <c r="LF23" s="103"/>
      <c r="LG23" s="103"/>
      <c r="LH23" s="103"/>
      <c r="LI23" s="103"/>
      <c r="LJ23" s="103"/>
    </row>
    <row r="24" spans="1:322" s="208" customFormat="1">
      <c r="A24" s="103"/>
      <c r="B24" s="181">
        <v>1949</v>
      </c>
      <c r="C24" s="569">
        <v>0.96799999999999997</v>
      </c>
      <c r="D24" s="569">
        <v>1.1100000000000001</v>
      </c>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c r="CJ24" s="103"/>
      <c r="CK24" s="103"/>
      <c r="CL24" s="103"/>
      <c r="CM24" s="103"/>
      <c r="CN24" s="103"/>
      <c r="CO24" s="103"/>
      <c r="CP24" s="103"/>
      <c r="CQ24" s="103"/>
      <c r="CR24" s="103"/>
      <c r="CS24" s="103"/>
      <c r="CT24" s="103"/>
      <c r="CU24" s="103"/>
      <c r="CV24" s="103"/>
      <c r="CW24" s="103"/>
      <c r="CX24" s="103"/>
      <c r="CY24" s="103"/>
      <c r="CZ24" s="103"/>
      <c r="DA24" s="103"/>
      <c r="DB24" s="103"/>
      <c r="DC24" s="103"/>
      <c r="DD24" s="103"/>
      <c r="DE24" s="103"/>
      <c r="DF24" s="103"/>
      <c r="DG24" s="103"/>
      <c r="DH24" s="103"/>
      <c r="DI24" s="103"/>
      <c r="DJ24" s="103"/>
      <c r="DK24" s="103"/>
      <c r="DL24" s="103"/>
      <c r="DM24" s="103"/>
      <c r="DN24" s="103"/>
      <c r="DO24" s="103"/>
      <c r="DP24" s="103"/>
      <c r="DQ24" s="103"/>
      <c r="DR24" s="103"/>
      <c r="DS24" s="103"/>
      <c r="DT24" s="103"/>
      <c r="DU24" s="103"/>
      <c r="DV24" s="103"/>
      <c r="DW24" s="103"/>
      <c r="DX24" s="103"/>
      <c r="DY24" s="103"/>
      <c r="DZ24" s="103"/>
      <c r="EA24" s="103"/>
      <c r="EB24" s="103"/>
      <c r="EC24" s="103"/>
      <c r="ED24" s="103"/>
      <c r="EE24" s="103"/>
      <c r="EF24" s="103"/>
      <c r="EG24" s="103"/>
      <c r="EH24" s="103"/>
      <c r="EI24" s="103"/>
      <c r="EJ24" s="103"/>
      <c r="EK24" s="103"/>
      <c r="EL24" s="103"/>
      <c r="EM24" s="103"/>
      <c r="EN24" s="103"/>
      <c r="EO24" s="103"/>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3"/>
      <c r="FO24" s="103"/>
      <c r="FP24" s="103"/>
      <c r="FQ24" s="103"/>
      <c r="FR24" s="103"/>
      <c r="FS24" s="103"/>
      <c r="FT24" s="103"/>
      <c r="FU24" s="103"/>
      <c r="FV24" s="103"/>
      <c r="FW24" s="103"/>
      <c r="FX24" s="103"/>
      <c r="FY24" s="103"/>
      <c r="FZ24" s="103"/>
      <c r="GA24" s="103"/>
      <c r="GB24" s="103"/>
      <c r="GC24" s="103"/>
      <c r="GD24" s="103"/>
      <c r="GE24" s="103"/>
      <c r="GF24" s="103"/>
      <c r="GG24" s="103"/>
      <c r="GH24" s="103"/>
      <c r="GI24" s="103"/>
      <c r="GJ24" s="103"/>
      <c r="GK24" s="103"/>
      <c r="GL24" s="103"/>
      <c r="GM24" s="103"/>
      <c r="GN24" s="103"/>
      <c r="GO24" s="103"/>
      <c r="GP24" s="103"/>
      <c r="GQ24" s="103"/>
      <c r="GR24" s="103"/>
      <c r="GS24" s="103"/>
      <c r="GT24" s="103"/>
      <c r="GU24" s="103"/>
      <c r="GV24" s="103"/>
      <c r="GW24" s="103"/>
      <c r="GX24" s="103"/>
      <c r="GY24" s="103"/>
      <c r="GZ24" s="103"/>
      <c r="HA24" s="103"/>
      <c r="HB24" s="103"/>
      <c r="HC24" s="103"/>
      <c r="HD24" s="103"/>
      <c r="HE24" s="103"/>
      <c r="HF24" s="103"/>
      <c r="HG24" s="103"/>
      <c r="HH24" s="103"/>
      <c r="HI24" s="103"/>
      <c r="HJ24" s="103"/>
      <c r="HK24" s="103"/>
      <c r="HL24" s="103"/>
      <c r="HM24" s="103"/>
      <c r="HN24" s="103"/>
      <c r="HO24" s="103"/>
      <c r="HP24" s="103"/>
      <c r="HQ24" s="103"/>
      <c r="HR24" s="103"/>
      <c r="HS24" s="103"/>
      <c r="HT24" s="103"/>
      <c r="HU24" s="103"/>
      <c r="HV24" s="103"/>
      <c r="HW24" s="103"/>
      <c r="HX24" s="103"/>
      <c r="HY24" s="103"/>
      <c r="HZ24" s="103"/>
      <c r="IA24" s="103"/>
      <c r="IB24" s="103"/>
      <c r="IC24" s="103"/>
      <c r="ID24" s="103"/>
      <c r="IE24" s="103"/>
      <c r="IF24" s="103"/>
      <c r="IG24" s="103"/>
      <c r="IH24" s="103"/>
      <c r="II24" s="103"/>
      <c r="IJ24" s="103"/>
      <c r="IK24" s="103"/>
      <c r="IL24" s="103"/>
      <c r="IM24" s="103"/>
      <c r="IN24" s="103"/>
      <c r="IO24" s="103"/>
      <c r="IP24" s="103"/>
      <c r="IQ24" s="103"/>
      <c r="IR24" s="103"/>
      <c r="IS24" s="103"/>
      <c r="IT24" s="103"/>
      <c r="IU24" s="103"/>
      <c r="IV24" s="103"/>
      <c r="IW24" s="103"/>
      <c r="IX24" s="103"/>
      <c r="IY24" s="103"/>
      <c r="IZ24" s="103"/>
      <c r="JA24" s="103"/>
      <c r="JB24" s="103"/>
      <c r="JC24" s="103"/>
      <c r="JD24" s="103"/>
      <c r="JE24" s="103"/>
      <c r="JF24" s="103"/>
      <c r="JG24" s="103"/>
      <c r="JH24" s="103"/>
      <c r="JI24" s="103"/>
      <c r="JJ24" s="103"/>
      <c r="JK24" s="103"/>
      <c r="JL24" s="103"/>
      <c r="JM24" s="103"/>
      <c r="JN24" s="103"/>
      <c r="JO24" s="103"/>
      <c r="JP24" s="103"/>
      <c r="JQ24" s="103"/>
      <c r="JR24" s="103"/>
      <c r="JS24" s="103"/>
      <c r="JT24" s="103"/>
      <c r="JU24" s="103"/>
      <c r="JV24" s="103"/>
      <c r="JW24" s="103"/>
      <c r="JX24" s="103"/>
      <c r="JY24" s="103"/>
      <c r="JZ24" s="103"/>
      <c r="KA24" s="103"/>
      <c r="KB24" s="103"/>
      <c r="KC24" s="103"/>
      <c r="KD24" s="103"/>
      <c r="KE24" s="103"/>
      <c r="KF24" s="103"/>
      <c r="KG24" s="103"/>
      <c r="KH24" s="103"/>
      <c r="KI24" s="103"/>
      <c r="KJ24" s="103"/>
      <c r="KK24" s="103"/>
      <c r="KL24" s="103"/>
      <c r="KM24" s="103"/>
      <c r="KN24" s="103"/>
      <c r="KO24" s="103"/>
      <c r="KP24" s="103"/>
      <c r="KQ24" s="103"/>
      <c r="KR24" s="103"/>
      <c r="KS24" s="103"/>
      <c r="KT24" s="103"/>
      <c r="KU24" s="103"/>
      <c r="KV24" s="103"/>
      <c r="KW24" s="103"/>
      <c r="KX24" s="103"/>
      <c r="KY24" s="103"/>
      <c r="KZ24" s="103"/>
      <c r="LA24" s="103"/>
      <c r="LB24" s="103"/>
      <c r="LC24" s="103"/>
      <c r="LD24" s="103"/>
      <c r="LE24" s="103"/>
      <c r="LF24" s="103"/>
      <c r="LG24" s="103"/>
      <c r="LH24" s="103"/>
      <c r="LI24" s="103"/>
      <c r="LJ24" s="103"/>
    </row>
    <row r="25" spans="1:322" s="208" customFormat="1">
      <c r="A25" s="103"/>
      <c r="B25" s="182">
        <v>1950</v>
      </c>
      <c r="C25" s="213">
        <v>0.97299999999999998</v>
      </c>
      <c r="D25" s="213">
        <v>1.115</v>
      </c>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CO25" s="103"/>
      <c r="CP25" s="103"/>
      <c r="CQ25" s="103"/>
      <c r="CR25" s="103"/>
      <c r="CS25" s="103"/>
      <c r="CT25" s="103"/>
      <c r="CU25" s="103"/>
      <c r="CV25" s="103"/>
      <c r="CW25" s="103"/>
      <c r="CX25" s="103"/>
      <c r="CY25" s="103"/>
      <c r="CZ25" s="103"/>
      <c r="DA25" s="103"/>
      <c r="DB25" s="103"/>
      <c r="DC25" s="103"/>
      <c r="DD25" s="103"/>
      <c r="DE25" s="103"/>
      <c r="DF25" s="103"/>
      <c r="DG25" s="103"/>
      <c r="DH25" s="103"/>
      <c r="DI25" s="103"/>
      <c r="DJ25" s="103"/>
      <c r="DK25" s="103"/>
      <c r="DL25" s="103"/>
      <c r="DM25" s="103"/>
      <c r="DN25" s="103"/>
      <c r="DO25" s="103"/>
      <c r="DP25" s="103"/>
      <c r="DQ25" s="103"/>
      <c r="DR25" s="103"/>
      <c r="DS25" s="103"/>
      <c r="DT25" s="103"/>
      <c r="DU25" s="103"/>
      <c r="DV25" s="103"/>
      <c r="DW25" s="103"/>
      <c r="DX25" s="103"/>
      <c r="DY25" s="103"/>
      <c r="DZ25" s="103"/>
      <c r="EA25" s="103"/>
      <c r="EB25" s="103"/>
      <c r="EC25" s="103"/>
      <c r="ED25" s="103"/>
      <c r="EE25" s="103"/>
      <c r="EF25" s="103"/>
      <c r="EG25" s="103"/>
      <c r="EH25" s="103"/>
      <c r="EI25" s="103"/>
      <c r="EJ25" s="103"/>
      <c r="EK25" s="103"/>
      <c r="EL25" s="103"/>
      <c r="EM25" s="103"/>
      <c r="EN25" s="103"/>
      <c r="EO25" s="103"/>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3"/>
      <c r="FO25" s="103"/>
      <c r="FP25" s="103"/>
      <c r="FQ25" s="103"/>
      <c r="FR25" s="103"/>
      <c r="FS25" s="103"/>
      <c r="FT25" s="103"/>
      <c r="FU25" s="103"/>
      <c r="FV25" s="103"/>
      <c r="FW25" s="103"/>
      <c r="FX25" s="103"/>
      <c r="FY25" s="103"/>
      <c r="FZ25" s="103"/>
      <c r="GA25" s="103"/>
      <c r="GB25" s="103"/>
      <c r="GC25" s="103"/>
      <c r="GD25" s="103"/>
      <c r="GE25" s="103"/>
      <c r="GF25" s="103"/>
      <c r="GG25" s="103"/>
      <c r="GH25" s="103"/>
      <c r="GI25" s="103"/>
      <c r="GJ25" s="103"/>
      <c r="GK25" s="103"/>
      <c r="GL25" s="103"/>
      <c r="GM25" s="103"/>
      <c r="GN25" s="103"/>
      <c r="GO25" s="103"/>
      <c r="GP25" s="103"/>
      <c r="GQ25" s="103"/>
      <c r="GR25" s="103"/>
      <c r="GS25" s="103"/>
      <c r="GT25" s="103"/>
      <c r="GU25" s="103"/>
      <c r="GV25" s="103"/>
      <c r="GW25" s="103"/>
      <c r="GX25" s="103"/>
      <c r="GY25" s="103"/>
      <c r="GZ25" s="103"/>
      <c r="HA25" s="103"/>
      <c r="HB25" s="103"/>
      <c r="HC25" s="103"/>
      <c r="HD25" s="103"/>
      <c r="HE25" s="103"/>
      <c r="HF25" s="103"/>
      <c r="HG25" s="103"/>
      <c r="HH25" s="103"/>
      <c r="HI25" s="103"/>
      <c r="HJ25" s="103"/>
      <c r="HK25" s="103"/>
      <c r="HL25" s="103"/>
      <c r="HM25" s="103"/>
      <c r="HN25" s="103"/>
      <c r="HO25" s="103"/>
      <c r="HP25" s="103"/>
      <c r="HQ25" s="103"/>
      <c r="HR25" s="103"/>
      <c r="HS25" s="103"/>
      <c r="HT25" s="103"/>
      <c r="HU25" s="103"/>
      <c r="HV25" s="103"/>
      <c r="HW25" s="103"/>
      <c r="HX25" s="103"/>
      <c r="HY25" s="103"/>
      <c r="HZ25" s="103"/>
      <c r="IA25" s="103"/>
      <c r="IB25" s="103"/>
      <c r="IC25" s="103"/>
      <c r="ID25" s="103"/>
      <c r="IE25" s="103"/>
      <c r="IF25" s="103"/>
      <c r="IG25" s="103"/>
      <c r="IH25" s="103"/>
      <c r="II25" s="103"/>
      <c r="IJ25" s="103"/>
      <c r="IK25" s="103"/>
      <c r="IL25" s="103"/>
      <c r="IM25" s="103"/>
      <c r="IN25" s="103"/>
      <c r="IO25" s="103"/>
      <c r="IP25" s="103"/>
      <c r="IQ25" s="103"/>
      <c r="IR25" s="103"/>
      <c r="IS25" s="103"/>
      <c r="IT25" s="103"/>
      <c r="IU25" s="103"/>
      <c r="IV25" s="103"/>
      <c r="IW25" s="103"/>
      <c r="IX25" s="103"/>
      <c r="IY25" s="103"/>
      <c r="IZ25" s="103"/>
      <c r="JA25" s="103"/>
      <c r="JB25" s="103"/>
      <c r="JC25" s="103"/>
      <c r="JD25" s="103"/>
      <c r="JE25" s="103"/>
      <c r="JF25" s="103"/>
      <c r="JG25" s="103"/>
      <c r="JH25" s="103"/>
      <c r="JI25" s="103"/>
      <c r="JJ25" s="103"/>
      <c r="JK25" s="103"/>
      <c r="JL25" s="103"/>
      <c r="JM25" s="103"/>
      <c r="JN25" s="103"/>
      <c r="JO25" s="103"/>
      <c r="JP25" s="103"/>
      <c r="JQ25" s="103"/>
      <c r="JR25" s="103"/>
      <c r="JS25" s="103"/>
      <c r="JT25" s="103"/>
      <c r="JU25" s="103"/>
      <c r="JV25" s="103"/>
      <c r="JW25" s="103"/>
      <c r="JX25" s="103"/>
      <c r="JY25" s="103"/>
      <c r="JZ25" s="103"/>
      <c r="KA25" s="103"/>
      <c r="KB25" s="103"/>
      <c r="KC25" s="103"/>
      <c r="KD25" s="103"/>
      <c r="KE25" s="103"/>
      <c r="KF25" s="103"/>
      <c r="KG25" s="103"/>
      <c r="KH25" s="103"/>
      <c r="KI25" s="103"/>
      <c r="KJ25" s="103"/>
      <c r="KK25" s="103"/>
      <c r="KL25" s="103"/>
      <c r="KM25" s="103"/>
      <c r="KN25" s="103"/>
      <c r="KO25" s="103"/>
      <c r="KP25" s="103"/>
      <c r="KQ25" s="103"/>
      <c r="KR25" s="103"/>
      <c r="KS25" s="103"/>
      <c r="KT25" s="103"/>
      <c r="KU25" s="103"/>
      <c r="KV25" s="103"/>
      <c r="KW25" s="103"/>
      <c r="KX25" s="103"/>
      <c r="KY25" s="103"/>
      <c r="KZ25" s="103"/>
      <c r="LA25" s="103"/>
      <c r="LB25" s="103"/>
      <c r="LC25" s="103"/>
      <c r="LD25" s="103"/>
      <c r="LE25" s="103"/>
      <c r="LF25" s="103"/>
      <c r="LG25" s="103"/>
      <c r="LH25" s="103"/>
      <c r="LI25" s="103"/>
      <c r="LJ25" s="103"/>
    </row>
    <row r="26" spans="1:322" s="208" customFormat="1">
      <c r="A26" s="103"/>
      <c r="B26" s="181">
        <v>1951</v>
      </c>
      <c r="C26" s="213">
        <v>0.97299999999999998</v>
      </c>
      <c r="D26" s="213">
        <v>1.115</v>
      </c>
      <c r="E26" s="103"/>
      <c r="F26" s="103"/>
      <c r="G26" s="103"/>
      <c r="H26" s="103"/>
      <c r="I26" s="103"/>
      <c r="J26" s="103"/>
      <c r="K26" s="103"/>
      <c r="L26" s="103"/>
      <c r="M26" s="103"/>
      <c r="N26" s="103"/>
      <c r="O26" s="103"/>
      <c r="P26" s="103"/>
      <c r="Q26" s="103"/>
      <c r="R26" s="103"/>
      <c r="S26" s="103"/>
      <c r="T26" s="103"/>
      <c r="U26" s="103"/>
      <c r="V26" s="103"/>
      <c r="W26" s="103"/>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c r="CA26" s="103"/>
      <c r="CB26" s="103"/>
      <c r="CC26" s="103"/>
      <c r="CD26" s="103"/>
      <c r="CE26" s="103"/>
      <c r="CF26" s="103"/>
      <c r="CG26" s="103"/>
      <c r="CH26" s="103"/>
      <c r="CI26" s="103"/>
      <c r="CJ26" s="103"/>
      <c r="CK26" s="103"/>
      <c r="CL26" s="103"/>
      <c r="CM26" s="103"/>
      <c r="CN26" s="103"/>
      <c r="CO26" s="103"/>
      <c r="CP26" s="103"/>
      <c r="CQ26" s="103"/>
      <c r="CR26" s="103"/>
      <c r="CS26" s="103"/>
      <c r="CT26" s="103"/>
      <c r="CU26" s="103"/>
      <c r="CV26" s="103"/>
      <c r="CW26" s="103"/>
      <c r="CX26" s="103"/>
      <c r="CY26" s="103"/>
      <c r="CZ26" s="103"/>
      <c r="DA26" s="103"/>
      <c r="DB26" s="103"/>
      <c r="DC26" s="103"/>
      <c r="DD26" s="103"/>
      <c r="DE26" s="103"/>
      <c r="DF26" s="103"/>
      <c r="DG26" s="103"/>
      <c r="DH26" s="103"/>
      <c r="DI26" s="103"/>
      <c r="DJ26" s="103"/>
      <c r="DK26" s="103"/>
      <c r="DL26" s="103"/>
      <c r="DM26" s="103"/>
      <c r="DN26" s="103"/>
      <c r="DO26" s="103"/>
      <c r="DP26" s="103"/>
      <c r="DQ26" s="103"/>
      <c r="DR26" s="103"/>
      <c r="DS26" s="103"/>
      <c r="DT26" s="103"/>
      <c r="DU26" s="103"/>
      <c r="DV26" s="103"/>
      <c r="DW26" s="103"/>
      <c r="DX26" s="103"/>
      <c r="DY26" s="103"/>
      <c r="DZ26" s="103"/>
      <c r="EA26" s="103"/>
      <c r="EB26" s="103"/>
      <c r="EC26" s="103"/>
      <c r="ED26" s="103"/>
      <c r="EE26" s="103"/>
      <c r="EF26" s="103"/>
      <c r="EG26" s="103"/>
      <c r="EH26" s="103"/>
      <c r="EI26" s="103"/>
      <c r="EJ26" s="103"/>
      <c r="EK26" s="103"/>
      <c r="EL26" s="103"/>
      <c r="EM26" s="103"/>
      <c r="EN26" s="103"/>
      <c r="EO26" s="103"/>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3"/>
      <c r="FO26" s="103"/>
      <c r="FP26" s="103"/>
      <c r="FQ26" s="103"/>
      <c r="FR26" s="103"/>
      <c r="FS26" s="103"/>
      <c r="FT26" s="103"/>
      <c r="FU26" s="103"/>
      <c r="FV26" s="103"/>
      <c r="FW26" s="103"/>
      <c r="FX26" s="103"/>
      <c r="FY26" s="103"/>
      <c r="FZ26" s="103"/>
      <c r="GA26" s="103"/>
      <c r="GB26" s="103"/>
      <c r="GC26" s="103"/>
      <c r="GD26" s="103"/>
      <c r="GE26" s="103"/>
      <c r="GF26" s="103"/>
      <c r="GG26" s="103"/>
      <c r="GH26" s="103"/>
      <c r="GI26" s="103"/>
      <c r="GJ26" s="103"/>
      <c r="GK26" s="103"/>
      <c r="GL26" s="103"/>
      <c r="GM26" s="103"/>
      <c r="GN26" s="103"/>
      <c r="GO26" s="103"/>
      <c r="GP26" s="103"/>
      <c r="GQ26" s="103"/>
      <c r="GR26" s="103"/>
      <c r="GS26" s="103"/>
      <c r="GT26" s="103"/>
      <c r="GU26" s="103"/>
      <c r="GV26" s="103"/>
      <c r="GW26" s="103"/>
      <c r="GX26" s="103"/>
      <c r="GY26" s="103"/>
      <c r="GZ26" s="103"/>
      <c r="HA26" s="103"/>
      <c r="HB26" s="103"/>
      <c r="HC26" s="103"/>
      <c r="HD26" s="103"/>
      <c r="HE26" s="103"/>
      <c r="HF26" s="103"/>
      <c r="HG26" s="103"/>
      <c r="HH26" s="103"/>
      <c r="HI26" s="103"/>
      <c r="HJ26" s="103"/>
      <c r="HK26" s="103"/>
      <c r="HL26" s="103"/>
      <c r="HM26" s="103"/>
      <c r="HN26" s="103"/>
      <c r="HO26" s="103"/>
      <c r="HP26" s="103"/>
      <c r="HQ26" s="103"/>
      <c r="HR26" s="103"/>
      <c r="HS26" s="103"/>
      <c r="HT26" s="103"/>
      <c r="HU26" s="103"/>
      <c r="HV26" s="103"/>
      <c r="HW26" s="103"/>
      <c r="HX26" s="103"/>
      <c r="HY26" s="103"/>
      <c r="HZ26" s="103"/>
      <c r="IA26" s="103"/>
      <c r="IB26" s="103"/>
      <c r="IC26" s="103"/>
      <c r="ID26" s="103"/>
      <c r="IE26" s="103"/>
      <c r="IF26" s="103"/>
      <c r="IG26" s="103"/>
      <c r="IH26" s="103"/>
      <c r="II26" s="103"/>
      <c r="IJ26" s="103"/>
      <c r="IK26" s="103"/>
      <c r="IL26" s="103"/>
      <c r="IM26" s="103"/>
      <c r="IN26" s="103"/>
      <c r="IO26" s="103"/>
      <c r="IP26" s="103"/>
      <c r="IQ26" s="103"/>
      <c r="IR26" s="103"/>
      <c r="IS26" s="103"/>
      <c r="IT26" s="103"/>
      <c r="IU26" s="103"/>
      <c r="IV26" s="103"/>
      <c r="IW26" s="103"/>
      <c r="IX26" s="103"/>
      <c r="IY26" s="103"/>
      <c r="IZ26" s="103"/>
      <c r="JA26" s="103"/>
      <c r="JB26" s="103"/>
      <c r="JC26" s="103"/>
      <c r="JD26" s="103"/>
      <c r="JE26" s="103"/>
      <c r="JF26" s="103"/>
      <c r="JG26" s="103"/>
      <c r="JH26" s="103"/>
      <c r="JI26" s="103"/>
      <c r="JJ26" s="103"/>
      <c r="JK26" s="103"/>
      <c r="JL26" s="103"/>
      <c r="JM26" s="103"/>
      <c r="JN26" s="103"/>
      <c r="JO26" s="103"/>
      <c r="JP26" s="103"/>
      <c r="JQ26" s="103"/>
      <c r="JR26" s="103"/>
      <c r="JS26" s="103"/>
      <c r="JT26" s="103"/>
      <c r="JU26" s="103"/>
      <c r="JV26" s="103"/>
      <c r="JW26" s="103"/>
      <c r="JX26" s="103"/>
      <c r="JY26" s="103"/>
      <c r="JZ26" s="103"/>
      <c r="KA26" s="103"/>
      <c r="KB26" s="103"/>
      <c r="KC26" s="103"/>
      <c r="KD26" s="103"/>
      <c r="KE26" s="103"/>
      <c r="KF26" s="103"/>
      <c r="KG26" s="103"/>
      <c r="KH26" s="103"/>
      <c r="KI26" s="103"/>
      <c r="KJ26" s="103"/>
      <c r="KK26" s="103"/>
      <c r="KL26" s="103"/>
      <c r="KM26" s="103"/>
      <c r="KN26" s="103"/>
      <c r="KO26" s="103"/>
      <c r="KP26" s="103"/>
      <c r="KQ26" s="103"/>
      <c r="KR26" s="103"/>
      <c r="KS26" s="103"/>
      <c r="KT26" s="103"/>
      <c r="KU26" s="103"/>
      <c r="KV26" s="103"/>
      <c r="KW26" s="103"/>
      <c r="KX26" s="103"/>
      <c r="KY26" s="103"/>
      <c r="KZ26" s="103"/>
      <c r="LA26" s="103"/>
      <c r="LB26" s="103"/>
      <c r="LC26" s="103"/>
      <c r="LD26" s="103"/>
      <c r="LE26" s="103"/>
      <c r="LF26" s="103"/>
      <c r="LG26" s="103"/>
      <c r="LH26" s="103"/>
      <c r="LI26" s="103"/>
      <c r="LJ26" s="103"/>
    </row>
    <row r="27" spans="1:322" s="208" customFormat="1">
      <c r="A27" s="103"/>
      <c r="B27" s="182">
        <v>1952</v>
      </c>
      <c r="C27" s="213">
        <v>0.97199999999999998</v>
      </c>
      <c r="D27" s="213">
        <v>1.1160000000000001</v>
      </c>
      <c r="E27" s="103"/>
      <c r="F27" s="103"/>
      <c r="G27" s="103"/>
      <c r="H27" s="103"/>
      <c r="I27" s="103"/>
      <c r="J27" s="103"/>
      <c r="K27" s="103"/>
      <c r="L27" s="103"/>
      <c r="M27" s="103"/>
      <c r="N27" s="103"/>
      <c r="O27" s="103"/>
      <c r="P27" s="103"/>
      <c r="Q27" s="103"/>
      <c r="R27" s="103"/>
      <c r="S27" s="103"/>
      <c r="T27" s="103"/>
      <c r="U27" s="103"/>
      <c r="V27" s="103"/>
      <c r="W27" s="103"/>
      <c r="X27" s="103"/>
      <c r="Y27" s="103"/>
      <c r="Z27" s="103"/>
      <c r="AA27" s="103"/>
      <c r="AB27" s="103"/>
      <c r="AC27" s="103"/>
      <c r="AD27" s="103"/>
      <c r="AE27" s="103"/>
      <c r="AF27" s="103"/>
      <c r="AG27" s="103"/>
      <c r="AH27" s="103"/>
      <c r="AI27" s="103"/>
      <c r="AJ27" s="103"/>
      <c r="AK27" s="103"/>
      <c r="AL27" s="103"/>
      <c r="AM27" s="103"/>
      <c r="AN27" s="103"/>
      <c r="AO27" s="103"/>
      <c r="AP27" s="103"/>
      <c r="AQ27" s="103"/>
      <c r="AR27" s="103"/>
      <c r="AS27" s="103"/>
      <c r="AT27" s="103"/>
      <c r="AU27" s="103"/>
      <c r="AV27" s="103"/>
      <c r="AW27" s="103"/>
      <c r="AX27" s="103"/>
      <c r="AY27" s="103"/>
      <c r="AZ27" s="103"/>
      <c r="BA27" s="103"/>
      <c r="BB27" s="103"/>
      <c r="BC27" s="103"/>
      <c r="BD27" s="103"/>
      <c r="BE27" s="103"/>
      <c r="BF27" s="103"/>
      <c r="BG27" s="103"/>
      <c r="BH27" s="103"/>
      <c r="BI27" s="103"/>
      <c r="BJ27" s="103"/>
      <c r="BK27" s="103"/>
      <c r="BL27" s="103"/>
      <c r="BM27" s="103"/>
      <c r="BN27" s="103"/>
      <c r="BO27" s="103"/>
      <c r="BP27" s="103"/>
      <c r="BQ27" s="103"/>
      <c r="BR27" s="103"/>
      <c r="BS27" s="103"/>
      <c r="BT27" s="103"/>
      <c r="BU27" s="103"/>
      <c r="BV27" s="103"/>
      <c r="BW27" s="103"/>
      <c r="BX27" s="103"/>
      <c r="BY27" s="103"/>
      <c r="BZ27" s="103"/>
      <c r="CA27" s="103"/>
      <c r="CB27" s="103"/>
      <c r="CC27" s="103"/>
      <c r="CD27" s="103"/>
      <c r="CE27" s="103"/>
      <c r="CF27" s="103"/>
      <c r="CG27" s="103"/>
      <c r="CH27" s="103"/>
      <c r="CI27" s="103"/>
      <c r="CJ27" s="103"/>
      <c r="CK27" s="103"/>
      <c r="CL27" s="103"/>
      <c r="CM27" s="103"/>
      <c r="CN27" s="103"/>
      <c r="CO27" s="103"/>
      <c r="CP27" s="103"/>
      <c r="CQ27" s="103"/>
      <c r="CR27" s="103"/>
      <c r="CS27" s="103"/>
      <c r="CT27" s="103"/>
      <c r="CU27" s="103"/>
      <c r="CV27" s="103"/>
      <c r="CW27" s="103"/>
      <c r="CX27" s="103"/>
      <c r="CY27" s="103"/>
      <c r="CZ27" s="103"/>
      <c r="DA27" s="103"/>
      <c r="DB27" s="103"/>
      <c r="DC27" s="103"/>
      <c r="DD27" s="103"/>
      <c r="DE27" s="103"/>
      <c r="DF27" s="103"/>
      <c r="DG27" s="103"/>
      <c r="DH27" s="103"/>
      <c r="DI27" s="103"/>
      <c r="DJ27" s="103"/>
      <c r="DK27" s="103"/>
      <c r="DL27" s="103"/>
      <c r="DM27" s="103"/>
      <c r="DN27" s="103"/>
      <c r="DO27" s="103"/>
      <c r="DP27" s="103"/>
      <c r="DQ27" s="103"/>
      <c r="DR27" s="103"/>
      <c r="DS27" s="103"/>
      <c r="DT27" s="103"/>
      <c r="DU27" s="103"/>
      <c r="DV27" s="103"/>
      <c r="DW27" s="103"/>
      <c r="DX27" s="103"/>
      <c r="DY27" s="103"/>
      <c r="DZ27" s="103"/>
      <c r="EA27" s="103"/>
      <c r="EB27" s="103"/>
      <c r="EC27" s="103"/>
      <c r="ED27" s="103"/>
      <c r="EE27" s="103"/>
      <c r="EF27" s="103"/>
      <c r="EG27" s="103"/>
      <c r="EH27" s="103"/>
      <c r="EI27" s="103"/>
      <c r="EJ27" s="103"/>
      <c r="EK27" s="103"/>
      <c r="EL27" s="103"/>
      <c r="EM27" s="103"/>
      <c r="EN27" s="103"/>
      <c r="EO27" s="103"/>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3"/>
      <c r="FO27" s="103"/>
      <c r="FP27" s="103"/>
      <c r="FQ27" s="103"/>
      <c r="FR27" s="103"/>
      <c r="FS27" s="103"/>
      <c r="FT27" s="103"/>
      <c r="FU27" s="103"/>
      <c r="FV27" s="103"/>
      <c r="FW27" s="103"/>
      <c r="FX27" s="103"/>
      <c r="FY27" s="103"/>
      <c r="FZ27" s="103"/>
      <c r="GA27" s="103"/>
      <c r="GB27" s="103"/>
      <c r="GC27" s="103"/>
      <c r="GD27" s="103"/>
      <c r="GE27" s="103"/>
      <c r="GF27" s="103"/>
      <c r="GG27" s="103"/>
      <c r="GH27" s="103"/>
      <c r="GI27" s="103"/>
      <c r="GJ27" s="103"/>
      <c r="GK27" s="103"/>
      <c r="GL27" s="103"/>
      <c r="GM27" s="103"/>
      <c r="GN27" s="103"/>
      <c r="GO27" s="103"/>
      <c r="GP27" s="103"/>
      <c r="GQ27" s="103"/>
      <c r="GR27" s="103"/>
      <c r="GS27" s="103"/>
      <c r="GT27" s="103"/>
      <c r="GU27" s="103"/>
      <c r="GV27" s="103"/>
      <c r="GW27" s="103"/>
      <c r="GX27" s="103"/>
      <c r="GY27" s="103"/>
      <c r="GZ27" s="103"/>
      <c r="HA27" s="103"/>
      <c r="HB27" s="103"/>
      <c r="HC27" s="103"/>
      <c r="HD27" s="103"/>
      <c r="HE27" s="103"/>
      <c r="HF27" s="103"/>
      <c r="HG27" s="103"/>
      <c r="HH27" s="103"/>
      <c r="HI27" s="103"/>
      <c r="HJ27" s="103"/>
      <c r="HK27" s="103"/>
      <c r="HL27" s="103"/>
      <c r="HM27" s="103"/>
      <c r="HN27" s="103"/>
      <c r="HO27" s="103"/>
      <c r="HP27" s="103"/>
      <c r="HQ27" s="103"/>
      <c r="HR27" s="103"/>
      <c r="HS27" s="103"/>
      <c r="HT27" s="103"/>
      <c r="HU27" s="103"/>
      <c r="HV27" s="103"/>
      <c r="HW27" s="103"/>
      <c r="HX27" s="103"/>
      <c r="HY27" s="103"/>
      <c r="HZ27" s="103"/>
      <c r="IA27" s="103"/>
      <c r="IB27" s="103"/>
      <c r="IC27" s="103"/>
      <c r="ID27" s="103"/>
      <c r="IE27" s="103"/>
      <c r="IF27" s="103"/>
      <c r="IG27" s="103"/>
      <c r="IH27" s="103"/>
      <c r="II27" s="103"/>
      <c r="IJ27" s="103"/>
      <c r="IK27" s="103"/>
      <c r="IL27" s="103"/>
      <c r="IM27" s="103"/>
      <c r="IN27" s="103"/>
      <c r="IO27" s="103"/>
      <c r="IP27" s="103"/>
      <c r="IQ27" s="103"/>
      <c r="IR27" s="103"/>
      <c r="IS27" s="103"/>
      <c r="IT27" s="103"/>
      <c r="IU27" s="103"/>
      <c r="IV27" s="103"/>
      <c r="IW27" s="103"/>
      <c r="IX27" s="103"/>
      <c r="IY27" s="103"/>
      <c r="IZ27" s="103"/>
      <c r="JA27" s="103"/>
      <c r="JB27" s="103"/>
      <c r="JC27" s="103"/>
      <c r="JD27" s="103"/>
      <c r="JE27" s="103"/>
      <c r="JF27" s="103"/>
      <c r="JG27" s="103"/>
      <c r="JH27" s="103"/>
      <c r="JI27" s="103"/>
      <c r="JJ27" s="103"/>
      <c r="JK27" s="103"/>
      <c r="JL27" s="103"/>
      <c r="JM27" s="103"/>
      <c r="JN27" s="103"/>
      <c r="JO27" s="103"/>
      <c r="JP27" s="103"/>
      <c r="JQ27" s="103"/>
      <c r="JR27" s="103"/>
      <c r="JS27" s="103"/>
      <c r="JT27" s="103"/>
      <c r="JU27" s="103"/>
      <c r="JV27" s="103"/>
      <c r="JW27" s="103"/>
      <c r="JX27" s="103"/>
      <c r="JY27" s="103"/>
      <c r="JZ27" s="103"/>
      <c r="KA27" s="103"/>
      <c r="KB27" s="103"/>
      <c r="KC27" s="103"/>
      <c r="KD27" s="103"/>
      <c r="KE27" s="103"/>
      <c r="KF27" s="103"/>
      <c r="KG27" s="103"/>
      <c r="KH27" s="103"/>
      <c r="KI27" s="103"/>
      <c r="KJ27" s="103"/>
      <c r="KK27" s="103"/>
      <c r="KL27" s="103"/>
      <c r="KM27" s="103"/>
      <c r="KN27" s="103"/>
      <c r="KO27" s="103"/>
      <c r="KP27" s="103"/>
      <c r="KQ27" s="103"/>
      <c r="KR27" s="103"/>
      <c r="KS27" s="103"/>
      <c r="KT27" s="103"/>
      <c r="KU27" s="103"/>
      <c r="KV27" s="103"/>
      <c r="KW27" s="103"/>
      <c r="KX27" s="103"/>
      <c r="KY27" s="103"/>
      <c r="KZ27" s="103"/>
      <c r="LA27" s="103"/>
      <c r="LB27" s="103"/>
      <c r="LC27" s="103"/>
      <c r="LD27" s="103"/>
      <c r="LE27" s="103"/>
      <c r="LF27" s="103"/>
      <c r="LG27" s="103"/>
      <c r="LH27" s="103"/>
      <c r="LI27" s="103"/>
      <c r="LJ27" s="103"/>
    </row>
    <row r="28" spans="1:322" s="208" customFormat="1">
      <c r="A28" s="103"/>
      <c r="B28" s="181">
        <v>1953</v>
      </c>
      <c r="C28" s="213">
        <v>0.97699999999999998</v>
      </c>
      <c r="D28" s="213">
        <v>1.1240000000000001</v>
      </c>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c r="CA28" s="103"/>
      <c r="CB28" s="103"/>
      <c r="CC28" s="103"/>
      <c r="CD28" s="103"/>
      <c r="CE28" s="103"/>
      <c r="CF28" s="103"/>
      <c r="CG28" s="103"/>
      <c r="CH28" s="103"/>
      <c r="CI28" s="103"/>
      <c r="CJ28" s="103"/>
      <c r="CK28" s="103"/>
      <c r="CL28" s="103"/>
      <c r="CM28" s="103"/>
      <c r="CN28" s="103"/>
      <c r="CO28" s="103"/>
      <c r="CP28" s="103"/>
      <c r="CQ28" s="103"/>
      <c r="CR28" s="103"/>
      <c r="CS28" s="103"/>
      <c r="CT28" s="103"/>
      <c r="CU28" s="103"/>
      <c r="CV28" s="103"/>
      <c r="CW28" s="103"/>
      <c r="CX28" s="103"/>
      <c r="CY28" s="103"/>
      <c r="CZ28" s="103"/>
      <c r="DA28" s="103"/>
      <c r="DB28" s="103"/>
      <c r="DC28" s="103"/>
      <c r="DD28" s="103"/>
      <c r="DE28" s="103"/>
      <c r="DF28" s="103"/>
      <c r="DG28" s="103"/>
      <c r="DH28" s="103"/>
      <c r="DI28" s="103"/>
      <c r="DJ28" s="103"/>
      <c r="DK28" s="103"/>
      <c r="DL28" s="103"/>
      <c r="DM28" s="103"/>
      <c r="DN28" s="103"/>
      <c r="DO28" s="103"/>
      <c r="DP28" s="103"/>
      <c r="DQ28" s="103"/>
      <c r="DR28" s="103"/>
      <c r="DS28" s="103"/>
      <c r="DT28" s="103"/>
      <c r="DU28" s="103"/>
      <c r="DV28" s="103"/>
      <c r="DW28" s="103"/>
      <c r="DX28" s="103"/>
      <c r="DY28" s="103"/>
      <c r="DZ28" s="103"/>
      <c r="EA28" s="103"/>
      <c r="EB28" s="103"/>
      <c r="EC28" s="103"/>
      <c r="ED28" s="103"/>
      <c r="EE28" s="103"/>
      <c r="EF28" s="103"/>
      <c r="EG28" s="103"/>
      <c r="EH28" s="103"/>
      <c r="EI28" s="103"/>
      <c r="EJ28" s="103"/>
      <c r="EK28" s="103"/>
      <c r="EL28" s="103"/>
      <c r="EM28" s="103"/>
      <c r="EN28" s="103"/>
      <c r="EO28" s="103"/>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3"/>
      <c r="FO28" s="103"/>
      <c r="FP28" s="103"/>
      <c r="FQ28" s="103"/>
      <c r="FR28" s="103"/>
      <c r="FS28" s="103"/>
      <c r="FT28" s="103"/>
      <c r="FU28" s="103"/>
      <c r="FV28" s="103"/>
      <c r="FW28" s="103"/>
      <c r="FX28" s="103"/>
      <c r="FY28" s="103"/>
      <c r="FZ28" s="103"/>
      <c r="GA28" s="103"/>
      <c r="GB28" s="103"/>
      <c r="GC28" s="103"/>
      <c r="GD28" s="103"/>
      <c r="GE28" s="103"/>
      <c r="GF28" s="103"/>
      <c r="GG28" s="103"/>
      <c r="GH28" s="103"/>
      <c r="GI28" s="103"/>
      <c r="GJ28" s="103"/>
      <c r="GK28" s="103"/>
      <c r="GL28" s="103"/>
      <c r="GM28" s="103"/>
      <c r="GN28" s="103"/>
      <c r="GO28" s="103"/>
      <c r="GP28" s="103"/>
      <c r="GQ28" s="103"/>
      <c r="GR28" s="103"/>
      <c r="GS28" s="103"/>
      <c r="GT28" s="103"/>
      <c r="GU28" s="103"/>
      <c r="GV28" s="103"/>
      <c r="GW28" s="103"/>
      <c r="GX28" s="103"/>
      <c r="GY28" s="103"/>
      <c r="GZ28" s="103"/>
      <c r="HA28" s="103"/>
      <c r="HB28" s="103"/>
      <c r="HC28" s="103"/>
      <c r="HD28" s="103"/>
      <c r="HE28" s="103"/>
      <c r="HF28" s="103"/>
      <c r="HG28" s="103"/>
      <c r="HH28" s="103"/>
      <c r="HI28" s="103"/>
      <c r="HJ28" s="103"/>
      <c r="HK28" s="103"/>
      <c r="HL28" s="103"/>
      <c r="HM28" s="103"/>
      <c r="HN28" s="103"/>
      <c r="HO28" s="103"/>
      <c r="HP28" s="103"/>
      <c r="HQ28" s="103"/>
      <c r="HR28" s="103"/>
      <c r="HS28" s="103"/>
      <c r="HT28" s="103"/>
      <c r="HU28" s="103"/>
      <c r="HV28" s="103"/>
      <c r="HW28" s="103"/>
      <c r="HX28" s="103"/>
      <c r="HY28" s="103"/>
      <c r="HZ28" s="103"/>
      <c r="IA28" s="103"/>
      <c r="IB28" s="103"/>
      <c r="IC28" s="103"/>
      <c r="ID28" s="103"/>
      <c r="IE28" s="103"/>
      <c r="IF28" s="103"/>
      <c r="IG28" s="103"/>
      <c r="IH28" s="103"/>
      <c r="II28" s="103"/>
      <c r="IJ28" s="103"/>
      <c r="IK28" s="103"/>
      <c r="IL28" s="103"/>
      <c r="IM28" s="103"/>
      <c r="IN28" s="103"/>
      <c r="IO28" s="103"/>
      <c r="IP28" s="103"/>
      <c r="IQ28" s="103"/>
      <c r="IR28" s="103"/>
      <c r="IS28" s="103"/>
      <c r="IT28" s="103"/>
      <c r="IU28" s="103"/>
      <c r="IV28" s="103"/>
      <c r="IW28" s="103"/>
      <c r="IX28" s="103"/>
      <c r="IY28" s="103"/>
      <c r="IZ28" s="103"/>
      <c r="JA28" s="103"/>
      <c r="JB28" s="103"/>
      <c r="JC28" s="103"/>
      <c r="JD28" s="103"/>
      <c r="JE28" s="103"/>
      <c r="JF28" s="103"/>
      <c r="JG28" s="103"/>
      <c r="JH28" s="103"/>
      <c r="JI28" s="103"/>
      <c r="JJ28" s="103"/>
      <c r="JK28" s="103"/>
      <c r="JL28" s="103"/>
      <c r="JM28" s="103"/>
      <c r="JN28" s="103"/>
      <c r="JO28" s="103"/>
      <c r="JP28" s="103"/>
      <c r="JQ28" s="103"/>
      <c r="JR28" s="103"/>
      <c r="JS28" s="103"/>
      <c r="JT28" s="103"/>
      <c r="JU28" s="103"/>
      <c r="JV28" s="103"/>
      <c r="JW28" s="103"/>
      <c r="JX28" s="103"/>
      <c r="JY28" s="103"/>
      <c r="JZ28" s="103"/>
      <c r="KA28" s="103"/>
      <c r="KB28" s="103"/>
      <c r="KC28" s="103"/>
      <c r="KD28" s="103"/>
      <c r="KE28" s="103"/>
      <c r="KF28" s="103"/>
      <c r="KG28" s="103"/>
      <c r="KH28" s="103"/>
      <c r="KI28" s="103"/>
      <c r="KJ28" s="103"/>
      <c r="KK28" s="103"/>
      <c r="KL28" s="103"/>
      <c r="KM28" s="103"/>
      <c r="KN28" s="103"/>
      <c r="KO28" s="103"/>
      <c r="KP28" s="103"/>
      <c r="KQ28" s="103"/>
      <c r="KR28" s="103"/>
      <c r="KS28" s="103"/>
      <c r="KT28" s="103"/>
      <c r="KU28" s="103"/>
      <c r="KV28" s="103"/>
      <c r="KW28" s="103"/>
      <c r="KX28" s="103"/>
      <c r="KY28" s="103"/>
      <c r="KZ28" s="103"/>
      <c r="LA28" s="103"/>
      <c r="LB28" s="103"/>
      <c r="LC28" s="103"/>
      <c r="LD28" s="103"/>
      <c r="LE28" s="103"/>
      <c r="LF28" s="103"/>
      <c r="LG28" s="103"/>
      <c r="LH28" s="103"/>
      <c r="LI28" s="103"/>
      <c r="LJ28" s="103"/>
    </row>
    <row r="29" spans="1:322" s="208" customFormat="1">
      <c r="A29" s="103"/>
      <c r="B29" s="182">
        <v>1954</v>
      </c>
      <c r="C29" s="213">
        <v>0.97499999999999998</v>
      </c>
      <c r="D29" s="213">
        <v>1.123</v>
      </c>
      <c r="E29" s="103"/>
      <c r="F29" s="103"/>
      <c r="G29" s="103"/>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c r="AE29" s="103"/>
      <c r="AF29" s="103"/>
      <c r="AG29" s="103"/>
      <c r="AH29" s="103"/>
      <c r="AI29" s="103"/>
      <c r="AJ29" s="103"/>
      <c r="AK29" s="103"/>
      <c r="AL29" s="103"/>
      <c r="AM29" s="103"/>
      <c r="AN29" s="103"/>
      <c r="AO29" s="103"/>
      <c r="AP29" s="103"/>
      <c r="AQ29" s="103"/>
      <c r="AR29" s="103"/>
      <c r="AS29" s="103"/>
      <c r="AT29" s="103"/>
      <c r="AU29" s="103"/>
      <c r="AV29" s="103"/>
      <c r="AW29" s="103"/>
      <c r="AX29" s="103"/>
      <c r="AY29" s="103"/>
      <c r="AZ29" s="103"/>
      <c r="BA29" s="103"/>
      <c r="BB29" s="103"/>
      <c r="BC29" s="103"/>
      <c r="BD29" s="103"/>
      <c r="BE29" s="103"/>
      <c r="BF29" s="103"/>
      <c r="BG29" s="103"/>
      <c r="BH29" s="103"/>
      <c r="BI29" s="103"/>
      <c r="BJ29" s="103"/>
      <c r="BK29" s="103"/>
      <c r="BL29" s="103"/>
      <c r="BM29" s="103"/>
      <c r="BN29" s="103"/>
      <c r="BO29" s="103"/>
      <c r="BP29" s="103"/>
      <c r="BQ29" s="103"/>
      <c r="BR29" s="103"/>
      <c r="BS29" s="103"/>
      <c r="BT29" s="103"/>
      <c r="BU29" s="103"/>
      <c r="BV29" s="103"/>
      <c r="BW29" s="103"/>
      <c r="BX29" s="103"/>
      <c r="BY29" s="103"/>
      <c r="BZ29" s="103"/>
      <c r="CA29" s="103"/>
      <c r="CB29" s="103"/>
      <c r="CC29" s="103"/>
      <c r="CD29" s="103"/>
      <c r="CE29" s="103"/>
      <c r="CF29" s="103"/>
      <c r="CG29" s="103"/>
      <c r="CH29" s="103"/>
      <c r="CI29" s="103"/>
      <c r="CJ29" s="103"/>
      <c r="CK29" s="103"/>
      <c r="CL29" s="103"/>
      <c r="CM29" s="103"/>
      <c r="CN29" s="103"/>
      <c r="CO29" s="103"/>
      <c r="CP29" s="103"/>
      <c r="CQ29" s="103"/>
      <c r="CR29" s="103"/>
      <c r="CS29" s="103"/>
      <c r="CT29" s="103"/>
      <c r="CU29" s="103"/>
      <c r="CV29" s="103"/>
      <c r="CW29" s="103"/>
      <c r="CX29" s="103"/>
      <c r="CY29" s="103"/>
      <c r="CZ29" s="103"/>
      <c r="DA29" s="103"/>
      <c r="DB29" s="103"/>
      <c r="DC29" s="103"/>
      <c r="DD29" s="103"/>
      <c r="DE29" s="103"/>
      <c r="DF29" s="103"/>
      <c r="DG29" s="103"/>
      <c r="DH29" s="103"/>
      <c r="DI29" s="103"/>
      <c r="DJ29" s="103"/>
      <c r="DK29" s="103"/>
      <c r="DL29" s="103"/>
      <c r="DM29" s="103"/>
      <c r="DN29" s="103"/>
      <c r="DO29" s="103"/>
      <c r="DP29" s="103"/>
      <c r="DQ29" s="103"/>
      <c r="DR29" s="103"/>
      <c r="DS29" s="103"/>
      <c r="DT29" s="103"/>
      <c r="DU29" s="103"/>
      <c r="DV29" s="103"/>
      <c r="DW29" s="103"/>
      <c r="DX29" s="103"/>
      <c r="DY29" s="103"/>
      <c r="DZ29" s="103"/>
      <c r="EA29" s="103"/>
      <c r="EB29" s="103"/>
      <c r="EC29" s="103"/>
      <c r="ED29" s="103"/>
      <c r="EE29" s="103"/>
      <c r="EF29" s="103"/>
      <c r="EG29" s="103"/>
      <c r="EH29" s="103"/>
      <c r="EI29" s="103"/>
      <c r="EJ29" s="103"/>
      <c r="EK29" s="103"/>
      <c r="EL29" s="103"/>
      <c r="EM29" s="103"/>
      <c r="EN29" s="103"/>
      <c r="EO29" s="103"/>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3"/>
      <c r="FO29" s="103"/>
      <c r="FP29" s="103"/>
      <c r="FQ29" s="103"/>
      <c r="FR29" s="103"/>
      <c r="FS29" s="103"/>
      <c r="FT29" s="103"/>
      <c r="FU29" s="103"/>
      <c r="FV29" s="103"/>
      <c r="FW29" s="103"/>
      <c r="FX29" s="103"/>
      <c r="FY29" s="103"/>
      <c r="FZ29" s="103"/>
      <c r="GA29" s="103"/>
      <c r="GB29" s="103"/>
      <c r="GC29" s="103"/>
      <c r="GD29" s="103"/>
      <c r="GE29" s="103"/>
      <c r="GF29" s="103"/>
      <c r="GG29" s="103"/>
      <c r="GH29" s="103"/>
      <c r="GI29" s="103"/>
      <c r="GJ29" s="103"/>
      <c r="GK29" s="103"/>
      <c r="GL29" s="103"/>
      <c r="GM29" s="103"/>
      <c r="GN29" s="103"/>
      <c r="GO29" s="103"/>
      <c r="GP29" s="103"/>
      <c r="GQ29" s="103"/>
      <c r="GR29" s="103"/>
      <c r="GS29" s="103"/>
      <c r="GT29" s="103"/>
      <c r="GU29" s="103"/>
      <c r="GV29" s="103"/>
      <c r="GW29" s="103"/>
      <c r="GX29" s="103"/>
      <c r="GY29" s="103"/>
      <c r="GZ29" s="103"/>
      <c r="HA29" s="103"/>
      <c r="HB29" s="103"/>
      <c r="HC29" s="103"/>
      <c r="HD29" s="103"/>
      <c r="HE29" s="103"/>
      <c r="HF29" s="103"/>
      <c r="HG29" s="103"/>
      <c r="HH29" s="103"/>
      <c r="HI29" s="103"/>
      <c r="HJ29" s="103"/>
      <c r="HK29" s="103"/>
      <c r="HL29" s="103"/>
      <c r="HM29" s="103"/>
      <c r="HN29" s="103"/>
      <c r="HO29" s="103"/>
      <c r="HP29" s="103"/>
      <c r="HQ29" s="103"/>
      <c r="HR29" s="103"/>
      <c r="HS29" s="103"/>
      <c r="HT29" s="103"/>
      <c r="HU29" s="103"/>
      <c r="HV29" s="103"/>
      <c r="HW29" s="103"/>
      <c r="HX29" s="103"/>
      <c r="HY29" s="103"/>
      <c r="HZ29" s="103"/>
      <c r="IA29" s="103"/>
      <c r="IB29" s="103"/>
      <c r="IC29" s="103"/>
      <c r="ID29" s="103"/>
      <c r="IE29" s="103"/>
      <c r="IF29" s="103"/>
      <c r="IG29" s="103"/>
      <c r="IH29" s="103"/>
      <c r="II29" s="103"/>
      <c r="IJ29" s="103"/>
      <c r="IK29" s="103"/>
      <c r="IL29" s="103"/>
      <c r="IM29" s="103"/>
      <c r="IN29" s="103"/>
      <c r="IO29" s="103"/>
      <c r="IP29" s="103"/>
      <c r="IQ29" s="103"/>
      <c r="IR29" s="103"/>
      <c r="IS29" s="103"/>
      <c r="IT29" s="103"/>
      <c r="IU29" s="103"/>
      <c r="IV29" s="103"/>
      <c r="IW29" s="103"/>
      <c r="IX29" s="103"/>
      <c r="IY29" s="103"/>
      <c r="IZ29" s="103"/>
      <c r="JA29" s="103"/>
      <c r="JB29" s="103"/>
      <c r="JC29" s="103"/>
      <c r="JD29" s="103"/>
      <c r="JE29" s="103"/>
      <c r="JF29" s="103"/>
      <c r="JG29" s="103"/>
      <c r="JH29" s="103"/>
      <c r="JI29" s="103"/>
      <c r="JJ29" s="103"/>
      <c r="JK29" s="103"/>
      <c r="JL29" s="103"/>
      <c r="JM29" s="103"/>
      <c r="JN29" s="103"/>
      <c r="JO29" s="103"/>
      <c r="JP29" s="103"/>
      <c r="JQ29" s="103"/>
      <c r="JR29" s="103"/>
      <c r="JS29" s="103"/>
      <c r="JT29" s="103"/>
      <c r="JU29" s="103"/>
      <c r="JV29" s="103"/>
      <c r="JW29" s="103"/>
      <c r="JX29" s="103"/>
      <c r="JY29" s="103"/>
      <c r="JZ29" s="103"/>
      <c r="KA29" s="103"/>
      <c r="KB29" s="103"/>
      <c r="KC29" s="103"/>
      <c r="KD29" s="103"/>
      <c r="KE29" s="103"/>
      <c r="KF29" s="103"/>
      <c r="KG29" s="103"/>
      <c r="KH29" s="103"/>
      <c r="KI29" s="103"/>
      <c r="KJ29" s="103"/>
      <c r="KK29" s="103"/>
      <c r="KL29" s="103"/>
      <c r="KM29" s="103"/>
      <c r="KN29" s="103"/>
      <c r="KO29" s="103"/>
      <c r="KP29" s="103"/>
      <c r="KQ29" s="103"/>
      <c r="KR29" s="103"/>
      <c r="KS29" s="103"/>
      <c r="KT29" s="103"/>
      <c r="KU29" s="103"/>
      <c r="KV29" s="103"/>
      <c r="KW29" s="103"/>
      <c r="KX29" s="103"/>
      <c r="KY29" s="103"/>
      <c r="KZ29" s="103"/>
      <c r="LA29" s="103"/>
      <c r="LB29" s="103"/>
      <c r="LC29" s="103"/>
      <c r="LD29" s="103"/>
      <c r="LE29" s="103"/>
      <c r="LF29" s="103"/>
      <c r="LG29" s="103"/>
      <c r="LH29" s="103"/>
      <c r="LI29" s="103"/>
      <c r="LJ29" s="103"/>
    </row>
    <row r="30" spans="1:322" s="208" customFormat="1">
      <c r="A30" s="103"/>
      <c r="B30" s="181">
        <v>1955</v>
      </c>
      <c r="C30" s="213">
        <v>0.97799999999999998</v>
      </c>
      <c r="D30" s="213">
        <v>1.127</v>
      </c>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c r="CE30" s="103"/>
      <c r="CF30" s="103"/>
      <c r="CG30" s="103"/>
      <c r="CH30" s="103"/>
      <c r="CI30" s="103"/>
      <c r="CJ30" s="103"/>
      <c r="CK30" s="103"/>
      <c r="CL30" s="103"/>
      <c r="CM30" s="103"/>
      <c r="CN30" s="103"/>
      <c r="CO30" s="103"/>
      <c r="CP30" s="103"/>
      <c r="CQ30" s="103"/>
      <c r="CR30" s="103"/>
      <c r="CS30" s="103"/>
      <c r="CT30" s="103"/>
      <c r="CU30" s="103"/>
      <c r="CV30" s="103"/>
      <c r="CW30" s="103"/>
      <c r="CX30" s="103"/>
      <c r="CY30" s="103"/>
      <c r="CZ30" s="103"/>
      <c r="DA30" s="103"/>
      <c r="DB30" s="103"/>
      <c r="DC30" s="103"/>
      <c r="DD30" s="103"/>
      <c r="DE30" s="103"/>
      <c r="DF30" s="103"/>
      <c r="DG30" s="103"/>
      <c r="DH30" s="103"/>
      <c r="DI30" s="103"/>
      <c r="DJ30" s="103"/>
      <c r="DK30" s="103"/>
      <c r="DL30" s="103"/>
      <c r="DM30" s="103"/>
      <c r="DN30" s="103"/>
      <c r="DO30" s="103"/>
      <c r="DP30" s="103"/>
      <c r="DQ30" s="103"/>
      <c r="DR30" s="103"/>
      <c r="DS30" s="103"/>
      <c r="DT30" s="103"/>
      <c r="DU30" s="103"/>
      <c r="DV30" s="103"/>
      <c r="DW30" s="103"/>
      <c r="DX30" s="103"/>
      <c r="DY30" s="103"/>
      <c r="DZ30" s="103"/>
      <c r="EA30" s="103"/>
      <c r="EB30" s="103"/>
      <c r="EC30" s="103"/>
      <c r="ED30" s="103"/>
      <c r="EE30" s="103"/>
      <c r="EF30" s="103"/>
      <c r="EG30" s="103"/>
      <c r="EH30" s="103"/>
      <c r="EI30" s="103"/>
      <c r="EJ30" s="103"/>
      <c r="EK30" s="103"/>
      <c r="EL30" s="103"/>
      <c r="EM30" s="103"/>
      <c r="EN30" s="103"/>
      <c r="EO30" s="103"/>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3"/>
      <c r="FO30" s="103"/>
      <c r="FP30" s="103"/>
      <c r="FQ30" s="103"/>
      <c r="FR30" s="103"/>
      <c r="FS30" s="103"/>
      <c r="FT30" s="103"/>
      <c r="FU30" s="103"/>
      <c r="FV30" s="103"/>
      <c r="FW30" s="103"/>
      <c r="FX30" s="103"/>
      <c r="FY30" s="103"/>
      <c r="FZ30" s="103"/>
      <c r="GA30" s="103"/>
      <c r="GB30" s="103"/>
      <c r="GC30" s="103"/>
      <c r="GD30" s="103"/>
      <c r="GE30" s="103"/>
      <c r="GF30" s="103"/>
      <c r="GG30" s="103"/>
      <c r="GH30" s="103"/>
      <c r="GI30" s="103"/>
      <c r="GJ30" s="103"/>
      <c r="GK30" s="103"/>
      <c r="GL30" s="103"/>
      <c r="GM30" s="103"/>
      <c r="GN30" s="103"/>
      <c r="GO30" s="103"/>
      <c r="GP30" s="103"/>
      <c r="GQ30" s="103"/>
      <c r="GR30" s="103"/>
      <c r="GS30" s="103"/>
      <c r="GT30" s="103"/>
      <c r="GU30" s="103"/>
      <c r="GV30" s="103"/>
      <c r="GW30" s="103"/>
      <c r="GX30" s="103"/>
      <c r="GY30" s="103"/>
      <c r="GZ30" s="103"/>
      <c r="HA30" s="103"/>
      <c r="HB30" s="103"/>
      <c r="HC30" s="103"/>
      <c r="HD30" s="103"/>
      <c r="HE30" s="103"/>
      <c r="HF30" s="103"/>
      <c r="HG30" s="103"/>
      <c r="HH30" s="103"/>
      <c r="HI30" s="103"/>
      <c r="HJ30" s="103"/>
      <c r="HK30" s="103"/>
      <c r="HL30" s="103"/>
      <c r="HM30" s="103"/>
      <c r="HN30" s="103"/>
      <c r="HO30" s="103"/>
      <c r="HP30" s="103"/>
      <c r="HQ30" s="103"/>
      <c r="HR30" s="103"/>
      <c r="HS30" s="103"/>
      <c r="HT30" s="103"/>
      <c r="HU30" s="103"/>
      <c r="HV30" s="103"/>
      <c r="HW30" s="103"/>
      <c r="HX30" s="103"/>
      <c r="HY30" s="103"/>
      <c r="HZ30" s="103"/>
      <c r="IA30" s="103"/>
      <c r="IB30" s="103"/>
      <c r="IC30" s="103"/>
      <c r="ID30" s="103"/>
      <c r="IE30" s="103"/>
      <c r="IF30" s="103"/>
      <c r="IG30" s="103"/>
      <c r="IH30" s="103"/>
      <c r="II30" s="103"/>
      <c r="IJ30" s="103"/>
      <c r="IK30" s="103"/>
      <c r="IL30" s="103"/>
      <c r="IM30" s="103"/>
      <c r="IN30" s="103"/>
      <c r="IO30" s="103"/>
      <c r="IP30" s="103"/>
      <c r="IQ30" s="103"/>
      <c r="IR30" s="103"/>
      <c r="IS30" s="103"/>
      <c r="IT30" s="103"/>
      <c r="IU30" s="103"/>
      <c r="IV30" s="103"/>
      <c r="IW30" s="103"/>
      <c r="IX30" s="103"/>
      <c r="IY30" s="103"/>
      <c r="IZ30" s="103"/>
      <c r="JA30" s="103"/>
      <c r="JB30" s="103"/>
      <c r="JC30" s="103"/>
      <c r="JD30" s="103"/>
      <c r="JE30" s="103"/>
      <c r="JF30" s="103"/>
      <c r="JG30" s="103"/>
      <c r="JH30" s="103"/>
      <c r="JI30" s="103"/>
      <c r="JJ30" s="103"/>
      <c r="JK30" s="103"/>
      <c r="JL30" s="103"/>
      <c r="JM30" s="103"/>
      <c r="JN30" s="103"/>
      <c r="JO30" s="103"/>
      <c r="JP30" s="103"/>
      <c r="JQ30" s="103"/>
      <c r="JR30" s="103"/>
      <c r="JS30" s="103"/>
      <c r="JT30" s="103"/>
      <c r="JU30" s="103"/>
      <c r="JV30" s="103"/>
      <c r="JW30" s="103"/>
      <c r="JX30" s="103"/>
      <c r="JY30" s="103"/>
      <c r="JZ30" s="103"/>
      <c r="KA30" s="103"/>
      <c r="KB30" s="103"/>
      <c r="KC30" s="103"/>
      <c r="KD30" s="103"/>
      <c r="KE30" s="103"/>
      <c r="KF30" s="103"/>
      <c r="KG30" s="103"/>
      <c r="KH30" s="103"/>
      <c r="KI30" s="103"/>
      <c r="KJ30" s="103"/>
      <c r="KK30" s="103"/>
      <c r="KL30" s="103"/>
      <c r="KM30" s="103"/>
      <c r="KN30" s="103"/>
      <c r="KO30" s="103"/>
      <c r="KP30" s="103"/>
      <c r="KQ30" s="103"/>
      <c r="KR30" s="103"/>
      <c r="KS30" s="103"/>
      <c r="KT30" s="103"/>
      <c r="KU30" s="103"/>
      <c r="KV30" s="103"/>
      <c r="KW30" s="103"/>
      <c r="KX30" s="103"/>
      <c r="KY30" s="103"/>
      <c r="KZ30" s="103"/>
      <c r="LA30" s="103"/>
      <c r="LB30" s="103"/>
      <c r="LC30" s="103"/>
      <c r="LD30" s="103"/>
      <c r="LE30" s="103"/>
      <c r="LF30" s="103"/>
      <c r="LG30" s="103"/>
      <c r="LH30" s="103"/>
      <c r="LI30" s="103"/>
      <c r="LJ30" s="103"/>
    </row>
    <row r="31" spans="1:322" s="208" customFormat="1">
      <c r="A31" s="103"/>
      <c r="B31" s="182">
        <v>1956</v>
      </c>
      <c r="C31" s="213">
        <v>0.98099999999999998</v>
      </c>
      <c r="D31" s="213">
        <v>1.131</v>
      </c>
      <c r="E31" s="103"/>
      <c r="F31" s="103"/>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103"/>
      <c r="CE31" s="103"/>
      <c r="CF31" s="103"/>
      <c r="CG31" s="103"/>
      <c r="CH31" s="103"/>
      <c r="CI31" s="103"/>
      <c r="CJ31" s="103"/>
      <c r="CK31" s="103"/>
      <c r="CL31" s="103"/>
      <c r="CM31" s="103"/>
      <c r="CN31" s="103"/>
      <c r="CO31" s="103"/>
      <c r="CP31" s="103"/>
      <c r="CQ31" s="103"/>
      <c r="CR31" s="103"/>
      <c r="CS31" s="103"/>
      <c r="CT31" s="103"/>
      <c r="CU31" s="103"/>
      <c r="CV31" s="103"/>
      <c r="CW31" s="103"/>
      <c r="CX31" s="103"/>
      <c r="CY31" s="103"/>
      <c r="CZ31" s="103"/>
      <c r="DA31" s="103"/>
      <c r="DB31" s="103"/>
      <c r="DC31" s="103"/>
      <c r="DD31" s="103"/>
      <c r="DE31" s="103"/>
      <c r="DF31" s="103"/>
      <c r="DG31" s="103"/>
      <c r="DH31" s="103"/>
      <c r="DI31" s="103"/>
      <c r="DJ31" s="103"/>
      <c r="DK31" s="103"/>
      <c r="DL31" s="103"/>
      <c r="DM31" s="103"/>
      <c r="DN31" s="103"/>
      <c r="DO31" s="103"/>
      <c r="DP31" s="103"/>
      <c r="DQ31" s="103"/>
      <c r="DR31" s="103"/>
      <c r="DS31" s="103"/>
      <c r="DT31" s="103"/>
      <c r="DU31" s="103"/>
      <c r="DV31" s="103"/>
      <c r="DW31" s="103"/>
      <c r="DX31" s="103"/>
      <c r="DY31" s="103"/>
      <c r="DZ31" s="103"/>
      <c r="EA31" s="103"/>
      <c r="EB31" s="103"/>
      <c r="EC31" s="103"/>
      <c r="ED31" s="103"/>
      <c r="EE31" s="103"/>
      <c r="EF31" s="103"/>
      <c r="EG31" s="103"/>
      <c r="EH31" s="103"/>
      <c r="EI31" s="103"/>
      <c r="EJ31" s="103"/>
      <c r="EK31" s="103"/>
      <c r="EL31" s="103"/>
      <c r="EM31" s="103"/>
      <c r="EN31" s="103"/>
      <c r="EO31" s="103"/>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3"/>
      <c r="FO31" s="103"/>
      <c r="FP31" s="103"/>
      <c r="FQ31" s="103"/>
      <c r="FR31" s="103"/>
      <c r="FS31" s="103"/>
      <c r="FT31" s="103"/>
      <c r="FU31" s="103"/>
      <c r="FV31" s="103"/>
      <c r="FW31" s="103"/>
      <c r="FX31" s="103"/>
      <c r="FY31" s="103"/>
      <c r="FZ31" s="103"/>
      <c r="GA31" s="103"/>
      <c r="GB31" s="103"/>
      <c r="GC31" s="103"/>
      <c r="GD31" s="103"/>
      <c r="GE31" s="103"/>
      <c r="GF31" s="103"/>
      <c r="GG31" s="103"/>
      <c r="GH31" s="103"/>
      <c r="GI31" s="103"/>
      <c r="GJ31" s="103"/>
      <c r="GK31" s="103"/>
      <c r="GL31" s="103"/>
      <c r="GM31" s="103"/>
      <c r="GN31" s="103"/>
      <c r="GO31" s="103"/>
      <c r="GP31" s="103"/>
      <c r="GQ31" s="103"/>
      <c r="GR31" s="103"/>
      <c r="GS31" s="103"/>
      <c r="GT31" s="103"/>
      <c r="GU31" s="103"/>
      <c r="GV31" s="103"/>
      <c r="GW31" s="103"/>
      <c r="GX31" s="103"/>
      <c r="GY31" s="103"/>
      <c r="GZ31" s="103"/>
      <c r="HA31" s="103"/>
      <c r="HB31" s="103"/>
      <c r="HC31" s="103"/>
      <c r="HD31" s="103"/>
      <c r="HE31" s="103"/>
      <c r="HF31" s="103"/>
      <c r="HG31" s="103"/>
      <c r="HH31" s="103"/>
      <c r="HI31" s="103"/>
      <c r="HJ31" s="103"/>
      <c r="HK31" s="103"/>
      <c r="HL31" s="103"/>
      <c r="HM31" s="103"/>
      <c r="HN31" s="103"/>
      <c r="HO31" s="103"/>
      <c r="HP31" s="103"/>
      <c r="HQ31" s="103"/>
      <c r="HR31" s="103"/>
      <c r="HS31" s="103"/>
      <c r="HT31" s="103"/>
      <c r="HU31" s="103"/>
      <c r="HV31" s="103"/>
      <c r="HW31" s="103"/>
      <c r="HX31" s="103"/>
      <c r="HY31" s="103"/>
      <c r="HZ31" s="103"/>
      <c r="IA31" s="103"/>
      <c r="IB31" s="103"/>
      <c r="IC31" s="103"/>
      <c r="ID31" s="103"/>
      <c r="IE31" s="103"/>
      <c r="IF31" s="103"/>
      <c r="IG31" s="103"/>
      <c r="IH31" s="103"/>
      <c r="II31" s="103"/>
      <c r="IJ31" s="103"/>
      <c r="IK31" s="103"/>
      <c r="IL31" s="103"/>
      <c r="IM31" s="103"/>
      <c r="IN31" s="103"/>
      <c r="IO31" s="103"/>
      <c r="IP31" s="103"/>
      <c r="IQ31" s="103"/>
      <c r="IR31" s="103"/>
      <c r="IS31" s="103"/>
      <c r="IT31" s="103"/>
      <c r="IU31" s="103"/>
      <c r="IV31" s="103"/>
      <c r="IW31" s="103"/>
      <c r="IX31" s="103"/>
      <c r="IY31" s="103"/>
      <c r="IZ31" s="103"/>
      <c r="JA31" s="103"/>
      <c r="JB31" s="103"/>
      <c r="JC31" s="103"/>
      <c r="JD31" s="103"/>
      <c r="JE31" s="103"/>
      <c r="JF31" s="103"/>
      <c r="JG31" s="103"/>
      <c r="JH31" s="103"/>
      <c r="JI31" s="103"/>
      <c r="JJ31" s="103"/>
      <c r="JK31" s="103"/>
      <c r="JL31" s="103"/>
      <c r="JM31" s="103"/>
      <c r="JN31" s="103"/>
      <c r="JO31" s="103"/>
      <c r="JP31" s="103"/>
      <c r="JQ31" s="103"/>
      <c r="JR31" s="103"/>
      <c r="JS31" s="103"/>
      <c r="JT31" s="103"/>
      <c r="JU31" s="103"/>
      <c r="JV31" s="103"/>
      <c r="JW31" s="103"/>
      <c r="JX31" s="103"/>
      <c r="JY31" s="103"/>
      <c r="JZ31" s="103"/>
      <c r="KA31" s="103"/>
      <c r="KB31" s="103"/>
      <c r="KC31" s="103"/>
      <c r="KD31" s="103"/>
      <c r="KE31" s="103"/>
      <c r="KF31" s="103"/>
      <c r="KG31" s="103"/>
      <c r="KH31" s="103"/>
      <c r="KI31" s="103"/>
      <c r="KJ31" s="103"/>
      <c r="KK31" s="103"/>
      <c r="KL31" s="103"/>
      <c r="KM31" s="103"/>
      <c r="KN31" s="103"/>
      <c r="KO31" s="103"/>
      <c r="KP31" s="103"/>
      <c r="KQ31" s="103"/>
      <c r="KR31" s="103"/>
      <c r="KS31" s="103"/>
      <c r="KT31" s="103"/>
      <c r="KU31" s="103"/>
      <c r="KV31" s="103"/>
      <c r="KW31" s="103"/>
      <c r="KX31" s="103"/>
      <c r="KY31" s="103"/>
      <c r="KZ31" s="103"/>
      <c r="LA31" s="103"/>
      <c r="LB31" s="103"/>
      <c r="LC31" s="103"/>
      <c r="LD31" s="103"/>
      <c r="LE31" s="103"/>
      <c r="LF31" s="103"/>
      <c r="LG31" s="103"/>
      <c r="LH31" s="103"/>
      <c r="LI31" s="103"/>
      <c r="LJ31" s="103"/>
    </row>
    <row r="32" spans="1:322" s="208" customFormat="1">
      <c r="A32" s="103"/>
      <c r="B32" s="181">
        <v>1957</v>
      </c>
      <c r="C32" s="213">
        <v>0.98299999999999998</v>
      </c>
      <c r="D32" s="213">
        <v>1.131</v>
      </c>
      <c r="E32" s="103"/>
      <c r="F32" s="103"/>
      <c r="G32" s="103"/>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c r="BG32" s="103"/>
      <c r="BH32" s="103"/>
      <c r="BI32" s="103"/>
      <c r="BJ32" s="103"/>
      <c r="BK32" s="103"/>
      <c r="BL32" s="103"/>
      <c r="BM32" s="103"/>
      <c r="BN32" s="103"/>
      <c r="BO32" s="103"/>
      <c r="BP32" s="103"/>
      <c r="BQ32" s="103"/>
      <c r="BR32" s="103"/>
      <c r="BS32" s="103"/>
      <c r="BT32" s="103"/>
      <c r="BU32" s="103"/>
      <c r="BV32" s="103"/>
      <c r="BW32" s="103"/>
      <c r="BX32" s="103"/>
      <c r="BY32" s="103"/>
      <c r="BZ32" s="103"/>
      <c r="CA32" s="103"/>
      <c r="CB32" s="103"/>
      <c r="CC32" s="103"/>
      <c r="CD32" s="103"/>
      <c r="CE32" s="103"/>
      <c r="CF32" s="103"/>
      <c r="CG32" s="103"/>
      <c r="CH32" s="103"/>
      <c r="CI32" s="103"/>
      <c r="CJ32" s="103"/>
      <c r="CK32" s="103"/>
      <c r="CL32" s="103"/>
      <c r="CM32" s="103"/>
      <c r="CN32" s="103"/>
      <c r="CO32" s="103"/>
      <c r="CP32" s="103"/>
      <c r="CQ32" s="103"/>
      <c r="CR32" s="103"/>
      <c r="CS32" s="103"/>
      <c r="CT32" s="103"/>
      <c r="CU32" s="103"/>
      <c r="CV32" s="103"/>
      <c r="CW32" s="103"/>
      <c r="CX32" s="103"/>
      <c r="CY32" s="103"/>
      <c r="CZ32" s="103"/>
      <c r="DA32" s="103"/>
      <c r="DB32" s="103"/>
      <c r="DC32" s="103"/>
      <c r="DD32" s="103"/>
      <c r="DE32" s="103"/>
      <c r="DF32" s="103"/>
      <c r="DG32" s="103"/>
      <c r="DH32" s="103"/>
      <c r="DI32" s="103"/>
      <c r="DJ32" s="103"/>
      <c r="DK32" s="103"/>
      <c r="DL32" s="103"/>
      <c r="DM32" s="103"/>
      <c r="DN32" s="103"/>
      <c r="DO32" s="103"/>
      <c r="DP32" s="103"/>
      <c r="DQ32" s="103"/>
      <c r="DR32" s="103"/>
      <c r="DS32" s="103"/>
      <c r="DT32" s="103"/>
      <c r="DU32" s="103"/>
      <c r="DV32" s="103"/>
      <c r="DW32" s="103"/>
      <c r="DX32" s="103"/>
      <c r="DY32" s="103"/>
      <c r="DZ32" s="103"/>
      <c r="EA32" s="103"/>
      <c r="EB32" s="103"/>
      <c r="EC32" s="103"/>
      <c r="ED32" s="103"/>
      <c r="EE32" s="103"/>
      <c r="EF32" s="103"/>
      <c r="EG32" s="103"/>
      <c r="EH32" s="103"/>
      <c r="EI32" s="103"/>
      <c r="EJ32" s="103"/>
      <c r="EK32" s="103"/>
      <c r="EL32" s="103"/>
      <c r="EM32" s="103"/>
      <c r="EN32" s="103"/>
      <c r="EO32" s="103"/>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3"/>
      <c r="FO32" s="103"/>
      <c r="FP32" s="103"/>
      <c r="FQ32" s="103"/>
      <c r="FR32" s="103"/>
      <c r="FS32" s="103"/>
      <c r="FT32" s="103"/>
      <c r="FU32" s="103"/>
      <c r="FV32" s="103"/>
      <c r="FW32" s="103"/>
      <c r="FX32" s="103"/>
      <c r="FY32" s="103"/>
      <c r="FZ32" s="103"/>
      <c r="GA32" s="103"/>
      <c r="GB32" s="103"/>
      <c r="GC32" s="103"/>
      <c r="GD32" s="103"/>
      <c r="GE32" s="103"/>
      <c r="GF32" s="103"/>
      <c r="GG32" s="103"/>
      <c r="GH32" s="103"/>
      <c r="GI32" s="103"/>
      <c r="GJ32" s="103"/>
      <c r="GK32" s="103"/>
      <c r="GL32" s="103"/>
      <c r="GM32" s="103"/>
      <c r="GN32" s="103"/>
      <c r="GO32" s="103"/>
      <c r="GP32" s="103"/>
      <c r="GQ32" s="103"/>
      <c r="GR32" s="103"/>
      <c r="GS32" s="103"/>
      <c r="GT32" s="103"/>
      <c r="GU32" s="103"/>
      <c r="GV32" s="103"/>
      <c r="GW32" s="103"/>
      <c r="GX32" s="103"/>
      <c r="GY32" s="103"/>
      <c r="GZ32" s="103"/>
      <c r="HA32" s="103"/>
      <c r="HB32" s="103"/>
      <c r="HC32" s="103"/>
      <c r="HD32" s="103"/>
      <c r="HE32" s="103"/>
      <c r="HF32" s="103"/>
      <c r="HG32" s="103"/>
      <c r="HH32" s="103"/>
      <c r="HI32" s="103"/>
      <c r="HJ32" s="103"/>
      <c r="HK32" s="103"/>
      <c r="HL32" s="103"/>
      <c r="HM32" s="103"/>
      <c r="HN32" s="103"/>
      <c r="HO32" s="103"/>
      <c r="HP32" s="103"/>
      <c r="HQ32" s="103"/>
      <c r="HR32" s="103"/>
      <c r="HS32" s="103"/>
      <c r="HT32" s="103"/>
      <c r="HU32" s="103"/>
      <c r="HV32" s="103"/>
      <c r="HW32" s="103"/>
      <c r="HX32" s="103"/>
      <c r="HY32" s="103"/>
      <c r="HZ32" s="103"/>
      <c r="IA32" s="103"/>
      <c r="IB32" s="103"/>
      <c r="IC32" s="103"/>
      <c r="ID32" s="103"/>
      <c r="IE32" s="103"/>
      <c r="IF32" s="103"/>
      <c r="IG32" s="103"/>
      <c r="IH32" s="103"/>
      <c r="II32" s="103"/>
      <c r="IJ32" s="103"/>
      <c r="IK32" s="103"/>
      <c r="IL32" s="103"/>
      <c r="IM32" s="103"/>
      <c r="IN32" s="103"/>
      <c r="IO32" s="103"/>
      <c r="IP32" s="103"/>
      <c r="IQ32" s="103"/>
      <c r="IR32" s="103"/>
      <c r="IS32" s="103"/>
      <c r="IT32" s="103"/>
      <c r="IU32" s="103"/>
      <c r="IV32" s="103"/>
      <c r="IW32" s="103"/>
      <c r="IX32" s="103"/>
      <c r="IY32" s="103"/>
      <c r="IZ32" s="103"/>
      <c r="JA32" s="103"/>
      <c r="JB32" s="103"/>
      <c r="JC32" s="103"/>
      <c r="JD32" s="103"/>
      <c r="JE32" s="103"/>
      <c r="JF32" s="103"/>
      <c r="JG32" s="103"/>
      <c r="JH32" s="103"/>
      <c r="JI32" s="103"/>
      <c r="JJ32" s="103"/>
      <c r="JK32" s="103"/>
      <c r="JL32" s="103"/>
      <c r="JM32" s="103"/>
      <c r="JN32" s="103"/>
      <c r="JO32" s="103"/>
      <c r="JP32" s="103"/>
      <c r="JQ32" s="103"/>
      <c r="JR32" s="103"/>
      <c r="JS32" s="103"/>
      <c r="JT32" s="103"/>
      <c r="JU32" s="103"/>
      <c r="JV32" s="103"/>
      <c r="JW32" s="103"/>
      <c r="JX32" s="103"/>
      <c r="JY32" s="103"/>
      <c r="JZ32" s="103"/>
      <c r="KA32" s="103"/>
      <c r="KB32" s="103"/>
      <c r="KC32" s="103"/>
      <c r="KD32" s="103"/>
      <c r="KE32" s="103"/>
      <c r="KF32" s="103"/>
      <c r="KG32" s="103"/>
      <c r="KH32" s="103"/>
      <c r="KI32" s="103"/>
      <c r="KJ32" s="103"/>
      <c r="KK32" s="103"/>
      <c r="KL32" s="103"/>
      <c r="KM32" s="103"/>
      <c r="KN32" s="103"/>
      <c r="KO32" s="103"/>
      <c r="KP32" s="103"/>
      <c r="KQ32" s="103"/>
      <c r="KR32" s="103"/>
      <c r="KS32" s="103"/>
      <c r="KT32" s="103"/>
      <c r="KU32" s="103"/>
      <c r="KV32" s="103"/>
      <c r="KW32" s="103"/>
      <c r="KX32" s="103"/>
      <c r="KY32" s="103"/>
      <c r="KZ32" s="103"/>
      <c r="LA32" s="103"/>
      <c r="LB32" s="103"/>
      <c r="LC32" s="103"/>
      <c r="LD32" s="103"/>
      <c r="LE32" s="103"/>
      <c r="LF32" s="103"/>
      <c r="LG32" s="103"/>
      <c r="LH32" s="103"/>
      <c r="LI32" s="103"/>
      <c r="LJ32" s="103"/>
    </row>
    <row r="33" spans="1:322" s="208" customFormat="1">
      <c r="A33" s="103"/>
      <c r="B33" s="182">
        <v>1958</v>
      </c>
      <c r="C33" s="213">
        <v>0.98699999999999999</v>
      </c>
      <c r="D33" s="213">
        <v>1.1359999999999999</v>
      </c>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103"/>
      <c r="CB33" s="103"/>
      <c r="CC33" s="103"/>
      <c r="CD33" s="103"/>
      <c r="CE33" s="103"/>
      <c r="CF33" s="103"/>
      <c r="CG33" s="103"/>
      <c r="CH33" s="103"/>
      <c r="CI33" s="103"/>
      <c r="CJ33" s="103"/>
      <c r="CK33" s="103"/>
      <c r="CL33" s="103"/>
      <c r="CM33" s="103"/>
      <c r="CN33" s="103"/>
      <c r="CO33" s="103"/>
      <c r="CP33" s="103"/>
      <c r="CQ33" s="103"/>
      <c r="CR33" s="103"/>
      <c r="CS33" s="103"/>
      <c r="CT33" s="103"/>
      <c r="CU33" s="103"/>
      <c r="CV33" s="103"/>
      <c r="CW33" s="103"/>
      <c r="CX33" s="103"/>
      <c r="CY33" s="103"/>
      <c r="CZ33" s="103"/>
      <c r="DA33" s="103"/>
      <c r="DB33" s="103"/>
      <c r="DC33" s="103"/>
      <c r="DD33" s="103"/>
      <c r="DE33" s="103"/>
      <c r="DF33" s="103"/>
      <c r="DG33" s="103"/>
      <c r="DH33" s="103"/>
      <c r="DI33" s="103"/>
      <c r="DJ33" s="103"/>
      <c r="DK33" s="103"/>
      <c r="DL33" s="103"/>
      <c r="DM33" s="103"/>
      <c r="DN33" s="103"/>
      <c r="DO33" s="103"/>
      <c r="DP33" s="103"/>
      <c r="DQ33" s="103"/>
      <c r="DR33" s="103"/>
      <c r="DS33" s="103"/>
      <c r="DT33" s="103"/>
      <c r="DU33" s="103"/>
      <c r="DV33" s="103"/>
      <c r="DW33" s="103"/>
      <c r="DX33" s="103"/>
      <c r="DY33" s="103"/>
      <c r="DZ33" s="103"/>
      <c r="EA33" s="103"/>
      <c r="EB33" s="103"/>
      <c r="EC33" s="103"/>
      <c r="ED33" s="103"/>
      <c r="EE33" s="103"/>
      <c r="EF33" s="103"/>
      <c r="EG33" s="103"/>
      <c r="EH33" s="103"/>
      <c r="EI33" s="103"/>
      <c r="EJ33" s="103"/>
      <c r="EK33" s="103"/>
      <c r="EL33" s="103"/>
      <c r="EM33" s="103"/>
      <c r="EN33" s="103"/>
      <c r="EO33" s="103"/>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3"/>
      <c r="FO33" s="103"/>
      <c r="FP33" s="103"/>
      <c r="FQ33" s="103"/>
      <c r="FR33" s="103"/>
      <c r="FS33" s="103"/>
      <c r="FT33" s="103"/>
      <c r="FU33" s="103"/>
      <c r="FV33" s="103"/>
      <c r="FW33" s="103"/>
      <c r="FX33" s="103"/>
      <c r="FY33" s="103"/>
      <c r="FZ33" s="103"/>
      <c r="GA33" s="103"/>
      <c r="GB33" s="103"/>
      <c r="GC33" s="103"/>
      <c r="GD33" s="103"/>
      <c r="GE33" s="103"/>
      <c r="GF33" s="103"/>
      <c r="GG33" s="103"/>
      <c r="GH33" s="103"/>
      <c r="GI33" s="103"/>
      <c r="GJ33" s="103"/>
      <c r="GK33" s="103"/>
      <c r="GL33" s="103"/>
      <c r="GM33" s="103"/>
      <c r="GN33" s="103"/>
      <c r="GO33" s="103"/>
      <c r="GP33" s="103"/>
      <c r="GQ33" s="103"/>
      <c r="GR33" s="103"/>
      <c r="GS33" s="103"/>
      <c r="GT33" s="103"/>
      <c r="GU33" s="103"/>
      <c r="GV33" s="103"/>
      <c r="GW33" s="103"/>
      <c r="GX33" s="103"/>
      <c r="GY33" s="103"/>
      <c r="GZ33" s="103"/>
      <c r="HA33" s="103"/>
      <c r="HB33" s="103"/>
      <c r="HC33" s="103"/>
      <c r="HD33" s="103"/>
      <c r="HE33" s="103"/>
      <c r="HF33" s="103"/>
      <c r="HG33" s="103"/>
      <c r="HH33" s="103"/>
      <c r="HI33" s="103"/>
      <c r="HJ33" s="103"/>
      <c r="HK33" s="103"/>
      <c r="HL33" s="103"/>
      <c r="HM33" s="103"/>
      <c r="HN33" s="103"/>
      <c r="HO33" s="103"/>
      <c r="HP33" s="103"/>
      <c r="HQ33" s="103"/>
      <c r="HR33" s="103"/>
      <c r="HS33" s="103"/>
      <c r="HT33" s="103"/>
      <c r="HU33" s="103"/>
      <c r="HV33" s="103"/>
      <c r="HW33" s="103"/>
      <c r="HX33" s="103"/>
      <c r="HY33" s="103"/>
      <c r="HZ33" s="103"/>
      <c r="IA33" s="103"/>
      <c r="IB33" s="103"/>
      <c r="IC33" s="103"/>
      <c r="ID33" s="103"/>
      <c r="IE33" s="103"/>
      <c r="IF33" s="103"/>
      <c r="IG33" s="103"/>
      <c r="IH33" s="103"/>
      <c r="II33" s="103"/>
      <c r="IJ33" s="103"/>
      <c r="IK33" s="103"/>
      <c r="IL33" s="103"/>
      <c r="IM33" s="103"/>
      <c r="IN33" s="103"/>
      <c r="IO33" s="103"/>
      <c r="IP33" s="103"/>
      <c r="IQ33" s="103"/>
      <c r="IR33" s="103"/>
      <c r="IS33" s="103"/>
      <c r="IT33" s="103"/>
      <c r="IU33" s="103"/>
      <c r="IV33" s="103"/>
      <c r="IW33" s="103"/>
      <c r="IX33" s="103"/>
      <c r="IY33" s="103"/>
      <c r="IZ33" s="103"/>
      <c r="JA33" s="103"/>
      <c r="JB33" s="103"/>
      <c r="JC33" s="103"/>
      <c r="JD33" s="103"/>
      <c r="JE33" s="103"/>
      <c r="JF33" s="103"/>
      <c r="JG33" s="103"/>
      <c r="JH33" s="103"/>
      <c r="JI33" s="103"/>
      <c r="JJ33" s="103"/>
      <c r="JK33" s="103"/>
      <c r="JL33" s="103"/>
      <c r="JM33" s="103"/>
      <c r="JN33" s="103"/>
      <c r="JO33" s="103"/>
      <c r="JP33" s="103"/>
      <c r="JQ33" s="103"/>
      <c r="JR33" s="103"/>
      <c r="JS33" s="103"/>
      <c r="JT33" s="103"/>
      <c r="JU33" s="103"/>
      <c r="JV33" s="103"/>
      <c r="JW33" s="103"/>
      <c r="JX33" s="103"/>
      <c r="JY33" s="103"/>
      <c r="JZ33" s="103"/>
      <c r="KA33" s="103"/>
      <c r="KB33" s="103"/>
      <c r="KC33" s="103"/>
      <c r="KD33" s="103"/>
      <c r="KE33" s="103"/>
      <c r="KF33" s="103"/>
      <c r="KG33" s="103"/>
      <c r="KH33" s="103"/>
      <c r="KI33" s="103"/>
      <c r="KJ33" s="103"/>
      <c r="KK33" s="103"/>
      <c r="KL33" s="103"/>
      <c r="KM33" s="103"/>
      <c r="KN33" s="103"/>
      <c r="KO33" s="103"/>
      <c r="KP33" s="103"/>
      <c r="KQ33" s="103"/>
      <c r="KR33" s="103"/>
      <c r="KS33" s="103"/>
      <c r="KT33" s="103"/>
      <c r="KU33" s="103"/>
      <c r="KV33" s="103"/>
      <c r="KW33" s="103"/>
      <c r="KX33" s="103"/>
      <c r="KY33" s="103"/>
      <c r="KZ33" s="103"/>
      <c r="LA33" s="103"/>
      <c r="LB33" s="103"/>
      <c r="LC33" s="103"/>
      <c r="LD33" s="103"/>
      <c r="LE33" s="103"/>
      <c r="LF33" s="103"/>
      <c r="LG33" s="103"/>
      <c r="LH33" s="103"/>
      <c r="LI33" s="103"/>
      <c r="LJ33" s="103"/>
    </row>
    <row r="34" spans="1:322" s="208" customFormat="1">
      <c r="A34" s="103"/>
      <c r="B34" s="181">
        <v>1959</v>
      </c>
      <c r="C34" s="213">
        <v>0.98899999999999999</v>
      </c>
      <c r="D34" s="213">
        <v>1.137</v>
      </c>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3"/>
      <c r="CE34" s="103"/>
      <c r="CF34" s="103"/>
      <c r="CG34" s="103"/>
      <c r="CH34" s="103"/>
      <c r="CI34" s="103"/>
      <c r="CJ34" s="103"/>
      <c r="CK34" s="103"/>
      <c r="CL34" s="103"/>
      <c r="CM34" s="103"/>
      <c r="CN34" s="103"/>
      <c r="CO34" s="103"/>
      <c r="CP34" s="103"/>
      <c r="CQ34" s="103"/>
      <c r="CR34" s="103"/>
      <c r="CS34" s="103"/>
      <c r="CT34" s="103"/>
      <c r="CU34" s="103"/>
      <c r="CV34" s="103"/>
      <c r="CW34" s="103"/>
      <c r="CX34" s="103"/>
      <c r="CY34" s="103"/>
      <c r="CZ34" s="103"/>
      <c r="DA34" s="103"/>
      <c r="DB34" s="103"/>
      <c r="DC34" s="103"/>
      <c r="DD34" s="103"/>
      <c r="DE34" s="103"/>
      <c r="DF34" s="103"/>
      <c r="DG34" s="103"/>
      <c r="DH34" s="103"/>
      <c r="DI34" s="103"/>
      <c r="DJ34" s="103"/>
      <c r="DK34" s="103"/>
      <c r="DL34" s="103"/>
      <c r="DM34" s="103"/>
      <c r="DN34" s="103"/>
      <c r="DO34" s="103"/>
      <c r="DP34" s="103"/>
      <c r="DQ34" s="103"/>
      <c r="DR34" s="103"/>
      <c r="DS34" s="103"/>
      <c r="DT34" s="103"/>
      <c r="DU34" s="103"/>
      <c r="DV34" s="103"/>
      <c r="DW34" s="103"/>
      <c r="DX34" s="103"/>
      <c r="DY34" s="103"/>
      <c r="DZ34" s="103"/>
      <c r="EA34" s="103"/>
      <c r="EB34" s="103"/>
      <c r="EC34" s="103"/>
      <c r="ED34" s="103"/>
      <c r="EE34" s="103"/>
      <c r="EF34" s="103"/>
      <c r="EG34" s="103"/>
      <c r="EH34" s="103"/>
      <c r="EI34" s="103"/>
      <c r="EJ34" s="103"/>
      <c r="EK34" s="103"/>
      <c r="EL34" s="103"/>
      <c r="EM34" s="103"/>
      <c r="EN34" s="103"/>
      <c r="EO34" s="103"/>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3"/>
      <c r="FO34" s="103"/>
      <c r="FP34" s="103"/>
      <c r="FQ34" s="103"/>
      <c r="FR34" s="103"/>
      <c r="FS34" s="103"/>
      <c r="FT34" s="103"/>
      <c r="FU34" s="103"/>
      <c r="FV34" s="103"/>
      <c r="FW34" s="103"/>
      <c r="FX34" s="103"/>
      <c r="FY34" s="103"/>
      <c r="FZ34" s="103"/>
      <c r="GA34" s="103"/>
      <c r="GB34" s="103"/>
      <c r="GC34" s="103"/>
      <c r="GD34" s="103"/>
      <c r="GE34" s="103"/>
      <c r="GF34" s="103"/>
      <c r="GG34" s="103"/>
      <c r="GH34" s="103"/>
      <c r="GI34" s="103"/>
      <c r="GJ34" s="103"/>
      <c r="GK34" s="103"/>
      <c r="GL34" s="103"/>
      <c r="GM34" s="103"/>
      <c r="GN34" s="103"/>
      <c r="GO34" s="103"/>
      <c r="GP34" s="103"/>
      <c r="GQ34" s="103"/>
      <c r="GR34" s="103"/>
      <c r="GS34" s="103"/>
      <c r="GT34" s="103"/>
      <c r="GU34" s="103"/>
      <c r="GV34" s="103"/>
      <c r="GW34" s="103"/>
      <c r="GX34" s="103"/>
      <c r="GY34" s="103"/>
      <c r="GZ34" s="103"/>
      <c r="HA34" s="103"/>
      <c r="HB34" s="103"/>
      <c r="HC34" s="103"/>
      <c r="HD34" s="103"/>
      <c r="HE34" s="103"/>
      <c r="HF34" s="103"/>
      <c r="HG34" s="103"/>
      <c r="HH34" s="103"/>
      <c r="HI34" s="103"/>
      <c r="HJ34" s="103"/>
      <c r="HK34" s="103"/>
      <c r="HL34" s="103"/>
      <c r="HM34" s="103"/>
      <c r="HN34" s="103"/>
      <c r="HO34" s="103"/>
      <c r="HP34" s="103"/>
      <c r="HQ34" s="103"/>
      <c r="HR34" s="103"/>
      <c r="HS34" s="103"/>
      <c r="HT34" s="103"/>
      <c r="HU34" s="103"/>
      <c r="HV34" s="103"/>
      <c r="HW34" s="103"/>
      <c r="HX34" s="103"/>
      <c r="HY34" s="103"/>
      <c r="HZ34" s="103"/>
      <c r="IA34" s="103"/>
      <c r="IB34" s="103"/>
      <c r="IC34" s="103"/>
      <c r="ID34" s="103"/>
      <c r="IE34" s="103"/>
      <c r="IF34" s="103"/>
      <c r="IG34" s="103"/>
      <c r="IH34" s="103"/>
      <c r="II34" s="103"/>
      <c r="IJ34" s="103"/>
      <c r="IK34" s="103"/>
      <c r="IL34" s="103"/>
      <c r="IM34" s="103"/>
      <c r="IN34" s="103"/>
      <c r="IO34" s="103"/>
      <c r="IP34" s="103"/>
      <c r="IQ34" s="103"/>
      <c r="IR34" s="103"/>
      <c r="IS34" s="103"/>
      <c r="IT34" s="103"/>
      <c r="IU34" s="103"/>
      <c r="IV34" s="103"/>
      <c r="IW34" s="103"/>
      <c r="IX34" s="103"/>
      <c r="IY34" s="103"/>
      <c r="IZ34" s="103"/>
      <c r="JA34" s="103"/>
      <c r="JB34" s="103"/>
      <c r="JC34" s="103"/>
      <c r="JD34" s="103"/>
      <c r="JE34" s="103"/>
      <c r="JF34" s="103"/>
      <c r="JG34" s="103"/>
      <c r="JH34" s="103"/>
      <c r="JI34" s="103"/>
      <c r="JJ34" s="103"/>
      <c r="JK34" s="103"/>
      <c r="JL34" s="103"/>
      <c r="JM34" s="103"/>
      <c r="JN34" s="103"/>
      <c r="JO34" s="103"/>
      <c r="JP34" s="103"/>
      <c r="JQ34" s="103"/>
      <c r="JR34" s="103"/>
      <c r="JS34" s="103"/>
      <c r="JT34" s="103"/>
      <c r="JU34" s="103"/>
      <c r="JV34" s="103"/>
      <c r="JW34" s="103"/>
      <c r="JX34" s="103"/>
      <c r="JY34" s="103"/>
      <c r="JZ34" s="103"/>
      <c r="KA34" s="103"/>
      <c r="KB34" s="103"/>
      <c r="KC34" s="103"/>
      <c r="KD34" s="103"/>
      <c r="KE34" s="103"/>
      <c r="KF34" s="103"/>
      <c r="KG34" s="103"/>
      <c r="KH34" s="103"/>
      <c r="KI34" s="103"/>
      <c r="KJ34" s="103"/>
      <c r="KK34" s="103"/>
      <c r="KL34" s="103"/>
      <c r="KM34" s="103"/>
      <c r="KN34" s="103"/>
      <c r="KO34" s="103"/>
      <c r="KP34" s="103"/>
      <c r="KQ34" s="103"/>
      <c r="KR34" s="103"/>
      <c r="KS34" s="103"/>
      <c r="KT34" s="103"/>
      <c r="KU34" s="103"/>
      <c r="KV34" s="103"/>
      <c r="KW34" s="103"/>
      <c r="KX34" s="103"/>
      <c r="KY34" s="103"/>
      <c r="KZ34" s="103"/>
      <c r="LA34" s="103"/>
      <c r="LB34" s="103"/>
      <c r="LC34" s="103"/>
      <c r="LD34" s="103"/>
      <c r="LE34" s="103"/>
      <c r="LF34" s="103"/>
      <c r="LG34" s="103"/>
      <c r="LH34" s="103"/>
      <c r="LI34" s="103"/>
      <c r="LJ34" s="103"/>
    </row>
    <row r="35" spans="1:322" s="208" customFormat="1">
      <c r="A35" s="103"/>
      <c r="B35" s="182">
        <v>1960</v>
      </c>
      <c r="C35" s="213">
        <v>0.99199999999999999</v>
      </c>
      <c r="D35" s="213">
        <v>1.139</v>
      </c>
      <c r="E35" s="103"/>
      <c r="F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103"/>
      <c r="AT35" s="103"/>
      <c r="AU35" s="103"/>
      <c r="AV35" s="103"/>
      <c r="AW35" s="103"/>
      <c r="AX35" s="103"/>
      <c r="AY35" s="103"/>
      <c r="AZ35" s="103"/>
      <c r="BA35" s="103"/>
      <c r="BB35" s="103"/>
      <c r="BC35" s="103"/>
      <c r="BD35" s="103"/>
      <c r="BE35" s="103"/>
      <c r="BF35" s="103"/>
      <c r="BG35" s="103"/>
      <c r="BH35" s="103"/>
      <c r="BI35" s="103"/>
      <c r="BJ35" s="103"/>
      <c r="BK35" s="103"/>
      <c r="BL35" s="103"/>
      <c r="BM35" s="103"/>
      <c r="BN35" s="103"/>
      <c r="BO35" s="103"/>
      <c r="BP35" s="103"/>
      <c r="BQ35" s="103"/>
      <c r="BR35" s="103"/>
      <c r="BS35" s="103"/>
      <c r="BT35" s="103"/>
      <c r="BU35" s="103"/>
      <c r="BV35" s="103"/>
      <c r="BW35" s="103"/>
      <c r="BX35" s="103"/>
      <c r="BY35" s="103"/>
      <c r="BZ35" s="103"/>
      <c r="CA35" s="103"/>
      <c r="CB35" s="103"/>
      <c r="CC35" s="103"/>
      <c r="CD35" s="103"/>
      <c r="CE35" s="103"/>
      <c r="CF35" s="103"/>
      <c r="CG35" s="103"/>
      <c r="CH35" s="103"/>
      <c r="CI35" s="103"/>
      <c r="CJ35" s="103"/>
      <c r="CK35" s="103"/>
      <c r="CL35" s="103"/>
      <c r="CM35" s="103"/>
      <c r="CN35" s="103"/>
      <c r="CO35" s="103"/>
      <c r="CP35" s="103"/>
      <c r="CQ35" s="103"/>
      <c r="CR35" s="103"/>
      <c r="CS35" s="103"/>
      <c r="CT35" s="103"/>
      <c r="CU35" s="103"/>
      <c r="CV35" s="103"/>
      <c r="CW35" s="103"/>
      <c r="CX35" s="103"/>
      <c r="CY35" s="103"/>
      <c r="CZ35" s="103"/>
      <c r="DA35" s="103"/>
      <c r="DB35" s="103"/>
      <c r="DC35" s="103"/>
      <c r="DD35" s="103"/>
      <c r="DE35" s="103"/>
      <c r="DF35" s="103"/>
      <c r="DG35" s="103"/>
      <c r="DH35" s="103"/>
      <c r="DI35" s="103"/>
      <c r="DJ35" s="103"/>
      <c r="DK35" s="103"/>
      <c r="DL35" s="103"/>
      <c r="DM35" s="103"/>
      <c r="DN35" s="103"/>
      <c r="DO35" s="103"/>
      <c r="DP35" s="103"/>
      <c r="DQ35" s="103"/>
      <c r="DR35" s="103"/>
      <c r="DS35" s="103"/>
      <c r="DT35" s="103"/>
      <c r="DU35" s="103"/>
      <c r="DV35" s="103"/>
      <c r="DW35" s="103"/>
      <c r="DX35" s="103"/>
      <c r="DY35" s="103"/>
      <c r="DZ35" s="103"/>
      <c r="EA35" s="103"/>
      <c r="EB35" s="103"/>
      <c r="EC35" s="103"/>
      <c r="ED35" s="103"/>
      <c r="EE35" s="103"/>
      <c r="EF35" s="103"/>
      <c r="EG35" s="103"/>
      <c r="EH35" s="103"/>
      <c r="EI35" s="103"/>
      <c r="EJ35" s="103"/>
      <c r="EK35" s="103"/>
      <c r="EL35" s="103"/>
      <c r="EM35" s="103"/>
      <c r="EN35" s="103"/>
      <c r="EO35" s="103"/>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3"/>
      <c r="FO35" s="103"/>
      <c r="FP35" s="103"/>
      <c r="FQ35" s="103"/>
      <c r="FR35" s="103"/>
      <c r="FS35" s="103"/>
      <c r="FT35" s="103"/>
      <c r="FU35" s="103"/>
      <c r="FV35" s="103"/>
      <c r="FW35" s="103"/>
      <c r="FX35" s="103"/>
      <c r="FY35" s="103"/>
      <c r="FZ35" s="103"/>
      <c r="GA35" s="103"/>
      <c r="GB35" s="103"/>
      <c r="GC35" s="103"/>
      <c r="GD35" s="103"/>
      <c r="GE35" s="103"/>
      <c r="GF35" s="103"/>
      <c r="GG35" s="103"/>
      <c r="GH35" s="103"/>
      <c r="GI35" s="103"/>
      <c r="GJ35" s="103"/>
      <c r="GK35" s="103"/>
      <c r="GL35" s="103"/>
      <c r="GM35" s="103"/>
      <c r="GN35" s="103"/>
      <c r="GO35" s="103"/>
      <c r="GP35" s="103"/>
      <c r="GQ35" s="103"/>
      <c r="GR35" s="103"/>
      <c r="GS35" s="103"/>
      <c r="GT35" s="103"/>
      <c r="GU35" s="103"/>
      <c r="GV35" s="103"/>
      <c r="GW35" s="103"/>
      <c r="GX35" s="103"/>
      <c r="GY35" s="103"/>
      <c r="GZ35" s="103"/>
      <c r="HA35" s="103"/>
      <c r="HB35" s="103"/>
      <c r="HC35" s="103"/>
      <c r="HD35" s="103"/>
      <c r="HE35" s="103"/>
      <c r="HF35" s="103"/>
      <c r="HG35" s="103"/>
      <c r="HH35" s="103"/>
      <c r="HI35" s="103"/>
      <c r="HJ35" s="103"/>
      <c r="HK35" s="103"/>
      <c r="HL35" s="103"/>
      <c r="HM35" s="103"/>
      <c r="HN35" s="103"/>
      <c r="HO35" s="103"/>
      <c r="HP35" s="103"/>
      <c r="HQ35" s="103"/>
      <c r="HR35" s="103"/>
      <c r="HS35" s="103"/>
      <c r="HT35" s="103"/>
      <c r="HU35" s="103"/>
      <c r="HV35" s="103"/>
      <c r="HW35" s="103"/>
      <c r="HX35" s="103"/>
      <c r="HY35" s="103"/>
      <c r="HZ35" s="103"/>
      <c r="IA35" s="103"/>
      <c r="IB35" s="103"/>
      <c r="IC35" s="103"/>
      <c r="ID35" s="103"/>
      <c r="IE35" s="103"/>
      <c r="IF35" s="103"/>
      <c r="IG35" s="103"/>
      <c r="IH35" s="103"/>
      <c r="II35" s="103"/>
      <c r="IJ35" s="103"/>
      <c r="IK35" s="103"/>
      <c r="IL35" s="103"/>
      <c r="IM35" s="103"/>
      <c r="IN35" s="103"/>
      <c r="IO35" s="103"/>
      <c r="IP35" s="103"/>
      <c r="IQ35" s="103"/>
      <c r="IR35" s="103"/>
      <c r="IS35" s="103"/>
      <c r="IT35" s="103"/>
      <c r="IU35" s="103"/>
      <c r="IV35" s="103"/>
      <c r="IW35" s="103"/>
      <c r="IX35" s="103"/>
      <c r="IY35" s="103"/>
      <c r="IZ35" s="103"/>
      <c r="JA35" s="103"/>
      <c r="JB35" s="103"/>
      <c r="JC35" s="103"/>
      <c r="JD35" s="103"/>
      <c r="JE35" s="103"/>
      <c r="JF35" s="103"/>
      <c r="JG35" s="103"/>
      <c r="JH35" s="103"/>
      <c r="JI35" s="103"/>
      <c r="JJ35" s="103"/>
      <c r="JK35" s="103"/>
      <c r="JL35" s="103"/>
      <c r="JM35" s="103"/>
      <c r="JN35" s="103"/>
      <c r="JO35" s="103"/>
      <c r="JP35" s="103"/>
      <c r="JQ35" s="103"/>
      <c r="JR35" s="103"/>
      <c r="JS35" s="103"/>
      <c r="JT35" s="103"/>
      <c r="JU35" s="103"/>
      <c r="JV35" s="103"/>
      <c r="JW35" s="103"/>
      <c r="JX35" s="103"/>
      <c r="JY35" s="103"/>
      <c r="JZ35" s="103"/>
      <c r="KA35" s="103"/>
      <c r="KB35" s="103"/>
      <c r="KC35" s="103"/>
      <c r="KD35" s="103"/>
      <c r="KE35" s="103"/>
      <c r="KF35" s="103"/>
      <c r="KG35" s="103"/>
      <c r="KH35" s="103"/>
      <c r="KI35" s="103"/>
      <c r="KJ35" s="103"/>
      <c r="KK35" s="103"/>
      <c r="KL35" s="103"/>
      <c r="KM35" s="103"/>
      <c r="KN35" s="103"/>
      <c r="KO35" s="103"/>
      <c r="KP35" s="103"/>
      <c r="KQ35" s="103"/>
      <c r="KR35" s="103"/>
      <c r="KS35" s="103"/>
      <c r="KT35" s="103"/>
      <c r="KU35" s="103"/>
      <c r="KV35" s="103"/>
      <c r="KW35" s="103"/>
      <c r="KX35" s="103"/>
      <c r="KY35" s="103"/>
      <c r="KZ35" s="103"/>
      <c r="LA35" s="103"/>
      <c r="LB35" s="103"/>
      <c r="LC35" s="103"/>
      <c r="LD35" s="103"/>
      <c r="LE35" s="103"/>
      <c r="LF35" s="103"/>
      <c r="LG35" s="103"/>
      <c r="LH35" s="103"/>
      <c r="LI35" s="103"/>
      <c r="LJ35" s="103"/>
    </row>
    <row r="36" spans="1:322" s="208" customFormat="1">
      <c r="A36" s="103"/>
      <c r="B36" s="181">
        <v>1961</v>
      </c>
      <c r="C36" s="213">
        <v>0.99299999999999999</v>
      </c>
      <c r="D36" s="213">
        <v>1.141</v>
      </c>
      <c r="E36" s="103"/>
      <c r="F36" s="103"/>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103"/>
      <c r="AH36" s="103"/>
      <c r="AI36" s="103"/>
      <c r="AJ36" s="103"/>
      <c r="AK36" s="103"/>
      <c r="AL36" s="103"/>
      <c r="AM36" s="103"/>
      <c r="AN36" s="103"/>
      <c r="AO36" s="103"/>
      <c r="AP36" s="103"/>
      <c r="AQ36" s="103"/>
      <c r="AR36" s="103"/>
      <c r="AS36" s="103"/>
      <c r="AT36" s="103"/>
      <c r="AU36" s="103"/>
      <c r="AV36" s="103"/>
      <c r="AW36" s="103"/>
      <c r="AX36" s="103"/>
      <c r="AY36" s="103"/>
      <c r="AZ36" s="103"/>
      <c r="BA36" s="103"/>
      <c r="BB36" s="103"/>
      <c r="BC36" s="103"/>
      <c r="BD36" s="103"/>
      <c r="BE36" s="103"/>
      <c r="BF36" s="103"/>
      <c r="BG36" s="103"/>
      <c r="BH36" s="103"/>
      <c r="BI36" s="103"/>
      <c r="BJ36" s="103"/>
      <c r="BK36" s="103"/>
      <c r="BL36" s="103"/>
      <c r="BM36" s="103"/>
      <c r="BN36" s="103"/>
      <c r="BO36" s="103"/>
      <c r="BP36" s="103"/>
      <c r="BQ36" s="103"/>
      <c r="BR36" s="103"/>
      <c r="BS36" s="103"/>
      <c r="BT36" s="103"/>
      <c r="BU36" s="103"/>
      <c r="BV36" s="103"/>
      <c r="BW36" s="103"/>
      <c r="BX36" s="103"/>
      <c r="BY36" s="103"/>
      <c r="BZ36" s="103"/>
      <c r="CA36" s="103"/>
      <c r="CB36" s="103"/>
      <c r="CC36" s="103"/>
      <c r="CD36" s="103"/>
      <c r="CE36" s="103"/>
      <c r="CF36" s="103"/>
      <c r="CG36" s="103"/>
      <c r="CH36" s="103"/>
      <c r="CI36" s="103"/>
      <c r="CJ36" s="103"/>
      <c r="CK36" s="103"/>
      <c r="CL36" s="103"/>
      <c r="CM36" s="103"/>
      <c r="CN36" s="103"/>
      <c r="CO36" s="103"/>
      <c r="CP36" s="103"/>
      <c r="CQ36" s="103"/>
      <c r="CR36" s="103"/>
      <c r="CS36" s="103"/>
      <c r="CT36" s="103"/>
      <c r="CU36" s="103"/>
      <c r="CV36" s="103"/>
      <c r="CW36" s="103"/>
      <c r="CX36" s="103"/>
      <c r="CY36" s="103"/>
      <c r="CZ36" s="103"/>
      <c r="DA36" s="103"/>
      <c r="DB36" s="103"/>
      <c r="DC36" s="103"/>
      <c r="DD36" s="103"/>
      <c r="DE36" s="103"/>
      <c r="DF36" s="103"/>
      <c r="DG36" s="103"/>
      <c r="DH36" s="103"/>
      <c r="DI36" s="103"/>
      <c r="DJ36" s="103"/>
      <c r="DK36" s="103"/>
      <c r="DL36" s="103"/>
      <c r="DM36" s="103"/>
      <c r="DN36" s="103"/>
      <c r="DO36" s="103"/>
      <c r="DP36" s="103"/>
      <c r="DQ36" s="103"/>
      <c r="DR36" s="103"/>
      <c r="DS36" s="103"/>
      <c r="DT36" s="103"/>
      <c r="DU36" s="103"/>
      <c r="DV36" s="103"/>
      <c r="DW36" s="103"/>
      <c r="DX36" s="103"/>
      <c r="DY36" s="103"/>
      <c r="DZ36" s="103"/>
      <c r="EA36" s="103"/>
      <c r="EB36" s="103"/>
      <c r="EC36" s="103"/>
      <c r="ED36" s="103"/>
      <c r="EE36" s="103"/>
      <c r="EF36" s="103"/>
      <c r="EG36" s="103"/>
      <c r="EH36" s="103"/>
      <c r="EI36" s="103"/>
      <c r="EJ36" s="103"/>
      <c r="EK36" s="103"/>
      <c r="EL36" s="103"/>
      <c r="EM36" s="103"/>
      <c r="EN36" s="103"/>
      <c r="EO36" s="103"/>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3"/>
      <c r="FO36" s="103"/>
      <c r="FP36" s="103"/>
      <c r="FQ36" s="103"/>
      <c r="FR36" s="103"/>
      <c r="FS36" s="103"/>
      <c r="FT36" s="103"/>
      <c r="FU36" s="103"/>
      <c r="FV36" s="103"/>
      <c r="FW36" s="103"/>
      <c r="FX36" s="103"/>
      <c r="FY36" s="103"/>
      <c r="FZ36" s="103"/>
      <c r="GA36" s="103"/>
      <c r="GB36" s="103"/>
      <c r="GC36" s="103"/>
      <c r="GD36" s="103"/>
      <c r="GE36" s="103"/>
      <c r="GF36" s="103"/>
      <c r="GG36" s="103"/>
      <c r="GH36" s="103"/>
      <c r="GI36" s="103"/>
      <c r="GJ36" s="103"/>
      <c r="GK36" s="103"/>
      <c r="GL36" s="103"/>
      <c r="GM36" s="103"/>
      <c r="GN36" s="103"/>
      <c r="GO36" s="103"/>
      <c r="GP36" s="103"/>
      <c r="GQ36" s="103"/>
      <c r="GR36" s="103"/>
      <c r="GS36" s="103"/>
      <c r="GT36" s="103"/>
      <c r="GU36" s="103"/>
      <c r="GV36" s="103"/>
      <c r="GW36" s="103"/>
      <c r="GX36" s="103"/>
      <c r="GY36" s="103"/>
      <c r="GZ36" s="103"/>
      <c r="HA36" s="103"/>
      <c r="HB36" s="103"/>
      <c r="HC36" s="103"/>
      <c r="HD36" s="103"/>
      <c r="HE36" s="103"/>
      <c r="HF36" s="103"/>
      <c r="HG36" s="103"/>
      <c r="HH36" s="103"/>
      <c r="HI36" s="103"/>
      <c r="HJ36" s="103"/>
      <c r="HK36" s="103"/>
      <c r="HL36" s="103"/>
      <c r="HM36" s="103"/>
      <c r="HN36" s="103"/>
      <c r="HO36" s="103"/>
      <c r="HP36" s="103"/>
      <c r="HQ36" s="103"/>
      <c r="HR36" s="103"/>
      <c r="HS36" s="103"/>
      <c r="HT36" s="103"/>
      <c r="HU36" s="103"/>
      <c r="HV36" s="103"/>
      <c r="HW36" s="103"/>
      <c r="HX36" s="103"/>
      <c r="HY36" s="103"/>
      <c r="HZ36" s="103"/>
      <c r="IA36" s="103"/>
      <c r="IB36" s="103"/>
      <c r="IC36" s="103"/>
      <c r="ID36" s="103"/>
      <c r="IE36" s="103"/>
      <c r="IF36" s="103"/>
      <c r="IG36" s="103"/>
      <c r="IH36" s="103"/>
      <c r="II36" s="103"/>
      <c r="IJ36" s="103"/>
      <c r="IK36" s="103"/>
      <c r="IL36" s="103"/>
      <c r="IM36" s="103"/>
      <c r="IN36" s="103"/>
      <c r="IO36" s="103"/>
      <c r="IP36" s="103"/>
      <c r="IQ36" s="103"/>
      <c r="IR36" s="103"/>
      <c r="IS36" s="103"/>
      <c r="IT36" s="103"/>
      <c r="IU36" s="103"/>
      <c r="IV36" s="103"/>
      <c r="IW36" s="103"/>
      <c r="IX36" s="103"/>
      <c r="IY36" s="103"/>
      <c r="IZ36" s="103"/>
      <c r="JA36" s="103"/>
      <c r="JB36" s="103"/>
      <c r="JC36" s="103"/>
      <c r="JD36" s="103"/>
      <c r="JE36" s="103"/>
      <c r="JF36" s="103"/>
      <c r="JG36" s="103"/>
      <c r="JH36" s="103"/>
      <c r="JI36" s="103"/>
      <c r="JJ36" s="103"/>
      <c r="JK36" s="103"/>
      <c r="JL36" s="103"/>
      <c r="JM36" s="103"/>
      <c r="JN36" s="103"/>
      <c r="JO36" s="103"/>
      <c r="JP36" s="103"/>
      <c r="JQ36" s="103"/>
      <c r="JR36" s="103"/>
      <c r="JS36" s="103"/>
      <c r="JT36" s="103"/>
      <c r="JU36" s="103"/>
      <c r="JV36" s="103"/>
      <c r="JW36" s="103"/>
      <c r="JX36" s="103"/>
      <c r="JY36" s="103"/>
      <c r="JZ36" s="103"/>
      <c r="KA36" s="103"/>
      <c r="KB36" s="103"/>
      <c r="KC36" s="103"/>
      <c r="KD36" s="103"/>
      <c r="KE36" s="103"/>
      <c r="KF36" s="103"/>
      <c r="KG36" s="103"/>
      <c r="KH36" s="103"/>
      <c r="KI36" s="103"/>
      <c r="KJ36" s="103"/>
      <c r="KK36" s="103"/>
      <c r="KL36" s="103"/>
      <c r="KM36" s="103"/>
      <c r="KN36" s="103"/>
      <c r="KO36" s="103"/>
      <c r="KP36" s="103"/>
      <c r="KQ36" s="103"/>
      <c r="KR36" s="103"/>
      <c r="KS36" s="103"/>
      <c r="KT36" s="103"/>
      <c r="KU36" s="103"/>
      <c r="KV36" s="103"/>
      <c r="KW36" s="103"/>
      <c r="KX36" s="103"/>
      <c r="KY36" s="103"/>
      <c r="KZ36" s="103"/>
      <c r="LA36" s="103"/>
      <c r="LB36" s="103"/>
      <c r="LC36" s="103"/>
      <c r="LD36" s="103"/>
      <c r="LE36" s="103"/>
      <c r="LF36" s="103"/>
      <c r="LG36" s="103"/>
      <c r="LH36" s="103"/>
      <c r="LI36" s="103"/>
      <c r="LJ36" s="103"/>
    </row>
    <row r="37" spans="1:322" s="208" customFormat="1">
      <c r="A37" s="103"/>
      <c r="B37" s="182">
        <v>1962</v>
      </c>
      <c r="C37" s="213">
        <v>0.99199999999999999</v>
      </c>
      <c r="D37" s="213">
        <v>1.139</v>
      </c>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03"/>
      <c r="AO37" s="103"/>
      <c r="AP37" s="103"/>
      <c r="AQ37" s="103"/>
      <c r="AR37" s="103"/>
      <c r="AS37" s="103"/>
      <c r="AT37" s="103"/>
      <c r="AU37" s="103"/>
      <c r="AV37" s="103"/>
      <c r="AW37" s="103"/>
      <c r="AX37" s="103"/>
      <c r="AY37" s="103"/>
      <c r="AZ37" s="103"/>
      <c r="BA37" s="103"/>
      <c r="BB37" s="103"/>
      <c r="BC37" s="103"/>
      <c r="BD37" s="103"/>
      <c r="BE37" s="103"/>
      <c r="BF37" s="103"/>
      <c r="BG37" s="103"/>
      <c r="BH37" s="103"/>
      <c r="BI37" s="103"/>
      <c r="BJ37" s="103"/>
      <c r="BK37" s="103"/>
      <c r="BL37" s="103"/>
      <c r="BM37" s="103"/>
      <c r="BN37" s="103"/>
      <c r="BO37" s="103"/>
      <c r="BP37" s="103"/>
      <c r="BQ37" s="103"/>
      <c r="BR37" s="103"/>
      <c r="BS37" s="103"/>
      <c r="BT37" s="103"/>
      <c r="BU37" s="103"/>
      <c r="BV37" s="103"/>
      <c r="BW37" s="103"/>
      <c r="BX37" s="103"/>
      <c r="BY37" s="103"/>
      <c r="BZ37" s="103"/>
      <c r="CA37" s="103"/>
      <c r="CB37" s="103"/>
      <c r="CC37" s="103"/>
      <c r="CD37" s="103"/>
      <c r="CE37" s="103"/>
      <c r="CF37" s="103"/>
      <c r="CG37" s="103"/>
      <c r="CH37" s="103"/>
      <c r="CI37" s="103"/>
      <c r="CJ37" s="103"/>
      <c r="CK37" s="103"/>
      <c r="CL37" s="103"/>
      <c r="CM37" s="103"/>
      <c r="CN37" s="103"/>
      <c r="CO37" s="103"/>
      <c r="CP37" s="103"/>
      <c r="CQ37" s="103"/>
      <c r="CR37" s="103"/>
      <c r="CS37" s="103"/>
      <c r="CT37" s="103"/>
      <c r="CU37" s="103"/>
      <c r="CV37" s="103"/>
      <c r="CW37" s="103"/>
      <c r="CX37" s="103"/>
      <c r="CY37" s="103"/>
      <c r="CZ37" s="103"/>
      <c r="DA37" s="103"/>
      <c r="DB37" s="103"/>
      <c r="DC37" s="103"/>
      <c r="DD37" s="103"/>
      <c r="DE37" s="103"/>
      <c r="DF37" s="103"/>
      <c r="DG37" s="103"/>
      <c r="DH37" s="103"/>
      <c r="DI37" s="103"/>
      <c r="DJ37" s="103"/>
      <c r="DK37" s="103"/>
      <c r="DL37" s="103"/>
      <c r="DM37" s="103"/>
      <c r="DN37" s="103"/>
      <c r="DO37" s="103"/>
      <c r="DP37" s="103"/>
      <c r="DQ37" s="103"/>
      <c r="DR37" s="103"/>
      <c r="DS37" s="103"/>
      <c r="DT37" s="103"/>
      <c r="DU37" s="103"/>
      <c r="DV37" s="103"/>
      <c r="DW37" s="103"/>
      <c r="DX37" s="103"/>
      <c r="DY37" s="103"/>
      <c r="DZ37" s="103"/>
      <c r="EA37" s="103"/>
      <c r="EB37" s="103"/>
      <c r="EC37" s="103"/>
      <c r="ED37" s="103"/>
      <c r="EE37" s="103"/>
      <c r="EF37" s="103"/>
      <c r="EG37" s="103"/>
      <c r="EH37" s="103"/>
      <c r="EI37" s="103"/>
      <c r="EJ37" s="103"/>
      <c r="EK37" s="103"/>
      <c r="EL37" s="103"/>
      <c r="EM37" s="103"/>
      <c r="EN37" s="103"/>
      <c r="EO37" s="103"/>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3"/>
      <c r="FO37" s="103"/>
      <c r="FP37" s="103"/>
      <c r="FQ37" s="103"/>
      <c r="FR37" s="103"/>
      <c r="FS37" s="103"/>
      <c r="FT37" s="103"/>
      <c r="FU37" s="103"/>
      <c r="FV37" s="103"/>
      <c r="FW37" s="103"/>
      <c r="FX37" s="103"/>
      <c r="FY37" s="103"/>
      <c r="FZ37" s="103"/>
      <c r="GA37" s="103"/>
      <c r="GB37" s="103"/>
      <c r="GC37" s="103"/>
      <c r="GD37" s="103"/>
      <c r="GE37" s="103"/>
      <c r="GF37" s="103"/>
      <c r="GG37" s="103"/>
      <c r="GH37" s="103"/>
      <c r="GI37" s="103"/>
      <c r="GJ37" s="103"/>
      <c r="GK37" s="103"/>
      <c r="GL37" s="103"/>
      <c r="GM37" s="103"/>
      <c r="GN37" s="103"/>
      <c r="GO37" s="103"/>
      <c r="GP37" s="103"/>
      <c r="GQ37" s="103"/>
      <c r="GR37" s="103"/>
      <c r="GS37" s="103"/>
      <c r="GT37" s="103"/>
      <c r="GU37" s="103"/>
      <c r="GV37" s="103"/>
      <c r="GW37" s="103"/>
      <c r="GX37" s="103"/>
      <c r="GY37" s="103"/>
      <c r="GZ37" s="103"/>
      <c r="HA37" s="103"/>
      <c r="HB37" s="103"/>
      <c r="HC37" s="103"/>
      <c r="HD37" s="103"/>
      <c r="HE37" s="103"/>
      <c r="HF37" s="103"/>
      <c r="HG37" s="103"/>
      <c r="HH37" s="103"/>
      <c r="HI37" s="103"/>
      <c r="HJ37" s="103"/>
      <c r="HK37" s="103"/>
      <c r="HL37" s="103"/>
      <c r="HM37" s="103"/>
      <c r="HN37" s="103"/>
      <c r="HO37" s="103"/>
      <c r="HP37" s="103"/>
      <c r="HQ37" s="103"/>
      <c r="HR37" s="103"/>
      <c r="HS37" s="103"/>
      <c r="HT37" s="103"/>
      <c r="HU37" s="103"/>
      <c r="HV37" s="103"/>
      <c r="HW37" s="103"/>
      <c r="HX37" s="103"/>
      <c r="HY37" s="103"/>
      <c r="HZ37" s="103"/>
      <c r="IA37" s="103"/>
      <c r="IB37" s="103"/>
      <c r="IC37" s="103"/>
      <c r="ID37" s="103"/>
      <c r="IE37" s="103"/>
      <c r="IF37" s="103"/>
      <c r="IG37" s="103"/>
      <c r="IH37" s="103"/>
      <c r="II37" s="103"/>
      <c r="IJ37" s="103"/>
      <c r="IK37" s="103"/>
      <c r="IL37" s="103"/>
      <c r="IM37" s="103"/>
      <c r="IN37" s="103"/>
      <c r="IO37" s="103"/>
      <c r="IP37" s="103"/>
      <c r="IQ37" s="103"/>
      <c r="IR37" s="103"/>
      <c r="IS37" s="103"/>
      <c r="IT37" s="103"/>
      <c r="IU37" s="103"/>
      <c r="IV37" s="103"/>
      <c r="IW37" s="103"/>
      <c r="IX37" s="103"/>
      <c r="IY37" s="103"/>
      <c r="IZ37" s="103"/>
      <c r="JA37" s="103"/>
      <c r="JB37" s="103"/>
      <c r="JC37" s="103"/>
      <c r="JD37" s="103"/>
      <c r="JE37" s="103"/>
      <c r="JF37" s="103"/>
      <c r="JG37" s="103"/>
      <c r="JH37" s="103"/>
      <c r="JI37" s="103"/>
      <c r="JJ37" s="103"/>
      <c r="JK37" s="103"/>
      <c r="JL37" s="103"/>
      <c r="JM37" s="103"/>
      <c r="JN37" s="103"/>
      <c r="JO37" s="103"/>
      <c r="JP37" s="103"/>
      <c r="JQ37" s="103"/>
      <c r="JR37" s="103"/>
      <c r="JS37" s="103"/>
      <c r="JT37" s="103"/>
      <c r="JU37" s="103"/>
      <c r="JV37" s="103"/>
      <c r="JW37" s="103"/>
      <c r="JX37" s="103"/>
      <c r="JY37" s="103"/>
      <c r="JZ37" s="103"/>
      <c r="KA37" s="103"/>
      <c r="KB37" s="103"/>
      <c r="KC37" s="103"/>
      <c r="KD37" s="103"/>
      <c r="KE37" s="103"/>
      <c r="KF37" s="103"/>
      <c r="KG37" s="103"/>
      <c r="KH37" s="103"/>
      <c r="KI37" s="103"/>
      <c r="KJ37" s="103"/>
      <c r="KK37" s="103"/>
      <c r="KL37" s="103"/>
      <c r="KM37" s="103"/>
      <c r="KN37" s="103"/>
      <c r="KO37" s="103"/>
      <c r="KP37" s="103"/>
      <c r="KQ37" s="103"/>
      <c r="KR37" s="103"/>
      <c r="KS37" s="103"/>
      <c r="KT37" s="103"/>
      <c r="KU37" s="103"/>
      <c r="KV37" s="103"/>
      <c r="KW37" s="103"/>
      <c r="KX37" s="103"/>
      <c r="KY37" s="103"/>
      <c r="KZ37" s="103"/>
      <c r="LA37" s="103"/>
      <c r="LB37" s="103"/>
      <c r="LC37" s="103"/>
      <c r="LD37" s="103"/>
      <c r="LE37" s="103"/>
      <c r="LF37" s="103"/>
      <c r="LG37" s="103"/>
      <c r="LH37" s="103"/>
      <c r="LI37" s="103"/>
      <c r="LJ37" s="103"/>
    </row>
    <row r="38" spans="1:322" s="208" customFormat="1">
      <c r="A38" s="103"/>
      <c r="B38" s="181">
        <v>1963</v>
      </c>
      <c r="C38" s="213">
        <v>0.99299999999999999</v>
      </c>
      <c r="D38" s="213">
        <v>1.1399999999999999</v>
      </c>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03"/>
      <c r="CF38" s="103"/>
      <c r="CG38" s="103"/>
      <c r="CH38" s="103"/>
      <c r="CI38" s="103"/>
      <c r="CJ38" s="103"/>
      <c r="CK38" s="103"/>
      <c r="CL38" s="103"/>
      <c r="CM38" s="103"/>
      <c r="CN38" s="103"/>
      <c r="CO38" s="103"/>
      <c r="CP38" s="103"/>
      <c r="CQ38" s="103"/>
      <c r="CR38" s="103"/>
      <c r="CS38" s="103"/>
      <c r="CT38" s="103"/>
      <c r="CU38" s="103"/>
      <c r="CV38" s="103"/>
      <c r="CW38" s="103"/>
      <c r="CX38" s="103"/>
      <c r="CY38" s="103"/>
      <c r="CZ38" s="103"/>
      <c r="DA38" s="103"/>
      <c r="DB38" s="103"/>
      <c r="DC38" s="103"/>
      <c r="DD38" s="103"/>
      <c r="DE38" s="103"/>
      <c r="DF38" s="103"/>
      <c r="DG38" s="103"/>
      <c r="DH38" s="103"/>
      <c r="DI38" s="103"/>
      <c r="DJ38" s="103"/>
      <c r="DK38" s="103"/>
      <c r="DL38" s="103"/>
      <c r="DM38" s="103"/>
      <c r="DN38" s="103"/>
      <c r="DO38" s="103"/>
      <c r="DP38" s="103"/>
      <c r="DQ38" s="103"/>
      <c r="DR38" s="103"/>
      <c r="DS38" s="103"/>
      <c r="DT38" s="103"/>
      <c r="DU38" s="103"/>
      <c r="DV38" s="103"/>
      <c r="DW38" s="103"/>
      <c r="DX38" s="103"/>
      <c r="DY38" s="103"/>
      <c r="DZ38" s="103"/>
      <c r="EA38" s="103"/>
      <c r="EB38" s="103"/>
      <c r="EC38" s="103"/>
      <c r="ED38" s="103"/>
      <c r="EE38" s="103"/>
      <c r="EF38" s="103"/>
      <c r="EG38" s="103"/>
      <c r="EH38" s="103"/>
      <c r="EI38" s="103"/>
      <c r="EJ38" s="103"/>
      <c r="EK38" s="103"/>
      <c r="EL38" s="103"/>
      <c r="EM38" s="103"/>
      <c r="EN38" s="103"/>
      <c r="EO38" s="103"/>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3"/>
      <c r="FO38" s="103"/>
      <c r="FP38" s="103"/>
      <c r="FQ38" s="103"/>
      <c r="FR38" s="103"/>
      <c r="FS38" s="103"/>
      <c r="FT38" s="103"/>
      <c r="FU38" s="103"/>
      <c r="FV38" s="103"/>
      <c r="FW38" s="103"/>
      <c r="FX38" s="103"/>
      <c r="FY38" s="103"/>
      <c r="FZ38" s="103"/>
      <c r="GA38" s="103"/>
      <c r="GB38" s="103"/>
      <c r="GC38" s="103"/>
      <c r="GD38" s="103"/>
      <c r="GE38" s="103"/>
      <c r="GF38" s="103"/>
      <c r="GG38" s="103"/>
      <c r="GH38" s="103"/>
      <c r="GI38" s="103"/>
      <c r="GJ38" s="103"/>
      <c r="GK38" s="103"/>
      <c r="GL38" s="103"/>
      <c r="GM38" s="103"/>
      <c r="GN38" s="103"/>
      <c r="GO38" s="103"/>
      <c r="GP38" s="103"/>
      <c r="GQ38" s="103"/>
      <c r="GR38" s="103"/>
      <c r="GS38" s="103"/>
      <c r="GT38" s="103"/>
      <c r="GU38" s="103"/>
      <c r="GV38" s="103"/>
      <c r="GW38" s="103"/>
      <c r="GX38" s="103"/>
      <c r="GY38" s="103"/>
      <c r="GZ38" s="103"/>
      <c r="HA38" s="103"/>
      <c r="HB38" s="103"/>
      <c r="HC38" s="103"/>
      <c r="HD38" s="103"/>
      <c r="HE38" s="103"/>
      <c r="HF38" s="103"/>
      <c r="HG38" s="103"/>
      <c r="HH38" s="103"/>
      <c r="HI38" s="103"/>
      <c r="HJ38" s="103"/>
      <c r="HK38" s="103"/>
      <c r="HL38" s="103"/>
      <c r="HM38" s="103"/>
      <c r="HN38" s="103"/>
      <c r="HO38" s="103"/>
      <c r="HP38" s="103"/>
      <c r="HQ38" s="103"/>
      <c r="HR38" s="103"/>
      <c r="HS38" s="103"/>
      <c r="HT38" s="103"/>
      <c r="HU38" s="103"/>
      <c r="HV38" s="103"/>
      <c r="HW38" s="103"/>
      <c r="HX38" s="103"/>
      <c r="HY38" s="103"/>
      <c r="HZ38" s="103"/>
      <c r="IA38" s="103"/>
      <c r="IB38" s="103"/>
      <c r="IC38" s="103"/>
      <c r="ID38" s="103"/>
      <c r="IE38" s="103"/>
      <c r="IF38" s="103"/>
      <c r="IG38" s="103"/>
      <c r="IH38" s="103"/>
      <c r="II38" s="103"/>
      <c r="IJ38" s="103"/>
      <c r="IK38" s="103"/>
      <c r="IL38" s="103"/>
      <c r="IM38" s="103"/>
      <c r="IN38" s="103"/>
      <c r="IO38" s="103"/>
      <c r="IP38" s="103"/>
      <c r="IQ38" s="103"/>
      <c r="IR38" s="103"/>
      <c r="IS38" s="103"/>
      <c r="IT38" s="103"/>
      <c r="IU38" s="103"/>
      <c r="IV38" s="103"/>
      <c r="IW38" s="103"/>
      <c r="IX38" s="103"/>
      <c r="IY38" s="103"/>
      <c r="IZ38" s="103"/>
      <c r="JA38" s="103"/>
      <c r="JB38" s="103"/>
      <c r="JC38" s="103"/>
      <c r="JD38" s="103"/>
      <c r="JE38" s="103"/>
      <c r="JF38" s="103"/>
      <c r="JG38" s="103"/>
      <c r="JH38" s="103"/>
      <c r="JI38" s="103"/>
      <c r="JJ38" s="103"/>
      <c r="JK38" s="103"/>
      <c r="JL38" s="103"/>
      <c r="JM38" s="103"/>
      <c r="JN38" s="103"/>
      <c r="JO38" s="103"/>
      <c r="JP38" s="103"/>
      <c r="JQ38" s="103"/>
      <c r="JR38" s="103"/>
      <c r="JS38" s="103"/>
      <c r="JT38" s="103"/>
      <c r="JU38" s="103"/>
      <c r="JV38" s="103"/>
      <c r="JW38" s="103"/>
      <c r="JX38" s="103"/>
      <c r="JY38" s="103"/>
      <c r="JZ38" s="103"/>
      <c r="KA38" s="103"/>
      <c r="KB38" s="103"/>
      <c r="KC38" s="103"/>
      <c r="KD38" s="103"/>
      <c r="KE38" s="103"/>
      <c r="KF38" s="103"/>
      <c r="KG38" s="103"/>
      <c r="KH38" s="103"/>
      <c r="KI38" s="103"/>
      <c r="KJ38" s="103"/>
      <c r="KK38" s="103"/>
      <c r="KL38" s="103"/>
      <c r="KM38" s="103"/>
      <c r="KN38" s="103"/>
      <c r="KO38" s="103"/>
      <c r="KP38" s="103"/>
      <c r="KQ38" s="103"/>
      <c r="KR38" s="103"/>
      <c r="KS38" s="103"/>
      <c r="KT38" s="103"/>
      <c r="KU38" s="103"/>
      <c r="KV38" s="103"/>
      <c r="KW38" s="103"/>
      <c r="KX38" s="103"/>
      <c r="KY38" s="103"/>
      <c r="KZ38" s="103"/>
      <c r="LA38" s="103"/>
      <c r="LB38" s="103"/>
      <c r="LC38" s="103"/>
      <c r="LD38" s="103"/>
      <c r="LE38" s="103"/>
      <c r="LF38" s="103"/>
      <c r="LG38" s="103"/>
      <c r="LH38" s="103"/>
      <c r="LI38" s="103"/>
      <c r="LJ38" s="103"/>
    </row>
    <row r="39" spans="1:322" s="208" customFormat="1">
      <c r="A39" s="103"/>
      <c r="B39" s="182">
        <v>1964</v>
      </c>
      <c r="C39" s="213">
        <v>0.997</v>
      </c>
      <c r="D39" s="213">
        <v>1.1439999999999999</v>
      </c>
      <c r="E39" s="103"/>
      <c r="F39" s="103"/>
      <c r="G39" s="103"/>
      <c r="H39" s="103"/>
      <c r="I39" s="103"/>
      <c r="J39" s="103"/>
      <c r="K39" s="103"/>
      <c r="L39" s="103"/>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3"/>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c r="CA39" s="103"/>
      <c r="CB39" s="103"/>
      <c r="CC39" s="103"/>
      <c r="CD39" s="103"/>
      <c r="CE39" s="103"/>
      <c r="CF39" s="103"/>
      <c r="CG39" s="103"/>
      <c r="CH39" s="103"/>
      <c r="CI39" s="103"/>
      <c r="CJ39" s="103"/>
      <c r="CK39" s="103"/>
      <c r="CL39" s="103"/>
      <c r="CM39" s="103"/>
      <c r="CN39" s="103"/>
      <c r="CO39" s="103"/>
      <c r="CP39" s="103"/>
      <c r="CQ39" s="103"/>
      <c r="CR39" s="103"/>
      <c r="CS39" s="103"/>
      <c r="CT39" s="103"/>
      <c r="CU39" s="103"/>
      <c r="CV39" s="103"/>
      <c r="CW39" s="103"/>
      <c r="CX39" s="103"/>
      <c r="CY39" s="103"/>
      <c r="CZ39" s="103"/>
      <c r="DA39" s="103"/>
      <c r="DB39" s="103"/>
      <c r="DC39" s="103"/>
      <c r="DD39" s="103"/>
      <c r="DE39" s="103"/>
      <c r="DF39" s="103"/>
      <c r="DG39" s="103"/>
      <c r="DH39" s="103"/>
      <c r="DI39" s="103"/>
      <c r="DJ39" s="103"/>
      <c r="DK39" s="103"/>
      <c r="DL39" s="103"/>
      <c r="DM39" s="103"/>
      <c r="DN39" s="103"/>
      <c r="DO39" s="103"/>
      <c r="DP39" s="103"/>
      <c r="DQ39" s="103"/>
      <c r="DR39" s="103"/>
      <c r="DS39" s="103"/>
      <c r="DT39" s="103"/>
      <c r="DU39" s="103"/>
      <c r="DV39" s="103"/>
      <c r="DW39" s="103"/>
      <c r="DX39" s="103"/>
      <c r="DY39" s="103"/>
      <c r="DZ39" s="103"/>
      <c r="EA39" s="103"/>
      <c r="EB39" s="103"/>
      <c r="EC39" s="103"/>
      <c r="ED39" s="103"/>
      <c r="EE39" s="103"/>
      <c r="EF39" s="103"/>
      <c r="EG39" s="103"/>
      <c r="EH39" s="103"/>
      <c r="EI39" s="103"/>
      <c r="EJ39" s="103"/>
      <c r="EK39" s="103"/>
      <c r="EL39" s="103"/>
      <c r="EM39" s="103"/>
      <c r="EN39" s="103"/>
      <c r="EO39" s="103"/>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3"/>
      <c r="FO39" s="103"/>
      <c r="FP39" s="103"/>
      <c r="FQ39" s="103"/>
      <c r="FR39" s="103"/>
      <c r="FS39" s="103"/>
      <c r="FT39" s="103"/>
      <c r="FU39" s="103"/>
      <c r="FV39" s="103"/>
      <c r="FW39" s="103"/>
      <c r="FX39" s="103"/>
      <c r="FY39" s="103"/>
      <c r="FZ39" s="103"/>
      <c r="GA39" s="103"/>
      <c r="GB39" s="103"/>
      <c r="GC39" s="103"/>
      <c r="GD39" s="103"/>
      <c r="GE39" s="103"/>
      <c r="GF39" s="103"/>
      <c r="GG39" s="103"/>
      <c r="GH39" s="103"/>
      <c r="GI39" s="103"/>
      <c r="GJ39" s="103"/>
      <c r="GK39" s="103"/>
      <c r="GL39" s="103"/>
      <c r="GM39" s="103"/>
      <c r="GN39" s="103"/>
      <c r="GO39" s="103"/>
      <c r="GP39" s="103"/>
      <c r="GQ39" s="103"/>
      <c r="GR39" s="103"/>
      <c r="GS39" s="103"/>
      <c r="GT39" s="103"/>
      <c r="GU39" s="103"/>
      <c r="GV39" s="103"/>
      <c r="GW39" s="103"/>
      <c r="GX39" s="103"/>
      <c r="GY39" s="103"/>
      <c r="GZ39" s="103"/>
      <c r="HA39" s="103"/>
      <c r="HB39" s="103"/>
      <c r="HC39" s="103"/>
      <c r="HD39" s="103"/>
      <c r="HE39" s="103"/>
      <c r="HF39" s="103"/>
      <c r="HG39" s="103"/>
      <c r="HH39" s="103"/>
      <c r="HI39" s="103"/>
      <c r="HJ39" s="103"/>
      <c r="HK39" s="103"/>
      <c r="HL39" s="103"/>
      <c r="HM39" s="103"/>
      <c r="HN39" s="103"/>
      <c r="HO39" s="103"/>
      <c r="HP39" s="103"/>
      <c r="HQ39" s="103"/>
      <c r="HR39" s="103"/>
      <c r="HS39" s="103"/>
      <c r="HT39" s="103"/>
      <c r="HU39" s="103"/>
      <c r="HV39" s="103"/>
      <c r="HW39" s="103"/>
      <c r="HX39" s="103"/>
      <c r="HY39" s="103"/>
      <c r="HZ39" s="103"/>
      <c r="IA39" s="103"/>
      <c r="IB39" s="103"/>
      <c r="IC39" s="103"/>
      <c r="ID39" s="103"/>
      <c r="IE39" s="103"/>
      <c r="IF39" s="103"/>
      <c r="IG39" s="103"/>
      <c r="IH39" s="103"/>
      <c r="II39" s="103"/>
      <c r="IJ39" s="103"/>
      <c r="IK39" s="103"/>
      <c r="IL39" s="103"/>
      <c r="IM39" s="103"/>
      <c r="IN39" s="103"/>
      <c r="IO39" s="103"/>
      <c r="IP39" s="103"/>
      <c r="IQ39" s="103"/>
      <c r="IR39" s="103"/>
      <c r="IS39" s="103"/>
      <c r="IT39" s="103"/>
      <c r="IU39" s="103"/>
      <c r="IV39" s="103"/>
      <c r="IW39" s="103"/>
      <c r="IX39" s="103"/>
      <c r="IY39" s="103"/>
      <c r="IZ39" s="103"/>
      <c r="JA39" s="103"/>
      <c r="JB39" s="103"/>
      <c r="JC39" s="103"/>
      <c r="JD39" s="103"/>
      <c r="JE39" s="103"/>
      <c r="JF39" s="103"/>
      <c r="JG39" s="103"/>
      <c r="JH39" s="103"/>
      <c r="JI39" s="103"/>
      <c r="JJ39" s="103"/>
      <c r="JK39" s="103"/>
      <c r="JL39" s="103"/>
      <c r="JM39" s="103"/>
      <c r="JN39" s="103"/>
      <c r="JO39" s="103"/>
      <c r="JP39" s="103"/>
      <c r="JQ39" s="103"/>
      <c r="JR39" s="103"/>
      <c r="JS39" s="103"/>
      <c r="JT39" s="103"/>
      <c r="JU39" s="103"/>
      <c r="JV39" s="103"/>
      <c r="JW39" s="103"/>
      <c r="JX39" s="103"/>
      <c r="JY39" s="103"/>
      <c r="JZ39" s="103"/>
      <c r="KA39" s="103"/>
      <c r="KB39" s="103"/>
      <c r="KC39" s="103"/>
      <c r="KD39" s="103"/>
      <c r="KE39" s="103"/>
      <c r="KF39" s="103"/>
      <c r="KG39" s="103"/>
      <c r="KH39" s="103"/>
      <c r="KI39" s="103"/>
      <c r="KJ39" s="103"/>
      <c r="KK39" s="103"/>
      <c r="KL39" s="103"/>
      <c r="KM39" s="103"/>
      <c r="KN39" s="103"/>
      <c r="KO39" s="103"/>
      <c r="KP39" s="103"/>
      <c r="KQ39" s="103"/>
      <c r="KR39" s="103"/>
      <c r="KS39" s="103"/>
      <c r="KT39" s="103"/>
      <c r="KU39" s="103"/>
      <c r="KV39" s="103"/>
      <c r="KW39" s="103"/>
      <c r="KX39" s="103"/>
      <c r="KY39" s="103"/>
      <c r="KZ39" s="103"/>
      <c r="LA39" s="103"/>
      <c r="LB39" s="103"/>
      <c r="LC39" s="103"/>
      <c r="LD39" s="103"/>
      <c r="LE39" s="103"/>
      <c r="LF39" s="103"/>
      <c r="LG39" s="103"/>
      <c r="LH39" s="103"/>
      <c r="LI39" s="103"/>
      <c r="LJ39" s="103"/>
    </row>
    <row r="40" spans="1:322" s="208" customFormat="1">
      <c r="A40" s="103"/>
      <c r="B40" s="181">
        <v>1965</v>
      </c>
      <c r="C40" s="213">
        <v>0.998</v>
      </c>
      <c r="D40" s="213">
        <v>1.145</v>
      </c>
      <c r="E40" s="103"/>
      <c r="F40" s="103"/>
      <c r="G40" s="103"/>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DZ40" s="103"/>
      <c r="EA40" s="103"/>
      <c r="EB40" s="103"/>
      <c r="EC40" s="103"/>
      <c r="ED40" s="103"/>
      <c r="EE40" s="103"/>
      <c r="EF40" s="103"/>
      <c r="EG40" s="103"/>
      <c r="EH40" s="103"/>
      <c r="EI40" s="103"/>
      <c r="EJ40" s="103"/>
      <c r="EK40" s="103"/>
      <c r="EL40" s="103"/>
      <c r="EM40" s="103"/>
      <c r="EN40" s="103"/>
      <c r="EO40" s="103"/>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3"/>
      <c r="FO40" s="103"/>
      <c r="FP40" s="103"/>
      <c r="FQ40" s="103"/>
      <c r="FR40" s="103"/>
      <c r="FS40" s="103"/>
      <c r="FT40" s="103"/>
      <c r="FU40" s="103"/>
      <c r="FV40" s="103"/>
      <c r="FW40" s="103"/>
      <c r="FX40" s="103"/>
      <c r="FY40" s="103"/>
      <c r="FZ40" s="103"/>
      <c r="GA40" s="103"/>
      <c r="GB40" s="103"/>
      <c r="GC40" s="103"/>
      <c r="GD40" s="103"/>
      <c r="GE40" s="103"/>
      <c r="GF40" s="103"/>
      <c r="GG40" s="103"/>
      <c r="GH40" s="103"/>
      <c r="GI40" s="103"/>
      <c r="GJ40" s="103"/>
      <c r="GK40" s="103"/>
      <c r="GL40" s="103"/>
      <c r="GM40" s="103"/>
      <c r="GN40" s="103"/>
      <c r="GO40" s="103"/>
      <c r="GP40" s="103"/>
      <c r="GQ40" s="103"/>
      <c r="GR40" s="103"/>
      <c r="GS40" s="103"/>
      <c r="GT40" s="103"/>
      <c r="GU40" s="103"/>
      <c r="GV40" s="103"/>
      <c r="GW40" s="103"/>
      <c r="GX40" s="103"/>
      <c r="GY40" s="103"/>
      <c r="GZ40" s="103"/>
      <c r="HA40" s="103"/>
      <c r="HB40" s="103"/>
      <c r="HC40" s="103"/>
      <c r="HD40" s="103"/>
      <c r="HE40" s="103"/>
      <c r="HF40" s="103"/>
      <c r="HG40" s="103"/>
      <c r="HH40" s="103"/>
      <c r="HI40" s="103"/>
      <c r="HJ40" s="103"/>
      <c r="HK40" s="103"/>
      <c r="HL40" s="103"/>
      <c r="HM40" s="103"/>
      <c r="HN40" s="103"/>
      <c r="HO40" s="103"/>
      <c r="HP40" s="103"/>
      <c r="HQ40" s="103"/>
      <c r="HR40" s="103"/>
      <c r="HS40" s="103"/>
      <c r="HT40" s="103"/>
      <c r="HU40" s="103"/>
      <c r="HV40" s="103"/>
      <c r="HW40" s="103"/>
      <c r="HX40" s="103"/>
      <c r="HY40" s="103"/>
      <c r="HZ40" s="103"/>
      <c r="IA40" s="103"/>
      <c r="IB40" s="103"/>
      <c r="IC40" s="103"/>
      <c r="ID40" s="103"/>
      <c r="IE40" s="103"/>
      <c r="IF40" s="103"/>
      <c r="IG40" s="103"/>
      <c r="IH40" s="103"/>
      <c r="II40" s="103"/>
      <c r="IJ40" s="103"/>
      <c r="IK40" s="103"/>
      <c r="IL40" s="103"/>
      <c r="IM40" s="103"/>
      <c r="IN40" s="103"/>
      <c r="IO40" s="103"/>
      <c r="IP40" s="103"/>
      <c r="IQ40" s="103"/>
      <c r="IR40" s="103"/>
      <c r="IS40" s="103"/>
      <c r="IT40" s="103"/>
      <c r="IU40" s="103"/>
      <c r="IV40" s="103"/>
      <c r="IW40" s="103"/>
      <c r="IX40" s="103"/>
      <c r="IY40" s="103"/>
      <c r="IZ40" s="103"/>
      <c r="JA40" s="103"/>
      <c r="JB40" s="103"/>
      <c r="JC40" s="103"/>
      <c r="JD40" s="103"/>
      <c r="JE40" s="103"/>
      <c r="JF40" s="103"/>
      <c r="JG40" s="103"/>
      <c r="JH40" s="103"/>
      <c r="JI40" s="103"/>
      <c r="JJ40" s="103"/>
      <c r="JK40" s="103"/>
      <c r="JL40" s="103"/>
      <c r="JM40" s="103"/>
      <c r="JN40" s="103"/>
      <c r="JO40" s="103"/>
      <c r="JP40" s="103"/>
      <c r="JQ40" s="103"/>
      <c r="JR40" s="103"/>
      <c r="JS40" s="103"/>
      <c r="JT40" s="103"/>
      <c r="JU40" s="103"/>
      <c r="JV40" s="103"/>
      <c r="JW40" s="103"/>
      <c r="JX40" s="103"/>
      <c r="JY40" s="103"/>
      <c r="JZ40" s="103"/>
      <c r="KA40" s="103"/>
      <c r="KB40" s="103"/>
      <c r="KC40" s="103"/>
      <c r="KD40" s="103"/>
      <c r="KE40" s="103"/>
      <c r="KF40" s="103"/>
      <c r="KG40" s="103"/>
      <c r="KH40" s="103"/>
      <c r="KI40" s="103"/>
      <c r="KJ40" s="103"/>
      <c r="KK40" s="103"/>
      <c r="KL40" s="103"/>
      <c r="KM40" s="103"/>
      <c r="KN40" s="103"/>
      <c r="KO40" s="103"/>
      <c r="KP40" s="103"/>
      <c r="KQ40" s="103"/>
      <c r="KR40" s="103"/>
      <c r="KS40" s="103"/>
      <c r="KT40" s="103"/>
      <c r="KU40" s="103"/>
      <c r="KV40" s="103"/>
      <c r="KW40" s="103"/>
      <c r="KX40" s="103"/>
      <c r="KY40" s="103"/>
      <c r="KZ40" s="103"/>
      <c r="LA40" s="103"/>
      <c r="LB40" s="103"/>
      <c r="LC40" s="103"/>
      <c r="LD40" s="103"/>
      <c r="LE40" s="103"/>
      <c r="LF40" s="103"/>
      <c r="LG40" s="103"/>
      <c r="LH40" s="103"/>
      <c r="LI40" s="103"/>
      <c r="LJ40" s="103"/>
    </row>
    <row r="41" spans="1:322" s="208" customFormat="1">
      <c r="A41" s="103"/>
      <c r="B41" s="182">
        <v>1966</v>
      </c>
      <c r="C41" s="213">
        <v>0.999</v>
      </c>
      <c r="D41" s="213">
        <v>1.1459999999999999</v>
      </c>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c r="CJ41" s="103"/>
      <c r="CK41" s="103"/>
      <c r="CL41" s="103"/>
      <c r="CM41" s="103"/>
      <c r="CN41" s="103"/>
      <c r="CO41" s="103"/>
      <c r="CP41" s="103"/>
      <c r="CQ41" s="103"/>
      <c r="CR41" s="103"/>
      <c r="CS41" s="103"/>
      <c r="CT41" s="103"/>
      <c r="CU41" s="103"/>
      <c r="CV41" s="103"/>
      <c r="CW41" s="103"/>
      <c r="CX41" s="103"/>
      <c r="CY41" s="103"/>
      <c r="CZ41" s="103"/>
      <c r="DA41" s="103"/>
      <c r="DB41" s="103"/>
      <c r="DC41" s="103"/>
      <c r="DD41" s="103"/>
      <c r="DE41" s="103"/>
      <c r="DF41" s="103"/>
      <c r="DG41" s="103"/>
      <c r="DH41" s="103"/>
      <c r="DI41" s="103"/>
      <c r="DJ41" s="103"/>
      <c r="DK41" s="103"/>
      <c r="DL41" s="103"/>
      <c r="DM41" s="103"/>
      <c r="DN41" s="103"/>
      <c r="DO41" s="103"/>
      <c r="DP41" s="103"/>
      <c r="DQ41" s="103"/>
      <c r="DR41" s="103"/>
      <c r="DS41" s="103"/>
      <c r="DT41" s="103"/>
      <c r="DU41" s="103"/>
      <c r="DV41" s="103"/>
      <c r="DW41" s="103"/>
      <c r="DX41" s="103"/>
      <c r="DY41" s="103"/>
      <c r="DZ41" s="103"/>
      <c r="EA41" s="103"/>
      <c r="EB41" s="103"/>
      <c r="EC41" s="103"/>
      <c r="ED41" s="103"/>
      <c r="EE41" s="103"/>
      <c r="EF41" s="103"/>
      <c r="EG41" s="103"/>
      <c r="EH41" s="103"/>
      <c r="EI41" s="103"/>
      <c r="EJ41" s="103"/>
      <c r="EK41" s="103"/>
      <c r="EL41" s="103"/>
      <c r="EM41" s="103"/>
      <c r="EN41" s="103"/>
      <c r="EO41" s="103"/>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3"/>
      <c r="FO41" s="103"/>
      <c r="FP41" s="103"/>
      <c r="FQ41" s="103"/>
      <c r="FR41" s="103"/>
      <c r="FS41" s="103"/>
      <c r="FT41" s="103"/>
      <c r="FU41" s="103"/>
      <c r="FV41" s="103"/>
      <c r="FW41" s="103"/>
      <c r="FX41" s="103"/>
      <c r="FY41" s="103"/>
      <c r="FZ41" s="103"/>
      <c r="GA41" s="103"/>
      <c r="GB41" s="103"/>
      <c r="GC41" s="103"/>
      <c r="GD41" s="103"/>
      <c r="GE41" s="103"/>
      <c r="GF41" s="103"/>
      <c r="GG41" s="103"/>
      <c r="GH41" s="103"/>
      <c r="GI41" s="103"/>
      <c r="GJ41" s="103"/>
      <c r="GK41" s="103"/>
      <c r="GL41" s="103"/>
      <c r="GM41" s="103"/>
      <c r="GN41" s="103"/>
      <c r="GO41" s="103"/>
      <c r="GP41" s="103"/>
      <c r="GQ41" s="103"/>
      <c r="GR41" s="103"/>
      <c r="GS41" s="103"/>
      <c r="GT41" s="103"/>
      <c r="GU41" s="103"/>
      <c r="GV41" s="103"/>
      <c r="GW41" s="103"/>
      <c r="GX41" s="103"/>
      <c r="GY41" s="103"/>
      <c r="GZ41" s="103"/>
      <c r="HA41" s="103"/>
      <c r="HB41" s="103"/>
      <c r="HC41" s="103"/>
      <c r="HD41" s="103"/>
      <c r="HE41" s="103"/>
      <c r="HF41" s="103"/>
      <c r="HG41" s="103"/>
      <c r="HH41" s="103"/>
      <c r="HI41" s="103"/>
      <c r="HJ41" s="103"/>
      <c r="HK41" s="103"/>
      <c r="HL41" s="103"/>
      <c r="HM41" s="103"/>
      <c r="HN41" s="103"/>
      <c r="HO41" s="103"/>
      <c r="HP41" s="103"/>
      <c r="HQ41" s="103"/>
      <c r="HR41" s="103"/>
      <c r="HS41" s="103"/>
      <c r="HT41" s="103"/>
      <c r="HU41" s="103"/>
      <c r="HV41" s="103"/>
      <c r="HW41" s="103"/>
      <c r="HX41" s="103"/>
      <c r="HY41" s="103"/>
      <c r="HZ41" s="103"/>
      <c r="IA41" s="103"/>
      <c r="IB41" s="103"/>
      <c r="IC41" s="103"/>
      <c r="ID41" s="103"/>
      <c r="IE41" s="103"/>
      <c r="IF41" s="103"/>
      <c r="IG41" s="103"/>
      <c r="IH41" s="103"/>
      <c r="II41" s="103"/>
      <c r="IJ41" s="103"/>
      <c r="IK41" s="103"/>
      <c r="IL41" s="103"/>
      <c r="IM41" s="103"/>
      <c r="IN41" s="103"/>
      <c r="IO41" s="103"/>
      <c r="IP41" s="103"/>
      <c r="IQ41" s="103"/>
      <c r="IR41" s="103"/>
      <c r="IS41" s="103"/>
      <c r="IT41" s="103"/>
      <c r="IU41" s="103"/>
      <c r="IV41" s="103"/>
      <c r="IW41" s="103"/>
      <c r="IX41" s="103"/>
      <c r="IY41" s="103"/>
      <c r="IZ41" s="103"/>
      <c r="JA41" s="103"/>
      <c r="JB41" s="103"/>
      <c r="JC41" s="103"/>
      <c r="JD41" s="103"/>
      <c r="JE41" s="103"/>
      <c r="JF41" s="103"/>
      <c r="JG41" s="103"/>
      <c r="JH41" s="103"/>
      <c r="JI41" s="103"/>
      <c r="JJ41" s="103"/>
      <c r="JK41" s="103"/>
      <c r="JL41" s="103"/>
      <c r="JM41" s="103"/>
      <c r="JN41" s="103"/>
      <c r="JO41" s="103"/>
      <c r="JP41" s="103"/>
      <c r="JQ41" s="103"/>
      <c r="JR41" s="103"/>
      <c r="JS41" s="103"/>
      <c r="JT41" s="103"/>
      <c r="JU41" s="103"/>
      <c r="JV41" s="103"/>
      <c r="JW41" s="103"/>
      <c r="JX41" s="103"/>
      <c r="JY41" s="103"/>
      <c r="JZ41" s="103"/>
      <c r="KA41" s="103"/>
      <c r="KB41" s="103"/>
      <c r="KC41" s="103"/>
      <c r="KD41" s="103"/>
      <c r="KE41" s="103"/>
      <c r="KF41" s="103"/>
      <c r="KG41" s="103"/>
      <c r="KH41" s="103"/>
      <c r="KI41" s="103"/>
      <c r="KJ41" s="103"/>
      <c r="KK41" s="103"/>
      <c r="KL41" s="103"/>
      <c r="KM41" s="103"/>
      <c r="KN41" s="103"/>
      <c r="KO41" s="103"/>
      <c r="KP41" s="103"/>
      <c r="KQ41" s="103"/>
      <c r="KR41" s="103"/>
      <c r="KS41" s="103"/>
      <c r="KT41" s="103"/>
      <c r="KU41" s="103"/>
      <c r="KV41" s="103"/>
      <c r="KW41" s="103"/>
      <c r="KX41" s="103"/>
      <c r="KY41" s="103"/>
      <c r="KZ41" s="103"/>
      <c r="LA41" s="103"/>
      <c r="LB41" s="103"/>
      <c r="LC41" s="103"/>
      <c r="LD41" s="103"/>
      <c r="LE41" s="103"/>
      <c r="LF41" s="103"/>
      <c r="LG41" s="103"/>
      <c r="LH41" s="103"/>
      <c r="LI41" s="103"/>
      <c r="LJ41" s="103"/>
    </row>
    <row r="42" spans="1:322" s="208" customFormat="1">
      <c r="A42" s="103"/>
      <c r="B42" s="181">
        <v>1967</v>
      </c>
      <c r="C42" s="213">
        <v>1.004</v>
      </c>
      <c r="D42" s="213">
        <v>1.151</v>
      </c>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c r="CA42" s="103"/>
      <c r="CB42" s="103"/>
      <c r="CC42" s="103"/>
      <c r="CD42" s="103"/>
      <c r="CE42" s="103"/>
      <c r="CF42" s="103"/>
      <c r="CG42" s="103"/>
      <c r="CH42" s="103"/>
      <c r="CI42" s="103"/>
      <c r="CJ42" s="103"/>
      <c r="CK42" s="103"/>
      <c r="CL42" s="103"/>
      <c r="CM42" s="103"/>
      <c r="CN42" s="103"/>
      <c r="CO42" s="103"/>
      <c r="CP42" s="103"/>
      <c r="CQ42" s="103"/>
      <c r="CR42" s="103"/>
      <c r="CS42" s="103"/>
      <c r="CT42" s="103"/>
      <c r="CU42" s="103"/>
      <c r="CV42" s="103"/>
      <c r="CW42" s="103"/>
      <c r="CX42" s="103"/>
      <c r="CY42" s="103"/>
      <c r="CZ42" s="103"/>
      <c r="DA42" s="103"/>
      <c r="DB42" s="103"/>
      <c r="DC42" s="103"/>
      <c r="DD42" s="103"/>
      <c r="DE42" s="103"/>
      <c r="DF42" s="103"/>
      <c r="DG42" s="103"/>
      <c r="DH42" s="103"/>
      <c r="DI42" s="103"/>
      <c r="DJ42" s="103"/>
      <c r="DK42" s="103"/>
      <c r="DL42" s="103"/>
      <c r="DM42" s="103"/>
      <c r="DN42" s="103"/>
      <c r="DO42" s="103"/>
      <c r="DP42" s="103"/>
      <c r="DQ42" s="103"/>
      <c r="DR42" s="103"/>
      <c r="DS42" s="103"/>
      <c r="DT42" s="103"/>
      <c r="DU42" s="103"/>
      <c r="DV42" s="103"/>
      <c r="DW42" s="103"/>
      <c r="DX42" s="103"/>
      <c r="DY42" s="103"/>
      <c r="DZ42" s="103"/>
      <c r="EA42" s="103"/>
      <c r="EB42" s="103"/>
      <c r="EC42" s="103"/>
      <c r="ED42" s="103"/>
      <c r="EE42" s="103"/>
      <c r="EF42" s="103"/>
      <c r="EG42" s="103"/>
      <c r="EH42" s="103"/>
      <c r="EI42" s="103"/>
      <c r="EJ42" s="103"/>
      <c r="EK42" s="103"/>
      <c r="EL42" s="103"/>
      <c r="EM42" s="103"/>
      <c r="EN42" s="103"/>
      <c r="EO42" s="103"/>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3"/>
      <c r="FO42" s="103"/>
      <c r="FP42" s="103"/>
      <c r="FQ42" s="103"/>
      <c r="FR42" s="103"/>
      <c r="FS42" s="103"/>
      <c r="FT42" s="103"/>
      <c r="FU42" s="103"/>
      <c r="FV42" s="103"/>
      <c r="FW42" s="103"/>
      <c r="FX42" s="103"/>
      <c r="FY42" s="103"/>
      <c r="FZ42" s="103"/>
      <c r="GA42" s="103"/>
      <c r="GB42" s="103"/>
      <c r="GC42" s="103"/>
      <c r="GD42" s="103"/>
      <c r="GE42" s="103"/>
      <c r="GF42" s="103"/>
      <c r="GG42" s="103"/>
      <c r="GH42" s="103"/>
      <c r="GI42" s="103"/>
      <c r="GJ42" s="103"/>
      <c r="GK42" s="103"/>
      <c r="GL42" s="103"/>
      <c r="GM42" s="103"/>
      <c r="GN42" s="103"/>
      <c r="GO42" s="103"/>
      <c r="GP42" s="103"/>
      <c r="GQ42" s="103"/>
      <c r="GR42" s="103"/>
      <c r="GS42" s="103"/>
      <c r="GT42" s="103"/>
      <c r="GU42" s="103"/>
      <c r="GV42" s="103"/>
      <c r="GW42" s="103"/>
      <c r="GX42" s="103"/>
      <c r="GY42" s="103"/>
      <c r="GZ42" s="103"/>
      <c r="HA42" s="103"/>
      <c r="HB42" s="103"/>
      <c r="HC42" s="103"/>
      <c r="HD42" s="103"/>
      <c r="HE42" s="103"/>
      <c r="HF42" s="103"/>
      <c r="HG42" s="103"/>
      <c r="HH42" s="103"/>
      <c r="HI42" s="103"/>
      <c r="HJ42" s="103"/>
      <c r="HK42" s="103"/>
      <c r="HL42" s="103"/>
      <c r="HM42" s="103"/>
      <c r="HN42" s="103"/>
      <c r="HO42" s="103"/>
      <c r="HP42" s="103"/>
      <c r="HQ42" s="103"/>
      <c r="HR42" s="103"/>
      <c r="HS42" s="103"/>
      <c r="HT42" s="103"/>
      <c r="HU42" s="103"/>
      <c r="HV42" s="103"/>
      <c r="HW42" s="103"/>
      <c r="HX42" s="103"/>
      <c r="HY42" s="103"/>
      <c r="HZ42" s="103"/>
      <c r="IA42" s="103"/>
      <c r="IB42" s="103"/>
      <c r="IC42" s="103"/>
      <c r="ID42" s="103"/>
      <c r="IE42" s="103"/>
      <c r="IF42" s="103"/>
      <c r="IG42" s="103"/>
      <c r="IH42" s="103"/>
      <c r="II42" s="103"/>
      <c r="IJ42" s="103"/>
      <c r="IK42" s="103"/>
      <c r="IL42" s="103"/>
      <c r="IM42" s="103"/>
      <c r="IN42" s="103"/>
      <c r="IO42" s="103"/>
      <c r="IP42" s="103"/>
      <c r="IQ42" s="103"/>
      <c r="IR42" s="103"/>
      <c r="IS42" s="103"/>
      <c r="IT42" s="103"/>
      <c r="IU42" s="103"/>
      <c r="IV42" s="103"/>
      <c r="IW42" s="103"/>
      <c r="IX42" s="103"/>
      <c r="IY42" s="103"/>
      <c r="IZ42" s="103"/>
      <c r="JA42" s="103"/>
      <c r="JB42" s="103"/>
      <c r="JC42" s="103"/>
      <c r="JD42" s="103"/>
      <c r="JE42" s="103"/>
      <c r="JF42" s="103"/>
      <c r="JG42" s="103"/>
      <c r="JH42" s="103"/>
      <c r="JI42" s="103"/>
      <c r="JJ42" s="103"/>
      <c r="JK42" s="103"/>
      <c r="JL42" s="103"/>
      <c r="JM42" s="103"/>
      <c r="JN42" s="103"/>
      <c r="JO42" s="103"/>
      <c r="JP42" s="103"/>
      <c r="JQ42" s="103"/>
      <c r="JR42" s="103"/>
      <c r="JS42" s="103"/>
      <c r="JT42" s="103"/>
      <c r="JU42" s="103"/>
      <c r="JV42" s="103"/>
      <c r="JW42" s="103"/>
      <c r="JX42" s="103"/>
      <c r="JY42" s="103"/>
      <c r="JZ42" s="103"/>
      <c r="KA42" s="103"/>
      <c r="KB42" s="103"/>
      <c r="KC42" s="103"/>
      <c r="KD42" s="103"/>
      <c r="KE42" s="103"/>
      <c r="KF42" s="103"/>
      <c r="KG42" s="103"/>
      <c r="KH42" s="103"/>
      <c r="KI42" s="103"/>
      <c r="KJ42" s="103"/>
      <c r="KK42" s="103"/>
      <c r="KL42" s="103"/>
      <c r="KM42" s="103"/>
      <c r="KN42" s="103"/>
      <c r="KO42" s="103"/>
      <c r="KP42" s="103"/>
      <c r="KQ42" s="103"/>
      <c r="KR42" s="103"/>
      <c r="KS42" s="103"/>
      <c r="KT42" s="103"/>
      <c r="KU42" s="103"/>
      <c r="KV42" s="103"/>
      <c r="KW42" s="103"/>
      <c r="KX42" s="103"/>
      <c r="KY42" s="103"/>
      <c r="KZ42" s="103"/>
      <c r="LA42" s="103"/>
      <c r="LB42" s="103"/>
      <c r="LC42" s="103"/>
      <c r="LD42" s="103"/>
      <c r="LE42" s="103"/>
      <c r="LF42" s="103"/>
      <c r="LG42" s="103"/>
      <c r="LH42" s="103"/>
      <c r="LI42" s="103"/>
      <c r="LJ42" s="103"/>
    </row>
    <row r="43" spans="1:322" s="208" customFormat="1">
      <c r="A43" s="103"/>
      <c r="B43" s="182">
        <v>1968</v>
      </c>
      <c r="C43" s="213">
        <v>1.002</v>
      </c>
      <c r="D43" s="213">
        <v>1.1479999999999999</v>
      </c>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c r="BM43" s="103"/>
      <c r="BN43" s="103"/>
      <c r="BO43" s="103"/>
      <c r="BP43" s="103"/>
      <c r="BQ43" s="103"/>
      <c r="BR43" s="103"/>
      <c r="BS43" s="103"/>
      <c r="BT43" s="103"/>
      <c r="BU43" s="103"/>
      <c r="BV43" s="103"/>
      <c r="BW43" s="103"/>
      <c r="BX43" s="103"/>
      <c r="BY43" s="103"/>
      <c r="BZ43" s="103"/>
      <c r="CA43" s="103"/>
      <c r="CB43" s="103"/>
      <c r="CC43" s="103"/>
      <c r="CD43" s="103"/>
      <c r="CE43" s="103"/>
      <c r="CF43" s="103"/>
      <c r="CG43" s="103"/>
      <c r="CH43" s="103"/>
      <c r="CI43" s="103"/>
      <c r="CJ43" s="103"/>
      <c r="CK43" s="103"/>
      <c r="CL43" s="103"/>
      <c r="CM43" s="103"/>
      <c r="CN43" s="103"/>
      <c r="CO43" s="103"/>
      <c r="CP43" s="103"/>
      <c r="CQ43" s="103"/>
      <c r="CR43" s="103"/>
      <c r="CS43" s="103"/>
      <c r="CT43" s="103"/>
      <c r="CU43" s="103"/>
      <c r="CV43" s="103"/>
      <c r="CW43" s="103"/>
      <c r="CX43" s="103"/>
      <c r="CY43" s="103"/>
      <c r="CZ43" s="103"/>
      <c r="DA43" s="103"/>
      <c r="DB43" s="103"/>
      <c r="DC43" s="103"/>
      <c r="DD43" s="103"/>
      <c r="DE43" s="103"/>
      <c r="DF43" s="103"/>
      <c r="DG43" s="103"/>
      <c r="DH43" s="103"/>
      <c r="DI43" s="103"/>
      <c r="DJ43" s="103"/>
      <c r="DK43" s="103"/>
      <c r="DL43" s="103"/>
      <c r="DM43" s="103"/>
      <c r="DN43" s="103"/>
      <c r="DO43" s="103"/>
      <c r="DP43" s="103"/>
      <c r="DQ43" s="103"/>
      <c r="DR43" s="103"/>
      <c r="DS43" s="103"/>
      <c r="DT43" s="103"/>
      <c r="DU43" s="103"/>
      <c r="DV43" s="103"/>
      <c r="DW43" s="103"/>
      <c r="DX43" s="103"/>
      <c r="DY43" s="103"/>
      <c r="DZ43" s="103"/>
      <c r="EA43" s="103"/>
      <c r="EB43" s="103"/>
      <c r="EC43" s="103"/>
      <c r="ED43" s="103"/>
      <c r="EE43" s="103"/>
      <c r="EF43" s="103"/>
      <c r="EG43" s="103"/>
      <c r="EH43" s="103"/>
      <c r="EI43" s="103"/>
      <c r="EJ43" s="103"/>
      <c r="EK43" s="103"/>
      <c r="EL43" s="103"/>
      <c r="EM43" s="103"/>
      <c r="EN43" s="103"/>
      <c r="EO43" s="103"/>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3"/>
      <c r="FO43" s="103"/>
      <c r="FP43" s="103"/>
      <c r="FQ43" s="103"/>
      <c r="FR43" s="103"/>
      <c r="FS43" s="103"/>
      <c r="FT43" s="103"/>
      <c r="FU43" s="103"/>
      <c r="FV43" s="103"/>
      <c r="FW43" s="103"/>
      <c r="FX43" s="103"/>
      <c r="FY43" s="103"/>
      <c r="FZ43" s="103"/>
      <c r="GA43" s="103"/>
      <c r="GB43" s="103"/>
      <c r="GC43" s="103"/>
      <c r="GD43" s="103"/>
      <c r="GE43" s="103"/>
      <c r="GF43" s="103"/>
      <c r="GG43" s="103"/>
      <c r="GH43" s="103"/>
      <c r="GI43" s="103"/>
      <c r="GJ43" s="103"/>
      <c r="GK43" s="103"/>
      <c r="GL43" s="103"/>
      <c r="GM43" s="103"/>
      <c r="GN43" s="103"/>
      <c r="GO43" s="103"/>
      <c r="GP43" s="103"/>
      <c r="GQ43" s="103"/>
      <c r="GR43" s="103"/>
      <c r="GS43" s="103"/>
      <c r="GT43" s="103"/>
      <c r="GU43" s="103"/>
      <c r="GV43" s="103"/>
      <c r="GW43" s="103"/>
      <c r="GX43" s="103"/>
      <c r="GY43" s="103"/>
      <c r="GZ43" s="103"/>
      <c r="HA43" s="103"/>
      <c r="HB43" s="103"/>
      <c r="HC43" s="103"/>
      <c r="HD43" s="103"/>
      <c r="HE43" s="103"/>
      <c r="HF43" s="103"/>
      <c r="HG43" s="103"/>
      <c r="HH43" s="103"/>
      <c r="HI43" s="103"/>
      <c r="HJ43" s="103"/>
      <c r="HK43" s="103"/>
      <c r="HL43" s="103"/>
      <c r="HM43" s="103"/>
      <c r="HN43" s="103"/>
      <c r="HO43" s="103"/>
      <c r="HP43" s="103"/>
      <c r="HQ43" s="103"/>
      <c r="HR43" s="103"/>
      <c r="HS43" s="103"/>
      <c r="HT43" s="103"/>
      <c r="HU43" s="103"/>
      <c r="HV43" s="103"/>
      <c r="HW43" s="103"/>
      <c r="HX43" s="103"/>
      <c r="HY43" s="103"/>
      <c r="HZ43" s="103"/>
      <c r="IA43" s="103"/>
      <c r="IB43" s="103"/>
      <c r="IC43" s="103"/>
      <c r="ID43" s="103"/>
      <c r="IE43" s="103"/>
      <c r="IF43" s="103"/>
      <c r="IG43" s="103"/>
      <c r="IH43" s="103"/>
      <c r="II43" s="103"/>
      <c r="IJ43" s="103"/>
      <c r="IK43" s="103"/>
      <c r="IL43" s="103"/>
      <c r="IM43" s="103"/>
      <c r="IN43" s="103"/>
      <c r="IO43" s="103"/>
      <c r="IP43" s="103"/>
      <c r="IQ43" s="103"/>
      <c r="IR43" s="103"/>
      <c r="IS43" s="103"/>
      <c r="IT43" s="103"/>
      <c r="IU43" s="103"/>
      <c r="IV43" s="103"/>
      <c r="IW43" s="103"/>
      <c r="IX43" s="103"/>
      <c r="IY43" s="103"/>
      <c r="IZ43" s="103"/>
      <c r="JA43" s="103"/>
      <c r="JB43" s="103"/>
      <c r="JC43" s="103"/>
      <c r="JD43" s="103"/>
      <c r="JE43" s="103"/>
      <c r="JF43" s="103"/>
      <c r="JG43" s="103"/>
      <c r="JH43" s="103"/>
      <c r="JI43" s="103"/>
      <c r="JJ43" s="103"/>
      <c r="JK43" s="103"/>
      <c r="JL43" s="103"/>
      <c r="JM43" s="103"/>
      <c r="JN43" s="103"/>
      <c r="JO43" s="103"/>
      <c r="JP43" s="103"/>
      <c r="JQ43" s="103"/>
      <c r="JR43" s="103"/>
      <c r="JS43" s="103"/>
      <c r="JT43" s="103"/>
      <c r="JU43" s="103"/>
      <c r="JV43" s="103"/>
      <c r="JW43" s="103"/>
      <c r="JX43" s="103"/>
      <c r="JY43" s="103"/>
      <c r="JZ43" s="103"/>
      <c r="KA43" s="103"/>
      <c r="KB43" s="103"/>
      <c r="KC43" s="103"/>
      <c r="KD43" s="103"/>
      <c r="KE43" s="103"/>
      <c r="KF43" s="103"/>
      <c r="KG43" s="103"/>
      <c r="KH43" s="103"/>
      <c r="KI43" s="103"/>
      <c r="KJ43" s="103"/>
      <c r="KK43" s="103"/>
      <c r="KL43" s="103"/>
      <c r="KM43" s="103"/>
      <c r="KN43" s="103"/>
      <c r="KO43" s="103"/>
      <c r="KP43" s="103"/>
      <c r="KQ43" s="103"/>
      <c r="KR43" s="103"/>
      <c r="KS43" s="103"/>
      <c r="KT43" s="103"/>
      <c r="KU43" s="103"/>
      <c r="KV43" s="103"/>
      <c r="KW43" s="103"/>
      <c r="KX43" s="103"/>
      <c r="KY43" s="103"/>
      <c r="KZ43" s="103"/>
      <c r="LA43" s="103"/>
      <c r="LB43" s="103"/>
      <c r="LC43" s="103"/>
      <c r="LD43" s="103"/>
      <c r="LE43" s="103"/>
      <c r="LF43" s="103"/>
      <c r="LG43" s="103"/>
      <c r="LH43" s="103"/>
      <c r="LI43" s="103"/>
      <c r="LJ43" s="103"/>
    </row>
    <row r="44" spans="1:322" s="208" customFormat="1">
      <c r="A44" s="103"/>
      <c r="B44" s="181">
        <v>1969</v>
      </c>
      <c r="C44" s="213">
        <v>1.006</v>
      </c>
      <c r="D44" s="213">
        <v>1.1519999999999999</v>
      </c>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3"/>
      <c r="BP44" s="103"/>
      <c r="BQ44" s="103"/>
      <c r="BR44" s="103"/>
      <c r="BS44" s="103"/>
      <c r="BT44" s="103"/>
      <c r="BU44" s="103"/>
      <c r="BV44" s="103"/>
      <c r="BW44" s="103"/>
      <c r="BX44" s="103"/>
      <c r="BY44" s="103"/>
      <c r="BZ44" s="103"/>
      <c r="CA44" s="103"/>
      <c r="CB44" s="103"/>
      <c r="CC44" s="103"/>
      <c r="CD44" s="103"/>
      <c r="CE44" s="103"/>
      <c r="CF44" s="103"/>
      <c r="CG44" s="103"/>
      <c r="CH44" s="103"/>
      <c r="CI44" s="103"/>
      <c r="CJ44" s="103"/>
      <c r="CK44" s="103"/>
      <c r="CL44" s="103"/>
      <c r="CM44" s="103"/>
      <c r="CN44" s="103"/>
      <c r="CO44" s="103"/>
      <c r="CP44" s="103"/>
      <c r="CQ44" s="103"/>
      <c r="CR44" s="103"/>
      <c r="CS44" s="103"/>
      <c r="CT44" s="103"/>
      <c r="CU44" s="103"/>
      <c r="CV44" s="103"/>
      <c r="CW44" s="103"/>
      <c r="CX44" s="103"/>
      <c r="CY44" s="103"/>
      <c r="CZ44" s="103"/>
      <c r="DA44" s="103"/>
      <c r="DB44" s="103"/>
      <c r="DC44" s="103"/>
      <c r="DD44" s="103"/>
      <c r="DE44" s="103"/>
      <c r="DF44" s="103"/>
      <c r="DG44" s="103"/>
      <c r="DH44" s="103"/>
      <c r="DI44" s="103"/>
      <c r="DJ44" s="103"/>
      <c r="DK44" s="103"/>
      <c r="DL44" s="103"/>
      <c r="DM44" s="103"/>
      <c r="DN44" s="103"/>
      <c r="DO44" s="103"/>
      <c r="DP44" s="103"/>
      <c r="DQ44" s="103"/>
      <c r="DR44" s="103"/>
      <c r="DS44" s="103"/>
      <c r="DT44" s="103"/>
      <c r="DU44" s="103"/>
      <c r="DV44" s="103"/>
      <c r="DW44" s="103"/>
      <c r="DX44" s="103"/>
      <c r="DY44" s="103"/>
      <c r="DZ44" s="103"/>
      <c r="EA44" s="103"/>
      <c r="EB44" s="103"/>
      <c r="EC44" s="103"/>
      <c r="ED44" s="103"/>
      <c r="EE44" s="103"/>
      <c r="EF44" s="103"/>
      <c r="EG44" s="103"/>
      <c r="EH44" s="103"/>
      <c r="EI44" s="103"/>
      <c r="EJ44" s="103"/>
      <c r="EK44" s="103"/>
      <c r="EL44" s="103"/>
      <c r="EM44" s="103"/>
      <c r="EN44" s="103"/>
      <c r="EO44" s="103"/>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3"/>
      <c r="FO44" s="103"/>
      <c r="FP44" s="103"/>
      <c r="FQ44" s="103"/>
      <c r="FR44" s="103"/>
      <c r="FS44" s="103"/>
      <c r="FT44" s="103"/>
      <c r="FU44" s="103"/>
      <c r="FV44" s="103"/>
      <c r="FW44" s="103"/>
      <c r="FX44" s="103"/>
      <c r="FY44" s="103"/>
      <c r="FZ44" s="103"/>
      <c r="GA44" s="103"/>
      <c r="GB44" s="103"/>
      <c r="GC44" s="103"/>
      <c r="GD44" s="103"/>
      <c r="GE44" s="103"/>
      <c r="GF44" s="103"/>
      <c r="GG44" s="103"/>
      <c r="GH44" s="103"/>
      <c r="GI44" s="103"/>
      <c r="GJ44" s="103"/>
      <c r="GK44" s="103"/>
      <c r="GL44" s="103"/>
      <c r="GM44" s="103"/>
      <c r="GN44" s="103"/>
      <c r="GO44" s="103"/>
      <c r="GP44" s="103"/>
      <c r="GQ44" s="103"/>
      <c r="GR44" s="103"/>
      <c r="GS44" s="103"/>
      <c r="GT44" s="103"/>
      <c r="GU44" s="103"/>
      <c r="GV44" s="103"/>
      <c r="GW44" s="103"/>
      <c r="GX44" s="103"/>
      <c r="GY44" s="103"/>
      <c r="GZ44" s="103"/>
      <c r="HA44" s="103"/>
      <c r="HB44" s="103"/>
      <c r="HC44" s="103"/>
      <c r="HD44" s="103"/>
      <c r="HE44" s="103"/>
      <c r="HF44" s="103"/>
      <c r="HG44" s="103"/>
      <c r="HH44" s="103"/>
      <c r="HI44" s="103"/>
      <c r="HJ44" s="103"/>
      <c r="HK44" s="103"/>
      <c r="HL44" s="103"/>
      <c r="HM44" s="103"/>
      <c r="HN44" s="103"/>
      <c r="HO44" s="103"/>
      <c r="HP44" s="103"/>
      <c r="HQ44" s="103"/>
      <c r="HR44" s="103"/>
      <c r="HS44" s="103"/>
      <c r="HT44" s="103"/>
      <c r="HU44" s="103"/>
      <c r="HV44" s="103"/>
      <c r="HW44" s="103"/>
      <c r="HX44" s="103"/>
      <c r="HY44" s="103"/>
      <c r="HZ44" s="103"/>
      <c r="IA44" s="103"/>
      <c r="IB44" s="103"/>
      <c r="IC44" s="103"/>
      <c r="ID44" s="103"/>
      <c r="IE44" s="103"/>
      <c r="IF44" s="103"/>
      <c r="IG44" s="103"/>
      <c r="IH44" s="103"/>
      <c r="II44" s="103"/>
      <c r="IJ44" s="103"/>
      <c r="IK44" s="103"/>
      <c r="IL44" s="103"/>
      <c r="IM44" s="103"/>
      <c r="IN44" s="103"/>
      <c r="IO44" s="103"/>
      <c r="IP44" s="103"/>
      <c r="IQ44" s="103"/>
      <c r="IR44" s="103"/>
      <c r="IS44" s="103"/>
      <c r="IT44" s="103"/>
      <c r="IU44" s="103"/>
      <c r="IV44" s="103"/>
      <c r="IW44" s="103"/>
      <c r="IX44" s="103"/>
      <c r="IY44" s="103"/>
      <c r="IZ44" s="103"/>
      <c r="JA44" s="103"/>
      <c r="JB44" s="103"/>
      <c r="JC44" s="103"/>
      <c r="JD44" s="103"/>
      <c r="JE44" s="103"/>
      <c r="JF44" s="103"/>
      <c r="JG44" s="103"/>
      <c r="JH44" s="103"/>
      <c r="JI44" s="103"/>
      <c r="JJ44" s="103"/>
      <c r="JK44" s="103"/>
      <c r="JL44" s="103"/>
      <c r="JM44" s="103"/>
      <c r="JN44" s="103"/>
      <c r="JO44" s="103"/>
      <c r="JP44" s="103"/>
      <c r="JQ44" s="103"/>
      <c r="JR44" s="103"/>
      <c r="JS44" s="103"/>
      <c r="JT44" s="103"/>
      <c r="JU44" s="103"/>
      <c r="JV44" s="103"/>
      <c r="JW44" s="103"/>
      <c r="JX44" s="103"/>
      <c r="JY44" s="103"/>
      <c r="JZ44" s="103"/>
      <c r="KA44" s="103"/>
      <c r="KB44" s="103"/>
      <c r="KC44" s="103"/>
      <c r="KD44" s="103"/>
      <c r="KE44" s="103"/>
      <c r="KF44" s="103"/>
      <c r="KG44" s="103"/>
      <c r="KH44" s="103"/>
      <c r="KI44" s="103"/>
      <c r="KJ44" s="103"/>
      <c r="KK44" s="103"/>
      <c r="KL44" s="103"/>
      <c r="KM44" s="103"/>
      <c r="KN44" s="103"/>
      <c r="KO44" s="103"/>
      <c r="KP44" s="103"/>
      <c r="KQ44" s="103"/>
      <c r="KR44" s="103"/>
      <c r="KS44" s="103"/>
      <c r="KT44" s="103"/>
      <c r="KU44" s="103"/>
      <c r="KV44" s="103"/>
      <c r="KW44" s="103"/>
      <c r="KX44" s="103"/>
      <c r="KY44" s="103"/>
      <c r="KZ44" s="103"/>
      <c r="LA44" s="103"/>
      <c r="LB44" s="103"/>
      <c r="LC44" s="103"/>
      <c r="LD44" s="103"/>
      <c r="LE44" s="103"/>
      <c r="LF44" s="103"/>
      <c r="LG44" s="103"/>
      <c r="LH44" s="103"/>
      <c r="LI44" s="103"/>
      <c r="LJ44" s="103"/>
    </row>
    <row r="45" spans="1:322" s="208" customFormat="1">
      <c r="A45" s="103"/>
      <c r="B45" s="182">
        <v>1970</v>
      </c>
      <c r="C45" s="213">
        <v>1.0049999999999999</v>
      </c>
      <c r="D45" s="213">
        <v>1.151</v>
      </c>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c r="CU45" s="103"/>
      <c r="CV45" s="103"/>
      <c r="CW45" s="103"/>
      <c r="CX45" s="103"/>
      <c r="CY45" s="103"/>
      <c r="CZ45" s="103"/>
      <c r="DA45" s="103"/>
      <c r="DB45" s="103"/>
      <c r="DC45" s="103"/>
      <c r="DD45" s="103"/>
      <c r="DE45" s="103"/>
      <c r="DF45" s="103"/>
      <c r="DG45" s="103"/>
      <c r="DH45" s="103"/>
      <c r="DI45" s="103"/>
      <c r="DJ45" s="103"/>
      <c r="DK45" s="103"/>
      <c r="DL45" s="103"/>
      <c r="DM45" s="103"/>
      <c r="DN45" s="103"/>
      <c r="DO45" s="103"/>
      <c r="DP45" s="103"/>
      <c r="DQ45" s="103"/>
      <c r="DR45" s="103"/>
      <c r="DS45" s="103"/>
      <c r="DT45" s="103"/>
      <c r="DU45" s="103"/>
      <c r="DV45" s="103"/>
      <c r="DW45" s="103"/>
      <c r="DX45" s="103"/>
      <c r="DY45" s="103"/>
      <c r="DZ45" s="103"/>
      <c r="EA45" s="103"/>
      <c r="EB45" s="103"/>
      <c r="EC45" s="103"/>
      <c r="ED45" s="103"/>
      <c r="EE45" s="103"/>
      <c r="EF45" s="103"/>
      <c r="EG45" s="103"/>
      <c r="EH45" s="103"/>
      <c r="EI45" s="103"/>
      <c r="EJ45" s="103"/>
      <c r="EK45" s="103"/>
      <c r="EL45" s="103"/>
      <c r="EM45" s="103"/>
      <c r="EN45" s="103"/>
      <c r="EO45" s="103"/>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3"/>
      <c r="FO45" s="103"/>
      <c r="FP45" s="103"/>
      <c r="FQ45" s="103"/>
      <c r="FR45" s="103"/>
      <c r="FS45" s="103"/>
      <c r="FT45" s="103"/>
      <c r="FU45" s="103"/>
      <c r="FV45" s="103"/>
      <c r="FW45" s="103"/>
      <c r="FX45" s="103"/>
      <c r="FY45" s="103"/>
      <c r="FZ45" s="103"/>
      <c r="GA45" s="103"/>
      <c r="GB45" s="103"/>
      <c r="GC45" s="103"/>
      <c r="GD45" s="103"/>
      <c r="GE45" s="103"/>
      <c r="GF45" s="103"/>
      <c r="GG45" s="103"/>
      <c r="GH45" s="103"/>
      <c r="GI45" s="103"/>
      <c r="GJ45" s="103"/>
      <c r="GK45" s="103"/>
      <c r="GL45" s="103"/>
      <c r="GM45" s="103"/>
      <c r="GN45" s="103"/>
      <c r="GO45" s="103"/>
      <c r="GP45" s="103"/>
      <c r="GQ45" s="103"/>
      <c r="GR45" s="103"/>
      <c r="GS45" s="103"/>
      <c r="GT45" s="103"/>
      <c r="GU45" s="103"/>
      <c r="GV45" s="103"/>
      <c r="GW45" s="103"/>
      <c r="GX45" s="103"/>
      <c r="GY45" s="103"/>
      <c r="GZ45" s="103"/>
      <c r="HA45" s="103"/>
      <c r="HB45" s="103"/>
      <c r="HC45" s="103"/>
      <c r="HD45" s="103"/>
      <c r="HE45" s="103"/>
      <c r="HF45" s="103"/>
      <c r="HG45" s="103"/>
      <c r="HH45" s="103"/>
      <c r="HI45" s="103"/>
      <c r="HJ45" s="103"/>
      <c r="HK45" s="103"/>
      <c r="HL45" s="103"/>
      <c r="HM45" s="103"/>
      <c r="HN45" s="103"/>
      <c r="HO45" s="103"/>
      <c r="HP45" s="103"/>
      <c r="HQ45" s="103"/>
      <c r="HR45" s="103"/>
      <c r="HS45" s="103"/>
      <c r="HT45" s="103"/>
      <c r="HU45" s="103"/>
      <c r="HV45" s="103"/>
      <c r="HW45" s="103"/>
      <c r="HX45" s="103"/>
      <c r="HY45" s="103"/>
      <c r="HZ45" s="103"/>
      <c r="IA45" s="103"/>
      <c r="IB45" s="103"/>
      <c r="IC45" s="103"/>
      <c r="ID45" s="103"/>
      <c r="IE45" s="103"/>
      <c r="IF45" s="103"/>
      <c r="IG45" s="103"/>
      <c r="IH45" s="103"/>
      <c r="II45" s="103"/>
      <c r="IJ45" s="103"/>
      <c r="IK45" s="103"/>
      <c r="IL45" s="103"/>
      <c r="IM45" s="103"/>
      <c r="IN45" s="103"/>
      <c r="IO45" s="103"/>
      <c r="IP45" s="103"/>
      <c r="IQ45" s="103"/>
      <c r="IR45" s="103"/>
      <c r="IS45" s="103"/>
      <c r="IT45" s="103"/>
      <c r="IU45" s="103"/>
      <c r="IV45" s="103"/>
      <c r="IW45" s="103"/>
      <c r="IX45" s="103"/>
      <c r="IY45" s="103"/>
      <c r="IZ45" s="103"/>
      <c r="JA45" s="103"/>
      <c r="JB45" s="103"/>
      <c r="JC45" s="103"/>
      <c r="JD45" s="103"/>
      <c r="JE45" s="103"/>
      <c r="JF45" s="103"/>
      <c r="JG45" s="103"/>
      <c r="JH45" s="103"/>
      <c r="JI45" s="103"/>
      <c r="JJ45" s="103"/>
      <c r="JK45" s="103"/>
      <c r="JL45" s="103"/>
      <c r="JM45" s="103"/>
      <c r="JN45" s="103"/>
      <c r="JO45" s="103"/>
      <c r="JP45" s="103"/>
      <c r="JQ45" s="103"/>
      <c r="JR45" s="103"/>
      <c r="JS45" s="103"/>
      <c r="JT45" s="103"/>
      <c r="JU45" s="103"/>
      <c r="JV45" s="103"/>
      <c r="JW45" s="103"/>
      <c r="JX45" s="103"/>
      <c r="JY45" s="103"/>
      <c r="JZ45" s="103"/>
      <c r="KA45" s="103"/>
      <c r="KB45" s="103"/>
      <c r="KC45" s="103"/>
      <c r="KD45" s="103"/>
      <c r="KE45" s="103"/>
      <c r="KF45" s="103"/>
      <c r="KG45" s="103"/>
      <c r="KH45" s="103"/>
      <c r="KI45" s="103"/>
      <c r="KJ45" s="103"/>
      <c r="KK45" s="103"/>
      <c r="KL45" s="103"/>
      <c r="KM45" s="103"/>
      <c r="KN45" s="103"/>
      <c r="KO45" s="103"/>
      <c r="KP45" s="103"/>
      <c r="KQ45" s="103"/>
      <c r="KR45" s="103"/>
      <c r="KS45" s="103"/>
      <c r="KT45" s="103"/>
      <c r="KU45" s="103"/>
      <c r="KV45" s="103"/>
      <c r="KW45" s="103"/>
      <c r="KX45" s="103"/>
      <c r="KY45" s="103"/>
      <c r="KZ45" s="103"/>
      <c r="LA45" s="103"/>
      <c r="LB45" s="103"/>
      <c r="LC45" s="103"/>
      <c r="LD45" s="103"/>
      <c r="LE45" s="103"/>
      <c r="LF45" s="103"/>
      <c r="LG45" s="103"/>
      <c r="LH45" s="103"/>
      <c r="LI45" s="103"/>
      <c r="LJ45" s="103"/>
    </row>
    <row r="46" spans="1:322" s="208" customFormat="1">
      <c r="A46" s="103"/>
      <c r="B46" s="181">
        <v>1971</v>
      </c>
      <c r="C46" s="213">
        <v>1.006</v>
      </c>
      <c r="D46" s="213">
        <v>1.1519999999999999</v>
      </c>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c r="CU46" s="103"/>
      <c r="CV46" s="103"/>
      <c r="CW46" s="103"/>
      <c r="CX46" s="103"/>
      <c r="CY46" s="103"/>
      <c r="CZ46" s="103"/>
      <c r="DA46" s="103"/>
      <c r="DB46" s="103"/>
      <c r="DC46" s="103"/>
      <c r="DD46" s="103"/>
      <c r="DE46" s="103"/>
      <c r="DF46" s="103"/>
      <c r="DG46" s="103"/>
      <c r="DH46" s="103"/>
      <c r="DI46" s="103"/>
      <c r="DJ46" s="103"/>
      <c r="DK46" s="103"/>
      <c r="DL46" s="103"/>
      <c r="DM46" s="103"/>
      <c r="DN46" s="103"/>
      <c r="DO46" s="103"/>
      <c r="DP46" s="103"/>
      <c r="DQ46" s="103"/>
      <c r="DR46" s="103"/>
      <c r="DS46" s="103"/>
      <c r="DT46" s="103"/>
      <c r="DU46" s="103"/>
      <c r="DV46" s="103"/>
      <c r="DW46" s="103"/>
      <c r="DX46" s="103"/>
      <c r="DY46" s="103"/>
      <c r="DZ46" s="103"/>
      <c r="EA46" s="103"/>
      <c r="EB46" s="103"/>
      <c r="EC46" s="103"/>
      <c r="ED46" s="103"/>
      <c r="EE46" s="103"/>
      <c r="EF46" s="103"/>
      <c r="EG46" s="103"/>
      <c r="EH46" s="103"/>
      <c r="EI46" s="103"/>
      <c r="EJ46" s="103"/>
      <c r="EK46" s="103"/>
      <c r="EL46" s="103"/>
      <c r="EM46" s="103"/>
      <c r="EN46" s="103"/>
      <c r="EO46" s="103"/>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3"/>
      <c r="FO46" s="103"/>
      <c r="FP46" s="103"/>
      <c r="FQ46" s="103"/>
      <c r="FR46" s="103"/>
      <c r="FS46" s="103"/>
      <c r="FT46" s="103"/>
      <c r="FU46" s="103"/>
      <c r="FV46" s="103"/>
      <c r="FW46" s="103"/>
      <c r="FX46" s="103"/>
      <c r="FY46" s="103"/>
      <c r="FZ46" s="103"/>
      <c r="GA46" s="103"/>
      <c r="GB46" s="103"/>
      <c r="GC46" s="103"/>
      <c r="GD46" s="103"/>
      <c r="GE46" s="103"/>
      <c r="GF46" s="103"/>
      <c r="GG46" s="103"/>
      <c r="GH46" s="103"/>
      <c r="GI46" s="103"/>
      <c r="GJ46" s="103"/>
      <c r="GK46" s="103"/>
      <c r="GL46" s="103"/>
      <c r="GM46" s="103"/>
      <c r="GN46" s="103"/>
      <c r="GO46" s="103"/>
      <c r="GP46" s="103"/>
      <c r="GQ46" s="103"/>
      <c r="GR46" s="103"/>
      <c r="GS46" s="103"/>
      <c r="GT46" s="103"/>
      <c r="GU46" s="103"/>
      <c r="GV46" s="103"/>
      <c r="GW46" s="103"/>
      <c r="GX46" s="103"/>
      <c r="GY46" s="103"/>
      <c r="GZ46" s="103"/>
      <c r="HA46" s="103"/>
      <c r="HB46" s="103"/>
      <c r="HC46" s="103"/>
      <c r="HD46" s="103"/>
      <c r="HE46" s="103"/>
      <c r="HF46" s="103"/>
      <c r="HG46" s="103"/>
      <c r="HH46" s="103"/>
      <c r="HI46" s="103"/>
      <c r="HJ46" s="103"/>
      <c r="HK46" s="103"/>
      <c r="HL46" s="103"/>
      <c r="HM46" s="103"/>
      <c r="HN46" s="103"/>
      <c r="HO46" s="103"/>
      <c r="HP46" s="103"/>
      <c r="HQ46" s="103"/>
      <c r="HR46" s="103"/>
      <c r="HS46" s="103"/>
      <c r="HT46" s="103"/>
      <c r="HU46" s="103"/>
      <c r="HV46" s="103"/>
      <c r="HW46" s="103"/>
      <c r="HX46" s="103"/>
      <c r="HY46" s="103"/>
      <c r="HZ46" s="103"/>
      <c r="IA46" s="103"/>
      <c r="IB46" s="103"/>
      <c r="IC46" s="103"/>
      <c r="ID46" s="103"/>
      <c r="IE46" s="103"/>
      <c r="IF46" s="103"/>
      <c r="IG46" s="103"/>
      <c r="IH46" s="103"/>
      <c r="II46" s="103"/>
      <c r="IJ46" s="103"/>
      <c r="IK46" s="103"/>
      <c r="IL46" s="103"/>
      <c r="IM46" s="103"/>
      <c r="IN46" s="103"/>
      <c r="IO46" s="103"/>
      <c r="IP46" s="103"/>
      <c r="IQ46" s="103"/>
      <c r="IR46" s="103"/>
      <c r="IS46" s="103"/>
      <c r="IT46" s="103"/>
      <c r="IU46" s="103"/>
      <c r="IV46" s="103"/>
      <c r="IW46" s="103"/>
      <c r="IX46" s="103"/>
      <c r="IY46" s="103"/>
      <c r="IZ46" s="103"/>
      <c r="JA46" s="103"/>
      <c r="JB46" s="103"/>
      <c r="JC46" s="103"/>
      <c r="JD46" s="103"/>
      <c r="JE46" s="103"/>
      <c r="JF46" s="103"/>
      <c r="JG46" s="103"/>
      <c r="JH46" s="103"/>
      <c r="JI46" s="103"/>
      <c r="JJ46" s="103"/>
      <c r="JK46" s="103"/>
      <c r="JL46" s="103"/>
      <c r="JM46" s="103"/>
      <c r="JN46" s="103"/>
      <c r="JO46" s="103"/>
      <c r="JP46" s="103"/>
      <c r="JQ46" s="103"/>
      <c r="JR46" s="103"/>
      <c r="JS46" s="103"/>
      <c r="JT46" s="103"/>
      <c r="JU46" s="103"/>
      <c r="JV46" s="103"/>
      <c r="JW46" s="103"/>
      <c r="JX46" s="103"/>
      <c r="JY46" s="103"/>
      <c r="JZ46" s="103"/>
      <c r="KA46" s="103"/>
      <c r="KB46" s="103"/>
      <c r="KC46" s="103"/>
      <c r="KD46" s="103"/>
      <c r="KE46" s="103"/>
      <c r="KF46" s="103"/>
      <c r="KG46" s="103"/>
      <c r="KH46" s="103"/>
      <c r="KI46" s="103"/>
      <c r="KJ46" s="103"/>
      <c r="KK46" s="103"/>
      <c r="KL46" s="103"/>
      <c r="KM46" s="103"/>
      <c r="KN46" s="103"/>
      <c r="KO46" s="103"/>
      <c r="KP46" s="103"/>
      <c r="KQ46" s="103"/>
      <c r="KR46" s="103"/>
      <c r="KS46" s="103"/>
      <c r="KT46" s="103"/>
      <c r="KU46" s="103"/>
      <c r="KV46" s="103"/>
      <c r="KW46" s="103"/>
      <c r="KX46" s="103"/>
      <c r="KY46" s="103"/>
      <c r="KZ46" s="103"/>
      <c r="LA46" s="103"/>
      <c r="LB46" s="103"/>
      <c r="LC46" s="103"/>
      <c r="LD46" s="103"/>
      <c r="LE46" s="103"/>
      <c r="LF46" s="103"/>
      <c r="LG46" s="103"/>
      <c r="LH46" s="103"/>
      <c r="LI46" s="103"/>
      <c r="LJ46" s="103"/>
    </row>
    <row r="47" spans="1:322" s="208" customFormat="1">
      <c r="A47" s="103"/>
      <c r="B47" s="182">
        <v>1972</v>
      </c>
      <c r="C47" s="213">
        <v>1.004</v>
      </c>
      <c r="D47" s="213">
        <v>1.149</v>
      </c>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c r="CU47" s="103"/>
      <c r="CV47" s="103"/>
      <c r="CW47" s="103"/>
      <c r="CX47" s="103"/>
      <c r="CY47" s="103"/>
      <c r="CZ47" s="103"/>
      <c r="DA47" s="103"/>
      <c r="DB47" s="103"/>
      <c r="DC47" s="103"/>
      <c r="DD47" s="103"/>
      <c r="DE47" s="103"/>
      <c r="DF47" s="103"/>
      <c r="DG47" s="103"/>
      <c r="DH47" s="103"/>
      <c r="DI47" s="103"/>
      <c r="DJ47" s="103"/>
      <c r="DK47" s="103"/>
      <c r="DL47" s="103"/>
      <c r="DM47" s="103"/>
      <c r="DN47" s="103"/>
      <c r="DO47" s="103"/>
      <c r="DP47" s="103"/>
      <c r="DQ47" s="103"/>
      <c r="DR47" s="103"/>
      <c r="DS47" s="103"/>
      <c r="DT47" s="103"/>
      <c r="DU47" s="103"/>
      <c r="DV47" s="103"/>
      <c r="DW47" s="103"/>
      <c r="DX47" s="103"/>
      <c r="DY47" s="103"/>
      <c r="DZ47" s="103"/>
      <c r="EA47" s="103"/>
      <c r="EB47" s="103"/>
      <c r="EC47" s="103"/>
      <c r="ED47" s="103"/>
      <c r="EE47" s="103"/>
      <c r="EF47" s="103"/>
      <c r="EG47" s="103"/>
      <c r="EH47" s="103"/>
      <c r="EI47" s="103"/>
      <c r="EJ47" s="103"/>
      <c r="EK47" s="103"/>
      <c r="EL47" s="103"/>
      <c r="EM47" s="103"/>
      <c r="EN47" s="103"/>
      <c r="EO47" s="103"/>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3"/>
      <c r="FO47" s="103"/>
      <c r="FP47" s="103"/>
      <c r="FQ47" s="103"/>
      <c r="FR47" s="103"/>
      <c r="FS47" s="103"/>
      <c r="FT47" s="103"/>
      <c r="FU47" s="103"/>
      <c r="FV47" s="103"/>
      <c r="FW47" s="103"/>
      <c r="FX47" s="103"/>
      <c r="FY47" s="103"/>
      <c r="FZ47" s="103"/>
      <c r="GA47" s="103"/>
      <c r="GB47" s="103"/>
      <c r="GC47" s="103"/>
      <c r="GD47" s="103"/>
      <c r="GE47" s="103"/>
      <c r="GF47" s="103"/>
      <c r="GG47" s="103"/>
      <c r="GH47" s="103"/>
      <c r="GI47" s="103"/>
      <c r="GJ47" s="103"/>
      <c r="GK47" s="103"/>
      <c r="GL47" s="103"/>
      <c r="GM47" s="103"/>
      <c r="GN47" s="103"/>
      <c r="GO47" s="103"/>
      <c r="GP47" s="103"/>
      <c r="GQ47" s="103"/>
      <c r="GR47" s="103"/>
      <c r="GS47" s="103"/>
      <c r="GT47" s="103"/>
      <c r="GU47" s="103"/>
      <c r="GV47" s="103"/>
      <c r="GW47" s="103"/>
      <c r="GX47" s="103"/>
      <c r="GY47" s="103"/>
      <c r="GZ47" s="103"/>
      <c r="HA47" s="103"/>
      <c r="HB47" s="103"/>
      <c r="HC47" s="103"/>
      <c r="HD47" s="103"/>
      <c r="HE47" s="103"/>
      <c r="HF47" s="103"/>
      <c r="HG47" s="103"/>
      <c r="HH47" s="103"/>
      <c r="HI47" s="103"/>
      <c r="HJ47" s="103"/>
      <c r="HK47" s="103"/>
      <c r="HL47" s="103"/>
      <c r="HM47" s="103"/>
      <c r="HN47" s="103"/>
      <c r="HO47" s="103"/>
      <c r="HP47" s="103"/>
      <c r="HQ47" s="103"/>
      <c r="HR47" s="103"/>
      <c r="HS47" s="103"/>
      <c r="HT47" s="103"/>
      <c r="HU47" s="103"/>
      <c r="HV47" s="103"/>
      <c r="HW47" s="103"/>
      <c r="HX47" s="103"/>
      <c r="HY47" s="103"/>
      <c r="HZ47" s="103"/>
      <c r="IA47" s="103"/>
      <c r="IB47" s="103"/>
      <c r="IC47" s="103"/>
      <c r="ID47" s="103"/>
      <c r="IE47" s="103"/>
      <c r="IF47" s="103"/>
      <c r="IG47" s="103"/>
      <c r="IH47" s="103"/>
      <c r="II47" s="103"/>
      <c r="IJ47" s="103"/>
      <c r="IK47" s="103"/>
      <c r="IL47" s="103"/>
      <c r="IM47" s="103"/>
      <c r="IN47" s="103"/>
      <c r="IO47" s="103"/>
      <c r="IP47" s="103"/>
      <c r="IQ47" s="103"/>
      <c r="IR47" s="103"/>
      <c r="IS47" s="103"/>
      <c r="IT47" s="103"/>
      <c r="IU47" s="103"/>
      <c r="IV47" s="103"/>
      <c r="IW47" s="103"/>
      <c r="IX47" s="103"/>
      <c r="IY47" s="103"/>
      <c r="IZ47" s="103"/>
      <c r="JA47" s="103"/>
      <c r="JB47" s="103"/>
      <c r="JC47" s="103"/>
      <c r="JD47" s="103"/>
      <c r="JE47" s="103"/>
      <c r="JF47" s="103"/>
      <c r="JG47" s="103"/>
      <c r="JH47" s="103"/>
      <c r="JI47" s="103"/>
      <c r="JJ47" s="103"/>
      <c r="JK47" s="103"/>
      <c r="JL47" s="103"/>
      <c r="JM47" s="103"/>
      <c r="JN47" s="103"/>
      <c r="JO47" s="103"/>
      <c r="JP47" s="103"/>
      <c r="JQ47" s="103"/>
      <c r="JR47" s="103"/>
      <c r="JS47" s="103"/>
      <c r="JT47" s="103"/>
      <c r="JU47" s="103"/>
      <c r="JV47" s="103"/>
      <c r="JW47" s="103"/>
      <c r="JX47" s="103"/>
      <c r="JY47" s="103"/>
      <c r="JZ47" s="103"/>
      <c r="KA47" s="103"/>
      <c r="KB47" s="103"/>
      <c r="KC47" s="103"/>
      <c r="KD47" s="103"/>
      <c r="KE47" s="103"/>
      <c r="KF47" s="103"/>
      <c r="KG47" s="103"/>
      <c r="KH47" s="103"/>
      <c r="KI47" s="103"/>
      <c r="KJ47" s="103"/>
      <c r="KK47" s="103"/>
      <c r="KL47" s="103"/>
      <c r="KM47" s="103"/>
      <c r="KN47" s="103"/>
      <c r="KO47" s="103"/>
      <c r="KP47" s="103"/>
      <c r="KQ47" s="103"/>
      <c r="KR47" s="103"/>
      <c r="KS47" s="103"/>
      <c r="KT47" s="103"/>
      <c r="KU47" s="103"/>
      <c r="KV47" s="103"/>
      <c r="KW47" s="103"/>
      <c r="KX47" s="103"/>
      <c r="KY47" s="103"/>
      <c r="KZ47" s="103"/>
      <c r="LA47" s="103"/>
      <c r="LB47" s="103"/>
      <c r="LC47" s="103"/>
      <c r="LD47" s="103"/>
      <c r="LE47" s="103"/>
      <c r="LF47" s="103"/>
      <c r="LG47" s="103"/>
      <c r="LH47" s="103"/>
      <c r="LI47" s="103"/>
      <c r="LJ47" s="103"/>
    </row>
    <row r="48" spans="1:322" s="208" customFormat="1">
      <c r="A48" s="103"/>
      <c r="B48" s="181">
        <v>1973</v>
      </c>
      <c r="C48" s="213">
        <v>1.0069999999999999</v>
      </c>
      <c r="D48" s="213">
        <v>1.153</v>
      </c>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c r="CU48" s="103"/>
      <c r="CV48" s="103"/>
      <c r="CW48" s="103"/>
      <c r="CX48" s="103"/>
      <c r="CY48" s="103"/>
      <c r="CZ48" s="103"/>
      <c r="DA48" s="103"/>
      <c r="DB48" s="103"/>
      <c r="DC48" s="103"/>
      <c r="DD48" s="103"/>
      <c r="DE48" s="103"/>
      <c r="DF48" s="103"/>
      <c r="DG48" s="103"/>
      <c r="DH48" s="103"/>
      <c r="DI48" s="103"/>
      <c r="DJ48" s="103"/>
      <c r="DK48" s="103"/>
      <c r="DL48" s="103"/>
      <c r="DM48" s="103"/>
      <c r="DN48" s="103"/>
      <c r="DO48" s="103"/>
      <c r="DP48" s="103"/>
      <c r="DQ48" s="103"/>
      <c r="DR48" s="103"/>
      <c r="DS48" s="103"/>
      <c r="DT48" s="103"/>
      <c r="DU48" s="103"/>
      <c r="DV48" s="103"/>
      <c r="DW48" s="103"/>
      <c r="DX48" s="103"/>
      <c r="DY48" s="103"/>
      <c r="DZ48" s="103"/>
      <c r="EA48" s="103"/>
      <c r="EB48" s="103"/>
      <c r="EC48" s="103"/>
      <c r="ED48" s="103"/>
      <c r="EE48" s="103"/>
      <c r="EF48" s="103"/>
      <c r="EG48" s="103"/>
      <c r="EH48" s="103"/>
      <c r="EI48" s="103"/>
      <c r="EJ48" s="103"/>
      <c r="EK48" s="103"/>
      <c r="EL48" s="103"/>
      <c r="EM48" s="103"/>
      <c r="EN48" s="103"/>
      <c r="EO48" s="103"/>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3"/>
      <c r="FO48" s="103"/>
      <c r="FP48" s="103"/>
      <c r="FQ48" s="103"/>
      <c r="FR48" s="103"/>
      <c r="FS48" s="103"/>
      <c r="FT48" s="103"/>
      <c r="FU48" s="103"/>
      <c r="FV48" s="103"/>
      <c r="FW48" s="103"/>
      <c r="FX48" s="103"/>
      <c r="FY48" s="103"/>
      <c r="FZ48" s="103"/>
      <c r="GA48" s="103"/>
      <c r="GB48" s="103"/>
      <c r="GC48" s="103"/>
      <c r="GD48" s="103"/>
      <c r="GE48" s="103"/>
      <c r="GF48" s="103"/>
      <c r="GG48" s="103"/>
      <c r="GH48" s="103"/>
      <c r="GI48" s="103"/>
      <c r="GJ48" s="103"/>
      <c r="GK48" s="103"/>
      <c r="GL48" s="103"/>
      <c r="GM48" s="103"/>
      <c r="GN48" s="103"/>
      <c r="GO48" s="103"/>
      <c r="GP48" s="103"/>
      <c r="GQ48" s="103"/>
      <c r="GR48" s="103"/>
      <c r="GS48" s="103"/>
      <c r="GT48" s="103"/>
      <c r="GU48" s="103"/>
      <c r="GV48" s="103"/>
      <c r="GW48" s="103"/>
      <c r="GX48" s="103"/>
      <c r="GY48" s="103"/>
      <c r="GZ48" s="103"/>
      <c r="HA48" s="103"/>
      <c r="HB48" s="103"/>
      <c r="HC48" s="103"/>
      <c r="HD48" s="103"/>
      <c r="HE48" s="103"/>
      <c r="HF48" s="103"/>
      <c r="HG48" s="103"/>
      <c r="HH48" s="103"/>
      <c r="HI48" s="103"/>
      <c r="HJ48" s="103"/>
      <c r="HK48" s="103"/>
      <c r="HL48" s="103"/>
      <c r="HM48" s="103"/>
      <c r="HN48" s="103"/>
      <c r="HO48" s="103"/>
      <c r="HP48" s="103"/>
      <c r="HQ48" s="103"/>
      <c r="HR48" s="103"/>
      <c r="HS48" s="103"/>
      <c r="HT48" s="103"/>
      <c r="HU48" s="103"/>
      <c r="HV48" s="103"/>
      <c r="HW48" s="103"/>
      <c r="HX48" s="103"/>
      <c r="HY48" s="103"/>
      <c r="HZ48" s="103"/>
      <c r="IA48" s="103"/>
      <c r="IB48" s="103"/>
      <c r="IC48" s="103"/>
      <c r="ID48" s="103"/>
      <c r="IE48" s="103"/>
      <c r="IF48" s="103"/>
      <c r="IG48" s="103"/>
      <c r="IH48" s="103"/>
      <c r="II48" s="103"/>
      <c r="IJ48" s="103"/>
      <c r="IK48" s="103"/>
      <c r="IL48" s="103"/>
      <c r="IM48" s="103"/>
      <c r="IN48" s="103"/>
      <c r="IO48" s="103"/>
      <c r="IP48" s="103"/>
      <c r="IQ48" s="103"/>
      <c r="IR48" s="103"/>
      <c r="IS48" s="103"/>
      <c r="IT48" s="103"/>
      <c r="IU48" s="103"/>
      <c r="IV48" s="103"/>
      <c r="IW48" s="103"/>
      <c r="IX48" s="103"/>
      <c r="IY48" s="103"/>
      <c r="IZ48" s="103"/>
      <c r="JA48" s="103"/>
      <c r="JB48" s="103"/>
      <c r="JC48" s="103"/>
      <c r="JD48" s="103"/>
      <c r="JE48" s="103"/>
      <c r="JF48" s="103"/>
      <c r="JG48" s="103"/>
      <c r="JH48" s="103"/>
      <c r="JI48" s="103"/>
      <c r="JJ48" s="103"/>
      <c r="JK48" s="103"/>
      <c r="JL48" s="103"/>
      <c r="JM48" s="103"/>
      <c r="JN48" s="103"/>
      <c r="JO48" s="103"/>
      <c r="JP48" s="103"/>
      <c r="JQ48" s="103"/>
      <c r="JR48" s="103"/>
      <c r="JS48" s="103"/>
      <c r="JT48" s="103"/>
      <c r="JU48" s="103"/>
      <c r="JV48" s="103"/>
      <c r="JW48" s="103"/>
      <c r="JX48" s="103"/>
      <c r="JY48" s="103"/>
      <c r="JZ48" s="103"/>
      <c r="KA48" s="103"/>
      <c r="KB48" s="103"/>
      <c r="KC48" s="103"/>
      <c r="KD48" s="103"/>
      <c r="KE48" s="103"/>
      <c r="KF48" s="103"/>
      <c r="KG48" s="103"/>
      <c r="KH48" s="103"/>
      <c r="KI48" s="103"/>
      <c r="KJ48" s="103"/>
      <c r="KK48" s="103"/>
      <c r="KL48" s="103"/>
      <c r="KM48" s="103"/>
      <c r="KN48" s="103"/>
      <c r="KO48" s="103"/>
      <c r="KP48" s="103"/>
      <c r="KQ48" s="103"/>
      <c r="KR48" s="103"/>
      <c r="KS48" s="103"/>
      <c r="KT48" s="103"/>
      <c r="KU48" s="103"/>
      <c r="KV48" s="103"/>
      <c r="KW48" s="103"/>
      <c r="KX48" s="103"/>
      <c r="KY48" s="103"/>
      <c r="KZ48" s="103"/>
      <c r="LA48" s="103"/>
      <c r="LB48" s="103"/>
      <c r="LC48" s="103"/>
      <c r="LD48" s="103"/>
      <c r="LE48" s="103"/>
      <c r="LF48" s="103"/>
      <c r="LG48" s="103"/>
      <c r="LH48" s="103"/>
      <c r="LI48" s="103"/>
      <c r="LJ48" s="103"/>
    </row>
    <row r="49" spans="1:322" s="208" customFormat="1">
      <c r="A49" s="103"/>
      <c r="B49" s="182">
        <v>1974</v>
      </c>
      <c r="C49" s="213">
        <v>1.012</v>
      </c>
      <c r="D49" s="213">
        <v>1.1579999999999999</v>
      </c>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3"/>
      <c r="AN49" s="103"/>
      <c r="AO49" s="103"/>
      <c r="AP49" s="103"/>
      <c r="AQ49" s="103"/>
      <c r="AR49" s="103"/>
      <c r="AS49" s="103"/>
      <c r="AT49" s="103"/>
      <c r="AU49" s="103"/>
      <c r="AV49" s="103"/>
      <c r="AW49" s="103"/>
      <c r="AX49" s="103"/>
      <c r="AY49" s="103"/>
      <c r="AZ49" s="103"/>
      <c r="BA49" s="103"/>
      <c r="BB49" s="103"/>
      <c r="BC49" s="103"/>
      <c r="BD49" s="103"/>
      <c r="BE49" s="103"/>
      <c r="BF49" s="103"/>
      <c r="BG49" s="103"/>
      <c r="BH49" s="103"/>
      <c r="BI49" s="103"/>
      <c r="BJ49" s="103"/>
      <c r="BK49" s="103"/>
      <c r="BL49" s="103"/>
      <c r="BM49" s="103"/>
      <c r="BN49" s="103"/>
      <c r="BO49" s="103"/>
      <c r="BP49" s="103"/>
      <c r="BQ49" s="103"/>
      <c r="BR49" s="103"/>
      <c r="BS49" s="103"/>
      <c r="BT49" s="103"/>
      <c r="BU49" s="103"/>
      <c r="BV49" s="103"/>
      <c r="BW49" s="103"/>
      <c r="BX49" s="103"/>
      <c r="BY49" s="103"/>
      <c r="BZ49" s="103"/>
      <c r="CA49" s="103"/>
      <c r="CB49" s="103"/>
      <c r="CC49" s="103"/>
      <c r="CD49" s="103"/>
      <c r="CE49" s="103"/>
      <c r="CF49" s="103"/>
      <c r="CG49" s="103"/>
      <c r="CH49" s="103"/>
      <c r="CI49" s="103"/>
      <c r="CJ49" s="103"/>
      <c r="CK49" s="103"/>
      <c r="CL49" s="103"/>
      <c r="CM49" s="103"/>
      <c r="CN49" s="103"/>
      <c r="CO49" s="103"/>
      <c r="CP49" s="103"/>
      <c r="CQ49" s="103"/>
      <c r="CR49" s="103"/>
      <c r="CS49" s="103"/>
      <c r="CT49" s="103"/>
      <c r="CU49" s="103"/>
      <c r="CV49" s="103"/>
      <c r="CW49" s="103"/>
      <c r="CX49" s="103"/>
      <c r="CY49" s="103"/>
      <c r="CZ49" s="103"/>
      <c r="DA49" s="103"/>
      <c r="DB49" s="103"/>
      <c r="DC49" s="103"/>
      <c r="DD49" s="103"/>
      <c r="DE49" s="103"/>
      <c r="DF49" s="103"/>
      <c r="DG49" s="103"/>
      <c r="DH49" s="103"/>
      <c r="DI49" s="103"/>
      <c r="DJ49" s="103"/>
      <c r="DK49" s="103"/>
      <c r="DL49" s="103"/>
      <c r="DM49" s="103"/>
      <c r="DN49" s="103"/>
      <c r="DO49" s="103"/>
      <c r="DP49" s="103"/>
      <c r="DQ49" s="103"/>
      <c r="DR49" s="103"/>
      <c r="DS49" s="103"/>
      <c r="DT49" s="103"/>
      <c r="DU49" s="103"/>
      <c r="DV49" s="103"/>
      <c r="DW49" s="103"/>
      <c r="DX49" s="103"/>
      <c r="DY49" s="103"/>
      <c r="DZ49" s="103"/>
      <c r="EA49" s="103"/>
      <c r="EB49" s="103"/>
      <c r="EC49" s="103"/>
      <c r="ED49" s="103"/>
      <c r="EE49" s="103"/>
      <c r="EF49" s="103"/>
      <c r="EG49" s="103"/>
      <c r="EH49" s="103"/>
      <c r="EI49" s="103"/>
      <c r="EJ49" s="103"/>
      <c r="EK49" s="103"/>
      <c r="EL49" s="103"/>
      <c r="EM49" s="103"/>
      <c r="EN49" s="103"/>
      <c r="EO49" s="103"/>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3"/>
      <c r="FO49" s="103"/>
      <c r="FP49" s="103"/>
      <c r="FQ49" s="103"/>
      <c r="FR49" s="103"/>
      <c r="FS49" s="103"/>
      <c r="FT49" s="103"/>
      <c r="FU49" s="103"/>
      <c r="FV49" s="103"/>
      <c r="FW49" s="103"/>
      <c r="FX49" s="103"/>
      <c r="FY49" s="103"/>
      <c r="FZ49" s="103"/>
      <c r="GA49" s="103"/>
      <c r="GB49" s="103"/>
      <c r="GC49" s="103"/>
      <c r="GD49" s="103"/>
      <c r="GE49" s="103"/>
      <c r="GF49" s="103"/>
      <c r="GG49" s="103"/>
      <c r="GH49" s="103"/>
      <c r="GI49" s="103"/>
      <c r="GJ49" s="103"/>
      <c r="GK49" s="103"/>
      <c r="GL49" s="103"/>
      <c r="GM49" s="103"/>
      <c r="GN49" s="103"/>
      <c r="GO49" s="103"/>
      <c r="GP49" s="103"/>
      <c r="GQ49" s="103"/>
      <c r="GR49" s="103"/>
      <c r="GS49" s="103"/>
      <c r="GT49" s="103"/>
      <c r="GU49" s="103"/>
      <c r="GV49" s="103"/>
      <c r="GW49" s="103"/>
      <c r="GX49" s="103"/>
      <c r="GY49" s="103"/>
      <c r="GZ49" s="103"/>
      <c r="HA49" s="103"/>
      <c r="HB49" s="103"/>
      <c r="HC49" s="103"/>
      <c r="HD49" s="103"/>
      <c r="HE49" s="103"/>
      <c r="HF49" s="103"/>
      <c r="HG49" s="103"/>
      <c r="HH49" s="103"/>
      <c r="HI49" s="103"/>
      <c r="HJ49" s="103"/>
      <c r="HK49" s="103"/>
      <c r="HL49" s="103"/>
      <c r="HM49" s="103"/>
      <c r="HN49" s="103"/>
      <c r="HO49" s="103"/>
      <c r="HP49" s="103"/>
      <c r="HQ49" s="103"/>
      <c r="HR49" s="103"/>
      <c r="HS49" s="103"/>
      <c r="HT49" s="103"/>
      <c r="HU49" s="103"/>
      <c r="HV49" s="103"/>
      <c r="HW49" s="103"/>
      <c r="HX49" s="103"/>
      <c r="HY49" s="103"/>
      <c r="HZ49" s="103"/>
      <c r="IA49" s="103"/>
      <c r="IB49" s="103"/>
      <c r="IC49" s="103"/>
      <c r="ID49" s="103"/>
      <c r="IE49" s="103"/>
      <c r="IF49" s="103"/>
      <c r="IG49" s="103"/>
      <c r="IH49" s="103"/>
      <c r="II49" s="103"/>
      <c r="IJ49" s="103"/>
      <c r="IK49" s="103"/>
      <c r="IL49" s="103"/>
      <c r="IM49" s="103"/>
      <c r="IN49" s="103"/>
      <c r="IO49" s="103"/>
      <c r="IP49" s="103"/>
      <c r="IQ49" s="103"/>
      <c r="IR49" s="103"/>
      <c r="IS49" s="103"/>
      <c r="IT49" s="103"/>
      <c r="IU49" s="103"/>
      <c r="IV49" s="103"/>
      <c r="IW49" s="103"/>
      <c r="IX49" s="103"/>
      <c r="IY49" s="103"/>
      <c r="IZ49" s="103"/>
      <c r="JA49" s="103"/>
      <c r="JB49" s="103"/>
      <c r="JC49" s="103"/>
      <c r="JD49" s="103"/>
      <c r="JE49" s="103"/>
      <c r="JF49" s="103"/>
      <c r="JG49" s="103"/>
      <c r="JH49" s="103"/>
      <c r="JI49" s="103"/>
      <c r="JJ49" s="103"/>
      <c r="JK49" s="103"/>
      <c r="JL49" s="103"/>
      <c r="JM49" s="103"/>
      <c r="JN49" s="103"/>
      <c r="JO49" s="103"/>
      <c r="JP49" s="103"/>
      <c r="JQ49" s="103"/>
      <c r="JR49" s="103"/>
      <c r="JS49" s="103"/>
      <c r="JT49" s="103"/>
      <c r="JU49" s="103"/>
      <c r="JV49" s="103"/>
      <c r="JW49" s="103"/>
      <c r="JX49" s="103"/>
      <c r="JY49" s="103"/>
      <c r="JZ49" s="103"/>
      <c r="KA49" s="103"/>
      <c r="KB49" s="103"/>
      <c r="KC49" s="103"/>
      <c r="KD49" s="103"/>
      <c r="KE49" s="103"/>
      <c r="KF49" s="103"/>
      <c r="KG49" s="103"/>
      <c r="KH49" s="103"/>
      <c r="KI49" s="103"/>
      <c r="KJ49" s="103"/>
      <c r="KK49" s="103"/>
      <c r="KL49" s="103"/>
      <c r="KM49" s="103"/>
      <c r="KN49" s="103"/>
      <c r="KO49" s="103"/>
      <c r="KP49" s="103"/>
      <c r="KQ49" s="103"/>
      <c r="KR49" s="103"/>
      <c r="KS49" s="103"/>
      <c r="KT49" s="103"/>
      <c r="KU49" s="103"/>
      <c r="KV49" s="103"/>
      <c r="KW49" s="103"/>
      <c r="KX49" s="103"/>
      <c r="KY49" s="103"/>
      <c r="KZ49" s="103"/>
      <c r="LA49" s="103"/>
      <c r="LB49" s="103"/>
      <c r="LC49" s="103"/>
      <c r="LD49" s="103"/>
      <c r="LE49" s="103"/>
      <c r="LF49" s="103"/>
      <c r="LG49" s="103"/>
      <c r="LH49" s="103"/>
      <c r="LI49" s="103"/>
      <c r="LJ49" s="103"/>
    </row>
    <row r="50" spans="1:322" s="208" customFormat="1">
      <c r="A50" s="103"/>
      <c r="B50" s="181">
        <v>1975</v>
      </c>
      <c r="C50" s="213">
        <v>1.012</v>
      </c>
      <c r="D50" s="213">
        <v>1.157</v>
      </c>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03"/>
      <c r="AO50" s="103"/>
      <c r="AP50" s="103"/>
      <c r="AQ50" s="103"/>
      <c r="AR50" s="103"/>
      <c r="AS50" s="103"/>
      <c r="AT50" s="103"/>
      <c r="AU50" s="103"/>
      <c r="AV50" s="103"/>
      <c r="AW50" s="103"/>
      <c r="AX50" s="103"/>
      <c r="AY50" s="103"/>
      <c r="AZ50" s="103"/>
      <c r="BA50" s="103"/>
      <c r="BB50" s="103"/>
      <c r="BC50" s="103"/>
      <c r="BD50" s="103"/>
      <c r="BE50" s="103"/>
      <c r="BF50" s="103"/>
      <c r="BG50" s="103"/>
      <c r="BH50" s="103"/>
      <c r="BI50" s="103"/>
      <c r="BJ50" s="103"/>
      <c r="BK50" s="103"/>
      <c r="BL50" s="103"/>
      <c r="BM50" s="103"/>
      <c r="BN50" s="103"/>
      <c r="BO50" s="103"/>
      <c r="BP50" s="103"/>
      <c r="BQ50" s="103"/>
      <c r="BR50" s="103"/>
      <c r="BS50" s="103"/>
      <c r="BT50" s="103"/>
      <c r="BU50" s="103"/>
      <c r="BV50" s="103"/>
      <c r="BW50" s="103"/>
      <c r="BX50" s="103"/>
      <c r="BY50" s="103"/>
      <c r="BZ50" s="103"/>
      <c r="CA50" s="103"/>
      <c r="CB50" s="103"/>
      <c r="CC50" s="103"/>
      <c r="CD50" s="103"/>
      <c r="CE50" s="103"/>
      <c r="CF50" s="103"/>
      <c r="CG50" s="103"/>
      <c r="CH50" s="103"/>
      <c r="CI50" s="103"/>
      <c r="CJ50" s="103"/>
      <c r="CK50" s="103"/>
      <c r="CL50" s="103"/>
      <c r="CM50" s="103"/>
      <c r="CN50" s="103"/>
      <c r="CO50" s="103"/>
      <c r="CP50" s="103"/>
      <c r="CQ50" s="103"/>
      <c r="CR50" s="103"/>
      <c r="CS50" s="103"/>
      <c r="CT50" s="103"/>
      <c r="CU50" s="103"/>
      <c r="CV50" s="103"/>
      <c r="CW50" s="103"/>
      <c r="CX50" s="103"/>
      <c r="CY50" s="103"/>
      <c r="CZ50" s="103"/>
      <c r="DA50" s="103"/>
      <c r="DB50" s="103"/>
      <c r="DC50" s="103"/>
      <c r="DD50" s="103"/>
      <c r="DE50" s="103"/>
      <c r="DF50" s="103"/>
      <c r="DG50" s="103"/>
      <c r="DH50" s="103"/>
      <c r="DI50" s="103"/>
      <c r="DJ50" s="103"/>
      <c r="DK50" s="103"/>
      <c r="DL50" s="103"/>
      <c r="DM50" s="103"/>
      <c r="DN50" s="103"/>
      <c r="DO50" s="103"/>
      <c r="DP50" s="103"/>
      <c r="DQ50" s="103"/>
      <c r="DR50" s="103"/>
      <c r="DS50" s="103"/>
      <c r="DT50" s="103"/>
      <c r="DU50" s="103"/>
      <c r="DV50" s="103"/>
      <c r="DW50" s="103"/>
      <c r="DX50" s="103"/>
      <c r="DY50" s="103"/>
      <c r="DZ50" s="103"/>
      <c r="EA50" s="103"/>
      <c r="EB50" s="103"/>
      <c r="EC50" s="103"/>
      <c r="ED50" s="103"/>
      <c r="EE50" s="103"/>
      <c r="EF50" s="103"/>
      <c r="EG50" s="103"/>
      <c r="EH50" s="103"/>
      <c r="EI50" s="103"/>
      <c r="EJ50" s="103"/>
      <c r="EK50" s="103"/>
      <c r="EL50" s="103"/>
      <c r="EM50" s="103"/>
      <c r="EN50" s="103"/>
      <c r="EO50" s="103"/>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3"/>
      <c r="FO50" s="103"/>
      <c r="FP50" s="103"/>
      <c r="FQ50" s="103"/>
      <c r="FR50" s="103"/>
      <c r="FS50" s="103"/>
      <c r="FT50" s="103"/>
      <c r="FU50" s="103"/>
      <c r="FV50" s="103"/>
      <c r="FW50" s="103"/>
      <c r="FX50" s="103"/>
      <c r="FY50" s="103"/>
      <c r="FZ50" s="103"/>
      <c r="GA50" s="103"/>
      <c r="GB50" s="103"/>
      <c r="GC50" s="103"/>
      <c r="GD50" s="103"/>
      <c r="GE50" s="103"/>
      <c r="GF50" s="103"/>
      <c r="GG50" s="103"/>
      <c r="GH50" s="103"/>
      <c r="GI50" s="103"/>
      <c r="GJ50" s="103"/>
      <c r="GK50" s="103"/>
      <c r="GL50" s="103"/>
      <c r="GM50" s="103"/>
      <c r="GN50" s="103"/>
      <c r="GO50" s="103"/>
      <c r="GP50" s="103"/>
      <c r="GQ50" s="103"/>
      <c r="GR50" s="103"/>
      <c r="GS50" s="103"/>
      <c r="GT50" s="103"/>
      <c r="GU50" s="103"/>
      <c r="GV50" s="103"/>
      <c r="GW50" s="103"/>
      <c r="GX50" s="103"/>
      <c r="GY50" s="103"/>
      <c r="GZ50" s="103"/>
      <c r="HA50" s="103"/>
      <c r="HB50" s="103"/>
      <c r="HC50" s="103"/>
      <c r="HD50" s="103"/>
      <c r="HE50" s="103"/>
      <c r="HF50" s="103"/>
      <c r="HG50" s="103"/>
      <c r="HH50" s="103"/>
      <c r="HI50" s="103"/>
      <c r="HJ50" s="103"/>
      <c r="HK50" s="103"/>
      <c r="HL50" s="103"/>
      <c r="HM50" s="103"/>
      <c r="HN50" s="103"/>
      <c r="HO50" s="103"/>
      <c r="HP50" s="103"/>
      <c r="HQ50" s="103"/>
      <c r="HR50" s="103"/>
      <c r="HS50" s="103"/>
      <c r="HT50" s="103"/>
      <c r="HU50" s="103"/>
      <c r="HV50" s="103"/>
      <c r="HW50" s="103"/>
      <c r="HX50" s="103"/>
      <c r="HY50" s="103"/>
      <c r="HZ50" s="103"/>
      <c r="IA50" s="103"/>
      <c r="IB50" s="103"/>
      <c r="IC50" s="103"/>
      <c r="ID50" s="103"/>
      <c r="IE50" s="103"/>
      <c r="IF50" s="103"/>
      <c r="IG50" s="103"/>
      <c r="IH50" s="103"/>
      <c r="II50" s="103"/>
      <c r="IJ50" s="103"/>
      <c r="IK50" s="103"/>
      <c r="IL50" s="103"/>
      <c r="IM50" s="103"/>
      <c r="IN50" s="103"/>
      <c r="IO50" s="103"/>
      <c r="IP50" s="103"/>
      <c r="IQ50" s="103"/>
      <c r="IR50" s="103"/>
      <c r="IS50" s="103"/>
      <c r="IT50" s="103"/>
      <c r="IU50" s="103"/>
      <c r="IV50" s="103"/>
      <c r="IW50" s="103"/>
      <c r="IX50" s="103"/>
      <c r="IY50" s="103"/>
      <c r="IZ50" s="103"/>
      <c r="JA50" s="103"/>
      <c r="JB50" s="103"/>
      <c r="JC50" s="103"/>
      <c r="JD50" s="103"/>
      <c r="JE50" s="103"/>
      <c r="JF50" s="103"/>
      <c r="JG50" s="103"/>
      <c r="JH50" s="103"/>
      <c r="JI50" s="103"/>
      <c r="JJ50" s="103"/>
      <c r="JK50" s="103"/>
      <c r="JL50" s="103"/>
      <c r="JM50" s="103"/>
      <c r="JN50" s="103"/>
      <c r="JO50" s="103"/>
      <c r="JP50" s="103"/>
      <c r="JQ50" s="103"/>
      <c r="JR50" s="103"/>
      <c r="JS50" s="103"/>
      <c r="JT50" s="103"/>
      <c r="JU50" s="103"/>
      <c r="JV50" s="103"/>
      <c r="JW50" s="103"/>
      <c r="JX50" s="103"/>
      <c r="JY50" s="103"/>
      <c r="JZ50" s="103"/>
      <c r="KA50" s="103"/>
      <c r="KB50" s="103"/>
      <c r="KC50" s="103"/>
      <c r="KD50" s="103"/>
      <c r="KE50" s="103"/>
      <c r="KF50" s="103"/>
      <c r="KG50" s="103"/>
      <c r="KH50" s="103"/>
      <c r="KI50" s="103"/>
      <c r="KJ50" s="103"/>
      <c r="KK50" s="103"/>
      <c r="KL50" s="103"/>
      <c r="KM50" s="103"/>
      <c r="KN50" s="103"/>
      <c r="KO50" s="103"/>
      <c r="KP50" s="103"/>
      <c r="KQ50" s="103"/>
      <c r="KR50" s="103"/>
      <c r="KS50" s="103"/>
      <c r="KT50" s="103"/>
      <c r="KU50" s="103"/>
      <c r="KV50" s="103"/>
      <c r="KW50" s="103"/>
      <c r="KX50" s="103"/>
      <c r="KY50" s="103"/>
      <c r="KZ50" s="103"/>
      <c r="LA50" s="103"/>
      <c r="LB50" s="103"/>
      <c r="LC50" s="103"/>
      <c r="LD50" s="103"/>
      <c r="LE50" s="103"/>
      <c r="LF50" s="103"/>
      <c r="LG50" s="103"/>
      <c r="LH50" s="103"/>
      <c r="LI50" s="103"/>
      <c r="LJ50" s="103"/>
    </row>
    <row r="51" spans="1:322" s="208" customFormat="1">
      <c r="A51" s="103"/>
      <c r="B51" s="182">
        <v>1976</v>
      </c>
      <c r="C51" s="213">
        <v>1.012</v>
      </c>
      <c r="D51" s="213">
        <v>1.1559999999999999</v>
      </c>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103"/>
      <c r="BL51" s="103"/>
      <c r="BM51" s="103"/>
      <c r="BN51" s="103"/>
      <c r="BO51" s="103"/>
      <c r="BP51" s="103"/>
      <c r="BQ51" s="103"/>
      <c r="BR51" s="103"/>
      <c r="BS51" s="103"/>
      <c r="BT51" s="103"/>
      <c r="BU51" s="103"/>
      <c r="BV51" s="103"/>
      <c r="BW51" s="103"/>
      <c r="BX51" s="103"/>
      <c r="BY51" s="103"/>
      <c r="BZ51" s="103"/>
      <c r="CA51" s="103"/>
      <c r="CB51" s="103"/>
      <c r="CC51" s="103"/>
      <c r="CD51" s="103"/>
      <c r="CE51" s="103"/>
      <c r="CF51" s="103"/>
      <c r="CG51" s="103"/>
      <c r="CH51" s="103"/>
      <c r="CI51" s="103"/>
      <c r="CJ51" s="103"/>
      <c r="CK51" s="103"/>
      <c r="CL51" s="103"/>
      <c r="CM51" s="103"/>
      <c r="CN51" s="103"/>
      <c r="CO51" s="103"/>
      <c r="CP51" s="103"/>
      <c r="CQ51" s="103"/>
      <c r="CR51" s="103"/>
      <c r="CS51" s="103"/>
      <c r="CT51" s="103"/>
      <c r="CU51" s="103"/>
      <c r="CV51" s="103"/>
      <c r="CW51" s="103"/>
      <c r="CX51" s="103"/>
      <c r="CY51" s="103"/>
      <c r="CZ51" s="103"/>
      <c r="DA51" s="103"/>
      <c r="DB51" s="103"/>
      <c r="DC51" s="103"/>
      <c r="DD51" s="103"/>
      <c r="DE51" s="103"/>
      <c r="DF51" s="103"/>
      <c r="DG51" s="103"/>
      <c r="DH51" s="103"/>
      <c r="DI51" s="103"/>
      <c r="DJ51" s="103"/>
      <c r="DK51" s="103"/>
      <c r="DL51" s="103"/>
      <c r="DM51" s="103"/>
      <c r="DN51" s="103"/>
      <c r="DO51" s="103"/>
      <c r="DP51" s="103"/>
      <c r="DQ51" s="103"/>
      <c r="DR51" s="103"/>
      <c r="DS51" s="103"/>
      <c r="DT51" s="103"/>
      <c r="DU51" s="103"/>
      <c r="DV51" s="103"/>
      <c r="DW51" s="103"/>
      <c r="DX51" s="103"/>
      <c r="DY51" s="103"/>
      <c r="DZ51" s="103"/>
      <c r="EA51" s="103"/>
      <c r="EB51" s="103"/>
      <c r="EC51" s="103"/>
      <c r="ED51" s="103"/>
      <c r="EE51" s="103"/>
      <c r="EF51" s="103"/>
      <c r="EG51" s="103"/>
      <c r="EH51" s="103"/>
      <c r="EI51" s="103"/>
      <c r="EJ51" s="103"/>
      <c r="EK51" s="103"/>
      <c r="EL51" s="103"/>
      <c r="EM51" s="103"/>
      <c r="EN51" s="103"/>
      <c r="EO51" s="103"/>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3"/>
      <c r="FO51" s="103"/>
      <c r="FP51" s="103"/>
      <c r="FQ51" s="103"/>
      <c r="FR51" s="103"/>
      <c r="FS51" s="103"/>
      <c r="FT51" s="103"/>
      <c r="FU51" s="103"/>
      <c r="FV51" s="103"/>
      <c r="FW51" s="103"/>
      <c r="FX51" s="103"/>
      <c r="FY51" s="103"/>
      <c r="FZ51" s="103"/>
      <c r="GA51" s="103"/>
      <c r="GB51" s="103"/>
      <c r="GC51" s="103"/>
      <c r="GD51" s="103"/>
      <c r="GE51" s="103"/>
      <c r="GF51" s="103"/>
      <c r="GG51" s="103"/>
      <c r="GH51" s="103"/>
      <c r="GI51" s="103"/>
      <c r="GJ51" s="103"/>
      <c r="GK51" s="103"/>
      <c r="GL51" s="103"/>
      <c r="GM51" s="103"/>
      <c r="GN51" s="103"/>
      <c r="GO51" s="103"/>
      <c r="GP51" s="103"/>
      <c r="GQ51" s="103"/>
      <c r="GR51" s="103"/>
      <c r="GS51" s="103"/>
      <c r="GT51" s="103"/>
      <c r="GU51" s="103"/>
      <c r="GV51" s="103"/>
      <c r="GW51" s="103"/>
      <c r="GX51" s="103"/>
      <c r="GY51" s="103"/>
      <c r="GZ51" s="103"/>
      <c r="HA51" s="103"/>
      <c r="HB51" s="103"/>
      <c r="HC51" s="103"/>
      <c r="HD51" s="103"/>
      <c r="HE51" s="103"/>
      <c r="HF51" s="103"/>
      <c r="HG51" s="103"/>
      <c r="HH51" s="103"/>
      <c r="HI51" s="103"/>
      <c r="HJ51" s="103"/>
      <c r="HK51" s="103"/>
      <c r="HL51" s="103"/>
      <c r="HM51" s="103"/>
      <c r="HN51" s="103"/>
      <c r="HO51" s="103"/>
      <c r="HP51" s="103"/>
      <c r="HQ51" s="103"/>
      <c r="HR51" s="103"/>
      <c r="HS51" s="103"/>
      <c r="HT51" s="103"/>
      <c r="HU51" s="103"/>
      <c r="HV51" s="103"/>
      <c r="HW51" s="103"/>
      <c r="HX51" s="103"/>
      <c r="HY51" s="103"/>
      <c r="HZ51" s="103"/>
      <c r="IA51" s="103"/>
      <c r="IB51" s="103"/>
      <c r="IC51" s="103"/>
      <c r="ID51" s="103"/>
      <c r="IE51" s="103"/>
      <c r="IF51" s="103"/>
      <c r="IG51" s="103"/>
      <c r="IH51" s="103"/>
      <c r="II51" s="103"/>
      <c r="IJ51" s="103"/>
      <c r="IK51" s="103"/>
      <c r="IL51" s="103"/>
      <c r="IM51" s="103"/>
      <c r="IN51" s="103"/>
      <c r="IO51" s="103"/>
      <c r="IP51" s="103"/>
      <c r="IQ51" s="103"/>
      <c r="IR51" s="103"/>
      <c r="IS51" s="103"/>
      <c r="IT51" s="103"/>
      <c r="IU51" s="103"/>
      <c r="IV51" s="103"/>
      <c r="IW51" s="103"/>
      <c r="IX51" s="103"/>
      <c r="IY51" s="103"/>
      <c r="IZ51" s="103"/>
      <c r="JA51" s="103"/>
      <c r="JB51" s="103"/>
      <c r="JC51" s="103"/>
      <c r="JD51" s="103"/>
      <c r="JE51" s="103"/>
      <c r="JF51" s="103"/>
      <c r="JG51" s="103"/>
      <c r="JH51" s="103"/>
      <c r="JI51" s="103"/>
      <c r="JJ51" s="103"/>
      <c r="JK51" s="103"/>
      <c r="JL51" s="103"/>
      <c r="JM51" s="103"/>
      <c r="JN51" s="103"/>
      <c r="JO51" s="103"/>
      <c r="JP51" s="103"/>
      <c r="JQ51" s="103"/>
      <c r="JR51" s="103"/>
      <c r="JS51" s="103"/>
      <c r="JT51" s="103"/>
      <c r="JU51" s="103"/>
      <c r="JV51" s="103"/>
      <c r="JW51" s="103"/>
      <c r="JX51" s="103"/>
      <c r="JY51" s="103"/>
      <c r="JZ51" s="103"/>
      <c r="KA51" s="103"/>
      <c r="KB51" s="103"/>
      <c r="KC51" s="103"/>
      <c r="KD51" s="103"/>
      <c r="KE51" s="103"/>
      <c r="KF51" s="103"/>
      <c r="KG51" s="103"/>
      <c r="KH51" s="103"/>
      <c r="KI51" s="103"/>
      <c r="KJ51" s="103"/>
      <c r="KK51" s="103"/>
      <c r="KL51" s="103"/>
      <c r="KM51" s="103"/>
      <c r="KN51" s="103"/>
      <c r="KO51" s="103"/>
      <c r="KP51" s="103"/>
      <c r="KQ51" s="103"/>
      <c r="KR51" s="103"/>
      <c r="KS51" s="103"/>
      <c r="KT51" s="103"/>
      <c r="KU51" s="103"/>
      <c r="KV51" s="103"/>
      <c r="KW51" s="103"/>
      <c r="KX51" s="103"/>
      <c r="KY51" s="103"/>
      <c r="KZ51" s="103"/>
      <c r="LA51" s="103"/>
      <c r="LB51" s="103"/>
      <c r="LC51" s="103"/>
      <c r="LD51" s="103"/>
      <c r="LE51" s="103"/>
      <c r="LF51" s="103"/>
      <c r="LG51" s="103"/>
      <c r="LH51" s="103"/>
      <c r="LI51" s="103"/>
      <c r="LJ51" s="103"/>
    </row>
    <row r="52" spans="1:322" s="208" customFormat="1">
      <c r="A52" s="103"/>
      <c r="B52" s="181">
        <v>1977</v>
      </c>
      <c r="C52" s="213">
        <v>1.016</v>
      </c>
      <c r="D52" s="213">
        <v>1.159</v>
      </c>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3"/>
      <c r="BI52" s="103"/>
      <c r="BJ52" s="103"/>
      <c r="BK52" s="103"/>
      <c r="BL52" s="103"/>
      <c r="BM52" s="103"/>
      <c r="BN52" s="103"/>
      <c r="BO52" s="103"/>
      <c r="BP52" s="103"/>
      <c r="BQ52" s="103"/>
      <c r="BR52" s="103"/>
      <c r="BS52" s="103"/>
      <c r="BT52" s="103"/>
      <c r="BU52" s="103"/>
      <c r="BV52" s="103"/>
      <c r="BW52" s="103"/>
      <c r="BX52" s="103"/>
      <c r="BY52" s="103"/>
      <c r="BZ52" s="103"/>
      <c r="CA52" s="103"/>
      <c r="CB52" s="103"/>
      <c r="CC52" s="103"/>
      <c r="CD52" s="103"/>
      <c r="CE52" s="103"/>
      <c r="CF52" s="103"/>
      <c r="CG52" s="103"/>
      <c r="CH52" s="103"/>
      <c r="CI52" s="103"/>
      <c r="CJ52" s="103"/>
      <c r="CK52" s="103"/>
      <c r="CL52" s="103"/>
      <c r="CM52" s="103"/>
      <c r="CN52" s="103"/>
      <c r="CO52" s="103"/>
      <c r="CP52" s="103"/>
      <c r="CQ52" s="103"/>
      <c r="CR52" s="103"/>
      <c r="CS52" s="103"/>
      <c r="CT52" s="103"/>
      <c r="CU52" s="103"/>
      <c r="CV52" s="103"/>
      <c r="CW52" s="103"/>
      <c r="CX52" s="103"/>
      <c r="CY52" s="103"/>
      <c r="CZ52" s="103"/>
      <c r="DA52" s="103"/>
      <c r="DB52" s="103"/>
      <c r="DC52" s="103"/>
      <c r="DD52" s="103"/>
      <c r="DE52" s="103"/>
      <c r="DF52" s="103"/>
      <c r="DG52" s="103"/>
      <c r="DH52" s="103"/>
      <c r="DI52" s="103"/>
      <c r="DJ52" s="103"/>
      <c r="DK52" s="103"/>
      <c r="DL52" s="103"/>
      <c r="DM52" s="103"/>
      <c r="DN52" s="103"/>
      <c r="DO52" s="103"/>
      <c r="DP52" s="103"/>
      <c r="DQ52" s="103"/>
      <c r="DR52" s="103"/>
      <c r="DS52" s="103"/>
      <c r="DT52" s="103"/>
      <c r="DU52" s="103"/>
      <c r="DV52" s="103"/>
      <c r="DW52" s="103"/>
      <c r="DX52" s="103"/>
      <c r="DY52" s="103"/>
      <c r="DZ52" s="103"/>
      <c r="EA52" s="103"/>
      <c r="EB52" s="103"/>
      <c r="EC52" s="103"/>
      <c r="ED52" s="103"/>
      <c r="EE52" s="103"/>
      <c r="EF52" s="103"/>
      <c r="EG52" s="103"/>
      <c r="EH52" s="103"/>
      <c r="EI52" s="103"/>
      <c r="EJ52" s="103"/>
      <c r="EK52" s="103"/>
      <c r="EL52" s="103"/>
      <c r="EM52" s="103"/>
      <c r="EN52" s="103"/>
      <c r="EO52" s="103"/>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3"/>
      <c r="FO52" s="103"/>
      <c r="FP52" s="103"/>
      <c r="FQ52" s="103"/>
      <c r="FR52" s="103"/>
      <c r="FS52" s="103"/>
      <c r="FT52" s="103"/>
      <c r="FU52" s="103"/>
      <c r="FV52" s="103"/>
      <c r="FW52" s="103"/>
      <c r="FX52" s="103"/>
      <c r="FY52" s="103"/>
      <c r="FZ52" s="103"/>
      <c r="GA52" s="103"/>
      <c r="GB52" s="103"/>
      <c r="GC52" s="103"/>
      <c r="GD52" s="103"/>
      <c r="GE52" s="103"/>
      <c r="GF52" s="103"/>
      <c r="GG52" s="103"/>
      <c r="GH52" s="103"/>
      <c r="GI52" s="103"/>
      <c r="GJ52" s="103"/>
      <c r="GK52" s="103"/>
      <c r="GL52" s="103"/>
      <c r="GM52" s="103"/>
      <c r="GN52" s="103"/>
      <c r="GO52" s="103"/>
      <c r="GP52" s="103"/>
      <c r="GQ52" s="103"/>
      <c r="GR52" s="103"/>
      <c r="GS52" s="103"/>
      <c r="GT52" s="103"/>
      <c r="GU52" s="103"/>
      <c r="GV52" s="103"/>
      <c r="GW52" s="103"/>
      <c r="GX52" s="103"/>
      <c r="GY52" s="103"/>
      <c r="GZ52" s="103"/>
      <c r="HA52" s="103"/>
      <c r="HB52" s="103"/>
      <c r="HC52" s="103"/>
      <c r="HD52" s="103"/>
      <c r="HE52" s="103"/>
      <c r="HF52" s="103"/>
      <c r="HG52" s="103"/>
      <c r="HH52" s="103"/>
      <c r="HI52" s="103"/>
      <c r="HJ52" s="103"/>
      <c r="HK52" s="103"/>
      <c r="HL52" s="103"/>
      <c r="HM52" s="103"/>
      <c r="HN52" s="103"/>
      <c r="HO52" s="103"/>
      <c r="HP52" s="103"/>
      <c r="HQ52" s="103"/>
      <c r="HR52" s="103"/>
      <c r="HS52" s="103"/>
      <c r="HT52" s="103"/>
      <c r="HU52" s="103"/>
      <c r="HV52" s="103"/>
      <c r="HW52" s="103"/>
      <c r="HX52" s="103"/>
      <c r="HY52" s="103"/>
      <c r="HZ52" s="103"/>
      <c r="IA52" s="103"/>
      <c r="IB52" s="103"/>
      <c r="IC52" s="103"/>
      <c r="ID52" s="103"/>
      <c r="IE52" s="103"/>
      <c r="IF52" s="103"/>
      <c r="IG52" s="103"/>
      <c r="IH52" s="103"/>
      <c r="II52" s="103"/>
      <c r="IJ52" s="103"/>
      <c r="IK52" s="103"/>
      <c r="IL52" s="103"/>
      <c r="IM52" s="103"/>
      <c r="IN52" s="103"/>
      <c r="IO52" s="103"/>
      <c r="IP52" s="103"/>
      <c r="IQ52" s="103"/>
      <c r="IR52" s="103"/>
      <c r="IS52" s="103"/>
      <c r="IT52" s="103"/>
      <c r="IU52" s="103"/>
      <c r="IV52" s="103"/>
      <c r="IW52" s="103"/>
      <c r="IX52" s="103"/>
      <c r="IY52" s="103"/>
      <c r="IZ52" s="103"/>
      <c r="JA52" s="103"/>
      <c r="JB52" s="103"/>
      <c r="JC52" s="103"/>
      <c r="JD52" s="103"/>
      <c r="JE52" s="103"/>
      <c r="JF52" s="103"/>
      <c r="JG52" s="103"/>
      <c r="JH52" s="103"/>
      <c r="JI52" s="103"/>
      <c r="JJ52" s="103"/>
      <c r="JK52" s="103"/>
      <c r="JL52" s="103"/>
      <c r="JM52" s="103"/>
      <c r="JN52" s="103"/>
      <c r="JO52" s="103"/>
      <c r="JP52" s="103"/>
      <c r="JQ52" s="103"/>
      <c r="JR52" s="103"/>
      <c r="JS52" s="103"/>
      <c r="JT52" s="103"/>
      <c r="JU52" s="103"/>
      <c r="JV52" s="103"/>
      <c r="JW52" s="103"/>
      <c r="JX52" s="103"/>
      <c r="JY52" s="103"/>
      <c r="JZ52" s="103"/>
      <c r="KA52" s="103"/>
      <c r="KB52" s="103"/>
      <c r="KC52" s="103"/>
      <c r="KD52" s="103"/>
      <c r="KE52" s="103"/>
      <c r="KF52" s="103"/>
      <c r="KG52" s="103"/>
      <c r="KH52" s="103"/>
      <c r="KI52" s="103"/>
      <c r="KJ52" s="103"/>
      <c r="KK52" s="103"/>
      <c r="KL52" s="103"/>
      <c r="KM52" s="103"/>
      <c r="KN52" s="103"/>
      <c r="KO52" s="103"/>
      <c r="KP52" s="103"/>
      <c r="KQ52" s="103"/>
      <c r="KR52" s="103"/>
      <c r="KS52" s="103"/>
      <c r="KT52" s="103"/>
      <c r="KU52" s="103"/>
      <c r="KV52" s="103"/>
      <c r="KW52" s="103"/>
      <c r="KX52" s="103"/>
      <c r="KY52" s="103"/>
      <c r="KZ52" s="103"/>
      <c r="LA52" s="103"/>
      <c r="LB52" s="103"/>
      <c r="LC52" s="103"/>
      <c r="LD52" s="103"/>
      <c r="LE52" s="103"/>
      <c r="LF52" s="103"/>
      <c r="LG52" s="103"/>
      <c r="LH52" s="103"/>
      <c r="LI52" s="103"/>
      <c r="LJ52" s="103"/>
    </row>
    <row r="53" spans="1:322" s="208" customFormat="1">
      <c r="A53" s="103"/>
      <c r="B53" s="182">
        <v>1978</v>
      </c>
      <c r="C53" s="213">
        <v>1.014</v>
      </c>
      <c r="D53" s="213">
        <v>1.155</v>
      </c>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c r="CD53" s="103"/>
      <c r="CE53" s="103"/>
      <c r="CF53" s="103"/>
      <c r="CG53" s="103"/>
      <c r="CH53" s="103"/>
      <c r="CI53" s="103"/>
      <c r="CJ53" s="103"/>
      <c r="CK53" s="103"/>
      <c r="CL53" s="103"/>
      <c r="CM53" s="103"/>
      <c r="CN53" s="103"/>
      <c r="CO53" s="103"/>
      <c r="CP53" s="103"/>
      <c r="CQ53" s="103"/>
      <c r="CR53" s="103"/>
      <c r="CS53" s="103"/>
      <c r="CT53" s="103"/>
      <c r="CU53" s="103"/>
      <c r="CV53" s="103"/>
      <c r="CW53" s="103"/>
      <c r="CX53" s="103"/>
      <c r="CY53" s="103"/>
      <c r="CZ53" s="103"/>
      <c r="DA53" s="103"/>
      <c r="DB53" s="103"/>
      <c r="DC53" s="103"/>
      <c r="DD53" s="103"/>
      <c r="DE53" s="103"/>
      <c r="DF53" s="103"/>
      <c r="DG53" s="103"/>
      <c r="DH53" s="103"/>
      <c r="DI53" s="103"/>
      <c r="DJ53" s="103"/>
      <c r="DK53" s="103"/>
      <c r="DL53" s="103"/>
      <c r="DM53" s="103"/>
      <c r="DN53" s="103"/>
      <c r="DO53" s="103"/>
      <c r="DP53" s="103"/>
      <c r="DQ53" s="103"/>
      <c r="DR53" s="103"/>
      <c r="DS53" s="103"/>
      <c r="DT53" s="103"/>
      <c r="DU53" s="103"/>
      <c r="DV53" s="103"/>
      <c r="DW53" s="103"/>
      <c r="DX53" s="103"/>
      <c r="DY53" s="103"/>
      <c r="DZ53" s="103"/>
      <c r="EA53" s="103"/>
      <c r="EB53" s="103"/>
      <c r="EC53" s="103"/>
      <c r="ED53" s="103"/>
      <c r="EE53" s="103"/>
      <c r="EF53" s="103"/>
      <c r="EG53" s="103"/>
      <c r="EH53" s="103"/>
      <c r="EI53" s="103"/>
      <c r="EJ53" s="103"/>
      <c r="EK53" s="103"/>
      <c r="EL53" s="103"/>
      <c r="EM53" s="103"/>
      <c r="EN53" s="103"/>
      <c r="EO53" s="103"/>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3"/>
      <c r="FO53" s="103"/>
      <c r="FP53" s="103"/>
      <c r="FQ53" s="103"/>
      <c r="FR53" s="103"/>
      <c r="FS53" s="103"/>
      <c r="FT53" s="103"/>
      <c r="FU53" s="103"/>
      <c r="FV53" s="103"/>
      <c r="FW53" s="103"/>
      <c r="FX53" s="103"/>
      <c r="FY53" s="103"/>
      <c r="FZ53" s="103"/>
      <c r="GA53" s="103"/>
      <c r="GB53" s="103"/>
      <c r="GC53" s="103"/>
      <c r="GD53" s="103"/>
      <c r="GE53" s="103"/>
      <c r="GF53" s="103"/>
      <c r="GG53" s="103"/>
      <c r="GH53" s="103"/>
      <c r="GI53" s="103"/>
      <c r="GJ53" s="103"/>
      <c r="GK53" s="103"/>
      <c r="GL53" s="103"/>
      <c r="GM53" s="103"/>
      <c r="GN53" s="103"/>
      <c r="GO53" s="103"/>
      <c r="GP53" s="103"/>
      <c r="GQ53" s="103"/>
      <c r="GR53" s="103"/>
      <c r="GS53" s="103"/>
      <c r="GT53" s="103"/>
      <c r="GU53" s="103"/>
      <c r="GV53" s="103"/>
      <c r="GW53" s="103"/>
      <c r="GX53" s="103"/>
      <c r="GY53" s="103"/>
      <c r="GZ53" s="103"/>
      <c r="HA53" s="103"/>
      <c r="HB53" s="103"/>
      <c r="HC53" s="103"/>
      <c r="HD53" s="103"/>
      <c r="HE53" s="103"/>
      <c r="HF53" s="103"/>
      <c r="HG53" s="103"/>
      <c r="HH53" s="103"/>
      <c r="HI53" s="103"/>
      <c r="HJ53" s="103"/>
      <c r="HK53" s="103"/>
      <c r="HL53" s="103"/>
      <c r="HM53" s="103"/>
      <c r="HN53" s="103"/>
      <c r="HO53" s="103"/>
      <c r="HP53" s="103"/>
      <c r="HQ53" s="103"/>
      <c r="HR53" s="103"/>
      <c r="HS53" s="103"/>
      <c r="HT53" s="103"/>
      <c r="HU53" s="103"/>
      <c r="HV53" s="103"/>
      <c r="HW53" s="103"/>
      <c r="HX53" s="103"/>
      <c r="HY53" s="103"/>
      <c r="HZ53" s="103"/>
      <c r="IA53" s="103"/>
      <c r="IB53" s="103"/>
      <c r="IC53" s="103"/>
      <c r="ID53" s="103"/>
      <c r="IE53" s="103"/>
      <c r="IF53" s="103"/>
      <c r="IG53" s="103"/>
      <c r="IH53" s="103"/>
      <c r="II53" s="103"/>
      <c r="IJ53" s="103"/>
      <c r="IK53" s="103"/>
      <c r="IL53" s="103"/>
      <c r="IM53" s="103"/>
      <c r="IN53" s="103"/>
      <c r="IO53" s="103"/>
      <c r="IP53" s="103"/>
      <c r="IQ53" s="103"/>
      <c r="IR53" s="103"/>
      <c r="IS53" s="103"/>
      <c r="IT53" s="103"/>
      <c r="IU53" s="103"/>
      <c r="IV53" s="103"/>
      <c r="IW53" s="103"/>
      <c r="IX53" s="103"/>
      <c r="IY53" s="103"/>
      <c r="IZ53" s="103"/>
      <c r="JA53" s="103"/>
      <c r="JB53" s="103"/>
      <c r="JC53" s="103"/>
      <c r="JD53" s="103"/>
      <c r="JE53" s="103"/>
      <c r="JF53" s="103"/>
      <c r="JG53" s="103"/>
      <c r="JH53" s="103"/>
      <c r="JI53" s="103"/>
      <c r="JJ53" s="103"/>
      <c r="JK53" s="103"/>
      <c r="JL53" s="103"/>
      <c r="JM53" s="103"/>
      <c r="JN53" s="103"/>
      <c r="JO53" s="103"/>
      <c r="JP53" s="103"/>
      <c r="JQ53" s="103"/>
      <c r="JR53" s="103"/>
      <c r="JS53" s="103"/>
      <c r="JT53" s="103"/>
      <c r="JU53" s="103"/>
      <c r="JV53" s="103"/>
      <c r="JW53" s="103"/>
      <c r="JX53" s="103"/>
      <c r="JY53" s="103"/>
      <c r="JZ53" s="103"/>
      <c r="KA53" s="103"/>
      <c r="KB53" s="103"/>
      <c r="KC53" s="103"/>
      <c r="KD53" s="103"/>
      <c r="KE53" s="103"/>
      <c r="KF53" s="103"/>
      <c r="KG53" s="103"/>
      <c r="KH53" s="103"/>
      <c r="KI53" s="103"/>
      <c r="KJ53" s="103"/>
      <c r="KK53" s="103"/>
      <c r="KL53" s="103"/>
      <c r="KM53" s="103"/>
      <c r="KN53" s="103"/>
      <c r="KO53" s="103"/>
      <c r="KP53" s="103"/>
      <c r="KQ53" s="103"/>
      <c r="KR53" s="103"/>
      <c r="KS53" s="103"/>
      <c r="KT53" s="103"/>
      <c r="KU53" s="103"/>
      <c r="KV53" s="103"/>
      <c r="KW53" s="103"/>
      <c r="KX53" s="103"/>
      <c r="KY53" s="103"/>
      <c r="KZ53" s="103"/>
      <c r="LA53" s="103"/>
      <c r="LB53" s="103"/>
      <c r="LC53" s="103"/>
      <c r="LD53" s="103"/>
      <c r="LE53" s="103"/>
      <c r="LF53" s="103"/>
      <c r="LG53" s="103"/>
      <c r="LH53" s="103"/>
      <c r="LI53" s="103"/>
      <c r="LJ53" s="103"/>
    </row>
    <row r="54" spans="1:322" s="208" customFormat="1">
      <c r="A54" s="103"/>
      <c r="B54" s="181">
        <v>1979</v>
      </c>
      <c r="C54" s="213">
        <v>1.0149999999999999</v>
      </c>
      <c r="D54" s="213">
        <v>1.1539999999999999</v>
      </c>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c r="CA54" s="103"/>
      <c r="CB54" s="103"/>
      <c r="CC54" s="103"/>
      <c r="CD54" s="103"/>
      <c r="CE54" s="103"/>
      <c r="CF54" s="103"/>
      <c r="CG54" s="103"/>
      <c r="CH54" s="103"/>
      <c r="CI54" s="103"/>
      <c r="CJ54" s="103"/>
      <c r="CK54" s="103"/>
      <c r="CL54" s="103"/>
      <c r="CM54" s="103"/>
      <c r="CN54" s="103"/>
      <c r="CO54" s="103"/>
      <c r="CP54" s="103"/>
      <c r="CQ54" s="103"/>
      <c r="CR54" s="103"/>
      <c r="CS54" s="103"/>
      <c r="CT54" s="103"/>
      <c r="CU54" s="103"/>
      <c r="CV54" s="103"/>
      <c r="CW54" s="103"/>
      <c r="CX54" s="103"/>
      <c r="CY54" s="103"/>
      <c r="CZ54" s="103"/>
      <c r="DA54" s="103"/>
      <c r="DB54" s="103"/>
      <c r="DC54" s="103"/>
      <c r="DD54" s="103"/>
      <c r="DE54" s="103"/>
      <c r="DF54" s="103"/>
      <c r="DG54" s="103"/>
      <c r="DH54" s="103"/>
      <c r="DI54" s="103"/>
      <c r="DJ54" s="103"/>
      <c r="DK54" s="103"/>
      <c r="DL54" s="103"/>
      <c r="DM54" s="103"/>
      <c r="DN54" s="103"/>
      <c r="DO54" s="103"/>
      <c r="DP54" s="103"/>
      <c r="DQ54" s="103"/>
      <c r="DR54" s="103"/>
      <c r="DS54" s="103"/>
      <c r="DT54" s="103"/>
      <c r="DU54" s="103"/>
      <c r="DV54" s="103"/>
      <c r="DW54" s="103"/>
      <c r="DX54" s="103"/>
      <c r="DY54" s="103"/>
      <c r="DZ54" s="103"/>
      <c r="EA54" s="103"/>
      <c r="EB54" s="103"/>
      <c r="EC54" s="103"/>
      <c r="ED54" s="103"/>
      <c r="EE54" s="103"/>
      <c r="EF54" s="103"/>
      <c r="EG54" s="103"/>
      <c r="EH54" s="103"/>
      <c r="EI54" s="103"/>
      <c r="EJ54" s="103"/>
      <c r="EK54" s="103"/>
      <c r="EL54" s="103"/>
      <c r="EM54" s="103"/>
      <c r="EN54" s="103"/>
      <c r="EO54" s="103"/>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3"/>
      <c r="FO54" s="103"/>
      <c r="FP54" s="103"/>
      <c r="FQ54" s="103"/>
      <c r="FR54" s="103"/>
      <c r="FS54" s="103"/>
      <c r="FT54" s="103"/>
      <c r="FU54" s="103"/>
      <c r="FV54" s="103"/>
      <c r="FW54" s="103"/>
      <c r="FX54" s="103"/>
      <c r="FY54" s="103"/>
      <c r="FZ54" s="103"/>
      <c r="GA54" s="103"/>
      <c r="GB54" s="103"/>
      <c r="GC54" s="103"/>
      <c r="GD54" s="103"/>
      <c r="GE54" s="103"/>
      <c r="GF54" s="103"/>
      <c r="GG54" s="103"/>
      <c r="GH54" s="103"/>
      <c r="GI54" s="103"/>
      <c r="GJ54" s="103"/>
      <c r="GK54" s="103"/>
      <c r="GL54" s="103"/>
      <c r="GM54" s="103"/>
      <c r="GN54" s="103"/>
      <c r="GO54" s="103"/>
      <c r="GP54" s="103"/>
      <c r="GQ54" s="103"/>
      <c r="GR54" s="103"/>
      <c r="GS54" s="103"/>
      <c r="GT54" s="103"/>
      <c r="GU54" s="103"/>
      <c r="GV54" s="103"/>
      <c r="GW54" s="103"/>
      <c r="GX54" s="103"/>
      <c r="GY54" s="103"/>
      <c r="GZ54" s="103"/>
      <c r="HA54" s="103"/>
      <c r="HB54" s="103"/>
      <c r="HC54" s="103"/>
      <c r="HD54" s="103"/>
      <c r="HE54" s="103"/>
      <c r="HF54" s="103"/>
      <c r="HG54" s="103"/>
      <c r="HH54" s="103"/>
      <c r="HI54" s="103"/>
      <c r="HJ54" s="103"/>
      <c r="HK54" s="103"/>
      <c r="HL54" s="103"/>
      <c r="HM54" s="103"/>
      <c r="HN54" s="103"/>
      <c r="HO54" s="103"/>
      <c r="HP54" s="103"/>
      <c r="HQ54" s="103"/>
      <c r="HR54" s="103"/>
      <c r="HS54" s="103"/>
      <c r="HT54" s="103"/>
      <c r="HU54" s="103"/>
      <c r="HV54" s="103"/>
      <c r="HW54" s="103"/>
      <c r="HX54" s="103"/>
      <c r="HY54" s="103"/>
      <c r="HZ54" s="103"/>
      <c r="IA54" s="103"/>
      <c r="IB54" s="103"/>
      <c r="IC54" s="103"/>
      <c r="ID54" s="103"/>
      <c r="IE54" s="103"/>
      <c r="IF54" s="103"/>
      <c r="IG54" s="103"/>
      <c r="IH54" s="103"/>
      <c r="II54" s="103"/>
      <c r="IJ54" s="103"/>
      <c r="IK54" s="103"/>
      <c r="IL54" s="103"/>
      <c r="IM54" s="103"/>
      <c r="IN54" s="103"/>
      <c r="IO54" s="103"/>
      <c r="IP54" s="103"/>
      <c r="IQ54" s="103"/>
      <c r="IR54" s="103"/>
      <c r="IS54" s="103"/>
      <c r="IT54" s="103"/>
      <c r="IU54" s="103"/>
      <c r="IV54" s="103"/>
      <c r="IW54" s="103"/>
      <c r="IX54" s="103"/>
      <c r="IY54" s="103"/>
      <c r="IZ54" s="103"/>
      <c r="JA54" s="103"/>
      <c r="JB54" s="103"/>
      <c r="JC54" s="103"/>
      <c r="JD54" s="103"/>
      <c r="JE54" s="103"/>
      <c r="JF54" s="103"/>
      <c r="JG54" s="103"/>
      <c r="JH54" s="103"/>
      <c r="JI54" s="103"/>
      <c r="JJ54" s="103"/>
      <c r="JK54" s="103"/>
      <c r="JL54" s="103"/>
      <c r="JM54" s="103"/>
      <c r="JN54" s="103"/>
      <c r="JO54" s="103"/>
      <c r="JP54" s="103"/>
      <c r="JQ54" s="103"/>
      <c r="JR54" s="103"/>
      <c r="JS54" s="103"/>
      <c r="JT54" s="103"/>
      <c r="JU54" s="103"/>
      <c r="JV54" s="103"/>
      <c r="JW54" s="103"/>
      <c r="JX54" s="103"/>
      <c r="JY54" s="103"/>
      <c r="JZ54" s="103"/>
      <c r="KA54" s="103"/>
      <c r="KB54" s="103"/>
      <c r="KC54" s="103"/>
      <c r="KD54" s="103"/>
      <c r="KE54" s="103"/>
      <c r="KF54" s="103"/>
      <c r="KG54" s="103"/>
      <c r="KH54" s="103"/>
      <c r="KI54" s="103"/>
      <c r="KJ54" s="103"/>
      <c r="KK54" s="103"/>
      <c r="KL54" s="103"/>
      <c r="KM54" s="103"/>
      <c r="KN54" s="103"/>
      <c r="KO54" s="103"/>
      <c r="KP54" s="103"/>
      <c r="KQ54" s="103"/>
      <c r="KR54" s="103"/>
      <c r="KS54" s="103"/>
      <c r="KT54" s="103"/>
      <c r="KU54" s="103"/>
      <c r="KV54" s="103"/>
      <c r="KW54" s="103"/>
      <c r="KX54" s="103"/>
      <c r="KY54" s="103"/>
      <c r="KZ54" s="103"/>
      <c r="LA54" s="103"/>
      <c r="LB54" s="103"/>
      <c r="LC54" s="103"/>
      <c r="LD54" s="103"/>
      <c r="LE54" s="103"/>
      <c r="LF54" s="103"/>
      <c r="LG54" s="103"/>
      <c r="LH54" s="103"/>
      <c r="LI54" s="103"/>
      <c r="LJ54" s="103"/>
    </row>
    <row r="55" spans="1:322" s="208" customFormat="1">
      <c r="A55" s="103"/>
      <c r="B55" s="182">
        <v>1980</v>
      </c>
      <c r="C55" s="213">
        <v>1.0189999999999999</v>
      </c>
      <c r="D55" s="213">
        <v>1.157</v>
      </c>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3"/>
      <c r="BI55" s="103"/>
      <c r="BJ55" s="103"/>
      <c r="BK55" s="103"/>
      <c r="BL55" s="103"/>
      <c r="BM55" s="103"/>
      <c r="BN55" s="103"/>
      <c r="BO55" s="103"/>
      <c r="BP55" s="103"/>
      <c r="BQ55" s="103"/>
      <c r="BR55" s="103"/>
      <c r="BS55" s="103"/>
      <c r="BT55" s="103"/>
      <c r="BU55" s="103"/>
      <c r="BV55" s="103"/>
      <c r="BW55" s="103"/>
      <c r="BX55" s="103"/>
      <c r="BY55" s="103"/>
      <c r="BZ55" s="103"/>
      <c r="CA55" s="103"/>
      <c r="CB55" s="103"/>
      <c r="CC55" s="103"/>
      <c r="CD55" s="103"/>
      <c r="CE55" s="103"/>
      <c r="CF55" s="103"/>
      <c r="CG55" s="103"/>
      <c r="CH55" s="103"/>
      <c r="CI55" s="103"/>
      <c r="CJ55" s="103"/>
      <c r="CK55" s="103"/>
      <c r="CL55" s="103"/>
      <c r="CM55" s="103"/>
      <c r="CN55" s="103"/>
      <c r="CO55" s="103"/>
      <c r="CP55" s="103"/>
      <c r="CQ55" s="103"/>
      <c r="CR55" s="103"/>
      <c r="CS55" s="103"/>
      <c r="CT55" s="103"/>
      <c r="CU55" s="103"/>
      <c r="CV55" s="103"/>
      <c r="CW55" s="103"/>
      <c r="CX55" s="103"/>
      <c r="CY55" s="103"/>
      <c r="CZ55" s="103"/>
      <c r="DA55" s="103"/>
      <c r="DB55" s="103"/>
      <c r="DC55" s="103"/>
      <c r="DD55" s="103"/>
      <c r="DE55" s="103"/>
      <c r="DF55" s="103"/>
      <c r="DG55" s="103"/>
      <c r="DH55" s="103"/>
      <c r="DI55" s="103"/>
      <c r="DJ55" s="103"/>
      <c r="DK55" s="103"/>
      <c r="DL55" s="103"/>
      <c r="DM55" s="103"/>
      <c r="DN55" s="103"/>
      <c r="DO55" s="103"/>
      <c r="DP55" s="103"/>
      <c r="DQ55" s="103"/>
      <c r="DR55" s="103"/>
      <c r="DS55" s="103"/>
      <c r="DT55" s="103"/>
      <c r="DU55" s="103"/>
      <c r="DV55" s="103"/>
      <c r="DW55" s="103"/>
      <c r="DX55" s="103"/>
      <c r="DY55" s="103"/>
      <c r="DZ55" s="103"/>
      <c r="EA55" s="103"/>
      <c r="EB55" s="103"/>
      <c r="EC55" s="103"/>
      <c r="ED55" s="103"/>
      <c r="EE55" s="103"/>
      <c r="EF55" s="103"/>
      <c r="EG55" s="103"/>
      <c r="EH55" s="103"/>
      <c r="EI55" s="103"/>
      <c r="EJ55" s="103"/>
      <c r="EK55" s="103"/>
      <c r="EL55" s="103"/>
      <c r="EM55" s="103"/>
      <c r="EN55" s="103"/>
      <c r="EO55" s="103"/>
      <c r="EP55" s="103"/>
      <c r="EQ55" s="103"/>
      <c r="ER55" s="103"/>
      <c r="ES55" s="103"/>
      <c r="ET55" s="103"/>
      <c r="EU55" s="103"/>
      <c r="EV55" s="103"/>
      <c r="EW55" s="103"/>
      <c r="EX55" s="103"/>
      <c r="EY55" s="103"/>
      <c r="EZ55" s="103"/>
      <c r="FA55" s="103"/>
      <c r="FB55" s="103"/>
      <c r="FC55" s="103"/>
      <c r="FD55" s="103"/>
      <c r="FE55" s="103"/>
      <c r="FF55" s="103"/>
      <c r="FG55" s="103"/>
      <c r="FH55" s="103"/>
      <c r="FI55" s="103"/>
      <c r="FJ55" s="103"/>
      <c r="FK55" s="103"/>
      <c r="FL55" s="103"/>
      <c r="FM55" s="103"/>
      <c r="FN55" s="103"/>
      <c r="FO55" s="103"/>
      <c r="FP55" s="103"/>
      <c r="FQ55" s="103"/>
      <c r="FR55" s="103"/>
      <c r="FS55" s="103"/>
      <c r="FT55" s="103"/>
      <c r="FU55" s="103"/>
      <c r="FV55" s="103"/>
      <c r="FW55" s="103"/>
      <c r="FX55" s="103"/>
      <c r="FY55" s="103"/>
      <c r="FZ55" s="103"/>
      <c r="GA55" s="103"/>
      <c r="GB55" s="103"/>
      <c r="GC55" s="103"/>
      <c r="GD55" s="103"/>
      <c r="GE55" s="103"/>
      <c r="GF55" s="103"/>
      <c r="GG55" s="103"/>
      <c r="GH55" s="103"/>
      <c r="GI55" s="103"/>
      <c r="GJ55" s="103"/>
      <c r="GK55" s="103"/>
      <c r="GL55" s="103"/>
      <c r="GM55" s="103"/>
      <c r="GN55" s="103"/>
      <c r="GO55" s="103"/>
      <c r="GP55" s="103"/>
      <c r="GQ55" s="103"/>
      <c r="GR55" s="103"/>
      <c r="GS55" s="103"/>
      <c r="GT55" s="103"/>
      <c r="GU55" s="103"/>
      <c r="GV55" s="103"/>
      <c r="GW55" s="103"/>
      <c r="GX55" s="103"/>
      <c r="GY55" s="103"/>
      <c r="GZ55" s="103"/>
      <c r="HA55" s="103"/>
      <c r="HB55" s="103"/>
      <c r="HC55" s="103"/>
      <c r="HD55" s="103"/>
      <c r="HE55" s="103"/>
      <c r="HF55" s="103"/>
      <c r="HG55" s="103"/>
      <c r="HH55" s="103"/>
      <c r="HI55" s="103"/>
      <c r="HJ55" s="103"/>
      <c r="HK55" s="103"/>
      <c r="HL55" s="103"/>
      <c r="HM55" s="103"/>
      <c r="HN55" s="103"/>
      <c r="HO55" s="103"/>
      <c r="HP55" s="103"/>
      <c r="HQ55" s="103"/>
      <c r="HR55" s="103"/>
      <c r="HS55" s="103"/>
      <c r="HT55" s="103"/>
      <c r="HU55" s="103"/>
      <c r="HV55" s="103"/>
      <c r="HW55" s="103"/>
      <c r="HX55" s="103"/>
      <c r="HY55" s="103"/>
      <c r="HZ55" s="103"/>
      <c r="IA55" s="103"/>
      <c r="IB55" s="103"/>
      <c r="IC55" s="103"/>
      <c r="ID55" s="103"/>
      <c r="IE55" s="103"/>
      <c r="IF55" s="103"/>
      <c r="IG55" s="103"/>
      <c r="IH55" s="103"/>
      <c r="II55" s="103"/>
      <c r="IJ55" s="103"/>
      <c r="IK55" s="103"/>
      <c r="IL55" s="103"/>
      <c r="IM55" s="103"/>
      <c r="IN55" s="103"/>
      <c r="IO55" s="103"/>
      <c r="IP55" s="103"/>
      <c r="IQ55" s="103"/>
      <c r="IR55" s="103"/>
      <c r="IS55" s="103"/>
      <c r="IT55" s="103"/>
      <c r="IU55" s="103"/>
      <c r="IV55" s="103"/>
      <c r="IW55" s="103"/>
      <c r="IX55" s="103"/>
      <c r="IY55" s="103"/>
      <c r="IZ55" s="103"/>
      <c r="JA55" s="103"/>
      <c r="JB55" s="103"/>
      <c r="JC55" s="103"/>
      <c r="JD55" s="103"/>
      <c r="JE55" s="103"/>
      <c r="JF55" s="103"/>
      <c r="JG55" s="103"/>
      <c r="JH55" s="103"/>
      <c r="JI55" s="103"/>
      <c r="JJ55" s="103"/>
      <c r="JK55" s="103"/>
      <c r="JL55" s="103"/>
      <c r="JM55" s="103"/>
      <c r="JN55" s="103"/>
      <c r="JO55" s="103"/>
      <c r="JP55" s="103"/>
      <c r="JQ55" s="103"/>
      <c r="JR55" s="103"/>
      <c r="JS55" s="103"/>
      <c r="JT55" s="103"/>
      <c r="JU55" s="103"/>
      <c r="JV55" s="103"/>
      <c r="JW55" s="103"/>
      <c r="JX55" s="103"/>
      <c r="JY55" s="103"/>
      <c r="JZ55" s="103"/>
      <c r="KA55" s="103"/>
      <c r="KB55" s="103"/>
      <c r="KC55" s="103"/>
      <c r="KD55" s="103"/>
      <c r="KE55" s="103"/>
      <c r="KF55" s="103"/>
      <c r="KG55" s="103"/>
      <c r="KH55" s="103"/>
      <c r="KI55" s="103"/>
      <c r="KJ55" s="103"/>
      <c r="KK55" s="103"/>
      <c r="KL55" s="103"/>
      <c r="KM55" s="103"/>
      <c r="KN55" s="103"/>
      <c r="KO55" s="103"/>
      <c r="KP55" s="103"/>
      <c r="KQ55" s="103"/>
      <c r="KR55" s="103"/>
      <c r="KS55" s="103"/>
      <c r="KT55" s="103"/>
      <c r="KU55" s="103"/>
      <c r="KV55" s="103"/>
      <c r="KW55" s="103"/>
      <c r="KX55" s="103"/>
      <c r="KY55" s="103"/>
      <c r="KZ55" s="103"/>
      <c r="LA55" s="103"/>
      <c r="LB55" s="103"/>
      <c r="LC55" s="103"/>
      <c r="LD55" s="103"/>
      <c r="LE55" s="103"/>
      <c r="LF55" s="103"/>
      <c r="LG55" s="103"/>
      <c r="LH55" s="103"/>
      <c r="LI55" s="103"/>
      <c r="LJ55" s="103"/>
    </row>
    <row r="56" spans="1:322" s="208" customFormat="1">
      <c r="A56" s="103"/>
      <c r="B56" s="181">
        <v>1981</v>
      </c>
      <c r="C56" s="213">
        <v>1.02</v>
      </c>
      <c r="D56" s="213">
        <v>1.1579999999999999</v>
      </c>
      <c r="E56" s="103"/>
      <c r="F56" s="103"/>
      <c r="G56" s="103"/>
      <c r="H56" s="103"/>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c r="BG56" s="103"/>
      <c r="BH56" s="103"/>
      <c r="BI56" s="103"/>
      <c r="BJ56" s="103"/>
      <c r="BK56" s="103"/>
      <c r="BL56" s="103"/>
      <c r="BM56" s="103"/>
      <c r="BN56" s="103"/>
      <c r="BO56" s="103"/>
      <c r="BP56" s="103"/>
      <c r="BQ56" s="103"/>
      <c r="BR56" s="103"/>
      <c r="BS56" s="103"/>
      <c r="BT56" s="103"/>
      <c r="BU56" s="103"/>
      <c r="BV56" s="103"/>
      <c r="BW56" s="103"/>
      <c r="BX56" s="103"/>
      <c r="BY56" s="103"/>
      <c r="BZ56" s="103"/>
      <c r="CA56" s="103"/>
      <c r="CB56" s="103"/>
      <c r="CC56" s="103"/>
      <c r="CD56" s="103"/>
      <c r="CE56" s="103"/>
      <c r="CF56" s="103"/>
      <c r="CG56" s="103"/>
      <c r="CH56" s="103"/>
      <c r="CI56" s="103"/>
      <c r="CJ56" s="103"/>
      <c r="CK56" s="103"/>
      <c r="CL56" s="103"/>
      <c r="CM56" s="103"/>
      <c r="CN56" s="103"/>
      <c r="CO56" s="103"/>
      <c r="CP56" s="103"/>
      <c r="CQ56" s="103"/>
      <c r="CR56" s="103"/>
      <c r="CS56" s="103"/>
      <c r="CT56" s="103"/>
      <c r="CU56" s="103"/>
      <c r="CV56" s="103"/>
      <c r="CW56" s="103"/>
      <c r="CX56" s="103"/>
      <c r="CY56" s="103"/>
      <c r="CZ56" s="103"/>
      <c r="DA56" s="103"/>
      <c r="DB56" s="103"/>
      <c r="DC56" s="103"/>
      <c r="DD56" s="103"/>
      <c r="DE56" s="103"/>
      <c r="DF56" s="103"/>
      <c r="DG56" s="103"/>
      <c r="DH56" s="103"/>
      <c r="DI56" s="103"/>
      <c r="DJ56" s="103"/>
      <c r="DK56" s="103"/>
      <c r="DL56" s="103"/>
      <c r="DM56" s="103"/>
      <c r="DN56" s="103"/>
      <c r="DO56" s="103"/>
      <c r="DP56" s="103"/>
      <c r="DQ56" s="103"/>
      <c r="DR56" s="103"/>
      <c r="DS56" s="103"/>
      <c r="DT56" s="103"/>
      <c r="DU56" s="103"/>
      <c r="DV56" s="103"/>
      <c r="DW56" s="103"/>
      <c r="DX56" s="103"/>
      <c r="DY56" s="103"/>
      <c r="DZ56" s="103"/>
      <c r="EA56" s="103"/>
      <c r="EB56" s="103"/>
      <c r="EC56" s="103"/>
      <c r="ED56" s="103"/>
      <c r="EE56" s="103"/>
      <c r="EF56" s="103"/>
      <c r="EG56" s="103"/>
      <c r="EH56" s="103"/>
      <c r="EI56" s="103"/>
      <c r="EJ56" s="103"/>
      <c r="EK56" s="103"/>
      <c r="EL56" s="103"/>
      <c r="EM56" s="103"/>
      <c r="EN56" s="103"/>
      <c r="EO56" s="103"/>
      <c r="EP56" s="103"/>
      <c r="EQ56" s="103"/>
      <c r="ER56" s="103"/>
      <c r="ES56" s="103"/>
      <c r="ET56" s="103"/>
      <c r="EU56" s="103"/>
      <c r="EV56" s="103"/>
      <c r="EW56" s="103"/>
      <c r="EX56" s="103"/>
      <c r="EY56" s="103"/>
      <c r="EZ56" s="103"/>
      <c r="FA56" s="103"/>
      <c r="FB56" s="103"/>
      <c r="FC56" s="103"/>
      <c r="FD56" s="103"/>
      <c r="FE56" s="103"/>
      <c r="FF56" s="103"/>
      <c r="FG56" s="103"/>
      <c r="FH56" s="103"/>
      <c r="FI56" s="103"/>
      <c r="FJ56" s="103"/>
      <c r="FK56" s="103"/>
      <c r="FL56" s="103"/>
      <c r="FM56" s="103"/>
      <c r="FN56" s="103"/>
      <c r="FO56" s="103"/>
      <c r="FP56" s="103"/>
      <c r="FQ56" s="103"/>
      <c r="FR56" s="103"/>
      <c r="FS56" s="103"/>
      <c r="FT56" s="103"/>
      <c r="FU56" s="103"/>
      <c r="FV56" s="103"/>
      <c r="FW56" s="103"/>
      <c r="FX56" s="103"/>
      <c r="FY56" s="103"/>
      <c r="FZ56" s="103"/>
      <c r="GA56" s="103"/>
      <c r="GB56" s="103"/>
      <c r="GC56" s="103"/>
      <c r="GD56" s="103"/>
      <c r="GE56" s="103"/>
      <c r="GF56" s="103"/>
      <c r="GG56" s="103"/>
      <c r="GH56" s="103"/>
      <c r="GI56" s="103"/>
      <c r="GJ56" s="103"/>
      <c r="GK56" s="103"/>
      <c r="GL56" s="103"/>
      <c r="GM56" s="103"/>
      <c r="GN56" s="103"/>
      <c r="GO56" s="103"/>
      <c r="GP56" s="103"/>
      <c r="GQ56" s="103"/>
      <c r="GR56" s="103"/>
      <c r="GS56" s="103"/>
      <c r="GT56" s="103"/>
      <c r="GU56" s="103"/>
      <c r="GV56" s="103"/>
      <c r="GW56" s="103"/>
      <c r="GX56" s="103"/>
      <c r="GY56" s="103"/>
      <c r="GZ56" s="103"/>
      <c r="HA56" s="103"/>
      <c r="HB56" s="103"/>
      <c r="HC56" s="103"/>
      <c r="HD56" s="103"/>
      <c r="HE56" s="103"/>
      <c r="HF56" s="103"/>
      <c r="HG56" s="103"/>
      <c r="HH56" s="103"/>
      <c r="HI56" s="103"/>
      <c r="HJ56" s="103"/>
      <c r="HK56" s="103"/>
      <c r="HL56" s="103"/>
      <c r="HM56" s="103"/>
      <c r="HN56" s="103"/>
      <c r="HO56" s="103"/>
      <c r="HP56" s="103"/>
      <c r="HQ56" s="103"/>
      <c r="HR56" s="103"/>
      <c r="HS56" s="103"/>
      <c r="HT56" s="103"/>
      <c r="HU56" s="103"/>
      <c r="HV56" s="103"/>
      <c r="HW56" s="103"/>
      <c r="HX56" s="103"/>
      <c r="HY56" s="103"/>
      <c r="HZ56" s="103"/>
      <c r="IA56" s="103"/>
      <c r="IB56" s="103"/>
      <c r="IC56" s="103"/>
      <c r="ID56" s="103"/>
      <c r="IE56" s="103"/>
      <c r="IF56" s="103"/>
      <c r="IG56" s="103"/>
      <c r="IH56" s="103"/>
      <c r="II56" s="103"/>
      <c r="IJ56" s="103"/>
      <c r="IK56" s="103"/>
      <c r="IL56" s="103"/>
      <c r="IM56" s="103"/>
      <c r="IN56" s="103"/>
      <c r="IO56" s="103"/>
      <c r="IP56" s="103"/>
      <c r="IQ56" s="103"/>
      <c r="IR56" s="103"/>
      <c r="IS56" s="103"/>
      <c r="IT56" s="103"/>
      <c r="IU56" s="103"/>
      <c r="IV56" s="103"/>
      <c r="IW56" s="103"/>
      <c r="IX56" s="103"/>
      <c r="IY56" s="103"/>
      <c r="IZ56" s="103"/>
      <c r="JA56" s="103"/>
      <c r="JB56" s="103"/>
      <c r="JC56" s="103"/>
      <c r="JD56" s="103"/>
      <c r="JE56" s="103"/>
      <c r="JF56" s="103"/>
      <c r="JG56" s="103"/>
      <c r="JH56" s="103"/>
      <c r="JI56" s="103"/>
      <c r="JJ56" s="103"/>
      <c r="JK56" s="103"/>
      <c r="JL56" s="103"/>
      <c r="JM56" s="103"/>
      <c r="JN56" s="103"/>
      <c r="JO56" s="103"/>
      <c r="JP56" s="103"/>
      <c r="JQ56" s="103"/>
      <c r="JR56" s="103"/>
      <c r="JS56" s="103"/>
      <c r="JT56" s="103"/>
      <c r="JU56" s="103"/>
      <c r="JV56" s="103"/>
      <c r="JW56" s="103"/>
      <c r="JX56" s="103"/>
      <c r="JY56" s="103"/>
      <c r="JZ56" s="103"/>
      <c r="KA56" s="103"/>
      <c r="KB56" s="103"/>
      <c r="KC56" s="103"/>
      <c r="KD56" s="103"/>
      <c r="KE56" s="103"/>
      <c r="KF56" s="103"/>
      <c r="KG56" s="103"/>
      <c r="KH56" s="103"/>
      <c r="KI56" s="103"/>
      <c r="KJ56" s="103"/>
      <c r="KK56" s="103"/>
      <c r="KL56" s="103"/>
      <c r="KM56" s="103"/>
      <c r="KN56" s="103"/>
      <c r="KO56" s="103"/>
      <c r="KP56" s="103"/>
      <c r="KQ56" s="103"/>
      <c r="KR56" s="103"/>
      <c r="KS56" s="103"/>
      <c r="KT56" s="103"/>
      <c r="KU56" s="103"/>
      <c r="KV56" s="103"/>
      <c r="KW56" s="103"/>
      <c r="KX56" s="103"/>
      <c r="KY56" s="103"/>
      <c r="KZ56" s="103"/>
      <c r="LA56" s="103"/>
      <c r="LB56" s="103"/>
      <c r="LC56" s="103"/>
      <c r="LD56" s="103"/>
      <c r="LE56" s="103"/>
      <c r="LF56" s="103"/>
      <c r="LG56" s="103"/>
      <c r="LH56" s="103"/>
      <c r="LI56" s="103"/>
      <c r="LJ56" s="103"/>
    </row>
    <row r="57" spans="1:322" s="208" customFormat="1">
      <c r="A57" s="103"/>
      <c r="B57" s="182">
        <v>1982</v>
      </c>
      <c r="C57" s="213">
        <v>1.0209999999999999</v>
      </c>
      <c r="D57" s="213">
        <v>1.157</v>
      </c>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103"/>
      <c r="BR57" s="103"/>
      <c r="BS57" s="103"/>
      <c r="BT57" s="103"/>
      <c r="BU57" s="103"/>
      <c r="BV57" s="103"/>
      <c r="BW57" s="103"/>
      <c r="BX57" s="103"/>
      <c r="BY57" s="103"/>
      <c r="BZ57" s="103"/>
      <c r="CA57" s="103"/>
      <c r="CB57" s="103"/>
      <c r="CC57" s="103"/>
      <c r="CD57" s="103"/>
      <c r="CE57" s="103"/>
      <c r="CF57" s="103"/>
      <c r="CG57" s="103"/>
      <c r="CH57" s="103"/>
      <c r="CI57" s="103"/>
      <c r="CJ57" s="103"/>
      <c r="CK57" s="103"/>
      <c r="CL57" s="103"/>
      <c r="CM57" s="103"/>
      <c r="CN57" s="103"/>
      <c r="CO57" s="103"/>
      <c r="CP57" s="103"/>
      <c r="CQ57" s="103"/>
      <c r="CR57" s="103"/>
      <c r="CS57" s="103"/>
      <c r="CT57" s="103"/>
      <c r="CU57" s="103"/>
      <c r="CV57" s="103"/>
      <c r="CW57" s="103"/>
      <c r="CX57" s="103"/>
      <c r="CY57" s="103"/>
      <c r="CZ57" s="103"/>
      <c r="DA57" s="103"/>
      <c r="DB57" s="103"/>
      <c r="DC57" s="103"/>
      <c r="DD57" s="103"/>
      <c r="DE57" s="103"/>
      <c r="DF57" s="103"/>
      <c r="DG57" s="103"/>
      <c r="DH57" s="103"/>
      <c r="DI57" s="103"/>
      <c r="DJ57" s="103"/>
      <c r="DK57" s="103"/>
      <c r="DL57" s="103"/>
      <c r="DM57" s="103"/>
      <c r="DN57" s="103"/>
      <c r="DO57" s="103"/>
      <c r="DP57" s="103"/>
      <c r="DQ57" s="103"/>
      <c r="DR57" s="103"/>
      <c r="DS57" s="103"/>
      <c r="DT57" s="103"/>
      <c r="DU57" s="103"/>
      <c r="DV57" s="103"/>
      <c r="DW57" s="103"/>
      <c r="DX57" s="103"/>
      <c r="DY57" s="103"/>
      <c r="DZ57" s="103"/>
      <c r="EA57" s="103"/>
      <c r="EB57" s="103"/>
      <c r="EC57" s="103"/>
      <c r="ED57" s="103"/>
      <c r="EE57" s="103"/>
      <c r="EF57" s="103"/>
      <c r="EG57" s="103"/>
      <c r="EH57" s="103"/>
      <c r="EI57" s="103"/>
      <c r="EJ57" s="103"/>
      <c r="EK57" s="103"/>
      <c r="EL57" s="103"/>
      <c r="EM57" s="103"/>
      <c r="EN57" s="103"/>
      <c r="EO57" s="103"/>
      <c r="EP57" s="103"/>
      <c r="EQ57" s="103"/>
      <c r="ER57" s="103"/>
      <c r="ES57" s="103"/>
      <c r="ET57" s="103"/>
      <c r="EU57" s="103"/>
      <c r="EV57" s="103"/>
      <c r="EW57" s="103"/>
      <c r="EX57" s="103"/>
      <c r="EY57" s="103"/>
      <c r="EZ57" s="103"/>
      <c r="FA57" s="103"/>
      <c r="FB57" s="103"/>
      <c r="FC57" s="103"/>
      <c r="FD57" s="103"/>
      <c r="FE57" s="103"/>
      <c r="FF57" s="103"/>
      <c r="FG57" s="103"/>
      <c r="FH57" s="103"/>
      <c r="FI57" s="103"/>
      <c r="FJ57" s="103"/>
      <c r="FK57" s="103"/>
      <c r="FL57" s="103"/>
      <c r="FM57" s="103"/>
      <c r="FN57" s="103"/>
      <c r="FO57" s="103"/>
      <c r="FP57" s="103"/>
      <c r="FQ57" s="103"/>
      <c r="FR57" s="103"/>
      <c r="FS57" s="103"/>
      <c r="FT57" s="103"/>
      <c r="FU57" s="103"/>
      <c r="FV57" s="103"/>
      <c r="FW57" s="103"/>
      <c r="FX57" s="103"/>
      <c r="FY57" s="103"/>
      <c r="FZ57" s="103"/>
      <c r="GA57" s="103"/>
      <c r="GB57" s="103"/>
      <c r="GC57" s="103"/>
      <c r="GD57" s="103"/>
      <c r="GE57" s="103"/>
      <c r="GF57" s="103"/>
      <c r="GG57" s="103"/>
      <c r="GH57" s="103"/>
      <c r="GI57" s="103"/>
      <c r="GJ57" s="103"/>
      <c r="GK57" s="103"/>
      <c r="GL57" s="103"/>
      <c r="GM57" s="103"/>
      <c r="GN57" s="103"/>
      <c r="GO57" s="103"/>
      <c r="GP57" s="103"/>
      <c r="GQ57" s="103"/>
      <c r="GR57" s="103"/>
      <c r="GS57" s="103"/>
      <c r="GT57" s="103"/>
      <c r="GU57" s="103"/>
      <c r="GV57" s="103"/>
      <c r="GW57" s="103"/>
      <c r="GX57" s="103"/>
      <c r="GY57" s="103"/>
      <c r="GZ57" s="103"/>
      <c r="HA57" s="103"/>
      <c r="HB57" s="103"/>
      <c r="HC57" s="103"/>
      <c r="HD57" s="103"/>
      <c r="HE57" s="103"/>
      <c r="HF57" s="103"/>
      <c r="HG57" s="103"/>
      <c r="HH57" s="103"/>
      <c r="HI57" s="103"/>
      <c r="HJ57" s="103"/>
      <c r="HK57" s="103"/>
      <c r="HL57" s="103"/>
      <c r="HM57" s="103"/>
      <c r="HN57" s="103"/>
      <c r="HO57" s="103"/>
      <c r="HP57" s="103"/>
      <c r="HQ57" s="103"/>
      <c r="HR57" s="103"/>
      <c r="HS57" s="103"/>
      <c r="HT57" s="103"/>
      <c r="HU57" s="103"/>
      <c r="HV57" s="103"/>
      <c r="HW57" s="103"/>
      <c r="HX57" s="103"/>
      <c r="HY57" s="103"/>
      <c r="HZ57" s="103"/>
      <c r="IA57" s="103"/>
      <c r="IB57" s="103"/>
      <c r="IC57" s="103"/>
      <c r="ID57" s="103"/>
      <c r="IE57" s="103"/>
      <c r="IF57" s="103"/>
      <c r="IG57" s="103"/>
      <c r="IH57" s="103"/>
      <c r="II57" s="103"/>
      <c r="IJ57" s="103"/>
      <c r="IK57" s="103"/>
      <c r="IL57" s="103"/>
      <c r="IM57" s="103"/>
      <c r="IN57" s="103"/>
      <c r="IO57" s="103"/>
      <c r="IP57" s="103"/>
      <c r="IQ57" s="103"/>
      <c r="IR57" s="103"/>
      <c r="IS57" s="103"/>
      <c r="IT57" s="103"/>
      <c r="IU57" s="103"/>
      <c r="IV57" s="103"/>
      <c r="IW57" s="103"/>
      <c r="IX57" s="103"/>
      <c r="IY57" s="103"/>
      <c r="IZ57" s="103"/>
      <c r="JA57" s="103"/>
      <c r="JB57" s="103"/>
      <c r="JC57" s="103"/>
      <c r="JD57" s="103"/>
      <c r="JE57" s="103"/>
      <c r="JF57" s="103"/>
      <c r="JG57" s="103"/>
      <c r="JH57" s="103"/>
      <c r="JI57" s="103"/>
      <c r="JJ57" s="103"/>
      <c r="JK57" s="103"/>
      <c r="JL57" s="103"/>
      <c r="JM57" s="103"/>
      <c r="JN57" s="103"/>
      <c r="JO57" s="103"/>
      <c r="JP57" s="103"/>
      <c r="JQ57" s="103"/>
      <c r="JR57" s="103"/>
      <c r="JS57" s="103"/>
      <c r="JT57" s="103"/>
      <c r="JU57" s="103"/>
      <c r="JV57" s="103"/>
      <c r="JW57" s="103"/>
      <c r="JX57" s="103"/>
      <c r="JY57" s="103"/>
      <c r="JZ57" s="103"/>
      <c r="KA57" s="103"/>
      <c r="KB57" s="103"/>
      <c r="KC57" s="103"/>
      <c r="KD57" s="103"/>
      <c r="KE57" s="103"/>
      <c r="KF57" s="103"/>
      <c r="KG57" s="103"/>
      <c r="KH57" s="103"/>
      <c r="KI57" s="103"/>
      <c r="KJ57" s="103"/>
      <c r="KK57" s="103"/>
      <c r="KL57" s="103"/>
      <c r="KM57" s="103"/>
      <c r="KN57" s="103"/>
      <c r="KO57" s="103"/>
      <c r="KP57" s="103"/>
      <c r="KQ57" s="103"/>
      <c r="KR57" s="103"/>
      <c r="KS57" s="103"/>
      <c r="KT57" s="103"/>
      <c r="KU57" s="103"/>
      <c r="KV57" s="103"/>
      <c r="KW57" s="103"/>
      <c r="KX57" s="103"/>
      <c r="KY57" s="103"/>
      <c r="KZ57" s="103"/>
      <c r="LA57" s="103"/>
      <c r="LB57" s="103"/>
      <c r="LC57" s="103"/>
      <c r="LD57" s="103"/>
      <c r="LE57" s="103"/>
      <c r="LF57" s="103"/>
      <c r="LG57" s="103"/>
      <c r="LH57" s="103"/>
      <c r="LI57" s="103"/>
      <c r="LJ57" s="103"/>
    </row>
    <row r="58" spans="1:322" s="208" customFormat="1">
      <c r="A58" s="103"/>
      <c r="B58" s="181">
        <v>1983</v>
      </c>
      <c r="C58" s="213">
        <v>1.0229999999999999</v>
      </c>
      <c r="D58" s="213">
        <v>1.159</v>
      </c>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c r="CD58" s="103"/>
      <c r="CE58" s="103"/>
      <c r="CF58" s="103"/>
      <c r="CG58" s="103"/>
      <c r="CH58" s="103"/>
      <c r="CI58" s="103"/>
      <c r="CJ58" s="103"/>
      <c r="CK58" s="103"/>
      <c r="CL58" s="103"/>
      <c r="CM58" s="103"/>
      <c r="CN58" s="103"/>
      <c r="CO58" s="103"/>
      <c r="CP58" s="103"/>
      <c r="CQ58" s="103"/>
      <c r="CR58" s="103"/>
      <c r="CS58" s="103"/>
      <c r="CT58" s="103"/>
      <c r="CU58" s="103"/>
      <c r="CV58" s="103"/>
      <c r="CW58" s="103"/>
      <c r="CX58" s="103"/>
      <c r="CY58" s="103"/>
      <c r="CZ58" s="103"/>
      <c r="DA58" s="103"/>
      <c r="DB58" s="103"/>
      <c r="DC58" s="103"/>
      <c r="DD58" s="103"/>
      <c r="DE58" s="103"/>
      <c r="DF58" s="103"/>
      <c r="DG58" s="103"/>
      <c r="DH58" s="103"/>
      <c r="DI58" s="103"/>
      <c r="DJ58" s="103"/>
      <c r="DK58" s="103"/>
      <c r="DL58" s="103"/>
      <c r="DM58" s="103"/>
      <c r="DN58" s="103"/>
      <c r="DO58" s="103"/>
      <c r="DP58" s="103"/>
      <c r="DQ58" s="103"/>
      <c r="DR58" s="103"/>
      <c r="DS58" s="103"/>
      <c r="DT58" s="103"/>
      <c r="DU58" s="103"/>
      <c r="DV58" s="103"/>
      <c r="DW58" s="103"/>
      <c r="DX58" s="103"/>
      <c r="DY58" s="103"/>
      <c r="DZ58" s="103"/>
      <c r="EA58" s="103"/>
      <c r="EB58" s="103"/>
      <c r="EC58" s="103"/>
      <c r="ED58" s="103"/>
      <c r="EE58" s="103"/>
      <c r="EF58" s="103"/>
      <c r="EG58" s="103"/>
      <c r="EH58" s="103"/>
      <c r="EI58" s="103"/>
      <c r="EJ58" s="103"/>
      <c r="EK58" s="103"/>
      <c r="EL58" s="103"/>
      <c r="EM58" s="103"/>
      <c r="EN58" s="103"/>
      <c r="EO58" s="103"/>
      <c r="EP58" s="103"/>
      <c r="EQ58" s="103"/>
      <c r="ER58" s="103"/>
      <c r="ES58" s="103"/>
      <c r="ET58" s="103"/>
      <c r="EU58" s="103"/>
      <c r="EV58" s="103"/>
      <c r="EW58" s="103"/>
      <c r="EX58" s="103"/>
      <c r="EY58" s="103"/>
      <c r="EZ58" s="103"/>
      <c r="FA58" s="103"/>
      <c r="FB58" s="103"/>
      <c r="FC58" s="103"/>
      <c r="FD58" s="103"/>
      <c r="FE58" s="103"/>
      <c r="FF58" s="103"/>
      <c r="FG58" s="103"/>
      <c r="FH58" s="103"/>
      <c r="FI58" s="103"/>
      <c r="FJ58" s="103"/>
      <c r="FK58" s="103"/>
      <c r="FL58" s="103"/>
      <c r="FM58" s="103"/>
      <c r="FN58" s="103"/>
      <c r="FO58" s="103"/>
      <c r="FP58" s="103"/>
      <c r="FQ58" s="103"/>
      <c r="FR58" s="103"/>
      <c r="FS58" s="103"/>
      <c r="FT58" s="103"/>
      <c r="FU58" s="103"/>
      <c r="FV58" s="103"/>
      <c r="FW58" s="103"/>
      <c r="FX58" s="103"/>
      <c r="FY58" s="103"/>
      <c r="FZ58" s="103"/>
      <c r="GA58" s="103"/>
      <c r="GB58" s="103"/>
      <c r="GC58" s="103"/>
      <c r="GD58" s="103"/>
      <c r="GE58" s="103"/>
      <c r="GF58" s="103"/>
      <c r="GG58" s="103"/>
      <c r="GH58" s="103"/>
      <c r="GI58" s="103"/>
      <c r="GJ58" s="103"/>
      <c r="GK58" s="103"/>
      <c r="GL58" s="103"/>
      <c r="GM58" s="103"/>
      <c r="GN58" s="103"/>
      <c r="GO58" s="103"/>
      <c r="GP58" s="103"/>
      <c r="GQ58" s="103"/>
      <c r="GR58" s="103"/>
      <c r="GS58" s="103"/>
      <c r="GT58" s="103"/>
      <c r="GU58" s="103"/>
      <c r="GV58" s="103"/>
      <c r="GW58" s="103"/>
      <c r="GX58" s="103"/>
      <c r="GY58" s="103"/>
      <c r="GZ58" s="103"/>
      <c r="HA58" s="103"/>
      <c r="HB58" s="103"/>
      <c r="HC58" s="103"/>
      <c r="HD58" s="103"/>
      <c r="HE58" s="103"/>
      <c r="HF58" s="103"/>
      <c r="HG58" s="103"/>
      <c r="HH58" s="103"/>
      <c r="HI58" s="103"/>
      <c r="HJ58" s="103"/>
      <c r="HK58" s="103"/>
      <c r="HL58" s="103"/>
      <c r="HM58" s="103"/>
      <c r="HN58" s="103"/>
      <c r="HO58" s="103"/>
      <c r="HP58" s="103"/>
      <c r="HQ58" s="103"/>
      <c r="HR58" s="103"/>
      <c r="HS58" s="103"/>
      <c r="HT58" s="103"/>
      <c r="HU58" s="103"/>
      <c r="HV58" s="103"/>
      <c r="HW58" s="103"/>
      <c r="HX58" s="103"/>
      <c r="HY58" s="103"/>
      <c r="HZ58" s="103"/>
      <c r="IA58" s="103"/>
      <c r="IB58" s="103"/>
      <c r="IC58" s="103"/>
      <c r="ID58" s="103"/>
      <c r="IE58" s="103"/>
      <c r="IF58" s="103"/>
      <c r="IG58" s="103"/>
      <c r="IH58" s="103"/>
      <c r="II58" s="103"/>
      <c r="IJ58" s="103"/>
      <c r="IK58" s="103"/>
      <c r="IL58" s="103"/>
      <c r="IM58" s="103"/>
      <c r="IN58" s="103"/>
      <c r="IO58" s="103"/>
      <c r="IP58" s="103"/>
      <c r="IQ58" s="103"/>
      <c r="IR58" s="103"/>
      <c r="IS58" s="103"/>
      <c r="IT58" s="103"/>
      <c r="IU58" s="103"/>
      <c r="IV58" s="103"/>
      <c r="IW58" s="103"/>
      <c r="IX58" s="103"/>
      <c r="IY58" s="103"/>
      <c r="IZ58" s="103"/>
      <c r="JA58" s="103"/>
      <c r="JB58" s="103"/>
      <c r="JC58" s="103"/>
      <c r="JD58" s="103"/>
      <c r="JE58" s="103"/>
      <c r="JF58" s="103"/>
      <c r="JG58" s="103"/>
      <c r="JH58" s="103"/>
      <c r="JI58" s="103"/>
      <c r="JJ58" s="103"/>
      <c r="JK58" s="103"/>
      <c r="JL58" s="103"/>
      <c r="JM58" s="103"/>
      <c r="JN58" s="103"/>
      <c r="JO58" s="103"/>
      <c r="JP58" s="103"/>
      <c r="JQ58" s="103"/>
      <c r="JR58" s="103"/>
      <c r="JS58" s="103"/>
      <c r="JT58" s="103"/>
      <c r="JU58" s="103"/>
      <c r="JV58" s="103"/>
      <c r="JW58" s="103"/>
      <c r="JX58" s="103"/>
      <c r="JY58" s="103"/>
      <c r="JZ58" s="103"/>
      <c r="KA58" s="103"/>
      <c r="KB58" s="103"/>
      <c r="KC58" s="103"/>
      <c r="KD58" s="103"/>
      <c r="KE58" s="103"/>
      <c r="KF58" s="103"/>
      <c r="KG58" s="103"/>
      <c r="KH58" s="103"/>
      <c r="KI58" s="103"/>
      <c r="KJ58" s="103"/>
      <c r="KK58" s="103"/>
      <c r="KL58" s="103"/>
      <c r="KM58" s="103"/>
      <c r="KN58" s="103"/>
      <c r="KO58" s="103"/>
      <c r="KP58" s="103"/>
      <c r="KQ58" s="103"/>
      <c r="KR58" s="103"/>
      <c r="KS58" s="103"/>
      <c r="KT58" s="103"/>
      <c r="KU58" s="103"/>
      <c r="KV58" s="103"/>
      <c r="KW58" s="103"/>
      <c r="KX58" s="103"/>
      <c r="KY58" s="103"/>
      <c r="KZ58" s="103"/>
      <c r="LA58" s="103"/>
      <c r="LB58" s="103"/>
      <c r="LC58" s="103"/>
      <c r="LD58" s="103"/>
      <c r="LE58" s="103"/>
      <c r="LF58" s="103"/>
      <c r="LG58" s="103"/>
      <c r="LH58" s="103"/>
      <c r="LI58" s="103"/>
      <c r="LJ58" s="103"/>
    </row>
    <row r="59" spans="1:322" s="208" customFormat="1">
      <c r="A59" s="103"/>
      <c r="B59" s="182">
        <v>1984</v>
      </c>
      <c r="C59" s="213">
        <v>1.0229999999999999</v>
      </c>
      <c r="D59" s="213">
        <v>1.157</v>
      </c>
      <c r="E59" s="103"/>
      <c r="F59" s="103"/>
      <c r="G59" s="103"/>
      <c r="H59" s="103"/>
      <c r="I59" s="103"/>
      <c r="J59" s="103"/>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3"/>
      <c r="AM59" s="103"/>
      <c r="AN59" s="103"/>
      <c r="AO59" s="103"/>
      <c r="AP59" s="103"/>
      <c r="AQ59" s="103"/>
      <c r="AR59" s="103"/>
      <c r="AS59" s="103"/>
      <c r="AT59" s="103"/>
      <c r="AU59" s="103"/>
      <c r="AV59" s="103"/>
      <c r="AW59" s="103"/>
      <c r="AX59" s="103"/>
      <c r="AY59" s="103"/>
      <c r="AZ59" s="103"/>
      <c r="BA59" s="103"/>
      <c r="BB59" s="103"/>
      <c r="BC59" s="103"/>
      <c r="BD59" s="103"/>
      <c r="BE59" s="103"/>
      <c r="BF59" s="103"/>
      <c r="BG59" s="103"/>
      <c r="BH59" s="103"/>
      <c r="BI59" s="103"/>
      <c r="BJ59" s="103"/>
      <c r="BK59" s="103"/>
      <c r="BL59" s="103"/>
      <c r="BM59" s="103"/>
      <c r="BN59" s="103"/>
      <c r="BO59" s="103"/>
      <c r="BP59" s="103"/>
      <c r="BQ59" s="103"/>
      <c r="BR59" s="103"/>
      <c r="BS59" s="103"/>
      <c r="BT59" s="103"/>
      <c r="BU59" s="103"/>
      <c r="BV59" s="103"/>
      <c r="BW59" s="103"/>
      <c r="BX59" s="103"/>
      <c r="BY59" s="103"/>
      <c r="BZ59" s="103"/>
      <c r="CA59" s="103"/>
      <c r="CB59" s="103"/>
      <c r="CC59" s="103"/>
      <c r="CD59" s="103"/>
      <c r="CE59" s="103"/>
      <c r="CF59" s="103"/>
      <c r="CG59" s="103"/>
      <c r="CH59" s="103"/>
      <c r="CI59" s="103"/>
      <c r="CJ59" s="103"/>
      <c r="CK59" s="103"/>
      <c r="CL59" s="103"/>
      <c r="CM59" s="103"/>
      <c r="CN59" s="103"/>
      <c r="CO59" s="103"/>
      <c r="CP59" s="103"/>
      <c r="CQ59" s="103"/>
      <c r="CR59" s="103"/>
      <c r="CS59" s="103"/>
      <c r="CT59" s="103"/>
      <c r="CU59" s="103"/>
      <c r="CV59" s="103"/>
      <c r="CW59" s="103"/>
      <c r="CX59" s="103"/>
      <c r="CY59" s="103"/>
      <c r="CZ59" s="103"/>
      <c r="DA59" s="103"/>
      <c r="DB59" s="103"/>
      <c r="DC59" s="103"/>
      <c r="DD59" s="103"/>
      <c r="DE59" s="103"/>
      <c r="DF59" s="103"/>
      <c r="DG59" s="103"/>
      <c r="DH59" s="103"/>
      <c r="DI59" s="103"/>
      <c r="DJ59" s="103"/>
      <c r="DK59" s="103"/>
      <c r="DL59" s="103"/>
      <c r="DM59" s="103"/>
      <c r="DN59" s="103"/>
      <c r="DO59" s="103"/>
      <c r="DP59" s="103"/>
      <c r="DQ59" s="103"/>
      <c r="DR59" s="103"/>
      <c r="DS59" s="103"/>
      <c r="DT59" s="103"/>
      <c r="DU59" s="103"/>
      <c r="DV59" s="103"/>
      <c r="DW59" s="103"/>
      <c r="DX59" s="103"/>
      <c r="DY59" s="103"/>
      <c r="DZ59" s="103"/>
      <c r="EA59" s="103"/>
      <c r="EB59" s="103"/>
      <c r="EC59" s="103"/>
      <c r="ED59" s="103"/>
      <c r="EE59" s="103"/>
      <c r="EF59" s="103"/>
      <c r="EG59" s="103"/>
      <c r="EH59" s="103"/>
      <c r="EI59" s="103"/>
      <c r="EJ59" s="103"/>
      <c r="EK59" s="103"/>
      <c r="EL59" s="103"/>
      <c r="EM59" s="103"/>
      <c r="EN59" s="103"/>
      <c r="EO59" s="103"/>
      <c r="EP59" s="103"/>
      <c r="EQ59" s="103"/>
      <c r="ER59" s="103"/>
      <c r="ES59" s="103"/>
      <c r="ET59" s="103"/>
      <c r="EU59" s="103"/>
      <c r="EV59" s="103"/>
      <c r="EW59" s="103"/>
      <c r="EX59" s="103"/>
      <c r="EY59" s="103"/>
      <c r="EZ59" s="103"/>
      <c r="FA59" s="103"/>
      <c r="FB59" s="103"/>
      <c r="FC59" s="103"/>
      <c r="FD59" s="103"/>
      <c r="FE59" s="103"/>
      <c r="FF59" s="103"/>
      <c r="FG59" s="103"/>
      <c r="FH59" s="103"/>
      <c r="FI59" s="103"/>
      <c r="FJ59" s="103"/>
      <c r="FK59" s="103"/>
      <c r="FL59" s="103"/>
      <c r="FM59" s="103"/>
      <c r="FN59" s="103"/>
      <c r="FO59" s="103"/>
      <c r="FP59" s="103"/>
      <c r="FQ59" s="103"/>
      <c r="FR59" s="103"/>
      <c r="FS59" s="103"/>
      <c r="FT59" s="103"/>
      <c r="FU59" s="103"/>
      <c r="FV59" s="103"/>
      <c r="FW59" s="103"/>
      <c r="FX59" s="103"/>
      <c r="FY59" s="103"/>
      <c r="FZ59" s="103"/>
      <c r="GA59" s="103"/>
      <c r="GB59" s="103"/>
      <c r="GC59" s="103"/>
      <c r="GD59" s="103"/>
      <c r="GE59" s="103"/>
      <c r="GF59" s="103"/>
      <c r="GG59" s="103"/>
      <c r="GH59" s="103"/>
      <c r="GI59" s="103"/>
      <c r="GJ59" s="103"/>
      <c r="GK59" s="103"/>
      <c r="GL59" s="103"/>
      <c r="GM59" s="103"/>
      <c r="GN59" s="103"/>
      <c r="GO59" s="103"/>
      <c r="GP59" s="103"/>
      <c r="GQ59" s="103"/>
      <c r="GR59" s="103"/>
      <c r="GS59" s="103"/>
      <c r="GT59" s="103"/>
      <c r="GU59" s="103"/>
      <c r="GV59" s="103"/>
      <c r="GW59" s="103"/>
      <c r="GX59" s="103"/>
      <c r="GY59" s="103"/>
      <c r="GZ59" s="103"/>
      <c r="HA59" s="103"/>
      <c r="HB59" s="103"/>
      <c r="HC59" s="103"/>
      <c r="HD59" s="103"/>
      <c r="HE59" s="103"/>
      <c r="HF59" s="103"/>
      <c r="HG59" s="103"/>
      <c r="HH59" s="103"/>
      <c r="HI59" s="103"/>
      <c r="HJ59" s="103"/>
      <c r="HK59" s="103"/>
      <c r="HL59" s="103"/>
      <c r="HM59" s="103"/>
      <c r="HN59" s="103"/>
      <c r="HO59" s="103"/>
      <c r="HP59" s="103"/>
      <c r="HQ59" s="103"/>
      <c r="HR59" s="103"/>
      <c r="HS59" s="103"/>
      <c r="HT59" s="103"/>
      <c r="HU59" s="103"/>
      <c r="HV59" s="103"/>
      <c r="HW59" s="103"/>
      <c r="HX59" s="103"/>
      <c r="HY59" s="103"/>
      <c r="HZ59" s="103"/>
      <c r="IA59" s="103"/>
      <c r="IB59" s="103"/>
      <c r="IC59" s="103"/>
      <c r="ID59" s="103"/>
      <c r="IE59" s="103"/>
      <c r="IF59" s="103"/>
      <c r="IG59" s="103"/>
      <c r="IH59" s="103"/>
      <c r="II59" s="103"/>
      <c r="IJ59" s="103"/>
      <c r="IK59" s="103"/>
      <c r="IL59" s="103"/>
      <c r="IM59" s="103"/>
      <c r="IN59" s="103"/>
      <c r="IO59" s="103"/>
      <c r="IP59" s="103"/>
      <c r="IQ59" s="103"/>
      <c r="IR59" s="103"/>
      <c r="IS59" s="103"/>
      <c r="IT59" s="103"/>
      <c r="IU59" s="103"/>
      <c r="IV59" s="103"/>
      <c r="IW59" s="103"/>
      <c r="IX59" s="103"/>
      <c r="IY59" s="103"/>
      <c r="IZ59" s="103"/>
      <c r="JA59" s="103"/>
      <c r="JB59" s="103"/>
      <c r="JC59" s="103"/>
      <c r="JD59" s="103"/>
      <c r="JE59" s="103"/>
      <c r="JF59" s="103"/>
      <c r="JG59" s="103"/>
      <c r="JH59" s="103"/>
      <c r="JI59" s="103"/>
      <c r="JJ59" s="103"/>
      <c r="JK59" s="103"/>
      <c r="JL59" s="103"/>
      <c r="JM59" s="103"/>
      <c r="JN59" s="103"/>
      <c r="JO59" s="103"/>
      <c r="JP59" s="103"/>
      <c r="JQ59" s="103"/>
      <c r="JR59" s="103"/>
      <c r="JS59" s="103"/>
      <c r="JT59" s="103"/>
      <c r="JU59" s="103"/>
      <c r="JV59" s="103"/>
      <c r="JW59" s="103"/>
      <c r="JX59" s="103"/>
      <c r="JY59" s="103"/>
      <c r="JZ59" s="103"/>
      <c r="KA59" s="103"/>
      <c r="KB59" s="103"/>
      <c r="KC59" s="103"/>
      <c r="KD59" s="103"/>
      <c r="KE59" s="103"/>
      <c r="KF59" s="103"/>
      <c r="KG59" s="103"/>
      <c r="KH59" s="103"/>
      <c r="KI59" s="103"/>
      <c r="KJ59" s="103"/>
      <c r="KK59" s="103"/>
      <c r="KL59" s="103"/>
      <c r="KM59" s="103"/>
      <c r="KN59" s="103"/>
      <c r="KO59" s="103"/>
      <c r="KP59" s="103"/>
      <c r="KQ59" s="103"/>
      <c r="KR59" s="103"/>
      <c r="KS59" s="103"/>
      <c r="KT59" s="103"/>
      <c r="KU59" s="103"/>
      <c r="KV59" s="103"/>
      <c r="KW59" s="103"/>
      <c r="KX59" s="103"/>
      <c r="KY59" s="103"/>
      <c r="KZ59" s="103"/>
      <c r="LA59" s="103"/>
      <c r="LB59" s="103"/>
      <c r="LC59" s="103"/>
      <c r="LD59" s="103"/>
      <c r="LE59" s="103"/>
      <c r="LF59" s="103"/>
      <c r="LG59" s="103"/>
      <c r="LH59" s="103"/>
      <c r="LI59" s="103"/>
      <c r="LJ59" s="103"/>
    </row>
    <row r="60" spans="1:322" s="208" customFormat="1">
      <c r="A60" s="103"/>
      <c r="B60" s="181">
        <v>1985</v>
      </c>
      <c r="C60" s="213">
        <v>1.0209999999999999</v>
      </c>
      <c r="D60" s="213">
        <v>1.1539999999999999</v>
      </c>
      <c r="E60" s="103"/>
      <c r="F60" s="103"/>
      <c r="G60" s="103"/>
      <c r="H60" s="103"/>
      <c r="I60" s="103"/>
      <c r="J60" s="103"/>
      <c r="K60" s="103"/>
      <c r="L60" s="103"/>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3"/>
      <c r="BK60" s="103"/>
      <c r="BL60" s="103"/>
      <c r="BM60" s="103"/>
      <c r="BN60" s="103"/>
      <c r="BO60" s="103"/>
      <c r="BP60" s="103"/>
      <c r="BQ60" s="103"/>
      <c r="BR60" s="103"/>
      <c r="BS60" s="103"/>
      <c r="BT60" s="103"/>
      <c r="BU60" s="103"/>
      <c r="BV60" s="103"/>
      <c r="BW60" s="103"/>
      <c r="BX60" s="103"/>
      <c r="BY60" s="103"/>
      <c r="BZ60" s="103"/>
      <c r="CA60" s="103"/>
      <c r="CB60" s="103"/>
      <c r="CC60" s="103"/>
      <c r="CD60" s="103"/>
      <c r="CE60" s="103"/>
      <c r="CF60" s="103"/>
      <c r="CG60" s="103"/>
      <c r="CH60" s="103"/>
      <c r="CI60" s="103"/>
      <c r="CJ60" s="103"/>
      <c r="CK60" s="103"/>
      <c r="CL60" s="103"/>
      <c r="CM60" s="103"/>
      <c r="CN60" s="103"/>
      <c r="CO60" s="103"/>
      <c r="CP60" s="103"/>
      <c r="CQ60" s="103"/>
      <c r="CR60" s="103"/>
      <c r="CS60" s="103"/>
      <c r="CT60" s="103"/>
      <c r="CU60" s="103"/>
      <c r="CV60" s="103"/>
      <c r="CW60" s="103"/>
      <c r="CX60" s="103"/>
      <c r="CY60" s="103"/>
      <c r="CZ60" s="103"/>
      <c r="DA60" s="103"/>
      <c r="DB60" s="103"/>
      <c r="DC60" s="103"/>
      <c r="DD60" s="103"/>
      <c r="DE60" s="103"/>
      <c r="DF60" s="103"/>
      <c r="DG60" s="103"/>
      <c r="DH60" s="103"/>
      <c r="DI60" s="103"/>
      <c r="DJ60" s="103"/>
      <c r="DK60" s="103"/>
      <c r="DL60" s="103"/>
      <c r="DM60" s="103"/>
      <c r="DN60" s="103"/>
      <c r="DO60" s="103"/>
      <c r="DP60" s="103"/>
      <c r="DQ60" s="103"/>
      <c r="DR60" s="103"/>
      <c r="DS60" s="103"/>
      <c r="DT60" s="103"/>
      <c r="DU60" s="103"/>
      <c r="DV60" s="103"/>
      <c r="DW60" s="103"/>
      <c r="DX60" s="103"/>
      <c r="DY60" s="103"/>
      <c r="DZ60" s="103"/>
      <c r="EA60" s="103"/>
      <c r="EB60" s="103"/>
      <c r="EC60" s="103"/>
      <c r="ED60" s="103"/>
      <c r="EE60" s="103"/>
      <c r="EF60" s="103"/>
      <c r="EG60" s="103"/>
      <c r="EH60" s="103"/>
      <c r="EI60" s="103"/>
      <c r="EJ60" s="103"/>
      <c r="EK60" s="103"/>
      <c r="EL60" s="103"/>
      <c r="EM60" s="103"/>
      <c r="EN60" s="103"/>
      <c r="EO60" s="103"/>
      <c r="EP60" s="103"/>
      <c r="EQ60" s="103"/>
      <c r="ER60" s="103"/>
      <c r="ES60" s="103"/>
      <c r="ET60" s="103"/>
      <c r="EU60" s="103"/>
      <c r="EV60" s="103"/>
      <c r="EW60" s="103"/>
      <c r="EX60" s="103"/>
      <c r="EY60" s="103"/>
      <c r="EZ60" s="103"/>
      <c r="FA60" s="103"/>
      <c r="FB60" s="103"/>
      <c r="FC60" s="103"/>
      <c r="FD60" s="103"/>
      <c r="FE60" s="103"/>
      <c r="FF60" s="103"/>
      <c r="FG60" s="103"/>
      <c r="FH60" s="103"/>
      <c r="FI60" s="103"/>
      <c r="FJ60" s="103"/>
      <c r="FK60" s="103"/>
      <c r="FL60" s="103"/>
      <c r="FM60" s="103"/>
      <c r="FN60" s="103"/>
      <c r="FO60" s="103"/>
      <c r="FP60" s="103"/>
      <c r="FQ60" s="103"/>
      <c r="FR60" s="103"/>
      <c r="FS60" s="103"/>
      <c r="FT60" s="103"/>
      <c r="FU60" s="103"/>
      <c r="FV60" s="103"/>
      <c r="FW60" s="103"/>
      <c r="FX60" s="103"/>
      <c r="FY60" s="103"/>
      <c r="FZ60" s="103"/>
      <c r="GA60" s="103"/>
      <c r="GB60" s="103"/>
      <c r="GC60" s="103"/>
      <c r="GD60" s="103"/>
      <c r="GE60" s="103"/>
      <c r="GF60" s="103"/>
      <c r="GG60" s="103"/>
      <c r="GH60" s="103"/>
      <c r="GI60" s="103"/>
      <c r="GJ60" s="103"/>
      <c r="GK60" s="103"/>
      <c r="GL60" s="103"/>
      <c r="GM60" s="103"/>
      <c r="GN60" s="103"/>
      <c r="GO60" s="103"/>
      <c r="GP60" s="103"/>
      <c r="GQ60" s="103"/>
      <c r="GR60" s="103"/>
      <c r="GS60" s="103"/>
      <c r="GT60" s="103"/>
      <c r="GU60" s="103"/>
      <c r="GV60" s="103"/>
      <c r="GW60" s="103"/>
      <c r="GX60" s="103"/>
      <c r="GY60" s="103"/>
      <c r="GZ60" s="103"/>
      <c r="HA60" s="103"/>
      <c r="HB60" s="103"/>
      <c r="HC60" s="103"/>
      <c r="HD60" s="103"/>
      <c r="HE60" s="103"/>
      <c r="HF60" s="103"/>
      <c r="HG60" s="103"/>
      <c r="HH60" s="103"/>
      <c r="HI60" s="103"/>
      <c r="HJ60" s="103"/>
      <c r="HK60" s="103"/>
      <c r="HL60" s="103"/>
      <c r="HM60" s="103"/>
      <c r="HN60" s="103"/>
      <c r="HO60" s="103"/>
      <c r="HP60" s="103"/>
      <c r="HQ60" s="103"/>
      <c r="HR60" s="103"/>
      <c r="HS60" s="103"/>
      <c r="HT60" s="103"/>
      <c r="HU60" s="103"/>
      <c r="HV60" s="103"/>
      <c r="HW60" s="103"/>
      <c r="HX60" s="103"/>
      <c r="HY60" s="103"/>
      <c r="HZ60" s="103"/>
      <c r="IA60" s="103"/>
      <c r="IB60" s="103"/>
      <c r="IC60" s="103"/>
      <c r="ID60" s="103"/>
      <c r="IE60" s="103"/>
      <c r="IF60" s="103"/>
      <c r="IG60" s="103"/>
      <c r="IH60" s="103"/>
      <c r="II60" s="103"/>
      <c r="IJ60" s="103"/>
      <c r="IK60" s="103"/>
      <c r="IL60" s="103"/>
      <c r="IM60" s="103"/>
      <c r="IN60" s="103"/>
      <c r="IO60" s="103"/>
      <c r="IP60" s="103"/>
      <c r="IQ60" s="103"/>
      <c r="IR60" s="103"/>
      <c r="IS60" s="103"/>
      <c r="IT60" s="103"/>
      <c r="IU60" s="103"/>
      <c r="IV60" s="103"/>
      <c r="IW60" s="103"/>
      <c r="IX60" s="103"/>
      <c r="IY60" s="103"/>
      <c r="IZ60" s="103"/>
      <c r="JA60" s="103"/>
      <c r="JB60" s="103"/>
      <c r="JC60" s="103"/>
      <c r="JD60" s="103"/>
      <c r="JE60" s="103"/>
      <c r="JF60" s="103"/>
      <c r="JG60" s="103"/>
      <c r="JH60" s="103"/>
      <c r="JI60" s="103"/>
      <c r="JJ60" s="103"/>
      <c r="JK60" s="103"/>
      <c r="JL60" s="103"/>
      <c r="JM60" s="103"/>
      <c r="JN60" s="103"/>
      <c r="JO60" s="103"/>
      <c r="JP60" s="103"/>
      <c r="JQ60" s="103"/>
      <c r="JR60" s="103"/>
      <c r="JS60" s="103"/>
      <c r="JT60" s="103"/>
      <c r="JU60" s="103"/>
      <c r="JV60" s="103"/>
      <c r="JW60" s="103"/>
      <c r="JX60" s="103"/>
      <c r="JY60" s="103"/>
      <c r="JZ60" s="103"/>
      <c r="KA60" s="103"/>
      <c r="KB60" s="103"/>
      <c r="KC60" s="103"/>
      <c r="KD60" s="103"/>
      <c r="KE60" s="103"/>
      <c r="KF60" s="103"/>
      <c r="KG60" s="103"/>
      <c r="KH60" s="103"/>
      <c r="KI60" s="103"/>
      <c r="KJ60" s="103"/>
      <c r="KK60" s="103"/>
      <c r="KL60" s="103"/>
      <c r="KM60" s="103"/>
      <c r="KN60" s="103"/>
      <c r="KO60" s="103"/>
      <c r="KP60" s="103"/>
      <c r="KQ60" s="103"/>
      <c r="KR60" s="103"/>
      <c r="KS60" s="103"/>
      <c r="KT60" s="103"/>
      <c r="KU60" s="103"/>
      <c r="KV60" s="103"/>
      <c r="KW60" s="103"/>
      <c r="KX60" s="103"/>
      <c r="KY60" s="103"/>
      <c r="KZ60" s="103"/>
      <c r="LA60" s="103"/>
      <c r="LB60" s="103"/>
      <c r="LC60" s="103"/>
      <c r="LD60" s="103"/>
      <c r="LE60" s="103"/>
      <c r="LF60" s="103"/>
      <c r="LG60" s="103"/>
      <c r="LH60" s="103"/>
      <c r="LI60" s="103"/>
      <c r="LJ60" s="103"/>
    </row>
    <row r="61" spans="1:322" s="208" customFormat="1">
      <c r="A61" s="103"/>
      <c r="B61" s="182">
        <v>1986</v>
      </c>
      <c r="C61" s="213">
        <v>1.022</v>
      </c>
      <c r="D61" s="213">
        <v>1.1539999999999999</v>
      </c>
      <c r="E61" s="103"/>
      <c r="F61" s="103"/>
      <c r="G61" s="103"/>
      <c r="H61" s="103"/>
      <c r="I61" s="103"/>
      <c r="J61" s="103"/>
      <c r="K61" s="103"/>
      <c r="L61" s="103"/>
      <c r="M61" s="103"/>
      <c r="N61" s="103"/>
      <c r="O61" s="103"/>
      <c r="P61" s="103"/>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3"/>
      <c r="BK61" s="103"/>
      <c r="BL61" s="103"/>
      <c r="BM61" s="103"/>
      <c r="BN61" s="103"/>
      <c r="BO61" s="103"/>
      <c r="BP61" s="103"/>
      <c r="BQ61" s="103"/>
      <c r="BR61" s="103"/>
      <c r="BS61" s="103"/>
      <c r="BT61" s="103"/>
      <c r="BU61" s="103"/>
      <c r="BV61" s="103"/>
      <c r="BW61" s="103"/>
      <c r="BX61" s="103"/>
      <c r="BY61" s="103"/>
      <c r="BZ61" s="103"/>
      <c r="CA61" s="103"/>
      <c r="CB61" s="103"/>
      <c r="CC61" s="103"/>
      <c r="CD61" s="103"/>
      <c r="CE61" s="103"/>
      <c r="CF61" s="103"/>
      <c r="CG61" s="103"/>
      <c r="CH61" s="103"/>
      <c r="CI61" s="103"/>
      <c r="CJ61" s="103"/>
      <c r="CK61" s="103"/>
      <c r="CL61" s="103"/>
      <c r="CM61" s="103"/>
      <c r="CN61" s="103"/>
      <c r="CO61" s="103"/>
      <c r="CP61" s="103"/>
      <c r="CQ61" s="103"/>
      <c r="CR61" s="103"/>
      <c r="CS61" s="103"/>
      <c r="CT61" s="103"/>
      <c r="CU61" s="103"/>
      <c r="CV61" s="103"/>
      <c r="CW61" s="103"/>
      <c r="CX61" s="103"/>
      <c r="CY61" s="103"/>
      <c r="CZ61" s="103"/>
      <c r="DA61" s="103"/>
      <c r="DB61" s="103"/>
      <c r="DC61" s="103"/>
      <c r="DD61" s="103"/>
      <c r="DE61" s="103"/>
      <c r="DF61" s="103"/>
      <c r="DG61" s="103"/>
      <c r="DH61" s="103"/>
      <c r="DI61" s="103"/>
      <c r="DJ61" s="103"/>
      <c r="DK61" s="103"/>
      <c r="DL61" s="103"/>
      <c r="DM61" s="103"/>
      <c r="DN61" s="103"/>
      <c r="DO61" s="103"/>
      <c r="DP61" s="103"/>
      <c r="DQ61" s="103"/>
      <c r="DR61" s="103"/>
      <c r="DS61" s="103"/>
      <c r="DT61" s="103"/>
      <c r="DU61" s="103"/>
      <c r="DV61" s="103"/>
      <c r="DW61" s="103"/>
      <c r="DX61" s="103"/>
      <c r="DY61" s="103"/>
      <c r="DZ61" s="103"/>
      <c r="EA61" s="103"/>
      <c r="EB61" s="103"/>
      <c r="EC61" s="103"/>
      <c r="ED61" s="103"/>
      <c r="EE61" s="103"/>
      <c r="EF61" s="103"/>
      <c r="EG61" s="103"/>
      <c r="EH61" s="103"/>
      <c r="EI61" s="103"/>
      <c r="EJ61" s="103"/>
      <c r="EK61" s="103"/>
      <c r="EL61" s="103"/>
      <c r="EM61" s="103"/>
      <c r="EN61" s="103"/>
      <c r="EO61" s="103"/>
      <c r="EP61" s="103"/>
      <c r="EQ61" s="103"/>
      <c r="ER61" s="103"/>
      <c r="ES61" s="103"/>
      <c r="ET61" s="103"/>
      <c r="EU61" s="103"/>
      <c r="EV61" s="103"/>
      <c r="EW61" s="103"/>
      <c r="EX61" s="103"/>
      <c r="EY61" s="103"/>
      <c r="EZ61" s="103"/>
      <c r="FA61" s="103"/>
      <c r="FB61" s="103"/>
      <c r="FC61" s="103"/>
      <c r="FD61" s="103"/>
      <c r="FE61" s="103"/>
      <c r="FF61" s="103"/>
      <c r="FG61" s="103"/>
      <c r="FH61" s="103"/>
      <c r="FI61" s="103"/>
      <c r="FJ61" s="103"/>
      <c r="FK61" s="103"/>
      <c r="FL61" s="103"/>
      <c r="FM61" s="103"/>
      <c r="FN61" s="103"/>
      <c r="FO61" s="103"/>
      <c r="FP61" s="103"/>
      <c r="FQ61" s="103"/>
      <c r="FR61" s="103"/>
      <c r="FS61" s="103"/>
      <c r="FT61" s="103"/>
      <c r="FU61" s="103"/>
      <c r="FV61" s="103"/>
      <c r="FW61" s="103"/>
      <c r="FX61" s="103"/>
      <c r="FY61" s="103"/>
      <c r="FZ61" s="103"/>
      <c r="GA61" s="103"/>
      <c r="GB61" s="103"/>
      <c r="GC61" s="103"/>
      <c r="GD61" s="103"/>
      <c r="GE61" s="103"/>
      <c r="GF61" s="103"/>
      <c r="GG61" s="103"/>
      <c r="GH61" s="103"/>
      <c r="GI61" s="103"/>
      <c r="GJ61" s="103"/>
      <c r="GK61" s="103"/>
      <c r="GL61" s="103"/>
      <c r="GM61" s="103"/>
      <c r="GN61" s="103"/>
      <c r="GO61" s="103"/>
      <c r="GP61" s="103"/>
      <c r="GQ61" s="103"/>
      <c r="GR61" s="103"/>
      <c r="GS61" s="103"/>
      <c r="GT61" s="103"/>
      <c r="GU61" s="103"/>
      <c r="GV61" s="103"/>
      <c r="GW61" s="103"/>
      <c r="GX61" s="103"/>
      <c r="GY61" s="103"/>
      <c r="GZ61" s="103"/>
      <c r="HA61" s="103"/>
      <c r="HB61" s="103"/>
      <c r="HC61" s="103"/>
      <c r="HD61" s="103"/>
      <c r="HE61" s="103"/>
      <c r="HF61" s="103"/>
      <c r="HG61" s="103"/>
      <c r="HH61" s="103"/>
      <c r="HI61" s="103"/>
      <c r="HJ61" s="103"/>
      <c r="HK61" s="103"/>
      <c r="HL61" s="103"/>
      <c r="HM61" s="103"/>
      <c r="HN61" s="103"/>
      <c r="HO61" s="103"/>
      <c r="HP61" s="103"/>
      <c r="HQ61" s="103"/>
      <c r="HR61" s="103"/>
      <c r="HS61" s="103"/>
      <c r="HT61" s="103"/>
      <c r="HU61" s="103"/>
      <c r="HV61" s="103"/>
      <c r="HW61" s="103"/>
      <c r="HX61" s="103"/>
      <c r="HY61" s="103"/>
      <c r="HZ61" s="103"/>
      <c r="IA61" s="103"/>
      <c r="IB61" s="103"/>
      <c r="IC61" s="103"/>
      <c r="ID61" s="103"/>
      <c r="IE61" s="103"/>
      <c r="IF61" s="103"/>
      <c r="IG61" s="103"/>
      <c r="IH61" s="103"/>
      <c r="II61" s="103"/>
      <c r="IJ61" s="103"/>
      <c r="IK61" s="103"/>
      <c r="IL61" s="103"/>
      <c r="IM61" s="103"/>
      <c r="IN61" s="103"/>
      <c r="IO61" s="103"/>
      <c r="IP61" s="103"/>
      <c r="IQ61" s="103"/>
      <c r="IR61" s="103"/>
      <c r="IS61" s="103"/>
      <c r="IT61" s="103"/>
      <c r="IU61" s="103"/>
      <c r="IV61" s="103"/>
      <c r="IW61" s="103"/>
      <c r="IX61" s="103"/>
      <c r="IY61" s="103"/>
      <c r="IZ61" s="103"/>
      <c r="JA61" s="103"/>
      <c r="JB61" s="103"/>
      <c r="JC61" s="103"/>
      <c r="JD61" s="103"/>
      <c r="JE61" s="103"/>
      <c r="JF61" s="103"/>
      <c r="JG61" s="103"/>
      <c r="JH61" s="103"/>
      <c r="JI61" s="103"/>
      <c r="JJ61" s="103"/>
      <c r="JK61" s="103"/>
      <c r="JL61" s="103"/>
      <c r="JM61" s="103"/>
      <c r="JN61" s="103"/>
      <c r="JO61" s="103"/>
      <c r="JP61" s="103"/>
      <c r="JQ61" s="103"/>
      <c r="JR61" s="103"/>
      <c r="JS61" s="103"/>
      <c r="JT61" s="103"/>
      <c r="JU61" s="103"/>
      <c r="JV61" s="103"/>
      <c r="JW61" s="103"/>
      <c r="JX61" s="103"/>
      <c r="JY61" s="103"/>
      <c r="JZ61" s="103"/>
      <c r="KA61" s="103"/>
      <c r="KB61" s="103"/>
      <c r="KC61" s="103"/>
      <c r="KD61" s="103"/>
      <c r="KE61" s="103"/>
      <c r="KF61" s="103"/>
      <c r="KG61" s="103"/>
      <c r="KH61" s="103"/>
      <c r="KI61" s="103"/>
      <c r="KJ61" s="103"/>
      <c r="KK61" s="103"/>
      <c r="KL61" s="103"/>
      <c r="KM61" s="103"/>
      <c r="KN61" s="103"/>
      <c r="KO61" s="103"/>
      <c r="KP61" s="103"/>
      <c r="KQ61" s="103"/>
      <c r="KR61" s="103"/>
      <c r="KS61" s="103"/>
      <c r="KT61" s="103"/>
      <c r="KU61" s="103"/>
      <c r="KV61" s="103"/>
      <c r="KW61" s="103"/>
      <c r="KX61" s="103"/>
      <c r="KY61" s="103"/>
      <c r="KZ61" s="103"/>
      <c r="LA61" s="103"/>
      <c r="LB61" s="103"/>
      <c r="LC61" s="103"/>
      <c r="LD61" s="103"/>
      <c r="LE61" s="103"/>
      <c r="LF61" s="103"/>
      <c r="LG61" s="103"/>
      <c r="LH61" s="103"/>
      <c r="LI61" s="103"/>
      <c r="LJ61" s="103"/>
    </row>
    <row r="62" spans="1:322" s="208" customFormat="1">
      <c r="A62" s="103"/>
      <c r="B62" s="181">
        <v>1987</v>
      </c>
      <c r="C62" s="213">
        <v>1.02</v>
      </c>
      <c r="D62" s="213">
        <v>1.1499999999999999</v>
      </c>
      <c r="E62" s="103"/>
      <c r="F62" s="103"/>
      <c r="G62" s="103"/>
      <c r="H62" s="103"/>
      <c r="I62" s="103"/>
      <c r="J62" s="103"/>
      <c r="K62" s="103"/>
      <c r="L62" s="103"/>
      <c r="M62" s="103"/>
      <c r="N62" s="103"/>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3"/>
      <c r="AL62" s="103"/>
      <c r="AM62" s="103"/>
      <c r="AN62" s="103"/>
      <c r="AO62" s="103"/>
      <c r="AP62" s="103"/>
      <c r="AQ62" s="103"/>
      <c r="AR62" s="103"/>
      <c r="AS62" s="103"/>
      <c r="AT62" s="103"/>
      <c r="AU62" s="103"/>
      <c r="AV62" s="103"/>
      <c r="AW62" s="103"/>
      <c r="AX62" s="103"/>
      <c r="AY62" s="103"/>
      <c r="AZ62" s="103"/>
      <c r="BA62" s="103"/>
      <c r="BB62" s="103"/>
      <c r="BC62" s="103"/>
      <c r="BD62" s="103"/>
      <c r="BE62" s="103"/>
      <c r="BF62" s="103"/>
      <c r="BG62" s="103"/>
      <c r="BH62" s="103"/>
      <c r="BI62" s="103"/>
      <c r="BJ62" s="103"/>
      <c r="BK62" s="103"/>
      <c r="BL62" s="103"/>
      <c r="BM62" s="103"/>
      <c r="BN62" s="103"/>
      <c r="BO62" s="103"/>
      <c r="BP62" s="103"/>
      <c r="BQ62" s="103"/>
      <c r="BR62" s="103"/>
      <c r="BS62" s="103"/>
      <c r="BT62" s="103"/>
      <c r="BU62" s="103"/>
      <c r="BV62" s="103"/>
      <c r="BW62" s="103"/>
      <c r="BX62" s="103"/>
      <c r="BY62" s="103"/>
      <c r="BZ62" s="103"/>
      <c r="CA62" s="103"/>
      <c r="CB62" s="103"/>
      <c r="CC62" s="103"/>
      <c r="CD62" s="103"/>
      <c r="CE62" s="103"/>
      <c r="CF62" s="103"/>
      <c r="CG62" s="103"/>
      <c r="CH62" s="103"/>
      <c r="CI62" s="103"/>
      <c r="CJ62" s="103"/>
      <c r="CK62" s="103"/>
      <c r="CL62" s="103"/>
      <c r="CM62" s="103"/>
      <c r="CN62" s="103"/>
      <c r="CO62" s="103"/>
      <c r="CP62" s="103"/>
      <c r="CQ62" s="103"/>
      <c r="CR62" s="103"/>
      <c r="CS62" s="103"/>
      <c r="CT62" s="103"/>
      <c r="CU62" s="103"/>
      <c r="CV62" s="103"/>
      <c r="CW62" s="103"/>
      <c r="CX62" s="103"/>
      <c r="CY62" s="103"/>
      <c r="CZ62" s="103"/>
      <c r="DA62" s="103"/>
      <c r="DB62" s="103"/>
      <c r="DC62" s="103"/>
      <c r="DD62" s="103"/>
      <c r="DE62" s="103"/>
      <c r="DF62" s="103"/>
      <c r="DG62" s="103"/>
      <c r="DH62" s="103"/>
      <c r="DI62" s="103"/>
      <c r="DJ62" s="103"/>
      <c r="DK62" s="103"/>
      <c r="DL62" s="103"/>
      <c r="DM62" s="103"/>
      <c r="DN62" s="103"/>
      <c r="DO62" s="103"/>
      <c r="DP62" s="103"/>
      <c r="DQ62" s="103"/>
      <c r="DR62" s="103"/>
      <c r="DS62" s="103"/>
      <c r="DT62" s="103"/>
      <c r="DU62" s="103"/>
      <c r="DV62" s="103"/>
      <c r="DW62" s="103"/>
      <c r="DX62" s="103"/>
      <c r="DY62" s="103"/>
      <c r="DZ62" s="103"/>
      <c r="EA62" s="103"/>
      <c r="EB62" s="103"/>
      <c r="EC62" s="103"/>
      <c r="ED62" s="103"/>
      <c r="EE62" s="103"/>
      <c r="EF62" s="103"/>
      <c r="EG62" s="103"/>
      <c r="EH62" s="103"/>
      <c r="EI62" s="103"/>
      <c r="EJ62" s="103"/>
      <c r="EK62" s="103"/>
      <c r="EL62" s="103"/>
      <c r="EM62" s="103"/>
      <c r="EN62" s="103"/>
      <c r="EO62" s="103"/>
      <c r="EP62" s="103"/>
      <c r="EQ62" s="103"/>
      <c r="ER62" s="103"/>
      <c r="ES62" s="103"/>
      <c r="ET62" s="103"/>
      <c r="EU62" s="103"/>
      <c r="EV62" s="103"/>
      <c r="EW62" s="103"/>
      <c r="EX62" s="103"/>
      <c r="EY62" s="103"/>
      <c r="EZ62" s="103"/>
      <c r="FA62" s="103"/>
      <c r="FB62" s="103"/>
      <c r="FC62" s="103"/>
      <c r="FD62" s="103"/>
      <c r="FE62" s="103"/>
      <c r="FF62" s="103"/>
      <c r="FG62" s="103"/>
      <c r="FH62" s="103"/>
      <c r="FI62" s="103"/>
      <c r="FJ62" s="103"/>
      <c r="FK62" s="103"/>
      <c r="FL62" s="103"/>
      <c r="FM62" s="103"/>
      <c r="FN62" s="103"/>
      <c r="FO62" s="103"/>
      <c r="FP62" s="103"/>
      <c r="FQ62" s="103"/>
      <c r="FR62" s="103"/>
      <c r="FS62" s="103"/>
      <c r="FT62" s="103"/>
      <c r="FU62" s="103"/>
      <c r="FV62" s="103"/>
      <c r="FW62" s="103"/>
      <c r="FX62" s="103"/>
      <c r="FY62" s="103"/>
      <c r="FZ62" s="103"/>
      <c r="GA62" s="103"/>
      <c r="GB62" s="103"/>
      <c r="GC62" s="103"/>
      <c r="GD62" s="103"/>
      <c r="GE62" s="103"/>
      <c r="GF62" s="103"/>
      <c r="GG62" s="103"/>
      <c r="GH62" s="103"/>
      <c r="GI62" s="103"/>
      <c r="GJ62" s="103"/>
      <c r="GK62" s="103"/>
      <c r="GL62" s="103"/>
      <c r="GM62" s="103"/>
      <c r="GN62" s="103"/>
      <c r="GO62" s="103"/>
      <c r="GP62" s="103"/>
      <c r="GQ62" s="103"/>
      <c r="GR62" s="103"/>
      <c r="GS62" s="103"/>
      <c r="GT62" s="103"/>
      <c r="GU62" s="103"/>
      <c r="GV62" s="103"/>
      <c r="GW62" s="103"/>
      <c r="GX62" s="103"/>
      <c r="GY62" s="103"/>
      <c r="GZ62" s="103"/>
      <c r="HA62" s="103"/>
      <c r="HB62" s="103"/>
      <c r="HC62" s="103"/>
      <c r="HD62" s="103"/>
      <c r="HE62" s="103"/>
      <c r="HF62" s="103"/>
      <c r="HG62" s="103"/>
      <c r="HH62" s="103"/>
      <c r="HI62" s="103"/>
      <c r="HJ62" s="103"/>
      <c r="HK62" s="103"/>
      <c r="HL62" s="103"/>
      <c r="HM62" s="103"/>
      <c r="HN62" s="103"/>
      <c r="HO62" s="103"/>
      <c r="HP62" s="103"/>
      <c r="HQ62" s="103"/>
      <c r="HR62" s="103"/>
      <c r="HS62" s="103"/>
      <c r="HT62" s="103"/>
      <c r="HU62" s="103"/>
      <c r="HV62" s="103"/>
      <c r="HW62" s="103"/>
      <c r="HX62" s="103"/>
      <c r="HY62" s="103"/>
      <c r="HZ62" s="103"/>
      <c r="IA62" s="103"/>
      <c r="IB62" s="103"/>
      <c r="IC62" s="103"/>
      <c r="ID62" s="103"/>
      <c r="IE62" s="103"/>
      <c r="IF62" s="103"/>
      <c r="IG62" s="103"/>
      <c r="IH62" s="103"/>
      <c r="II62" s="103"/>
      <c r="IJ62" s="103"/>
      <c r="IK62" s="103"/>
      <c r="IL62" s="103"/>
      <c r="IM62" s="103"/>
      <c r="IN62" s="103"/>
      <c r="IO62" s="103"/>
      <c r="IP62" s="103"/>
      <c r="IQ62" s="103"/>
      <c r="IR62" s="103"/>
      <c r="IS62" s="103"/>
      <c r="IT62" s="103"/>
      <c r="IU62" s="103"/>
      <c r="IV62" s="103"/>
      <c r="IW62" s="103"/>
      <c r="IX62" s="103"/>
      <c r="IY62" s="103"/>
      <c r="IZ62" s="103"/>
      <c r="JA62" s="103"/>
      <c r="JB62" s="103"/>
      <c r="JC62" s="103"/>
      <c r="JD62" s="103"/>
      <c r="JE62" s="103"/>
      <c r="JF62" s="103"/>
      <c r="JG62" s="103"/>
      <c r="JH62" s="103"/>
      <c r="JI62" s="103"/>
      <c r="JJ62" s="103"/>
      <c r="JK62" s="103"/>
      <c r="JL62" s="103"/>
      <c r="JM62" s="103"/>
      <c r="JN62" s="103"/>
      <c r="JO62" s="103"/>
      <c r="JP62" s="103"/>
      <c r="JQ62" s="103"/>
      <c r="JR62" s="103"/>
      <c r="JS62" s="103"/>
      <c r="JT62" s="103"/>
      <c r="JU62" s="103"/>
      <c r="JV62" s="103"/>
      <c r="JW62" s="103"/>
      <c r="JX62" s="103"/>
      <c r="JY62" s="103"/>
      <c r="JZ62" s="103"/>
      <c r="KA62" s="103"/>
      <c r="KB62" s="103"/>
      <c r="KC62" s="103"/>
      <c r="KD62" s="103"/>
      <c r="KE62" s="103"/>
      <c r="KF62" s="103"/>
      <c r="KG62" s="103"/>
      <c r="KH62" s="103"/>
      <c r="KI62" s="103"/>
      <c r="KJ62" s="103"/>
      <c r="KK62" s="103"/>
      <c r="KL62" s="103"/>
      <c r="KM62" s="103"/>
      <c r="KN62" s="103"/>
      <c r="KO62" s="103"/>
      <c r="KP62" s="103"/>
      <c r="KQ62" s="103"/>
      <c r="KR62" s="103"/>
      <c r="KS62" s="103"/>
      <c r="KT62" s="103"/>
      <c r="KU62" s="103"/>
      <c r="KV62" s="103"/>
      <c r="KW62" s="103"/>
      <c r="KX62" s="103"/>
      <c r="KY62" s="103"/>
      <c r="KZ62" s="103"/>
      <c r="LA62" s="103"/>
      <c r="LB62" s="103"/>
      <c r="LC62" s="103"/>
      <c r="LD62" s="103"/>
      <c r="LE62" s="103"/>
      <c r="LF62" s="103"/>
      <c r="LG62" s="103"/>
      <c r="LH62" s="103"/>
      <c r="LI62" s="103"/>
      <c r="LJ62" s="103"/>
    </row>
    <row r="63" spans="1:322" s="208" customFormat="1">
      <c r="A63" s="103"/>
      <c r="B63" s="182">
        <v>1988</v>
      </c>
      <c r="C63" s="213">
        <v>1.016</v>
      </c>
      <c r="D63" s="213">
        <v>1.145</v>
      </c>
      <c r="E63" s="103"/>
      <c r="F63" s="103"/>
      <c r="G63" s="103"/>
      <c r="H63" s="103"/>
      <c r="I63" s="103"/>
      <c r="J63" s="103"/>
      <c r="K63" s="103"/>
      <c r="L63" s="103"/>
      <c r="M63" s="103"/>
      <c r="N63" s="103"/>
      <c r="O63" s="103"/>
      <c r="P63" s="103"/>
      <c r="Q63" s="103"/>
      <c r="R63" s="103"/>
      <c r="S63" s="103"/>
      <c r="T63" s="103"/>
      <c r="U63" s="103"/>
      <c r="V63" s="103"/>
      <c r="W63" s="103"/>
      <c r="X63" s="103"/>
      <c r="Y63" s="103"/>
      <c r="Z63" s="103"/>
      <c r="AA63" s="103"/>
      <c r="AB63" s="103"/>
      <c r="AC63" s="103"/>
      <c r="AD63" s="103"/>
      <c r="AE63" s="103"/>
      <c r="AF63" s="103"/>
      <c r="AG63" s="103"/>
      <c r="AH63" s="103"/>
      <c r="AI63" s="103"/>
      <c r="AJ63" s="103"/>
      <c r="AK63" s="103"/>
      <c r="AL63" s="103"/>
      <c r="AM63" s="103"/>
      <c r="AN63" s="103"/>
      <c r="AO63" s="103"/>
      <c r="AP63" s="103"/>
      <c r="AQ63" s="103"/>
      <c r="AR63" s="103"/>
      <c r="AS63" s="103"/>
      <c r="AT63" s="103"/>
      <c r="AU63" s="103"/>
      <c r="AV63" s="103"/>
      <c r="AW63" s="103"/>
      <c r="AX63" s="103"/>
      <c r="AY63" s="103"/>
      <c r="AZ63" s="103"/>
      <c r="BA63" s="103"/>
      <c r="BB63" s="103"/>
      <c r="BC63" s="103"/>
      <c r="BD63" s="103"/>
      <c r="BE63" s="103"/>
      <c r="BF63" s="103"/>
      <c r="BG63" s="103"/>
      <c r="BH63" s="103"/>
      <c r="BI63" s="103"/>
      <c r="BJ63" s="103"/>
      <c r="BK63" s="103"/>
      <c r="BL63" s="103"/>
      <c r="BM63" s="103"/>
      <c r="BN63" s="103"/>
      <c r="BO63" s="103"/>
      <c r="BP63" s="103"/>
      <c r="BQ63" s="103"/>
      <c r="BR63" s="103"/>
      <c r="BS63" s="103"/>
      <c r="BT63" s="103"/>
      <c r="BU63" s="103"/>
      <c r="BV63" s="103"/>
      <c r="BW63" s="103"/>
      <c r="BX63" s="103"/>
      <c r="BY63" s="103"/>
      <c r="BZ63" s="103"/>
      <c r="CA63" s="103"/>
      <c r="CB63" s="103"/>
      <c r="CC63" s="103"/>
      <c r="CD63" s="103"/>
      <c r="CE63" s="103"/>
      <c r="CF63" s="103"/>
      <c r="CG63" s="103"/>
      <c r="CH63" s="103"/>
      <c r="CI63" s="103"/>
      <c r="CJ63" s="103"/>
      <c r="CK63" s="103"/>
      <c r="CL63" s="103"/>
      <c r="CM63" s="103"/>
      <c r="CN63" s="103"/>
      <c r="CO63" s="103"/>
      <c r="CP63" s="103"/>
      <c r="CQ63" s="103"/>
      <c r="CR63" s="103"/>
      <c r="CS63" s="103"/>
      <c r="CT63" s="103"/>
      <c r="CU63" s="103"/>
      <c r="CV63" s="103"/>
      <c r="CW63" s="103"/>
      <c r="CX63" s="103"/>
      <c r="CY63" s="103"/>
      <c r="CZ63" s="103"/>
      <c r="DA63" s="103"/>
      <c r="DB63" s="103"/>
      <c r="DC63" s="103"/>
      <c r="DD63" s="103"/>
      <c r="DE63" s="103"/>
      <c r="DF63" s="103"/>
      <c r="DG63" s="103"/>
      <c r="DH63" s="103"/>
      <c r="DI63" s="103"/>
      <c r="DJ63" s="103"/>
      <c r="DK63" s="103"/>
      <c r="DL63" s="103"/>
      <c r="DM63" s="103"/>
      <c r="DN63" s="103"/>
      <c r="DO63" s="103"/>
      <c r="DP63" s="103"/>
      <c r="DQ63" s="103"/>
      <c r="DR63" s="103"/>
      <c r="DS63" s="103"/>
      <c r="DT63" s="103"/>
      <c r="DU63" s="103"/>
      <c r="DV63" s="103"/>
      <c r="DW63" s="103"/>
      <c r="DX63" s="103"/>
      <c r="DY63" s="103"/>
      <c r="DZ63" s="103"/>
      <c r="EA63" s="103"/>
      <c r="EB63" s="103"/>
      <c r="EC63" s="103"/>
      <c r="ED63" s="103"/>
      <c r="EE63" s="103"/>
      <c r="EF63" s="103"/>
      <c r="EG63" s="103"/>
      <c r="EH63" s="103"/>
      <c r="EI63" s="103"/>
      <c r="EJ63" s="103"/>
      <c r="EK63" s="103"/>
      <c r="EL63" s="103"/>
      <c r="EM63" s="103"/>
      <c r="EN63" s="103"/>
      <c r="EO63" s="103"/>
      <c r="EP63" s="103"/>
      <c r="EQ63" s="103"/>
      <c r="ER63" s="103"/>
      <c r="ES63" s="103"/>
      <c r="ET63" s="103"/>
      <c r="EU63" s="103"/>
      <c r="EV63" s="103"/>
      <c r="EW63" s="103"/>
      <c r="EX63" s="103"/>
      <c r="EY63" s="103"/>
      <c r="EZ63" s="103"/>
      <c r="FA63" s="103"/>
      <c r="FB63" s="103"/>
      <c r="FC63" s="103"/>
      <c r="FD63" s="103"/>
      <c r="FE63" s="103"/>
      <c r="FF63" s="103"/>
      <c r="FG63" s="103"/>
      <c r="FH63" s="103"/>
      <c r="FI63" s="103"/>
      <c r="FJ63" s="103"/>
      <c r="FK63" s="103"/>
      <c r="FL63" s="103"/>
      <c r="FM63" s="103"/>
      <c r="FN63" s="103"/>
      <c r="FO63" s="103"/>
      <c r="FP63" s="103"/>
      <c r="FQ63" s="103"/>
      <c r="FR63" s="103"/>
      <c r="FS63" s="103"/>
      <c r="FT63" s="103"/>
      <c r="FU63" s="103"/>
      <c r="FV63" s="103"/>
      <c r="FW63" s="103"/>
      <c r="FX63" s="103"/>
      <c r="FY63" s="103"/>
      <c r="FZ63" s="103"/>
      <c r="GA63" s="103"/>
      <c r="GB63" s="103"/>
      <c r="GC63" s="103"/>
      <c r="GD63" s="103"/>
      <c r="GE63" s="103"/>
      <c r="GF63" s="103"/>
      <c r="GG63" s="103"/>
      <c r="GH63" s="103"/>
      <c r="GI63" s="103"/>
      <c r="GJ63" s="103"/>
      <c r="GK63" s="103"/>
      <c r="GL63" s="103"/>
      <c r="GM63" s="103"/>
      <c r="GN63" s="103"/>
      <c r="GO63" s="103"/>
      <c r="GP63" s="103"/>
      <c r="GQ63" s="103"/>
      <c r="GR63" s="103"/>
      <c r="GS63" s="103"/>
      <c r="GT63" s="103"/>
      <c r="GU63" s="103"/>
      <c r="GV63" s="103"/>
      <c r="GW63" s="103"/>
      <c r="GX63" s="103"/>
      <c r="GY63" s="103"/>
      <c r="GZ63" s="103"/>
      <c r="HA63" s="103"/>
      <c r="HB63" s="103"/>
      <c r="HC63" s="103"/>
      <c r="HD63" s="103"/>
      <c r="HE63" s="103"/>
      <c r="HF63" s="103"/>
      <c r="HG63" s="103"/>
      <c r="HH63" s="103"/>
      <c r="HI63" s="103"/>
      <c r="HJ63" s="103"/>
      <c r="HK63" s="103"/>
      <c r="HL63" s="103"/>
      <c r="HM63" s="103"/>
      <c r="HN63" s="103"/>
      <c r="HO63" s="103"/>
      <c r="HP63" s="103"/>
      <c r="HQ63" s="103"/>
      <c r="HR63" s="103"/>
      <c r="HS63" s="103"/>
      <c r="HT63" s="103"/>
      <c r="HU63" s="103"/>
      <c r="HV63" s="103"/>
      <c r="HW63" s="103"/>
      <c r="HX63" s="103"/>
      <c r="HY63" s="103"/>
      <c r="HZ63" s="103"/>
      <c r="IA63" s="103"/>
      <c r="IB63" s="103"/>
      <c r="IC63" s="103"/>
      <c r="ID63" s="103"/>
      <c r="IE63" s="103"/>
      <c r="IF63" s="103"/>
      <c r="IG63" s="103"/>
      <c r="IH63" s="103"/>
      <c r="II63" s="103"/>
      <c r="IJ63" s="103"/>
      <c r="IK63" s="103"/>
      <c r="IL63" s="103"/>
      <c r="IM63" s="103"/>
      <c r="IN63" s="103"/>
      <c r="IO63" s="103"/>
      <c r="IP63" s="103"/>
      <c r="IQ63" s="103"/>
      <c r="IR63" s="103"/>
      <c r="IS63" s="103"/>
      <c r="IT63" s="103"/>
      <c r="IU63" s="103"/>
      <c r="IV63" s="103"/>
      <c r="IW63" s="103"/>
      <c r="IX63" s="103"/>
      <c r="IY63" s="103"/>
      <c r="IZ63" s="103"/>
      <c r="JA63" s="103"/>
      <c r="JB63" s="103"/>
      <c r="JC63" s="103"/>
      <c r="JD63" s="103"/>
      <c r="JE63" s="103"/>
      <c r="JF63" s="103"/>
      <c r="JG63" s="103"/>
      <c r="JH63" s="103"/>
      <c r="JI63" s="103"/>
      <c r="JJ63" s="103"/>
      <c r="JK63" s="103"/>
      <c r="JL63" s="103"/>
      <c r="JM63" s="103"/>
      <c r="JN63" s="103"/>
      <c r="JO63" s="103"/>
      <c r="JP63" s="103"/>
      <c r="JQ63" s="103"/>
      <c r="JR63" s="103"/>
      <c r="JS63" s="103"/>
      <c r="JT63" s="103"/>
      <c r="JU63" s="103"/>
      <c r="JV63" s="103"/>
      <c r="JW63" s="103"/>
      <c r="JX63" s="103"/>
      <c r="JY63" s="103"/>
      <c r="JZ63" s="103"/>
      <c r="KA63" s="103"/>
      <c r="KB63" s="103"/>
      <c r="KC63" s="103"/>
      <c r="KD63" s="103"/>
      <c r="KE63" s="103"/>
      <c r="KF63" s="103"/>
      <c r="KG63" s="103"/>
      <c r="KH63" s="103"/>
      <c r="KI63" s="103"/>
      <c r="KJ63" s="103"/>
      <c r="KK63" s="103"/>
      <c r="KL63" s="103"/>
      <c r="KM63" s="103"/>
      <c r="KN63" s="103"/>
      <c r="KO63" s="103"/>
      <c r="KP63" s="103"/>
      <c r="KQ63" s="103"/>
      <c r="KR63" s="103"/>
      <c r="KS63" s="103"/>
      <c r="KT63" s="103"/>
      <c r="KU63" s="103"/>
      <c r="KV63" s="103"/>
      <c r="KW63" s="103"/>
      <c r="KX63" s="103"/>
      <c r="KY63" s="103"/>
      <c r="KZ63" s="103"/>
      <c r="LA63" s="103"/>
      <c r="LB63" s="103"/>
      <c r="LC63" s="103"/>
      <c r="LD63" s="103"/>
      <c r="LE63" s="103"/>
      <c r="LF63" s="103"/>
      <c r="LG63" s="103"/>
      <c r="LH63" s="103"/>
      <c r="LI63" s="103"/>
      <c r="LJ63" s="103"/>
    </row>
    <row r="64" spans="1:322" s="208" customFormat="1">
      <c r="A64" s="103"/>
      <c r="B64" s="181">
        <v>1989</v>
      </c>
      <c r="C64" s="213">
        <v>1.016</v>
      </c>
      <c r="D64" s="213">
        <v>1.1439999999999999</v>
      </c>
      <c r="E64" s="103"/>
      <c r="F64" s="103"/>
      <c r="G64" s="103"/>
      <c r="H64" s="103"/>
      <c r="I64" s="103"/>
      <c r="J64" s="103"/>
      <c r="K64" s="103"/>
      <c r="L64" s="103"/>
      <c r="M64" s="103"/>
      <c r="N64" s="103"/>
      <c r="O64" s="103"/>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3"/>
      <c r="AN64" s="103"/>
      <c r="AO64" s="103"/>
      <c r="AP64" s="103"/>
      <c r="AQ64" s="103"/>
      <c r="AR64" s="103"/>
      <c r="AS64" s="103"/>
      <c r="AT64" s="103"/>
      <c r="AU64" s="103"/>
      <c r="AV64" s="103"/>
      <c r="AW64" s="103"/>
      <c r="AX64" s="103"/>
      <c r="AY64" s="103"/>
      <c r="AZ64" s="103"/>
      <c r="BA64" s="103"/>
      <c r="BB64" s="103"/>
      <c r="BC64" s="103"/>
      <c r="BD64" s="103"/>
      <c r="BE64" s="103"/>
      <c r="BF64" s="103"/>
      <c r="BG64" s="103"/>
      <c r="BH64" s="103"/>
      <c r="BI64" s="103"/>
      <c r="BJ64" s="103"/>
      <c r="BK64" s="103"/>
      <c r="BL64" s="103"/>
      <c r="BM64" s="103"/>
      <c r="BN64" s="103"/>
      <c r="BO64" s="103"/>
      <c r="BP64" s="103"/>
      <c r="BQ64" s="103"/>
      <c r="BR64" s="103"/>
      <c r="BS64" s="103"/>
      <c r="BT64" s="103"/>
      <c r="BU64" s="103"/>
      <c r="BV64" s="103"/>
      <c r="BW64" s="103"/>
      <c r="BX64" s="103"/>
      <c r="BY64" s="103"/>
      <c r="BZ64" s="103"/>
      <c r="CA64" s="103"/>
      <c r="CB64" s="103"/>
      <c r="CC64" s="103"/>
      <c r="CD64" s="103"/>
      <c r="CE64" s="103"/>
      <c r="CF64" s="103"/>
      <c r="CG64" s="103"/>
      <c r="CH64" s="103"/>
      <c r="CI64" s="103"/>
      <c r="CJ64" s="103"/>
      <c r="CK64" s="103"/>
      <c r="CL64" s="103"/>
      <c r="CM64" s="103"/>
      <c r="CN64" s="103"/>
      <c r="CO64" s="103"/>
      <c r="CP64" s="103"/>
      <c r="CQ64" s="103"/>
      <c r="CR64" s="103"/>
      <c r="CS64" s="103"/>
      <c r="CT64" s="103"/>
      <c r="CU64" s="103"/>
      <c r="CV64" s="103"/>
      <c r="CW64" s="103"/>
      <c r="CX64" s="103"/>
      <c r="CY64" s="103"/>
      <c r="CZ64" s="103"/>
      <c r="DA64" s="103"/>
      <c r="DB64" s="103"/>
      <c r="DC64" s="103"/>
      <c r="DD64" s="103"/>
      <c r="DE64" s="103"/>
      <c r="DF64" s="103"/>
      <c r="DG64" s="103"/>
      <c r="DH64" s="103"/>
      <c r="DI64" s="103"/>
      <c r="DJ64" s="103"/>
      <c r="DK64" s="103"/>
      <c r="DL64" s="103"/>
      <c r="DM64" s="103"/>
      <c r="DN64" s="103"/>
      <c r="DO64" s="103"/>
      <c r="DP64" s="103"/>
      <c r="DQ64" s="103"/>
      <c r="DR64" s="103"/>
      <c r="DS64" s="103"/>
      <c r="DT64" s="103"/>
      <c r="DU64" s="103"/>
      <c r="DV64" s="103"/>
      <c r="DW64" s="103"/>
      <c r="DX64" s="103"/>
      <c r="DY64" s="103"/>
      <c r="DZ64" s="103"/>
      <c r="EA64" s="103"/>
      <c r="EB64" s="103"/>
      <c r="EC64" s="103"/>
      <c r="ED64" s="103"/>
      <c r="EE64" s="103"/>
      <c r="EF64" s="103"/>
      <c r="EG64" s="103"/>
      <c r="EH64" s="103"/>
      <c r="EI64" s="103"/>
      <c r="EJ64" s="103"/>
      <c r="EK64" s="103"/>
      <c r="EL64" s="103"/>
      <c r="EM64" s="103"/>
      <c r="EN64" s="103"/>
      <c r="EO64" s="103"/>
      <c r="EP64" s="103"/>
      <c r="EQ64" s="103"/>
      <c r="ER64" s="103"/>
      <c r="ES64" s="103"/>
      <c r="ET64" s="103"/>
      <c r="EU64" s="103"/>
      <c r="EV64" s="103"/>
      <c r="EW64" s="103"/>
      <c r="EX64" s="103"/>
      <c r="EY64" s="103"/>
      <c r="EZ64" s="103"/>
      <c r="FA64" s="103"/>
      <c r="FB64" s="103"/>
      <c r="FC64" s="103"/>
      <c r="FD64" s="103"/>
      <c r="FE64" s="103"/>
      <c r="FF64" s="103"/>
      <c r="FG64" s="103"/>
      <c r="FH64" s="103"/>
      <c r="FI64" s="103"/>
      <c r="FJ64" s="103"/>
      <c r="FK64" s="103"/>
      <c r="FL64" s="103"/>
      <c r="FM64" s="103"/>
      <c r="FN64" s="103"/>
      <c r="FO64" s="103"/>
      <c r="FP64" s="103"/>
      <c r="FQ64" s="103"/>
      <c r="FR64" s="103"/>
      <c r="FS64" s="103"/>
      <c r="FT64" s="103"/>
      <c r="FU64" s="103"/>
      <c r="FV64" s="103"/>
      <c r="FW64" s="103"/>
      <c r="FX64" s="103"/>
      <c r="FY64" s="103"/>
      <c r="FZ64" s="103"/>
      <c r="GA64" s="103"/>
      <c r="GB64" s="103"/>
      <c r="GC64" s="103"/>
      <c r="GD64" s="103"/>
      <c r="GE64" s="103"/>
      <c r="GF64" s="103"/>
      <c r="GG64" s="103"/>
      <c r="GH64" s="103"/>
      <c r="GI64" s="103"/>
      <c r="GJ64" s="103"/>
      <c r="GK64" s="103"/>
      <c r="GL64" s="103"/>
      <c r="GM64" s="103"/>
      <c r="GN64" s="103"/>
      <c r="GO64" s="103"/>
      <c r="GP64" s="103"/>
      <c r="GQ64" s="103"/>
      <c r="GR64" s="103"/>
      <c r="GS64" s="103"/>
      <c r="GT64" s="103"/>
      <c r="GU64" s="103"/>
      <c r="GV64" s="103"/>
      <c r="GW64" s="103"/>
      <c r="GX64" s="103"/>
      <c r="GY64" s="103"/>
      <c r="GZ64" s="103"/>
      <c r="HA64" s="103"/>
      <c r="HB64" s="103"/>
      <c r="HC64" s="103"/>
      <c r="HD64" s="103"/>
      <c r="HE64" s="103"/>
      <c r="HF64" s="103"/>
      <c r="HG64" s="103"/>
      <c r="HH64" s="103"/>
      <c r="HI64" s="103"/>
      <c r="HJ64" s="103"/>
      <c r="HK64" s="103"/>
      <c r="HL64" s="103"/>
      <c r="HM64" s="103"/>
      <c r="HN64" s="103"/>
      <c r="HO64" s="103"/>
      <c r="HP64" s="103"/>
      <c r="HQ64" s="103"/>
      <c r="HR64" s="103"/>
      <c r="HS64" s="103"/>
      <c r="HT64" s="103"/>
      <c r="HU64" s="103"/>
      <c r="HV64" s="103"/>
      <c r="HW64" s="103"/>
      <c r="HX64" s="103"/>
      <c r="HY64" s="103"/>
      <c r="HZ64" s="103"/>
      <c r="IA64" s="103"/>
      <c r="IB64" s="103"/>
      <c r="IC64" s="103"/>
      <c r="ID64" s="103"/>
      <c r="IE64" s="103"/>
      <c r="IF64" s="103"/>
      <c r="IG64" s="103"/>
      <c r="IH64" s="103"/>
      <c r="II64" s="103"/>
      <c r="IJ64" s="103"/>
      <c r="IK64" s="103"/>
      <c r="IL64" s="103"/>
      <c r="IM64" s="103"/>
      <c r="IN64" s="103"/>
      <c r="IO64" s="103"/>
      <c r="IP64" s="103"/>
      <c r="IQ64" s="103"/>
      <c r="IR64" s="103"/>
      <c r="IS64" s="103"/>
      <c r="IT64" s="103"/>
      <c r="IU64" s="103"/>
      <c r="IV64" s="103"/>
      <c r="IW64" s="103"/>
      <c r="IX64" s="103"/>
      <c r="IY64" s="103"/>
      <c r="IZ64" s="103"/>
      <c r="JA64" s="103"/>
      <c r="JB64" s="103"/>
      <c r="JC64" s="103"/>
      <c r="JD64" s="103"/>
      <c r="JE64" s="103"/>
      <c r="JF64" s="103"/>
      <c r="JG64" s="103"/>
      <c r="JH64" s="103"/>
      <c r="JI64" s="103"/>
      <c r="JJ64" s="103"/>
      <c r="JK64" s="103"/>
      <c r="JL64" s="103"/>
      <c r="JM64" s="103"/>
      <c r="JN64" s="103"/>
      <c r="JO64" s="103"/>
      <c r="JP64" s="103"/>
      <c r="JQ64" s="103"/>
      <c r="JR64" s="103"/>
      <c r="JS64" s="103"/>
      <c r="JT64" s="103"/>
      <c r="JU64" s="103"/>
      <c r="JV64" s="103"/>
      <c r="JW64" s="103"/>
      <c r="JX64" s="103"/>
      <c r="JY64" s="103"/>
      <c r="JZ64" s="103"/>
      <c r="KA64" s="103"/>
      <c r="KB64" s="103"/>
      <c r="KC64" s="103"/>
      <c r="KD64" s="103"/>
      <c r="KE64" s="103"/>
      <c r="KF64" s="103"/>
      <c r="KG64" s="103"/>
      <c r="KH64" s="103"/>
      <c r="KI64" s="103"/>
      <c r="KJ64" s="103"/>
      <c r="KK64" s="103"/>
      <c r="KL64" s="103"/>
      <c r="KM64" s="103"/>
      <c r="KN64" s="103"/>
      <c r="KO64" s="103"/>
      <c r="KP64" s="103"/>
      <c r="KQ64" s="103"/>
      <c r="KR64" s="103"/>
      <c r="KS64" s="103"/>
      <c r="KT64" s="103"/>
      <c r="KU64" s="103"/>
      <c r="KV64" s="103"/>
      <c r="KW64" s="103"/>
      <c r="KX64" s="103"/>
      <c r="KY64" s="103"/>
      <c r="KZ64" s="103"/>
      <c r="LA64" s="103"/>
      <c r="LB64" s="103"/>
      <c r="LC64" s="103"/>
      <c r="LD64" s="103"/>
      <c r="LE64" s="103"/>
      <c r="LF64" s="103"/>
      <c r="LG64" s="103"/>
      <c r="LH64" s="103"/>
      <c r="LI64" s="103"/>
      <c r="LJ64" s="103"/>
    </row>
    <row r="65" spans="1:322" s="208" customFormat="1" ht="14.4" thickBot="1">
      <c r="A65" s="103"/>
      <c r="B65" s="177">
        <v>1990</v>
      </c>
      <c r="C65" s="214">
        <v>1.016</v>
      </c>
      <c r="D65" s="214">
        <v>1.143</v>
      </c>
      <c r="E65" s="103"/>
      <c r="F65" s="103"/>
      <c r="G65" s="103"/>
      <c r="H65" s="103"/>
      <c r="I65" s="103"/>
      <c r="J65" s="103"/>
      <c r="K65" s="103"/>
      <c r="L65" s="103"/>
      <c r="M65" s="103"/>
      <c r="N65" s="103"/>
      <c r="O65" s="103"/>
      <c r="P65" s="103"/>
      <c r="Q65" s="103"/>
      <c r="R65" s="103"/>
      <c r="S65" s="103"/>
      <c r="T65" s="103"/>
      <c r="U65" s="103"/>
      <c r="V65" s="103"/>
      <c r="W65" s="103"/>
      <c r="X65" s="103"/>
      <c r="Y65" s="103"/>
      <c r="Z65" s="103"/>
      <c r="AA65" s="103"/>
      <c r="AB65" s="103"/>
      <c r="AC65" s="103"/>
      <c r="AD65" s="103"/>
      <c r="AE65" s="103"/>
      <c r="AF65" s="103"/>
      <c r="AG65" s="103"/>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c r="BH65" s="103"/>
      <c r="BI65" s="103"/>
      <c r="BJ65" s="103"/>
      <c r="BK65" s="103"/>
      <c r="BL65" s="103"/>
      <c r="BM65" s="103"/>
      <c r="BN65" s="103"/>
      <c r="BO65" s="103"/>
      <c r="BP65" s="103"/>
      <c r="BQ65" s="103"/>
      <c r="BR65" s="103"/>
      <c r="BS65" s="103"/>
      <c r="BT65" s="103"/>
      <c r="BU65" s="103"/>
      <c r="BV65" s="103"/>
      <c r="BW65" s="103"/>
      <c r="BX65" s="103"/>
      <c r="BY65" s="103"/>
      <c r="BZ65" s="103"/>
      <c r="CA65" s="103"/>
      <c r="CB65" s="103"/>
      <c r="CC65" s="103"/>
      <c r="CD65" s="103"/>
      <c r="CE65" s="103"/>
      <c r="CF65" s="103"/>
      <c r="CG65" s="103"/>
      <c r="CH65" s="103"/>
      <c r="CI65" s="103"/>
      <c r="CJ65" s="103"/>
      <c r="CK65" s="103"/>
      <c r="CL65" s="103"/>
      <c r="CM65" s="103"/>
      <c r="CN65" s="103"/>
      <c r="CO65" s="103"/>
      <c r="CP65" s="103"/>
      <c r="CQ65" s="103"/>
      <c r="CR65" s="103"/>
      <c r="CS65" s="103"/>
      <c r="CT65" s="103"/>
      <c r="CU65" s="103"/>
      <c r="CV65" s="103"/>
      <c r="CW65" s="103"/>
      <c r="CX65" s="103"/>
      <c r="CY65" s="103"/>
      <c r="CZ65" s="103"/>
      <c r="DA65" s="103"/>
      <c r="DB65" s="103"/>
      <c r="DC65" s="103"/>
      <c r="DD65" s="103"/>
      <c r="DE65" s="103"/>
      <c r="DF65" s="103"/>
      <c r="DG65" s="103"/>
      <c r="DH65" s="103"/>
      <c r="DI65" s="103"/>
      <c r="DJ65" s="103"/>
      <c r="DK65" s="103"/>
      <c r="DL65" s="103"/>
      <c r="DM65" s="103"/>
      <c r="DN65" s="103"/>
      <c r="DO65" s="103"/>
      <c r="DP65" s="103"/>
      <c r="DQ65" s="103"/>
      <c r="DR65" s="103"/>
      <c r="DS65" s="103"/>
      <c r="DT65" s="103"/>
      <c r="DU65" s="103"/>
      <c r="DV65" s="103"/>
      <c r="DW65" s="103"/>
      <c r="DX65" s="103"/>
      <c r="DY65" s="103"/>
      <c r="DZ65" s="103"/>
      <c r="EA65" s="103"/>
      <c r="EB65" s="103"/>
      <c r="EC65" s="103"/>
      <c r="ED65" s="103"/>
      <c r="EE65" s="103"/>
      <c r="EF65" s="103"/>
      <c r="EG65" s="103"/>
      <c r="EH65" s="103"/>
      <c r="EI65" s="103"/>
      <c r="EJ65" s="103"/>
      <c r="EK65" s="103"/>
      <c r="EL65" s="103"/>
      <c r="EM65" s="103"/>
      <c r="EN65" s="103"/>
      <c r="EO65" s="103"/>
      <c r="EP65" s="103"/>
      <c r="EQ65" s="103"/>
      <c r="ER65" s="103"/>
      <c r="ES65" s="103"/>
      <c r="ET65" s="103"/>
      <c r="EU65" s="103"/>
      <c r="EV65" s="103"/>
      <c r="EW65" s="103"/>
      <c r="EX65" s="103"/>
      <c r="EY65" s="103"/>
      <c r="EZ65" s="103"/>
      <c r="FA65" s="103"/>
      <c r="FB65" s="103"/>
      <c r="FC65" s="103"/>
      <c r="FD65" s="103"/>
      <c r="FE65" s="103"/>
      <c r="FF65" s="103"/>
      <c r="FG65" s="103"/>
      <c r="FH65" s="103"/>
      <c r="FI65" s="103"/>
      <c r="FJ65" s="103"/>
      <c r="FK65" s="103"/>
      <c r="FL65" s="103"/>
      <c r="FM65" s="103"/>
      <c r="FN65" s="103"/>
      <c r="FO65" s="103"/>
      <c r="FP65" s="103"/>
      <c r="FQ65" s="103"/>
      <c r="FR65" s="103"/>
      <c r="FS65" s="103"/>
      <c r="FT65" s="103"/>
      <c r="FU65" s="103"/>
      <c r="FV65" s="103"/>
      <c r="FW65" s="103"/>
      <c r="FX65" s="103"/>
      <c r="FY65" s="103"/>
      <c r="FZ65" s="103"/>
      <c r="GA65" s="103"/>
      <c r="GB65" s="103"/>
      <c r="GC65" s="103"/>
      <c r="GD65" s="103"/>
      <c r="GE65" s="103"/>
      <c r="GF65" s="103"/>
      <c r="GG65" s="103"/>
      <c r="GH65" s="103"/>
      <c r="GI65" s="103"/>
      <c r="GJ65" s="103"/>
      <c r="GK65" s="103"/>
      <c r="GL65" s="103"/>
      <c r="GM65" s="103"/>
      <c r="GN65" s="103"/>
      <c r="GO65" s="103"/>
      <c r="GP65" s="103"/>
      <c r="GQ65" s="103"/>
      <c r="GR65" s="103"/>
      <c r="GS65" s="103"/>
      <c r="GT65" s="103"/>
      <c r="GU65" s="103"/>
      <c r="GV65" s="103"/>
      <c r="GW65" s="103"/>
      <c r="GX65" s="103"/>
      <c r="GY65" s="103"/>
      <c r="GZ65" s="103"/>
      <c r="HA65" s="103"/>
      <c r="HB65" s="103"/>
      <c r="HC65" s="103"/>
      <c r="HD65" s="103"/>
      <c r="HE65" s="103"/>
      <c r="HF65" s="103"/>
      <c r="HG65" s="103"/>
      <c r="HH65" s="103"/>
      <c r="HI65" s="103"/>
      <c r="HJ65" s="103"/>
      <c r="HK65" s="103"/>
      <c r="HL65" s="103"/>
      <c r="HM65" s="103"/>
      <c r="HN65" s="103"/>
      <c r="HO65" s="103"/>
      <c r="HP65" s="103"/>
      <c r="HQ65" s="103"/>
      <c r="HR65" s="103"/>
      <c r="HS65" s="103"/>
      <c r="HT65" s="103"/>
      <c r="HU65" s="103"/>
      <c r="HV65" s="103"/>
      <c r="HW65" s="103"/>
      <c r="HX65" s="103"/>
      <c r="HY65" s="103"/>
      <c r="HZ65" s="103"/>
      <c r="IA65" s="103"/>
      <c r="IB65" s="103"/>
      <c r="IC65" s="103"/>
      <c r="ID65" s="103"/>
      <c r="IE65" s="103"/>
      <c r="IF65" s="103"/>
      <c r="IG65" s="103"/>
      <c r="IH65" s="103"/>
      <c r="II65" s="103"/>
      <c r="IJ65" s="103"/>
      <c r="IK65" s="103"/>
      <c r="IL65" s="103"/>
      <c r="IM65" s="103"/>
      <c r="IN65" s="103"/>
      <c r="IO65" s="103"/>
      <c r="IP65" s="103"/>
      <c r="IQ65" s="103"/>
      <c r="IR65" s="103"/>
      <c r="IS65" s="103"/>
      <c r="IT65" s="103"/>
      <c r="IU65" s="103"/>
      <c r="IV65" s="103"/>
      <c r="IW65" s="103"/>
      <c r="IX65" s="103"/>
      <c r="IY65" s="103"/>
      <c r="IZ65" s="103"/>
      <c r="JA65" s="103"/>
      <c r="JB65" s="103"/>
      <c r="JC65" s="103"/>
      <c r="JD65" s="103"/>
      <c r="JE65" s="103"/>
      <c r="JF65" s="103"/>
      <c r="JG65" s="103"/>
      <c r="JH65" s="103"/>
      <c r="JI65" s="103"/>
      <c r="JJ65" s="103"/>
      <c r="JK65" s="103"/>
      <c r="JL65" s="103"/>
      <c r="JM65" s="103"/>
      <c r="JN65" s="103"/>
      <c r="JO65" s="103"/>
      <c r="JP65" s="103"/>
      <c r="JQ65" s="103"/>
      <c r="JR65" s="103"/>
      <c r="JS65" s="103"/>
      <c r="JT65" s="103"/>
      <c r="JU65" s="103"/>
      <c r="JV65" s="103"/>
      <c r="JW65" s="103"/>
      <c r="JX65" s="103"/>
      <c r="JY65" s="103"/>
      <c r="JZ65" s="103"/>
      <c r="KA65" s="103"/>
      <c r="KB65" s="103"/>
      <c r="KC65" s="103"/>
      <c r="KD65" s="103"/>
      <c r="KE65" s="103"/>
      <c r="KF65" s="103"/>
      <c r="KG65" s="103"/>
      <c r="KH65" s="103"/>
      <c r="KI65" s="103"/>
      <c r="KJ65" s="103"/>
      <c r="KK65" s="103"/>
      <c r="KL65" s="103"/>
      <c r="KM65" s="103"/>
      <c r="KN65" s="103"/>
      <c r="KO65" s="103"/>
      <c r="KP65" s="103"/>
      <c r="KQ65" s="103"/>
      <c r="KR65" s="103"/>
      <c r="KS65" s="103"/>
      <c r="KT65" s="103"/>
      <c r="KU65" s="103"/>
      <c r="KV65" s="103"/>
      <c r="KW65" s="103"/>
      <c r="KX65" s="103"/>
      <c r="KY65" s="103"/>
      <c r="KZ65" s="103"/>
      <c r="LA65" s="103"/>
      <c r="LB65" s="103"/>
      <c r="LC65" s="103"/>
      <c r="LD65" s="103"/>
      <c r="LE65" s="103"/>
      <c r="LF65" s="103"/>
      <c r="LG65" s="103"/>
      <c r="LH65" s="103"/>
      <c r="LI65" s="103"/>
      <c r="LJ65" s="103"/>
    </row>
    <row r="66" spans="1:322" s="208" customFormat="1">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103"/>
      <c r="AT66" s="103"/>
      <c r="AU66" s="103"/>
      <c r="AV66" s="103"/>
      <c r="AW66" s="103"/>
      <c r="AX66" s="103"/>
      <c r="AY66" s="103"/>
      <c r="AZ66" s="103"/>
      <c r="BA66" s="103"/>
      <c r="BB66" s="103"/>
      <c r="BC66" s="103"/>
      <c r="BD66" s="103"/>
      <c r="BE66" s="103"/>
      <c r="BF66" s="103"/>
      <c r="BG66" s="103"/>
      <c r="BH66" s="103"/>
      <c r="BI66" s="103"/>
      <c r="BJ66" s="103"/>
      <c r="BK66" s="103"/>
      <c r="BL66" s="103"/>
      <c r="BM66" s="103"/>
      <c r="BN66" s="103"/>
      <c r="BO66" s="103"/>
      <c r="BP66" s="103"/>
      <c r="BQ66" s="103"/>
      <c r="BR66" s="103"/>
      <c r="BS66" s="103"/>
      <c r="BT66" s="103"/>
      <c r="BU66" s="103"/>
      <c r="BV66" s="103"/>
      <c r="BW66" s="103"/>
      <c r="BX66" s="103"/>
      <c r="BY66" s="103"/>
      <c r="BZ66" s="103"/>
      <c r="CA66" s="103"/>
      <c r="CB66" s="103"/>
      <c r="CC66" s="103"/>
      <c r="CD66" s="103"/>
      <c r="CE66" s="103"/>
      <c r="CF66" s="103"/>
      <c r="CG66" s="103"/>
      <c r="CH66" s="103"/>
      <c r="CI66" s="103"/>
      <c r="CJ66" s="103"/>
      <c r="CK66" s="103"/>
      <c r="CL66" s="103"/>
      <c r="CM66" s="103"/>
      <c r="CN66" s="103"/>
      <c r="CO66" s="103"/>
      <c r="CP66" s="103"/>
      <c r="CQ66" s="103"/>
      <c r="CR66" s="103"/>
      <c r="CS66" s="103"/>
      <c r="CT66" s="103"/>
      <c r="CU66" s="103"/>
      <c r="CV66" s="103"/>
      <c r="CW66" s="103"/>
      <c r="CX66" s="103"/>
      <c r="CY66" s="103"/>
      <c r="CZ66" s="103"/>
      <c r="DA66" s="103"/>
      <c r="DB66" s="103"/>
      <c r="DC66" s="103"/>
      <c r="DD66" s="103"/>
      <c r="DE66" s="103"/>
      <c r="DF66" s="103"/>
      <c r="DG66" s="103"/>
      <c r="DH66" s="103"/>
      <c r="DI66" s="103"/>
      <c r="DJ66" s="103"/>
      <c r="DK66" s="103"/>
      <c r="DL66" s="103"/>
      <c r="DM66" s="103"/>
      <c r="DN66" s="103"/>
      <c r="DO66" s="103"/>
      <c r="DP66" s="103"/>
      <c r="DQ66" s="103"/>
      <c r="DR66" s="103"/>
      <c r="DS66" s="103"/>
      <c r="DT66" s="103"/>
      <c r="DU66" s="103"/>
      <c r="DV66" s="103"/>
      <c r="DW66" s="103"/>
      <c r="DX66" s="103"/>
      <c r="DY66" s="103"/>
      <c r="DZ66" s="103"/>
      <c r="EA66" s="103"/>
      <c r="EB66" s="103"/>
      <c r="EC66" s="103"/>
      <c r="ED66" s="103"/>
      <c r="EE66" s="103"/>
      <c r="EF66" s="103"/>
      <c r="EG66" s="103"/>
      <c r="EH66" s="103"/>
      <c r="EI66" s="103"/>
      <c r="EJ66" s="103"/>
      <c r="EK66" s="103"/>
      <c r="EL66" s="103"/>
      <c r="EM66" s="103"/>
      <c r="EN66" s="103"/>
      <c r="EO66" s="103"/>
      <c r="EP66" s="103"/>
      <c r="EQ66" s="103"/>
      <c r="ER66" s="103"/>
      <c r="ES66" s="103"/>
      <c r="ET66" s="103"/>
      <c r="EU66" s="103"/>
      <c r="EV66" s="103"/>
      <c r="EW66" s="103"/>
      <c r="EX66" s="103"/>
      <c r="EY66" s="103"/>
      <c r="EZ66" s="103"/>
      <c r="FA66" s="103"/>
      <c r="FB66" s="103"/>
      <c r="FC66" s="103"/>
      <c r="FD66" s="103"/>
      <c r="FE66" s="103"/>
      <c r="FF66" s="103"/>
      <c r="FG66" s="103"/>
      <c r="FH66" s="103"/>
      <c r="FI66" s="103"/>
      <c r="FJ66" s="103"/>
      <c r="FK66" s="103"/>
      <c r="FL66" s="103"/>
      <c r="FM66" s="103"/>
      <c r="FN66" s="103"/>
      <c r="FO66" s="103"/>
      <c r="FP66" s="103"/>
      <c r="FQ66" s="103"/>
      <c r="FR66" s="103"/>
      <c r="FS66" s="103"/>
      <c r="FT66" s="103"/>
      <c r="FU66" s="103"/>
      <c r="FV66" s="103"/>
      <c r="FW66" s="103"/>
      <c r="FX66" s="103"/>
      <c r="FY66" s="103"/>
      <c r="FZ66" s="103"/>
      <c r="GA66" s="103"/>
      <c r="GB66" s="103"/>
      <c r="GC66" s="103"/>
      <c r="GD66" s="103"/>
      <c r="GE66" s="103"/>
      <c r="GF66" s="103"/>
      <c r="GG66" s="103"/>
      <c r="GH66" s="103"/>
      <c r="GI66" s="103"/>
      <c r="GJ66" s="103"/>
      <c r="GK66" s="103"/>
      <c r="GL66" s="103"/>
      <c r="GM66" s="103"/>
      <c r="GN66" s="103"/>
      <c r="GO66" s="103"/>
      <c r="GP66" s="103"/>
      <c r="GQ66" s="103"/>
      <c r="GR66" s="103"/>
      <c r="GS66" s="103"/>
      <c r="GT66" s="103"/>
      <c r="GU66" s="103"/>
      <c r="GV66" s="103"/>
      <c r="GW66" s="103"/>
      <c r="GX66" s="103"/>
      <c r="GY66" s="103"/>
      <c r="GZ66" s="103"/>
      <c r="HA66" s="103"/>
      <c r="HB66" s="103"/>
      <c r="HC66" s="103"/>
      <c r="HD66" s="103"/>
      <c r="HE66" s="103"/>
      <c r="HF66" s="103"/>
      <c r="HG66" s="103"/>
      <c r="HH66" s="103"/>
      <c r="HI66" s="103"/>
      <c r="HJ66" s="103"/>
      <c r="HK66" s="103"/>
      <c r="HL66" s="103"/>
      <c r="HM66" s="103"/>
      <c r="HN66" s="103"/>
      <c r="HO66" s="103"/>
      <c r="HP66" s="103"/>
      <c r="HQ66" s="103"/>
      <c r="HR66" s="103"/>
      <c r="HS66" s="103"/>
      <c r="HT66" s="103"/>
      <c r="HU66" s="103"/>
      <c r="HV66" s="103"/>
      <c r="HW66" s="103"/>
      <c r="HX66" s="103"/>
      <c r="HY66" s="103"/>
      <c r="HZ66" s="103"/>
      <c r="IA66" s="103"/>
      <c r="IB66" s="103"/>
      <c r="IC66" s="103"/>
      <c r="ID66" s="103"/>
      <c r="IE66" s="103"/>
      <c r="IF66" s="103"/>
      <c r="IG66" s="103"/>
      <c r="IH66" s="103"/>
      <c r="II66" s="103"/>
      <c r="IJ66" s="103"/>
      <c r="IK66" s="103"/>
      <c r="IL66" s="103"/>
      <c r="IM66" s="103"/>
      <c r="IN66" s="103"/>
      <c r="IO66" s="103"/>
      <c r="IP66" s="103"/>
      <c r="IQ66" s="103"/>
      <c r="IR66" s="103"/>
      <c r="IS66" s="103"/>
      <c r="IT66" s="103"/>
      <c r="IU66" s="103"/>
      <c r="IV66" s="103"/>
      <c r="IW66" s="103"/>
      <c r="IX66" s="103"/>
      <c r="IY66" s="103"/>
      <c r="IZ66" s="103"/>
      <c r="JA66" s="103"/>
      <c r="JB66" s="103"/>
      <c r="JC66" s="103"/>
      <c r="JD66" s="103"/>
      <c r="JE66" s="103"/>
      <c r="JF66" s="103"/>
      <c r="JG66" s="103"/>
      <c r="JH66" s="103"/>
      <c r="JI66" s="103"/>
      <c r="JJ66" s="103"/>
      <c r="JK66" s="103"/>
      <c r="JL66" s="103"/>
      <c r="JM66" s="103"/>
      <c r="JN66" s="103"/>
      <c r="JO66" s="103"/>
      <c r="JP66" s="103"/>
      <c r="JQ66" s="103"/>
      <c r="JR66" s="103"/>
      <c r="JS66" s="103"/>
      <c r="JT66" s="103"/>
      <c r="JU66" s="103"/>
      <c r="JV66" s="103"/>
      <c r="JW66" s="103"/>
      <c r="JX66" s="103"/>
      <c r="JY66" s="103"/>
      <c r="JZ66" s="103"/>
      <c r="KA66" s="103"/>
      <c r="KB66" s="103"/>
      <c r="KC66" s="103"/>
      <c r="KD66" s="103"/>
      <c r="KE66" s="103"/>
      <c r="KF66" s="103"/>
      <c r="KG66" s="103"/>
      <c r="KH66" s="103"/>
      <c r="KI66" s="103"/>
      <c r="KJ66" s="103"/>
      <c r="KK66" s="103"/>
      <c r="KL66" s="103"/>
      <c r="KM66" s="103"/>
      <c r="KN66" s="103"/>
      <c r="KO66" s="103"/>
      <c r="KP66" s="103"/>
      <c r="KQ66" s="103"/>
      <c r="KR66" s="103"/>
      <c r="KS66" s="103"/>
      <c r="KT66" s="103"/>
      <c r="KU66" s="103"/>
      <c r="KV66" s="103"/>
      <c r="KW66" s="103"/>
      <c r="KX66" s="103"/>
      <c r="KY66" s="103"/>
      <c r="KZ66" s="103"/>
      <c r="LA66" s="103"/>
      <c r="LB66" s="103"/>
      <c r="LC66" s="103"/>
      <c r="LD66" s="103"/>
      <c r="LE66" s="103"/>
      <c r="LF66" s="103"/>
      <c r="LG66" s="103"/>
      <c r="LH66" s="103"/>
      <c r="LI66" s="103"/>
      <c r="LJ66" s="103"/>
    </row>
    <row r="67" spans="1:322" s="208" customFormat="1">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3"/>
      <c r="BK67" s="103"/>
      <c r="BL67" s="103"/>
      <c r="BM67" s="103"/>
      <c r="BN67" s="103"/>
      <c r="BO67" s="103"/>
      <c r="BP67" s="103"/>
      <c r="BQ67" s="103"/>
      <c r="BR67" s="103"/>
      <c r="BS67" s="103"/>
      <c r="BT67" s="103"/>
      <c r="BU67" s="103"/>
      <c r="BV67" s="103"/>
      <c r="BW67" s="103"/>
      <c r="BX67" s="103"/>
      <c r="BY67" s="103"/>
      <c r="BZ67" s="103"/>
      <c r="CA67" s="103"/>
      <c r="CB67" s="103"/>
      <c r="CC67" s="103"/>
      <c r="CD67" s="103"/>
      <c r="CE67" s="103"/>
      <c r="CF67" s="103"/>
      <c r="CG67" s="103"/>
      <c r="CH67" s="103"/>
      <c r="CI67" s="103"/>
      <c r="CJ67" s="103"/>
      <c r="CK67" s="103"/>
      <c r="CL67" s="103"/>
      <c r="CM67" s="103"/>
      <c r="CN67" s="103"/>
      <c r="CO67" s="103"/>
      <c r="CP67" s="103"/>
      <c r="CQ67" s="103"/>
      <c r="CR67" s="103"/>
      <c r="CS67" s="103"/>
      <c r="CT67" s="103"/>
      <c r="CU67" s="103"/>
      <c r="CV67" s="103"/>
      <c r="CW67" s="103"/>
      <c r="CX67" s="103"/>
      <c r="CY67" s="103"/>
      <c r="CZ67" s="103"/>
      <c r="DA67" s="103"/>
      <c r="DB67" s="103"/>
      <c r="DC67" s="103"/>
      <c r="DD67" s="103"/>
      <c r="DE67" s="103"/>
      <c r="DF67" s="103"/>
      <c r="DG67" s="103"/>
      <c r="DH67" s="103"/>
      <c r="DI67" s="103"/>
      <c r="DJ67" s="103"/>
      <c r="DK67" s="103"/>
      <c r="DL67" s="103"/>
      <c r="DM67" s="103"/>
      <c r="DN67" s="103"/>
      <c r="DO67" s="103"/>
      <c r="DP67" s="103"/>
      <c r="DQ67" s="103"/>
      <c r="DR67" s="103"/>
      <c r="DS67" s="103"/>
      <c r="DT67" s="103"/>
      <c r="DU67" s="103"/>
      <c r="DV67" s="103"/>
      <c r="DW67" s="103"/>
      <c r="DX67" s="103"/>
      <c r="DY67" s="103"/>
      <c r="DZ67" s="103"/>
      <c r="EA67" s="103"/>
      <c r="EB67" s="103"/>
      <c r="EC67" s="103"/>
      <c r="ED67" s="103"/>
      <c r="EE67" s="103"/>
      <c r="EF67" s="103"/>
      <c r="EG67" s="103"/>
      <c r="EH67" s="103"/>
      <c r="EI67" s="103"/>
      <c r="EJ67" s="103"/>
      <c r="EK67" s="103"/>
      <c r="EL67" s="103"/>
      <c r="EM67" s="103"/>
      <c r="EN67" s="103"/>
      <c r="EO67" s="103"/>
      <c r="EP67" s="103"/>
      <c r="EQ67" s="103"/>
      <c r="ER67" s="103"/>
      <c r="ES67" s="103"/>
      <c r="ET67" s="103"/>
      <c r="EU67" s="103"/>
      <c r="EV67" s="103"/>
      <c r="EW67" s="103"/>
      <c r="EX67" s="103"/>
      <c r="EY67" s="103"/>
      <c r="EZ67" s="103"/>
      <c r="FA67" s="103"/>
      <c r="FB67" s="103"/>
      <c r="FC67" s="103"/>
      <c r="FD67" s="103"/>
      <c r="FE67" s="103"/>
      <c r="FF67" s="103"/>
      <c r="FG67" s="103"/>
      <c r="FH67" s="103"/>
      <c r="FI67" s="103"/>
      <c r="FJ67" s="103"/>
      <c r="FK67" s="103"/>
      <c r="FL67" s="103"/>
      <c r="FM67" s="103"/>
      <c r="FN67" s="103"/>
      <c r="FO67" s="103"/>
      <c r="FP67" s="103"/>
      <c r="FQ67" s="103"/>
      <c r="FR67" s="103"/>
      <c r="FS67" s="103"/>
      <c r="FT67" s="103"/>
      <c r="FU67" s="103"/>
      <c r="FV67" s="103"/>
      <c r="FW67" s="103"/>
      <c r="FX67" s="103"/>
      <c r="FY67" s="103"/>
      <c r="FZ67" s="103"/>
      <c r="GA67" s="103"/>
      <c r="GB67" s="103"/>
      <c r="GC67" s="103"/>
      <c r="GD67" s="103"/>
      <c r="GE67" s="103"/>
      <c r="GF67" s="103"/>
      <c r="GG67" s="103"/>
      <c r="GH67" s="103"/>
      <c r="GI67" s="103"/>
      <c r="GJ67" s="103"/>
      <c r="GK67" s="103"/>
      <c r="GL67" s="103"/>
      <c r="GM67" s="103"/>
      <c r="GN67" s="103"/>
      <c r="GO67" s="103"/>
      <c r="GP67" s="103"/>
      <c r="GQ67" s="103"/>
      <c r="GR67" s="103"/>
      <c r="GS67" s="103"/>
      <c r="GT67" s="103"/>
      <c r="GU67" s="103"/>
      <c r="GV67" s="103"/>
      <c r="GW67" s="103"/>
      <c r="GX67" s="103"/>
      <c r="GY67" s="103"/>
      <c r="GZ67" s="103"/>
      <c r="HA67" s="103"/>
      <c r="HB67" s="103"/>
      <c r="HC67" s="103"/>
      <c r="HD67" s="103"/>
      <c r="HE67" s="103"/>
      <c r="HF67" s="103"/>
      <c r="HG67" s="103"/>
      <c r="HH67" s="103"/>
      <c r="HI67" s="103"/>
      <c r="HJ67" s="103"/>
      <c r="HK67" s="103"/>
      <c r="HL67" s="103"/>
      <c r="HM67" s="103"/>
      <c r="HN67" s="103"/>
      <c r="HO67" s="103"/>
      <c r="HP67" s="103"/>
      <c r="HQ67" s="103"/>
      <c r="HR67" s="103"/>
      <c r="HS67" s="103"/>
      <c r="HT67" s="103"/>
      <c r="HU67" s="103"/>
      <c r="HV67" s="103"/>
      <c r="HW67" s="103"/>
      <c r="HX67" s="103"/>
      <c r="HY67" s="103"/>
      <c r="HZ67" s="103"/>
      <c r="IA67" s="103"/>
      <c r="IB67" s="103"/>
      <c r="IC67" s="103"/>
      <c r="ID67" s="103"/>
      <c r="IE67" s="103"/>
      <c r="IF67" s="103"/>
      <c r="IG67" s="103"/>
      <c r="IH67" s="103"/>
      <c r="II67" s="103"/>
      <c r="IJ67" s="103"/>
      <c r="IK67" s="103"/>
      <c r="IL67" s="103"/>
      <c r="IM67" s="103"/>
      <c r="IN67" s="103"/>
      <c r="IO67" s="103"/>
      <c r="IP67" s="103"/>
      <c r="IQ67" s="103"/>
      <c r="IR67" s="103"/>
      <c r="IS67" s="103"/>
      <c r="IT67" s="103"/>
      <c r="IU67" s="103"/>
      <c r="IV67" s="103"/>
      <c r="IW67" s="103"/>
      <c r="IX67" s="103"/>
      <c r="IY67" s="103"/>
      <c r="IZ67" s="103"/>
      <c r="JA67" s="103"/>
      <c r="JB67" s="103"/>
      <c r="JC67" s="103"/>
      <c r="JD67" s="103"/>
      <c r="JE67" s="103"/>
      <c r="JF67" s="103"/>
      <c r="JG67" s="103"/>
      <c r="JH67" s="103"/>
      <c r="JI67" s="103"/>
      <c r="JJ67" s="103"/>
      <c r="JK67" s="103"/>
      <c r="JL67" s="103"/>
      <c r="JM67" s="103"/>
      <c r="JN67" s="103"/>
      <c r="JO67" s="103"/>
      <c r="JP67" s="103"/>
      <c r="JQ67" s="103"/>
      <c r="JR67" s="103"/>
      <c r="JS67" s="103"/>
      <c r="JT67" s="103"/>
      <c r="JU67" s="103"/>
      <c r="JV67" s="103"/>
      <c r="JW67" s="103"/>
      <c r="JX67" s="103"/>
      <c r="JY67" s="103"/>
      <c r="JZ67" s="103"/>
      <c r="KA67" s="103"/>
      <c r="KB67" s="103"/>
      <c r="KC67" s="103"/>
      <c r="KD67" s="103"/>
      <c r="KE67" s="103"/>
      <c r="KF67" s="103"/>
      <c r="KG67" s="103"/>
      <c r="KH67" s="103"/>
      <c r="KI67" s="103"/>
      <c r="KJ67" s="103"/>
      <c r="KK67" s="103"/>
      <c r="KL67" s="103"/>
      <c r="KM67" s="103"/>
      <c r="KN67" s="103"/>
      <c r="KO67" s="103"/>
      <c r="KP67" s="103"/>
      <c r="KQ67" s="103"/>
      <c r="KR67" s="103"/>
      <c r="KS67" s="103"/>
      <c r="KT67" s="103"/>
      <c r="KU67" s="103"/>
      <c r="KV67" s="103"/>
      <c r="KW67" s="103"/>
      <c r="KX67" s="103"/>
      <c r="KY67" s="103"/>
      <c r="KZ67" s="103"/>
      <c r="LA67" s="103"/>
      <c r="LB67" s="103"/>
      <c r="LC67" s="103"/>
      <c r="LD67" s="103"/>
      <c r="LE67" s="103"/>
      <c r="LF67" s="103"/>
      <c r="LG67" s="103"/>
      <c r="LH67" s="103"/>
      <c r="LI67" s="103"/>
      <c r="LJ67" s="103"/>
    </row>
    <row r="68" spans="1:322" s="208" customFormat="1">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c r="CC68" s="103"/>
      <c r="CD68" s="103"/>
      <c r="CE68" s="103"/>
      <c r="CF68" s="103"/>
      <c r="CG68" s="103"/>
      <c r="CH68" s="103"/>
      <c r="CI68" s="103"/>
      <c r="CJ68" s="103"/>
      <c r="CK68" s="103"/>
      <c r="CL68" s="103"/>
      <c r="CM68" s="103"/>
      <c r="CN68" s="103"/>
      <c r="CO68" s="103"/>
      <c r="CP68" s="103"/>
      <c r="CQ68" s="103"/>
      <c r="CR68" s="103"/>
      <c r="CS68" s="103"/>
      <c r="CT68" s="103"/>
      <c r="CU68" s="103"/>
      <c r="CV68" s="103"/>
      <c r="CW68" s="103"/>
      <c r="CX68" s="103"/>
      <c r="CY68" s="103"/>
      <c r="CZ68" s="103"/>
      <c r="DA68" s="103"/>
      <c r="DB68" s="103"/>
      <c r="DC68" s="103"/>
      <c r="DD68" s="103"/>
      <c r="DE68" s="103"/>
      <c r="DF68" s="103"/>
      <c r="DG68" s="103"/>
      <c r="DH68" s="103"/>
      <c r="DI68" s="103"/>
      <c r="DJ68" s="103"/>
      <c r="DK68" s="103"/>
      <c r="DL68" s="103"/>
      <c r="DM68" s="103"/>
      <c r="DN68" s="103"/>
      <c r="DO68" s="103"/>
      <c r="DP68" s="103"/>
      <c r="DQ68" s="103"/>
      <c r="DR68" s="103"/>
      <c r="DS68" s="103"/>
      <c r="DT68" s="103"/>
      <c r="DU68" s="103"/>
      <c r="DV68" s="103"/>
      <c r="DW68" s="103"/>
      <c r="DX68" s="103"/>
      <c r="DY68" s="103"/>
      <c r="DZ68" s="103"/>
      <c r="EA68" s="103"/>
      <c r="EB68" s="103"/>
      <c r="EC68" s="103"/>
      <c r="ED68" s="103"/>
      <c r="EE68" s="103"/>
      <c r="EF68" s="103"/>
      <c r="EG68" s="103"/>
      <c r="EH68" s="103"/>
      <c r="EI68" s="103"/>
      <c r="EJ68" s="103"/>
      <c r="EK68" s="103"/>
      <c r="EL68" s="103"/>
      <c r="EM68" s="103"/>
      <c r="EN68" s="103"/>
      <c r="EO68" s="103"/>
      <c r="EP68" s="103"/>
      <c r="EQ68" s="103"/>
      <c r="ER68" s="103"/>
      <c r="ES68" s="103"/>
      <c r="ET68" s="103"/>
      <c r="EU68" s="103"/>
      <c r="EV68" s="103"/>
      <c r="EW68" s="103"/>
      <c r="EX68" s="103"/>
      <c r="EY68" s="103"/>
      <c r="EZ68" s="103"/>
      <c r="FA68" s="103"/>
      <c r="FB68" s="103"/>
      <c r="FC68" s="103"/>
      <c r="FD68" s="103"/>
      <c r="FE68" s="103"/>
      <c r="FF68" s="103"/>
      <c r="FG68" s="103"/>
      <c r="FH68" s="103"/>
      <c r="FI68" s="103"/>
      <c r="FJ68" s="103"/>
      <c r="FK68" s="103"/>
      <c r="FL68" s="103"/>
      <c r="FM68" s="103"/>
      <c r="FN68" s="103"/>
      <c r="FO68" s="103"/>
      <c r="FP68" s="103"/>
      <c r="FQ68" s="103"/>
      <c r="FR68" s="103"/>
      <c r="FS68" s="103"/>
      <c r="FT68" s="103"/>
      <c r="FU68" s="103"/>
      <c r="FV68" s="103"/>
      <c r="FW68" s="103"/>
      <c r="FX68" s="103"/>
      <c r="FY68" s="103"/>
      <c r="FZ68" s="103"/>
      <c r="GA68" s="103"/>
      <c r="GB68" s="103"/>
      <c r="GC68" s="103"/>
      <c r="GD68" s="103"/>
      <c r="GE68" s="103"/>
      <c r="GF68" s="103"/>
      <c r="GG68" s="103"/>
      <c r="GH68" s="103"/>
      <c r="GI68" s="103"/>
      <c r="GJ68" s="103"/>
      <c r="GK68" s="103"/>
      <c r="GL68" s="103"/>
      <c r="GM68" s="103"/>
      <c r="GN68" s="103"/>
      <c r="GO68" s="103"/>
      <c r="GP68" s="103"/>
      <c r="GQ68" s="103"/>
      <c r="GR68" s="103"/>
      <c r="GS68" s="103"/>
      <c r="GT68" s="103"/>
      <c r="GU68" s="103"/>
      <c r="GV68" s="103"/>
      <c r="GW68" s="103"/>
      <c r="GX68" s="103"/>
      <c r="GY68" s="103"/>
      <c r="GZ68" s="103"/>
      <c r="HA68" s="103"/>
      <c r="HB68" s="103"/>
      <c r="HC68" s="103"/>
      <c r="HD68" s="103"/>
      <c r="HE68" s="103"/>
      <c r="HF68" s="103"/>
      <c r="HG68" s="103"/>
      <c r="HH68" s="103"/>
      <c r="HI68" s="103"/>
      <c r="HJ68" s="103"/>
      <c r="HK68" s="103"/>
      <c r="HL68" s="103"/>
      <c r="HM68" s="103"/>
      <c r="HN68" s="103"/>
      <c r="HO68" s="103"/>
      <c r="HP68" s="103"/>
      <c r="HQ68" s="103"/>
      <c r="HR68" s="103"/>
      <c r="HS68" s="103"/>
      <c r="HT68" s="103"/>
      <c r="HU68" s="103"/>
      <c r="HV68" s="103"/>
      <c r="HW68" s="103"/>
      <c r="HX68" s="103"/>
      <c r="HY68" s="103"/>
      <c r="HZ68" s="103"/>
      <c r="IA68" s="103"/>
      <c r="IB68" s="103"/>
      <c r="IC68" s="103"/>
      <c r="ID68" s="103"/>
      <c r="IE68" s="103"/>
      <c r="IF68" s="103"/>
      <c r="IG68" s="103"/>
      <c r="IH68" s="103"/>
      <c r="II68" s="103"/>
      <c r="IJ68" s="103"/>
      <c r="IK68" s="103"/>
      <c r="IL68" s="103"/>
      <c r="IM68" s="103"/>
      <c r="IN68" s="103"/>
      <c r="IO68" s="103"/>
      <c r="IP68" s="103"/>
      <c r="IQ68" s="103"/>
      <c r="IR68" s="103"/>
      <c r="IS68" s="103"/>
      <c r="IT68" s="103"/>
      <c r="IU68" s="103"/>
      <c r="IV68" s="103"/>
      <c r="IW68" s="103"/>
      <c r="IX68" s="103"/>
      <c r="IY68" s="103"/>
      <c r="IZ68" s="103"/>
      <c r="JA68" s="103"/>
      <c r="JB68" s="103"/>
      <c r="JC68" s="103"/>
      <c r="JD68" s="103"/>
      <c r="JE68" s="103"/>
      <c r="JF68" s="103"/>
      <c r="JG68" s="103"/>
      <c r="JH68" s="103"/>
      <c r="JI68" s="103"/>
      <c r="JJ68" s="103"/>
      <c r="JK68" s="103"/>
      <c r="JL68" s="103"/>
      <c r="JM68" s="103"/>
      <c r="JN68" s="103"/>
      <c r="JO68" s="103"/>
      <c r="JP68" s="103"/>
      <c r="JQ68" s="103"/>
      <c r="JR68" s="103"/>
      <c r="JS68" s="103"/>
      <c r="JT68" s="103"/>
      <c r="JU68" s="103"/>
      <c r="JV68" s="103"/>
      <c r="JW68" s="103"/>
      <c r="JX68" s="103"/>
      <c r="JY68" s="103"/>
      <c r="JZ68" s="103"/>
      <c r="KA68" s="103"/>
      <c r="KB68" s="103"/>
      <c r="KC68" s="103"/>
      <c r="KD68" s="103"/>
      <c r="KE68" s="103"/>
      <c r="KF68" s="103"/>
      <c r="KG68" s="103"/>
      <c r="KH68" s="103"/>
      <c r="KI68" s="103"/>
      <c r="KJ68" s="103"/>
      <c r="KK68" s="103"/>
      <c r="KL68" s="103"/>
      <c r="KM68" s="103"/>
      <c r="KN68" s="103"/>
      <c r="KO68" s="103"/>
      <c r="KP68" s="103"/>
      <c r="KQ68" s="103"/>
      <c r="KR68" s="103"/>
      <c r="KS68" s="103"/>
      <c r="KT68" s="103"/>
      <c r="KU68" s="103"/>
      <c r="KV68" s="103"/>
      <c r="KW68" s="103"/>
      <c r="KX68" s="103"/>
      <c r="KY68" s="103"/>
      <c r="KZ68" s="103"/>
      <c r="LA68" s="103"/>
      <c r="LB68" s="103"/>
      <c r="LC68" s="103"/>
      <c r="LD68" s="103"/>
      <c r="LE68" s="103"/>
      <c r="LF68" s="103"/>
      <c r="LG68" s="103"/>
      <c r="LH68" s="103"/>
      <c r="LI68" s="103"/>
      <c r="LJ68" s="103"/>
    </row>
    <row r="69" spans="1:322" s="208" customFormat="1">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c r="AA69" s="103"/>
      <c r="AB69" s="103"/>
      <c r="AC69" s="103"/>
      <c r="AD69" s="103"/>
      <c r="AE69" s="103"/>
      <c r="AF69" s="103"/>
      <c r="AG69" s="103"/>
      <c r="AH69" s="103"/>
      <c r="AI69" s="103"/>
      <c r="AJ69" s="103"/>
      <c r="AK69" s="103"/>
      <c r="AL69" s="103"/>
      <c r="AM69" s="103"/>
      <c r="AN69" s="103"/>
      <c r="AO69" s="103"/>
      <c r="AP69" s="103"/>
      <c r="AQ69" s="103"/>
      <c r="AR69" s="103"/>
      <c r="AS69" s="103"/>
      <c r="AT69" s="103"/>
      <c r="AU69" s="103"/>
      <c r="AV69" s="103"/>
      <c r="AW69" s="103"/>
      <c r="AX69" s="103"/>
      <c r="AY69" s="103"/>
      <c r="AZ69" s="103"/>
      <c r="BA69" s="103"/>
      <c r="BB69" s="103"/>
      <c r="BC69" s="103"/>
      <c r="BD69" s="103"/>
      <c r="BE69" s="103"/>
      <c r="BF69" s="103"/>
      <c r="BG69" s="103"/>
      <c r="BH69" s="103"/>
      <c r="BI69" s="103"/>
      <c r="BJ69" s="103"/>
      <c r="BK69" s="103"/>
      <c r="BL69" s="103"/>
      <c r="BM69" s="103"/>
      <c r="BN69" s="103"/>
      <c r="BO69" s="103"/>
      <c r="BP69" s="103"/>
      <c r="BQ69" s="103"/>
      <c r="BR69" s="103"/>
      <c r="BS69" s="103"/>
      <c r="BT69" s="103"/>
      <c r="BU69" s="103"/>
      <c r="BV69" s="103"/>
      <c r="BW69" s="103"/>
      <c r="BX69" s="103"/>
      <c r="BY69" s="103"/>
      <c r="BZ69" s="103"/>
      <c r="CA69" s="103"/>
      <c r="CB69" s="103"/>
      <c r="CC69" s="103"/>
      <c r="CD69" s="103"/>
      <c r="CE69" s="103"/>
      <c r="CF69" s="103"/>
      <c r="CG69" s="103"/>
      <c r="CH69" s="103"/>
      <c r="CI69" s="103"/>
      <c r="CJ69" s="103"/>
      <c r="CK69" s="103"/>
      <c r="CL69" s="103"/>
      <c r="CM69" s="103"/>
      <c r="CN69" s="103"/>
      <c r="CO69" s="103"/>
      <c r="CP69" s="103"/>
      <c r="CQ69" s="103"/>
      <c r="CR69" s="103"/>
      <c r="CS69" s="103"/>
      <c r="CT69" s="103"/>
      <c r="CU69" s="103"/>
      <c r="CV69" s="103"/>
      <c r="CW69" s="103"/>
      <c r="CX69" s="103"/>
      <c r="CY69" s="103"/>
      <c r="CZ69" s="103"/>
      <c r="DA69" s="103"/>
      <c r="DB69" s="103"/>
      <c r="DC69" s="103"/>
      <c r="DD69" s="103"/>
      <c r="DE69" s="103"/>
      <c r="DF69" s="103"/>
      <c r="DG69" s="103"/>
      <c r="DH69" s="103"/>
      <c r="DI69" s="103"/>
      <c r="DJ69" s="103"/>
      <c r="DK69" s="103"/>
      <c r="DL69" s="103"/>
      <c r="DM69" s="103"/>
      <c r="DN69" s="103"/>
      <c r="DO69" s="103"/>
      <c r="DP69" s="103"/>
      <c r="DQ69" s="103"/>
      <c r="DR69" s="103"/>
      <c r="DS69" s="103"/>
      <c r="DT69" s="103"/>
      <c r="DU69" s="103"/>
      <c r="DV69" s="103"/>
      <c r="DW69" s="103"/>
      <c r="DX69" s="103"/>
      <c r="DY69" s="103"/>
      <c r="DZ69" s="103"/>
      <c r="EA69" s="103"/>
      <c r="EB69" s="103"/>
      <c r="EC69" s="103"/>
      <c r="ED69" s="103"/>
      <c r="EE69" s="103"/>
      <c r="EF69" s="103"/>
      <c r="EG69" s="103"/>
      <c r="EH69" s="103"/>
      <c r="EI69" s="103"/>
      <c r="EJ69" s="103"/>
      <c r="EK69" s="103"/>
      <c r="EL69" s="103"/>
      <c r="EM69" s="103"/>
      <c r="EN69" s="103"/>
      <c r="EO69" s="103"/>
      <c r="EP69" s="103"/>
      <c r="EQ69" s="103"/>
      <c r="ER69" s="103"/>
      <c r="ES69" s="103"/>
      <c r="ET69" s="103"/>
      <c r="EU69" s="103"/>
      <c r="EV69" s="103"/>
      <c r="EW69" s="103"/>
      <c r="EX69" s="103"/>
      <c r="EY69" s="103"/>
      <c r="EZ69" s="103"/>
      <c r="FA69" s="103"/>
      <c r="FB69" s="103"/>
      <c r="FC69" s="103"/>
      <c r="FD69" s="103"/>
      <c r="FE69" s="103"/>
      <c r="FF69" s="103"/>
      <c r="FG69" s="103"/>
      <c r="FH69" s="103"/>
      <c r="FI69" s="103"/>
      <c r="FJ69" s="103"/>
      <c r="FK69" s="103"/>
      <c r="FL69" s="103"/>
      <c r="FM69" s="103"/>
      <c r="FN69" s="103"/>
      <c r="FO69" s="103"/>
      <c r="FP69" s="103"/>
      <c r="FQ69" s="103"/>
      <c r="FR69" s="103"/>
      <c r="FS69" s="103"/>
      <c r="FT69" s="103"/>
      <c r="FU69" s="103"/>
      <c r="FV69" s="103"/>
      <c r="FW69" s="103"/>
      <c r="FX69" s="103"/>
      <c r="FY69" s="103"/>
      <c r="FZ69" s="103"/>
      <c r="GA69" s="103"/>
      <c r="GB69" s="103"/>
      <c r="GC69" s="103"/>
      <c r="GD69" s="103"/>
      <c r="GE69" s="103"/>
      <c r="GF69" s="103"/>
      <c r="GG69" s="103"/>
      <c r="GH69" s="103"/>
      <c r="GI69" s="103"/>
      <c r="GJ69" s="103"/>
      <c r="GK69" s="103"/>
      <c r="GL69" s="103"/>
      <c r="GM69" s="103"/>
      <c r="GN69" s="103"/>
      <c r="GO69" s="103"/>
      <c r="GP69" s="103"/>
      <c r="GQ69" s="103"/>
      <c r="GR69" s="103"/>
      <c r="GS69" s="103"/>
      <c r="GT69" s="103"/>
      <c r="GU69" s="103"/>
      <c r="GV69" s="103"/>
      <c r="GW69" s="103"/>
      <c r="GX69" s="103"/>
      <c r="GY69" s="103"/>
      <c r="GZ69" s="103"/>
      <c r="HA69" s="103"/>
      <c r="HB69" s="103"/>
      <c r="HC69" s="103"/>
      <c r="HD69" s="103"/>
      <c r="HE69" s="103"/>
      <c r="HF69" s="103"/>
      <c r="HG69" s="103"/>
      <c r="HH69" s="103"/>
      <c r="HI69" s="103"/>
      <c r="HJ69" s="103"/>
      <c r="HK69" s="103"/>
      <c r="HL69" s="103"/>
      <c r="HM69" s="103"/>
      <c r="HN69" s="103"/>
      <c r="HO69" s="103"/>
      <c r="HP69" s="103"/>
      <c r="HQ69" s="103"/>
      <c r="HR69" s="103"/>
      <c r="HS69" s="103"/>
      <c r="HT69" s="103"/>
      <c r="HU69" s="103"/>
      <c r="HV69" s="103"/>
      <c r="HW69" s="103"/>
      <c r="HX69" s="103"/>
      <c r="HY69" s="103"/>
      <c r="HZ69" s="103"/>
      <c r="IA69" s="103"/>
      <c r="IB69" s="103"/>
      <c r="IC69" s="103"/>
      <c r="ID69" s="103"/>
      <c r="IE69" s="103"/>
      <c r="IF69" s="103"/>
      <c r="IG69" s="103"/>
      <c r="IH69" s="103"/>
      <c r="II69" s="103"/>
      <c r="IJ69" s="103"/>
      <c r="IK69" s="103"/>
      <c r="IL69" s="103"/>
      <c r="IM69" s="103"/>
      <c r="IN69" s="103"/>
      <c r="IO69" s="103"/>
      <c r="IP69" s="103"/>
      <c r="IQ69" s="103"/>
      <c r="IR69" s="103"/>
      <c r="IS69" s="103"/>
      <c r="IT69" s="103"/>
      <c r="IU69" s="103"/>
      <c r="IV69" s="103"/>
      <c r="IW69" s="103"/>
      <c r="IX69" s="103"/>
      <c r="IY69" s="103"/>
      <c r="IZ69" s="103"/>
      <c r="JA69" s="103"/>
      <c r="JB69" s="103"/>
      <c r="JC69" s="103"/>
      <c r="JD69" s="103"/>
      <c r="JE69" s="103"/>
      <c r="JF69" s="103"/>
      <c r="JG69" s="103"/>
      <c r="JH69" s="103"/>
      <c r="JI69" s="103"/>
      <c r="JJ69" s="103"/>
      <c r="JK69" s="103"/>
      <c r="JL69" s="103"/>
      <c r="JM69" s="103"/>
      <c r="JN69" s="103"/>
      <c r="JO69" s="103"/>
      <c r="JP69" s="103"/>
      <c r="JQ69" s="103"/>
      <c r="JR69" s="103"/>
      <c r="JS69" s="103"/>
      <c r="JT69" s="103"/>
      <c r="JU69" s="103"/>
      <c r="JV69" s="103"/>
      <c r="JW69" s="103"/>
      <c r="JX69" s="103"/>
      <c r="JY69" s="103"/>
      <c r="JZ69" s="103"/>
      <c r="KA69" s="103"/>
      <c r="KB69" s="103"/>
      <c r="KC69" s="103"/>
      <c r="KD69" s="103"/>
      <c r="KE69" s="103"/>
      <c r="KF69" s="103"/>
      <c r="KG69" s="103"/>
      <c r="KH69" s="103"/>
      <c r="KI69" s="103"/>
      <c r="KJ69" s="103"/>
      <c r="KK69" s="103"/>
      <c r="KL69" s="103"/>
      <c r="KM69" s="103"/>
      <c r="KN69" s="103"/>
      <c r="KO69" s="103"/>
      <c r="KP69" s="103"/>
      <c r="KQ69" s="103"/>
      <c r="KR69" s="103"/>
      <c r="KS69" s="103"/>
      <c r="KT69" s="103"/>
      <c r="KU69" s="103"/>
      <c r="KV69" s="103"/>
      <c r="KW69" s="103"/>
      <c r="KX69" s="103"/>
      <c r="KY69" s="103"/>
      <c r="KZ69" s="103"/>
      <c r="LA69" s="103"/>
      <c r="LB69" s="103"/>
      <c r="LC69" s="103"/>
      <c r="LD69" s="103"/>
      <c r="LE69" s="103"/>
      <c r="LF69" s="103"/>
      <c r="LG69" s="103"/>
      <c r="LH69" s="103"/>
      <c r="LI69" s="103"/>
      <c r="LJ69" s="103"/>
    </row>
    <row r="70" spans="1:322" s="208" customFormat="1">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3"/>
      <c r="AN70" s="103"/>
      <c r="AO70" s="103"/>
      <c r="AP70" s="103"/>
      <c r="AQ70" s="103"/>
      <c r="AR70" s="103"/>
      <c r="AS70" s="103"/>
      <c r="AT70" s="103"/>
      <c r="AU70" s="103"/>
      <c r="AV70" s="103"/>
      <c r="AW70" s="103"/>
      <c r="AX70" s="103"/>
      <c r="AY70" s="103"/>
      <c r="AZ70" s="103"/>
      <c r="BA70" s="103"/>
      <c r="BB70" s="103"/>
      <c r="BC70" s="103"/>
      <c r="BD70" s="103"/>
      <c r="BE70" s="103"/>
      <c r="BF70" s="103"/>
      <c r="BG70" s="103"/>
      <c r="BH70" s="103"/>
      <c r="BI70" s="103"/>
      <c r="BJ70" s="103"/>
      <c r="BK70" s="103"/>
      <c r="BL70" s="103"/>
      <c r="BM70" s="103"/>
      <c r="BN70" s="103"/>
      <c r="BO70" s="103"/>
      <c r="BP70" s="103"/>
      <c r="BQ70" s="103"/>
      <c r="BR70" s="103"/>
      <c r="BS70" s="103"/>
      <c r="BT70" s="103"/>
      <c r="BU70" s="103"/>
      <c r="BV70" s="103"/>
      <c r="BW70" s="103"/>
      <c r="BX70" s="103"/>
      <c r="BY70" s="103"/>
      <c r="BZ70" s="103"/>
      <c r="CA70" s="103"/>
      <c r="CB70" s="103"/>
      <c r="CC70" s="103"/>
      <c r="CD70" s="103"/>
      <c r="CE70" s="103"/>
      <c r="CF70" s="103"/>
      <c r="CG70" s="103"/>
      <c r="CH70" s="103"/>
      <c r="CI70" s="103"/>
      <c r="CJ70" s="103"/>
      <c r="CK70" s="103"/>
      <c r="CL70" s="103"/>
      <c r="CM70" s="103"/>
      <c r="CN70" s="103"/>
      <c r="CO70" s="103"/>
      <c r="CP70" s="103"/>
      <c r="CQ70" s="103"/>
      <c r="CR70" s="103"/>
      <c r="CS70" s="103"/>
      <c r="CT70" s="103"/>
      <c r="CU70" s="103"/>
      <c r="CV70" s="103"/>
      <c r="CW70" s="103"/>
      <c r="CX70" s="103"/>
      <c r="CY70" s="103"/>
      <c r="CZ70" s="103"/>
      <c r="DA70" s="103"/>
      <c r="DB70" s="103"/>
      <c r="DC70" s="103"/>
      <c r="DD70" s="103"/>
      <c r="DE70" s="103"/>
      <c r="DF70" s="103"/>
      <c r="DG70" s="103"/>
      <c r="DH70" s="103"/>
      <c r="DI70" s="103"/>
      <c r="DJ70" s="103"/>
      <c r="DK70" s="103"/>
      <c r="DL70" s="103"/>
      <c r="DM70" s="103"/>
      <c r="DN70" s="103"/>
      <c r="DO70" s="103"/>
      <c r="DP70" s="103"/>
      <c r="DQ70" s="103"/>
      <c r="DR70" s="103"/>
      <c r="DS70" s="103"/>
      <c r="DT70" s="103"/>
      <c r="DU70" s="103"/>
      <c r="DV70" s="103"/>
      <c r="DW70" s="103"/>
      <c r="DX70" s="103"/>
      <c r="DY70" s="103"/>
      <c r="DZ70" s="103"/>
      <c r="EA70" s="103"/>
      <c r="EB70" s="103"/>
      <c r="EC70" s="103"/>
      <c r="ED70" s="103"/>
      <c r="EE70" s="103"/>
      <c r="EF70" s="103"/>
      <c r="EG70" s="103"/>
      <c r="EH70" s="103"/>
      <c r="EI70" s="103"/>
      <c r="EJ70" s="103"/>
      <c r="EK70" s="103"/>
      <c r="EL70" s="103"/>
      <c r="EM70" s="103"/>
      <c r="EN70" s="103"/>
      <c r="EO70" s="103"/>
      <c r="EP70" s="103"/>
      <c r="EQ70" s="103"/>
      <c r="ER70" s="103"/>
      <c r="ES70" s="103"/>
      <c r="ET70" s="103"/>
      <c r="EU70" s="103"/>
      <c r="EV70" s="103"/>
      <c r="EW70" s="103"/>
      <c r="EX70" s="103"/>
      <c r="EY70" s="103"/>
      <c r="EZ70" s="103"/>
      <c r="FA70" s="103"/>
      <c r="FB70" s="103"/>
      <c r="FC70" s="103"/>
      <c r="FD70" s="103"/>
      <c r="FE70" s="103"/>
      <c r="FF70" s="103"/>
      <c r="FG70" s="103"/>
      <c r="FH70" s="103"/>
      <c r="FI70" s="103"/>
      <c r="FJ70" s="103"/>
      <c r="FK70" s="103"/>
      <c r="FL70" s="103"/>
      <c r="FM70" s="103"/>
      <c r="FN70" s="103"/>
      <c r="FO70" s="103"/>
      <c r="FP70" s="103"/>
      <c r="FQ70" s="103"/>
      <c r="FR70" s="103"/>
      <c r="FS70" s="103"/>
      <c r="FT70" s="103"/>
      <c r="FU70" s="103"/>
      <c r="FV70" s="103"/>
      <c r="FW70" s="103"/>
      <c r="FX70" s="103"/>
      <c r="FY70" s="103"/>
      <c r="FZ70" s="103"/>
      <c r="GA70" s="103"/>
      <c r="GB70" s="103"/>
      <c r="GC70" s="103"/>
      <c r="GD70" s="103"/>
      <c r="GE70" s="103"/>
      <c r="GF70" s="103"/>
      <c r="GG70" s="103"/>
      <c r="GH70" s="103"/>
      <c r="GI70" s="103"/>
      <c r="GJ70" s="103"/>
      <c r="GK70" s="103"/>
      <c r="GL70" s="103"/>
      <c r="GM70" s="103"/>
      <c r="GN70" s="103"/>
      <c r="GO70" s="103"/>
      <c r="GP70" s="103"/>
      <c r="GQ70" s="103"/>
      <c r="GR70" s="103"/>
      <c r="GS70" s="103"/>
      <c r="GT70" s="103"/>
      <c r="GU70" s="103"/>
      <c r="GV70" s="103"/>
      <c r="GW70" s="103"/>
      <c r="GX70" s="103"/>
      <c r="GY70" s="103"/>
      <c r="GZ70" s="103"/>
      <c r="HA70" s="103"/>
      <c r="HB70" s="103"/>
      <c r="HC70" s="103"/>
      <c r="HD70" s="103"/>
      <c r="HE70" s="103"/>
      <c r="HF70" s="103"/>
      <c r="HG70" s="103"/>
      <c r="HH70" s="103"/>
      <c r="HI70" s="103"/>
      <c r="HJ70" s="103"/>
      <c r="HK70" s="103"/>
      <c r="HL70" s="103"/>
      <c r="HM70" s="103"/>
      <c r="HN70" s="103"/>
      <c r="HO70" s="103"/>
      <c r="HP70" s="103"/>
      <c r="HQ70" s="103"/>
      <c r="HR70" s="103"/>
      <c r="HS70" s="103"/>
      <c r="HT70" s="103"/>
      <c r="HU70" s="103"/>
      <c r="HV70" s="103"/>
      <c r="HW70" s="103"/>
      <c r="HX70" s="103"/>
      <c r="HY70" s="103"/>
      <c r="HZ70" s="103"/>
      <c r="IA70" s="103"/>
      <c r="IB70" s="103"/>
      <c r="IC70" s="103"/>
      <c r="ID70" s="103"/>
      <c r="IE70" s="103"/>
      <c r="IF70" s="103"/>
      <c r="IG70" s="103"/>
      <c r="IH70" s="103"/>
      <c r="II70" s="103"/>
      <c r="IJ70" s="103"/>
      <c r="IK70" s="103"/>
      <c r="IL70" s="103"/>
      <c r="IM70" s="103"/>
      <c r="IN70" s="103"/>
      <c r="IO70" s="103"/>
      <c r="IP70" s="103"/>
      <c r="IQ70" s="103"/>
      <c r="IR70" s="103"/>
      <c r="IS70" s="103"/>
      <c r="IT70" s="103"/>
      <c r="IU70" s="103"/>
      <c r="IV70" s="103"/>
      <c r="IW70" s="103"/>
      <c r="IX70" s="103"/>
      <c r="IY70" s="103"/>
      <c r="IZ70" s="103"/>
      <c r="JA70" s="103"/>
      <c r="JB70" s="103"/>
      <c r="JC70" s="103"/>
      <c r="JD70" s="103"/>
      <c r="JE70" s="103"/>
      <c r="JF70" s="103"/>
      <c r="JG70" s="103"/>
      <c r="JH70" s="103"/>
      <c r="JI70" s="103"/>
      <c r="JJ70" s="103"/>
      <c r="JK70" s="103"/>
      <c r="JL70" s="103"/>
      <c r="JM70" s="103"/>
      <c r="JN70" s="103"/>
      <c r="JO70" s="103"/>
      <c r="JP70" s="103"/>
      <c r="JQ70" s="103"/>
      <c r="JR70" s="103"/>
      <c r="JS70" s="103"/>
      <c r="JT70" s="103"/>
      <c r="JU70" s="103"/>
      <c r="JV70" s="103"/>
      <c r="JW70" s="103"/>
      <c r="JX70" s="103"/>
      <c r="JY70" s="103"/>
      <c r="JZ70" s="103"/>
      <c r="KA70" s="103"/>
      <c r="KB70" s="103"/>
      <c r="KC70" s="103"/>
      <c r="KD70" s="103"/>
      <c r="KE70" s="103"/>
      <c r="KF70" s="103"/>
      <c r="KG70" s="103"/>
      <c r="KH70" s="103"/>
      <c r="KI70" s="103"/>
      <c r="KJ70" s="103"/>
      <c r="KK70" s="103"/>
      <c r="KL70" s="103"/>
      <c r="KM70" s="103"/>
      <c r="KN70" s="103"/>
      <c r="KO70" s="103"/>
      <c r="KP70" s="103"/>
      <c r="KQ70" s="103"/>
      <c r="KR70" s="103"/>
      <c r="KS70" s="103"/>
      <c r="KT70" s="103"/>
      <c r="KU70" s="103"/>
      <c r="KV70" s="103"/>
      <c r="KW70" s="103"/>
      <c r="KX70" s="103"/>
      <c r="KY70" s="103"/>
      <c r="KZ70" s="103"/>
      <c r="LA70" s="103"/>
      <c r="LB70" s="103"/>
      <c r="LC70" s="103"/>
      <c r="LD70" s="103"/>
      <c r="LE70" s="103"/>
      <c r="LF70" s="103"/>
      <c r="LG70" s="103"/>
      <c r="LH70" s="103"/>
      <c r="LI70" s="103"/>
      <c r="LJ70" s="103"/>
    </row>
    <row r="71" spans="1:322" s="208" customFormat="1">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c r="AA71" s="103"/>
      <c r="AB71" s="103"/>
      <c r="AC71" s="103"/>
      <c r="AD71" s="103"/>
      <c r="AE71" s="103"/>
      <c r="AF71" s="103"/>
      <c r="AG71" s="103"/>
      <c r="AH71" s="103"/>
      <c r="AI71" s="103"/>
      <c r="AJ71" s="103"/>
      <c r="AK71" s="103"/>
      <c r="AL71" s="103"/>
      <c r="AM71" s="103"/>
      <c r="AN71" s="103"/>
      <c r="AO71" s="103"/>
      <c r="AP71" s="103"/>
      <c r="AQ71" s="103"/>
      <c r="AR71" s="103"/>
      <c r="AS71" s="103"/>
      <c r="AT71" s="103"/>
      <c r="AU71" s="103"/>
      <c r="AV71" s="103"/>
      <c r="AW71" s="103"/>
      <c r="AX71" s="103"/>
      <c r="AY71" s="103"/>
      <c r="AZ71" s="103"/>
      <c r="BA71" s="103"/>
      <c r="BB71" s="103"/>
      <c r="BC71" s="103"/>
      <c r="BD71" s="103"/>
      <c r="BE71" s="103"/>
      <c r="BF71" s="103"/>
      <c r="BG71" s="103"/>
      <c r="BH71" s="103"/>
      <c r="BI71" s="103"/>
      <c r="BJ71" s="103"/>
      <c r="BK71" s="103"/>
      <c r="BL71" s="103"/>
      <c r="BM71" s="103"/>
      <c r="BN71" s="103"/>
      <c r="BO71" s="103"/>
      <c r="BP71" s="103"/>
      <c r="BQ71" s="103"/>
      <c r="BR71" s="103"/>
      <c r="BS71" s="103"/>
      <c r="BT71" s="103"/>
      <c r="BU71" s="103"/>
      <c r="BV71" s="103"/>
      <c r="BW71" s="103"/>
      <c r="BX71" s="103"/>
      <c r="BY71" s="103"/>
      <c r="BZ71" s="103"/>
      <c r="CA71" s="103"/>
      <c r="CB71" s="103"/>
      <c r="CC71" s="103"/>
      <c r="CD71" s="103"/>
      <c r="CE71" s="103"/>
      <c r="CF71" s="103"/>
      <c r="CG71" s="103"/>
      <c r="CH71" s="103"/>
      <c r="CI71" s="103"/>
      <c r="CJ71" s="103"/>
      <c r="CK71" s="103"/>
      <c r="CL71" s="103"/>
      <c r="CM71" s="103"/>
      <c r="CN71" s="103"/>
      <c r="CO71" s="103"/>
      <c r="CP71" s="103"/>
      <c r="CQ71" s="103"/>
      <c r="CR71" s="103"/>
      <c r="CS71" s="103"/>
      <c r="CT71" s="103"/>
      <c r="CU71" s="103"/>
      <c r="CV71" s="103"/>
      <c r="CW71" s="103"/>
      <c r="CX71" s="103"/>
      <c r="CY71" s="103"/>
      <c r="CZ71" s="103"/>
      <c r="DA71" s="103"/>
      <c r="DB71" s="103"/>
      <c r="DC71" s="103"/>
      <c r="DD71" s="103"/>
      <c r="DE71" s="103"/>
      <c r="DF71" s="103"/>
      <c r="DG71" s="103"/>
      <c r="DH71" s="103"/>
      <c r="DI71" s="103"/>
      <c r="DJ71" s="103"/>
      <c r="DK71" s="103"/>
      <c r="DL71" s="103"/>
      <c r="DM71" s="103"/>
      <c r="DN71" s="103"/>
      <c r="DO71" s="103"/>
      <c r="DP71" s="103"/>
      <c r="DQ71" s="103"/>
      <c r="DR71" s="103"/>
      <c r="DS71" s="103"/>
      <c r="DT71" s="103"/>
      <c r="DU71" s="103"/>
      <c r="DV71" s="103"/>
      <c r="DW71" s="103"/>
      <c r="DX71" s="103"/>
      <c r="DY71" s="103"/>
      <c r="DZ71" s="103"/>
      <c r="EA71" s="103"/>
      <c r="EB71" s="103"/>
      <c r="EC71" s="103"/>
      <c r="ED71" s="103"/>
      <c r="EE71" s="103"/>
      <c r="EF71" s="103"/>
      <c r="EG71" s="103"/>
      <c r="EH71" s="103"/>
      <c r="EI71" s="103"/>
      <c r="EJ71" s="103"/>
      <c r="EK71" s="103"/>
      <c r="EL71" s="103"/>
      <c r="EM71" s="103"/>
      <c r="EN71" s="103"/>
      <c r="EO71" s="103"/>
      <c r="EP71" s="103"/>
      <c r="EQ71" s="103"/>
      <c r="ER71" s="103"/>
      <c r="ES71" s="103"/>
      <c r="ET71" s="103"/>
      <c r="EU71" s="103"/>
      <c r="EV71" s="103"/>
      <c r="EW71" s="103"/>
      <c r="EX71" s="103"/>
      <c r="EY71" s="103"/>
      <c r="EZ71" s="103"/>
      <c r="FA71" s="103"/>
      <c r="FB71" s="103"/>
      <c r="FC71" s="103"/>
      <c r="FD71" s="103"/>
      <c r="FE71" s="103"/>
      <c r="FF71" s="103"/>
      <c r="FG71" s="103"/>
      <c r="FH71" s="103"/>
      <c r="FI71" s="103"/>
      <c r="FJ71" s="103"/>
      <c r="FK71" s="103"/>
      <c r="FL71" s="103"/>
      <c r="FM71" s="103"/>
      <c r="FN71" s="103"/>
      <c r="FO71" s="103"/>
      <c r="FP71" s="103"/>
      <c r="FQ71" s="103"/>
      <c r="FR71" s="103"/>
      <c r="FS71" s="103"/>
      <c r="FT71" s="103"/>
      <c r="FU71" s="103"/>
      <c r="FV71" s="103"/>
      <c r="FW71" s="103"/>
      <c r="FX71" s="103"/>
      <c r="FY71" s="103"/>
      <c r="FZ71" s="103"/>
      <c r="GA71" s="103"/>
      <c r="GB71" s="103"/>
      <c r="GC71" s="103"/>
      <c r="GD71" s="103"/>
      <c r="GE71" s="103"/>
      <c r="GF71" s="103"/>
      <c r="GG71" s="103"/>
      <c r="GH71" s="103"/>
      <c r="GI71" s="103"/>
      <c r="GJ71" s="103"/>
      <c r="GK71" s="103"/>
      <c r="GL71" s="103"/>
      <c r="GM71" s="103"/>
      <c r="GN71" s="103"/>
      <c r="GO71" s="103"/>
      <c r="GP71" s="103"/>
      <c r="GQ71" s="103"/>
      <c r="GR71" s="103"/>
      <c r="GS71" s="103"/>
      <c r="GT71" s="103"/>
      <c r="GU71" s="103"/>
      <c r="GV71" s="103"/>
      <c r="GW71" s="103"/>
      <c r="GX71" s="103"/>
      <c r="GY71" s="103"/>
      <c r="GZ71" s="103"/>
      <c r="HA71" s="103"/>
      <c r="HB71" s="103"/>
      <c r="HC71" s="103"/>
      <c r="HD71" s="103"/>
      <c r="HE71" s="103"/>
      <c r="HF71" s="103"/>
      <c r="HG71" s="103"/>
      <c r="HH71" s="103"/>
      <c r="HI71" s="103"/>
      <c r="HJ71" s="103"/>
      <c r="HK71" s="103"/>
      <c r="HL71" s="103"/>
      <c r="HM71" s="103"/>
      <c r="HN71" s="103"/>
      <c r="HO71" s="103"/>
      <c r="HP71" s="103"/>
      <c r="HQ71" s="103"/>
      <c r="HR71" s="103"/>
      <c r="HS71" s="103"/>
      <c r="HT71" s="103"/>
      <c r="HU71" s="103"/>
      <c r="HV71" s="103"/>
      <c r="HW71" s="103"/>
      <c r="HX71" s="103"/>
      <c r="HY71" s="103"/>
      <c r="HZ71" s="103"/>
      <c r="IA71" s="103"/>
      <c r="IB71" s="103"/>
      <c r="IC71" s="103"/>
      <c r="ID71" s="103"/>
      <c r="IE71" s="103"/>
      <c r="IF71" s="103"/>
      <c r="IG71" s="103"/>
      <c r="IH71" s="103"/>
      <c r="II71" s="103"/>
      <c r="IJ71" s="103"/>
      <c r="IK71" s="103"/>
      <c r="IL71" s="103"/>
      <c r="IM71" s="103"/>
      <c r="IN71" s="103"/>
      <c r="IO71" s="103"/>
      <c r="IP71" s="103"/>
      <c r="IQ71" s="103"/>
      <c r="IR71" s="103"/>
      <c r="IS71" s="103"/>
      <c r="IT71" s="103"/>
      <c r="IU71" s="103"/>
      <c r="IV71" s="103"/>
      <c r="IW71" s="103"/>
      <c r="IX71" s="103"/>
      <c r="IY71" s="103"/>
      <c r="IZ71" s="103"/>
      <c r="JA71" s="103"/>
      <c r="JB71" s="103"/>
      <c r="JC71" s="103"/>
      <c r="JD71" s="103"/>
      <c r="JE71" s="103"/>
      <c r="JF71" s="103"/>
      <c r="JG71" s="103"/>
      <c r="JH71" s="103"/>
      <c r="JI71" s="103"/>
      <c r="JJ71" s="103"/>
      <c r="JK71" s="103"/>
      <c r="JL71" s="103"/>
      <c r="JM71" s="103"/>
      <c r="JN71" s="103"/>
      <c r="JO71" s="103"/>
      <c r="JP71" s="103"/>
      <c r="JQ71" s="103"/>
      <c r="JR71" s="103"/>
      <c r="JS71" s="103"/>
      <c r="JT71" s="103"/>
      <c r="JU71" s="103"/>
      <c r="JV71" s="103"/>
      <c r="JW71" s="103"/>
      <c r="JX71" s="103"/>
      <c r="JY71" s="103"/>
      <c r="JZ71" s="103"/>
      <c r="KA71" s="103"/>
      <c r="KB71" s="103"/>
      <c r="KC71" s="103"/>
      <c r="KD71" s="103"/>
      <c r="KE71" s="103"/>
      <c r="KF71" s="103"/>
      <c r="KG71" s="103"/>
      <c r="KH71" s="103"/>
      <c r="KI71" s="103"/>
      <c r="KJ71" s="103"/>
      <c r="KK71" s="103"/>
      <c r="KL71" s="103"/>
      <c r="KM71" s="103"/>
      <c r="KN71" s="103"/>
      <c r="KO71" s="103"/>
      <c r="KP71" s="103"/>
      <c r="KQ71" s="103"/>
      <c r="KR71" s="103"/>
      <c r="KS71" s="103"/>
      <c r="KT71" s="103"/>
      <c r="KU71" s="103"/>
      <c r="KV71" s="103"/>
      <c r="KW71" s="103"/>
      <c r="KX71" s="103"/>
      <c r="KY71" s="103"/>
      <c r="KZ71" s="103"/>
      <c r="LA71" s="103"/>
      <c r="LB71" s="103"/>
      <c r="LC71" s="103"/>
      <c r="LD71" s="103"/>
      <c r="LE71" s="103"/>
      <c r="LF71" s="103"/>
      <c r="LG71" s="103"/>
      <c r="LH71" s="103"/>
      <c r="LI71" s="103"/>
      <c r="LJ71" s="103"/>
    </row>
    <row r="72" spans="1:322" s="208" customFormat="1">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c r="AA72" s="103"/>
      <c r="AB72" s="103"/>
      <c r="AC72" s="103"/>
      <c r="AD72" s="103"/>
      <c r="AE72" s="103"/>
      <c r="AF72" s="103"/>
      <c r="AG72" s="103"/>
      <c r="AH72" s="103"/>
      <c r="AI72" s="103"/>
      <c r="AJ72" s="103"/>
      <c r="AK72" s="103"/>
      <c r="AL72" s="103"/>
      <c r="AM72" s="103"/>
      <c r="AN72" s="103"/>
      <c r="AO72" s="103"/>
      <c r="AP72" s="103"/>
      <c r="AQ72" s="103"/>
      <c r="AR72" s="103"/>
      <c r="AS72" s="103"/>
      <c r="AT72" s="103"/>
      <c r="AU72" s="103"/>
      <c r="AV72" s="103"/>
      <c r="AW72" s="103"/>
      <c r="AX72" s="103"/>
      <c r="AY72" s="103"/>
      <c r="AZ72" s="103"/>
      <c r="BA72" s="103"/>
      <c r="BB72" s="103"/>
      <c r="BC72" s="103"/>
      <c r="BD72" s="103"/>
      <c r="BE72" s="103"/>
      <c r="BF72" s="103"/>
      <c r="BG72" s="103"/>
      <c r="BH72" s="103"/>
      <c r="BI72" s="103"/>
      <c r="BJ72" s="103"/>
      <c r="BK72" s="103"/>
      <c r="BL72" s="103"/>
      <c r="BM72" s="103"/>
      <c r="BN72" s="103"/>
      <c r="BO72" s="103"/>
      <c r="BP72" s="103"/>
      <c r="BQ72" s="103"/>
      <c r="BR72" s="103"/>
      <c r="BS72" s="103"/>
      <c r="BT72" s="103"/>
      <c r="BU72" s="103"/>
      <c r="BV72" s="103"/>
      <c r="BW72" s="103"/>
      <c r="BX72" s="103"/>
      <c r="BY72" s="103"/>
      <c r="BZ72" s="103"/>
      <c r="CA72" s="103"/>
      <c r="CB72" s="103"/>
      <c r="CC72" s="103"/>
      <c r="CD72" s="103"/>
      <c r="CE72" s="103"/>
      <c r="CF72" s="103"/>
      <c r="CG72" s="103"/>
      <c r="CH72" s="103"/>
      <c r="CI72" s="103"/>
      <c r="CJ72" s="103"/>
      <c r="CK72" s="103"/>
      <c r="CL72" s="103"/>
      <c r="CM72" s="103"/>
      <c r="CN72" s="103"/>
      <c r="CO72" s="103"/>
      <c r="CP72" s="103"/>
      <c r="CQ72" s="103"/>
      <c r="CR72" s="103"/>
      <c r="CS72" s="103"/>
      <c r="CT72" s="103"/>
      <c r="CU72" s="103"/>
      <c r="CV72" s="103"/>
      <c r="CW72" s="103"/>
      <c r="CX72" s="103"/>
      <c r="CY72" s="103"/>
      <c r="CZ72" s="103"/>
      <c r="DA72" s="103"/>
      <c r="DB72" s="103"/>
      <c r="DC72" s="103"/>
      <c r="DD72" s="103"/>
      <c r="DE72" s="103"/>
      <c r="DF72" s="103"/>
      <c r="DG72" s="103"/>
      <c r="DH72" s="103"/>
      <c r="DI72" s="103"/>
      <c r="DJ72" s="103"/>
      <c r="DK72" s="103"/>
      <c r="DL72" s="103"/>
      <c r="DM72" s="103"/>
      <c r="DN72" s="103"/>
      <c r="DO72" s="103"/>
      <c r="DP72" s="103"/>
      <c r="DQ72" s="103"/>
      <c r="DR72" s="103"/>
      <c r="DS72" s="103"/>
      <c r="DT72" s="103"/>
      <c r="DU72" s="103"/>
      <c r="DV72" s="103"/>
      <c r="DW72" s="103"/>
      <c r="DX72" s="103"/>
      <c r="DY72" s="103"/>
      <c r="DZ72" s="103"/>
      <c r="EA72" s="103"/>
      <c r="EB72" s="103"/>
      <c r="EC72" s="103"/>
      <c r="ED72" s="103"/>
      <c r="EE72" s="103"/>
      <c r="EF72" s="103"/>
      <c r="EG72" s="103"/>
      <c r="EH72" s="103"/>
      <c r="EI72" s="103"/>
      <c r="EJ72" s="103"/>
      <c r="EK72" s="103"/>
      <c r="EL72" s="103"/>
      <c r="EM72" s="103"/>
      <c r="EN72" s="103"/>
      <c r="EO72" s="103"/>
      <c r="EP72" s="103"/>
      <c r="EQ72" s="103"/>
      <c r="ER72" s="103"/>
      <c r="ES72" s="103"/>
      <c r="ET72" s="103"/>
      <c r="EU72" s="103"/>
      <c r="EV72" s="103"/>
      <c r="EW72" s="103"/>
      <c r="EX72" s="103"/>
      <c r="EY72" s="103"/>
      <c r="EZ72" s="103"/>
      <c r="FA72" s="103"/>
      <c r="FB72" s="103"/>
      <c r="FC72" s="103"/>
      <c r="FD72" s="103"/>
      <c r="FE72" s="103"/>
      <c r="FF72" s="103"/>
      <c r="FG72" s="103"/>
      <c r="FH72" s="103"/>
      <c r="FI72" s="103"/>
      <c r="FJ72" s="103"/>
      <c r="FK72" s="103"/>
      <c r="FL72" s="103"/>
      <c r="FM72" s="103"/>
      <c r="FN72" s="103"/>
      <c r="FO72" s="103"/>
      <c r="FP72" s="103"/>
      <c r="FQ72" s="103"/>
      <c r="FR72" s="103"/>
      <c r="FS72" s="103"/>
      <c r="FT72" s="103"/>
      <c r="FU72" s="103"/>
      <c r="FV72" s="103"/>
      <c r="FW72" s="103"/>
      <c r="FX72" s="103"/>
      <c r="FY72" s="103"/>
      <c r="FZ72" s="103"/>
      <c r="GA72" s="103"/>
      <c r="GB72" s="103"/>
      <c r="GC72" s="103"/>
      <c r="GD72" s="103"/>
      <c r="GE72" s="103"/>
      <c r="GF72" s="103"/>
      <c r="GG72" s="103"/>
      <c r="GH72" s="103"/>
      <c r="GI72" s="103"/>
      <c r="GJ72" s="103"/>
      <c r="GK72" s="103"/>
      <c r="GL72" s="103"/>
      <c r="GM72" s="103"/>
      <c r="GN72" s="103"/>
      <c r="GO72" s="103"/>
      <c r="GP72" s="103"/>
      <c r="GQ72" s="103"/>
      <c r="GR72" s="103"/>
      <c r="GS72" s="103"/>
      <c r="GT72" s="103"/>
      <c r="GU72" s="103"/>
      <c r="GV72" s="103"/>
      <c r="GW72" s="103"/>
      <c r="GX72" s="103"/>
      <c r="GY72" s="103"/>
      <c r="GZ72" s="103"/>
      <c r="HA72" s="103"/>
      <c r="HB72" s="103"/>
      <c r="HC72" s="103"/>
      <c r="HD72" s="103"/>
      <c r="HE72" s="103"/>
      <c r="HF72" s="103"/>
      <c r="HG72" s="103"/>
      <c r="HH72" s="103"/>
      <c r="HI72" s="103"/>
      <c r="HJ72" s="103"/>
      <c r="HK72" s="103"/>
      <c r="HL72" s="103"/>
      <c r="HM72" s="103"/>
      <c r="HN72" s="103"/>
      <c r="HO72" s="103"/>
      <c r="HP72" s="103"/>
      <c r="HQ72" s="103"/>
      <c r="HR72" s="103"/>
      <c r="HS72" s="103"/>
      <c r="HT72" s="103"/>
      <c r="HU72" s="103"/>
      <c r="HV72" s="103"/>
      <c r="HW72" s="103"/>
      <c r="HX72" s="103"/>
      <c r="HY72" s="103"/>
      <c r="HZ72" s="103"/>
      <c r="IA72" s="103"/>
      <c r="IB72" s="103"/>
      <c r="IC72" s="103"/>
      <c r="ID72" s="103"/>
      <c r="IE72" s="103"/>
      <c r="IF72" s="103"/>
      <c r="IG72" s="103"/>
      <c r="IH72" s="103"/>
      <c r="II72" s="103"/>
      <c r="IJ72" s="103"/>
      <c r="IK72" s="103"/>
      <c r="IL72" s="103"/>
      <c r="IM72" s="103"/>
      <c r="IN72" s="103"/>
      <c r="IO72" s="103"/>
      <c r="IP72" s="103"/>
      <c r="IQ72" s="103"/>
      <c r="IR72" s="103"/>
      <c r="IS72" s="103"/>
      <c r="IT72" s="103"/>
      <c r="IU72" s="103"/>
      <c r="IV72" s="103"/>
      <c r="IW72" s="103"/>
      <c r="IX72" s="103"/>
      <c r="IY72" s="103"/>
      <c r="IZ72" s="103"/>
      <c r="JA72" s="103"/>
      <c r="JB72" s="103"/>
      <c r="JC72" s="103"/>
      <c r="JD72" s="103"/>
      <c r="JE72" s="103"/>
      <c r="JF72" s="103"/>
      <c r="JG72" s="103"/>
      <c r="JH72" s="103"/>
      <c r="JI72" s="103"/>
      <c r="JJ72" s="103"/>
      <c r="JK72" s="103"/>
      <c r="JL72" s="103"/>
      <c r="JM72" s="103"/>
      <c r="JN72" s="103"/>
      <c r="JO72" s="103"/>
      <c r="JP72" s="103"/>
      <c r="JQ72" s="103"/>
      <c r="JR72" s="103"/>
      <c r="JS72" s="103"/>
      <c r="JT72" s="103"/>
      <c r="JU72" s="103"/>
      <c r="JV72" s="103"/>
      <c r="JW72" s="103"/>
      <c r="JX72" s="103"/>
      <c r="JY72" s="103"/>
      <c r="JZ72" s="103"/>
      <c r="KA72" s="103"/>
      <c r="KB72" s="103"/>
      <c r="KC72" s="103"/>
      <c r="KD72" s="103"/>
      <c r="KE72" s="103"/>
      <c r="KF72" s="103"/>
      <c r="KG72" s="103"/>
      <c r="KH72" s="103"/>
      <c r="KI72" s="103"/>
      <c r="KJ72" s="103"/>
      <c r="KK72" s="103"/>
      <c r="KL72" s="103"/>
      <c r="KM72" s="103"/>
      <c r="KN72" s="103"/>
      <c r="KO72" s="103"/>
      <c r="KP72" s="103"/>
      <c r="KQ72" s="103"/>
      <c r="KR72" s="103"/>
      <c r="KS72" s="103"/>
      <c r="KT72" s="103"/>
      <c r="KU72" s="103"/>
      <c r="KV72" s="103"/>
      <c r="KW72" s="103"/>
      <c r="KX72" s="103"/>
      <c r="KY72" s="103"/>
      <c r="KZ72" s="103"/>
      <c r="LA72" s="103"/>
      <c r="LB72" s="103"/>
      <c r="LC72" s="103"/>
      <c r="LD72" s="103"/>
      <c r="LE72" s="103"/>
      <c r="LF72" s="103"/>
      <c r="LG72" s="103"/>
      <c r="LH72" s="103"/>
      <c r="LI72" s="103"/>
      <c r="LJ72" s="103"/>
    </row>
    <row r="73" spans="1:322" s="208" customFormat="1">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c r="AB73" s="103"/>
      <c r="AC73" s="103"/>
      <c r="AD73" s="103"/>
      <c r="AE73" s="103"/>
      <c r="AF73" s="103"/>
      <c r="AG73" s="103"/>
      <c r="AH73" s="103"/>
      <c r="AI73" s="103"/>
      <c r="AJ73" s="103"/>
      <c r="AK73" s="103"/>
      <c r="AL73" s="103"/>
      <c r="AM73" s="103"/>
      <c r="AN73" s="103"/>
      <c r="AO73" s="103"/>
      <c r="AP73" s="103"/>
      <c r="AQ73" s="103"/>
      <c r="AR73" s="103"/>
      <c r="AS73" s="103"/>
      <c r="AT73" s="103"/>
      <c r="AU73" s="103"/>
      <c r="AV73" s="103"/>
      <c r="AW73" s="103"/>
      <c r="AX73" s="103"/>
      <c r="AY73" s="103"/>
      <c r="AZ73" s="103"/>
      <c r="BA73" s="103"/>
      <c r="BB73" s="103"/>
      <c r="BC73" s="103"/>
      <c r="BD73" s="103"/>
      <c r="BE73" s="103"/>
      <c r="BF73" s="103"/>
      <c r="BG73" s="103"/>
      <c r="BH73" s="103"/>
      <c r="BI73" s="103"/>
      <c r="BJ73" s="103"/>
      <c r="BK73" s="103"/>
      <c r="BL73" s="103"/>
      <c r="BM73" s="103"/>
      <c r="BN73" s="103"/>
      <c r="BO73" s="103"/>
      <c r="BP73" s="103"/>
      <c r="BQ73" s="103"/>
      <c r="BR73" s="103"/>
      <c r="BS73" s="103"/>
      <c r="BT73" s="103"/>
      <c r="BU73" s="103"/>
      <c r="BV73" s="103"/>
      <c r="BW73" s="103"/>
      <c r="BX73" s="103"/>
      <c r="BY73" s="103"/>
      <c r="BZ73" s="103"/>
      <c r="CA73" s="103"/>
      <c r="CB73" s="103"/>
      <c r="CC73" s="103"/>
      <c r="CD73" s="103"/>
      <c r="CE73" s="103"/>
      <c r="CF73" s="103"/>
      <c r="CG73" s="103"/>
      <c r="CH73" s="103"/>
      <c r="CI73" s="103"/>
      <c r="CJ73" s="103"/>
      <c r="CK73" s="103"/>
      <c r="CL73" s="103"/>
      <c r="CM73" s="103"/>
      <c r="CN73" s="103"/>
      <c r="CO73" s="103"/>
      <c r="CP73" s="103"/>
      <c r="CQ73" s="103"/>
      <c r="CR73" s="103"/>
      <c r="CS73" s="103"/>
      <c r="CT73" s="103"/>
      <c r="CU73" s="103"/>
      <c r="CV73" s="103"/>
      <c r="CW73" s="103"/>
      <c r="CX73" s="103"/>
      <c r="CY73" s="103"/>
      <c r="CZ73" s="103"/>
      <c r="DA73" s="103"/>
      <c r="DB73" s="103"/>
      <c r="DC73" s="103"/>
      <c r="DD73" s="103"/>
      <c r="DE73" s="103"/>
      <c r="DF73" s="103"/>
      <c r="DG73" s="103"/>
      <c r="DH73" s="103"/>
      <c r="DI73" s="103"/>
      <c r="DJ73" s="103"/>
      <c r="DK73" s="103"/>
      <c r="DL73" s="103"/>
      <c r="DM73" s="103"/>
      <c r="DN73" s="103"/>
      <c r="DO73" s="103"/>
      <c r="DP73" s="103"/>
      <c r="DQ73" s="103"/>
      <c r="DR73" s="103"/>
      <c r="DS73" s="103"/>
      <c r="DT73" s="103"/>
      <c r="DU73" s="103"/>
      <c r="DV73" s="103"/>
      <c r="DW73" s="103"/>
      <c r="DX73" s="103"/>
      <c r="DY73" s="103"/>
      <c r="DZ73" s="103"/>
      <c r="EA73" s="103"/>
      <c r="EB73" s="103"/>
      <c r="EC73" s="103"/>
      <c r="ED73" s="103"/>
      <c r="EE73" s="103"/>
      <c r="EF73" s="103"/>
      <c r="EG73" s="103"/>
      <c r="EH73" s="103"/>
      <c r="EI73" s="103"/>
      <c r="EJ73" s="103"/>
      <c r="EK73" s="103"/>
      <c r="EL73" s="103"/>
      <c r="EM73" s="103"/>
      <c r="EN73" s="103"/>
      <c r="EO73" s="103"/>
      <c r="EP73" s="103"/>
      <c r="EQ73" s="103"/>
      <c r="ER73" s="103"/>
      <c r="ES73" s="103"/>
      <c r="ET73" s="103"/>
      <c r="EU73" s="103"/>
      <c r="EV73" s="103"/>
      <c r="EW73" s="103"/>
      <c r="EX73" s="103"/>
      <c r="EY73" s="103"/>
      <c r="EZ73" s="103"/>
      <c r="FA73" s="103"/>
      <c r="FB73" s="103"/>
      <c r="FC73" s="103"/>
      <c r="FD73" s="103"/>
      <c r="FE73" s="103"/>
      <c r="FF73" s="103"/>
      <c r="FG73" s="103"/>
      <c r="FH73" s="103"/>
      <c r="FI73" s="103"/>
      <c r="FJ73" s="103"/>
      <c r="FK73" s="103"/>
      <c r="FL73" s="103"/>
      <c r="FM73" s="103"/>
      <c r="FN73" s="103"/>
      <c r="FO73" s="103"/>
      <c r="FP73" s="103"/>
      <c r="FQ73" s="103"/>
      <c r="FR73" s="103"/>
      <c r="FS73" s="103"/>
      <c r="FT73" s="103"/>
      <c r="FU73" s="103"/>
      <c r="FV73" s="103"/>
      <c r="FW73" s="103"/>
      <c r="FX73" s="103"/>
      <c r="FY73" s="103"/>
      <c r="FZ73" s="103"/>
      <c r="GA73" s="103"/>
      <c r="GB73" s="103"/>
      <c r="GC73" s="103"/>
      <c r="GD73" s="103"/>
      <c r="GE73" s="103"/>
      <c r="GF73" s="103"/>
      <c r="GG73" s="103"/>
      <c r="GH73" s="103"/>
      <c r="GI73" s="103"/>
      <c r="GJ73" s="103"/>
      <c r="GK73" s="103"/>
      <c r="GL73" s="103"/>
      <c r="GM73" s="103"/>
      <c r="GN73" s="103"/>
      <c r="GO73" s="103"/>
      <c r="GP73" s="103"/>
      <c r="GQ73" s="103"/>
      <c r="GR73" s="103"/>
      <c r="GS73" s="103"/>
      <c r="GT73" s="103"/>
      <c r="GU73" s="103"/>
      <c r="GV73" s="103"/>
      <c r="GW73" s="103"/>
      <c r="GX73" s="103"/>
      <c r="GY73" s="103"/>
      <c r="GZ73" s="103"/>
      <c r="HA73" s="103"/>
      <c r="HB73" s="103"/>
      <c r="HC73" s="103"/>
      <c r="HD73" s="103"/>
      <c r="HE73" s="103"/>
      <c r="HF73" s="103"/>
      <c r="HG73" s="103"/>
      <c r="HH73" s="103"/>
      <c r="HI73" s="103"/>
      <c r="HJ73" s="103"/>
      <c r="HK73" s="103"/>
      <c r="HL73" s="103"/>
      <c r="HM73" s="103"/>
      <c r="HN73" s="103"/>
      <c r="HO73" s="103"/>
      <c r="HP73" s="103"/>
      <c r="HQ73" s="103"/>
      <c r="HR73" s="103"/>
      <c r="HS73" s="103"/>
      <c r="HT73" s="103"/>
      <c r="HU73" s="103"/>
      <c r="HV73" s="103"/>
      <c r="HW73" s="103"/>
      <c r="HX73" s="103"/>
      <c r="HY73" s="103"/>
      <c r="HZ73" s="103"/>
      <c r="IA73" s="103"/>
      <c r="IB73" s="103"/>
      <c r="IC73" s="103"/>
      <c r="ID73" s="103"/>
      <c r="IE73" s="103"/>
      <c r="IF73" s="103"/>
      <c r="IG73" s="103"/>
      <c r="IH73" s="103"/>
      <c r="II73" s="103"/>
      <c r="IJ73" s="103"/>
      <c r="IK73" s="103"/>
      <c r="IL73" s="103"/>
      <c r="IM73" s="103"/>
      <c r="IN73" s="103"/>
      <c r="IO73" s="103"/>
      <c r="IP73" s="103"/>
      <c r="IQ73" s="103"/>
      <c r="IR73" s="103"/>
      <c r="IS73" s="103"/>
      <c r="IT73" s="103"/>
      <c r="IU73" s="103"/>
      <c r="IV73" s="103"/>
      <c r="IW73" s="103"/>
      <c r="IX73" s="103"/>
      <c r="IY73" s="103"/>
      <c r="IZ73" s="103"/>
      <c r="JA73" s="103"/>
      <c r="JB73" s="103"/>
      <c r="JC73" s="103"/>
      <c r="JD73" s="103"/>
      <c r="JE73" s="103"/>
      <c r="JF73" s="103"/>
      <c r="JG73" s="103"/>
      <c r="JH73" s="103"/>
      <c r="JI73" s="103"/>
      <c r="JJ73" s="103"/>
      <c r="JK73" s="103"/>
      <c r="JL73" s="103"/>
      <c r="JM73" s="103"/>
      <c r="JN73" s="103"/>
      <c r="JO73" s="103"/>
      <c r="JP73" s="103"/>
      <c r="JQ73" s="103"/>
      <c r="JR73" s="103"/>
      <c r="JS73" s="103"/>
      <c r="JT73" s="103"/>
      <c r="JU73" s="103"/>
      <c r="JV73" s="103"/>
      <c r="JW73" s="103"/>
      <c r="JX73" s="103"/>
      <c r="JY73" s="103"/>
      <c r="JZ73" s="103"/>
      <c r="KA73" s="103"/>
      <c r="KB73" s="103"/>
      <c r="KC73" s="103"/>
      <c r="KD73" s="103"/>
      <c r="KE73" s="103"/>
      <c r="KF73" s="103"/>
      <c r="KG73" s="103"/>
      <c r="KH73" s="103"/>
      <c r="KI73" s="103"/>
      <c r="KJ73" s="103"/>
      <c r="KK73" s="103"/>
      <c r="KL73" s="103"/>
      <c r="KM73" s="103"/>
      <c r="KN73" s="103"/>
      <c r="KO73" s="103"/>
      <c r="KP73" s="103"/>
      <c r="KQ73" s="103"/>
      <c r="KR73" s="103"/>
      <c r="KS73" s="103"/>
      <c r="KT73" s="103"/>
      <c r="KU73" s="103"/>
      <c r="KV73" s="103"/>
      <c r="KW73" s="103"/>
      <c r="KX73" s="103"/>
      <c r="KY73" s="103"/>
      <c r="KZ73" s="103"/>
      <c r="LA73" s="103"/>
      <c r="LB73" s="103"/>
      <c r="LC73" s="103"/>
      <c r="LD73" s="103"/>
      <c r="LE73" s="103"/>
      <c r="LF73" s="103"/>
      <c r="LG73" s="103"/>
      <c r="LH73" s="103"/>
      <c r="LI73" s="103"/>
      <c r="LJ73" s="103"/>
    </row>
    <row r="74" spans="1:322" s="208" customFormat="1">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c r="AA74" s="103"/>
      <c r="AB74" s="103"/>
      <c r="AC74" s="103"/>
      <c r="AD74" s="103"/>
      <c r="AE74" s="103"/>
      <c r="AF74" s="103"/>
      <c r="AG74" s="103"/>
      <c r="AH74" s="103"/>
      <c r="AI74" s="103"/>
      <c r="AJ74" s="103"/>
      <c r="AK74" s="103"/>
      <c r="AL74" s="103"/>
      <c r="AM74" s="103"/>
      <c r="AN74" s="103"/>
      <c r="AO74" s="103"/>
      <c r="AP74" s="103"/>
      <c r="AQ74" s="103"/>
      <c r="AR74" s="103"/>
      <c r="AS74" s="103"/>
      <c r="AT74" s="103"/>
      <c r="AU74" s="103"/>
      <c r="AV74" s="103"/>
      <c r="AW74" s="103"/>
      <c r="AX74" s="103"/>
      <c r="AY74" s="103"/>
      <c r="AZ74" s="103"/>
      <c r="BA74" s="103"/>
      <c r="BB74" s="103"/>
      <c r="BC74" s="103"/>
      <c r="BD74" s="103"/>
      <c r="BE74" s="103"/>
      <c r="BF74" s="103"/>
      <c r="BG74" s="103"/>
      <c r="BH74" s="103"/>
      <c r="BI74" s="103"/>
      <c r="BJ74" s="103"/>
      <c r="BK74" s="103"/>
      <c r="BL74" s="103"/>
      <c r="BM74" s="103"/>
      <c r="BN74" s="103"/>
      <c r="BO74" s="103"/>
      <c r="BP74" s="103"/>
      <c r="BQ74" s="103"/>
      <c r="BR74" s="103"/>
      <c r="BS74" s="103"/>
      <c r="BT74" s="103"/>
      <c r="BU74" s="103"/>
      <c r="BV74" s="103"/>
      <c r="BW74" s="103"/>
      <c r="BX74" s="103"/>
      <c r="BY74" s="103"/>
      <c r="BZ74" s="103"/>
      <c r="CA74" s="103"/>
      <c r="CB74" s="103"/>
      <c r="CC74" s="103"/>
      <c r="CD74" s="103"/>
      <c r="CE74" s="103"/>
      <c r="CF74" s="103"/>
      <c r="CG74" s="103"/>
      <c r="CH74" s="103"/>
      <c r="CI74" s="103"/>
      <c r="CJ74" s="103"/>
      <c r="CK74" s="103"/>
      <c r="CL74" s="103"/>
      <c r="CM74" s="103"/>
      <c r="CN74" s="103"/>
      <c r="CO74" s="103"/>
      <c r="CP74" s="103"/>
      <c r="CQ74" s="103"/>
      <c r="CR74" s="103"/>
      <c r="CS74" s="103"/>
      <c r="CT74" s="103"/>
      <c r="CU74" s="103"/>
      <c r="CV74" s="103"/>
      <c r="CW74" s="103"/>
      <c r="CX74" s="103"/>
      <c r="CY74" s="103"/>
      <c r="CZ74" s="103"/>
      <c r="DA74" s="103"/>
      <c r="DB74" s="103"/>
      <c r="DC74" s="103"/>
      <c r="DD74" s="103"/>
      <c r="DE74" s="103"/>
      <c r="DF74" s="103"/>
      <c r="DG74" s="103"/>
      <c r="DH74" s="103"/>
      <c r="DI74" s="103"/>
      <c r="DJ74" s="103"/>
      <c r="DK74" s="103"/>
      <c r="DL74" s="103"/>
      <c r="DM74" s="103"/>
      <c r="DN74" s="103"/>
      <c r="DO74" s="103"/>
      <c r="DP74" s="103"/>
      <c r="DQ74" s="103"/>
      <c r="DR74" s="103"/>
      <c r="DS74" s="103"/>
      <c r="DT74" s="103"/>
      <c r="DU74" s="103"/>
      <c r="DV74" s="103"/>
      <c r="DW74" s="103"/>
      <c r="DX74" s="103"/>
      <c r="DY74" s="103"/>
      <c r="DZ74" s="103"/>
      <c r="EA74" s="103"/>
      <c r="EB74" s="103"/>
      <c r="EC74" s="103"/>
      <c r="ED74" s="103"/>
      <c r="EE74" s="103"/>
      <c r="EF74" s="103"/>
      <c r="EG74" s="103"/>
      <c r="EH74" s="103"/>
      <c r="EI74" s="103"/>
      <c r="EJ74" s="103"/>
      <c r="EK74" s="103"/>
      <c r="EL74" s="103"/>
      <c r="EM74" s="103"/>
      <c r="EN74" s="103"/>
      <c r="EO74" s="103"/>
      <c r="EP74" s="103"/>
      <c r="EQ74" s="103"/>
      <c r="ER74" s="103"/>
      <c r="ES74" s="103"/>
      <c r="ET74" s="103"/>
      <c r="EU74" s="103"/>
      <c r="EV74" s="103"/>
      <c r="EW74" s="103"/>
      <c r="EX74" s="103"/>
      <c r="EY74" s="103"/>
      <c r="EZ74" s="103"/>
      <c r="FA74" s="103"/>
      <c r="FB74" s="103"/>
      <c r="FC74" s="103"/>
      <c r="FD74" s="103"/>
      <c r="FE74" s="103"/>
      <c r="FF74" s="103"/>
      <c r="FG74" s="103"/>
      <c r="FH74" s="103"/>
      <c r="FI74" s="103"/>
      <c r="FJ74" s="103"/>
      <c r="FK74" s="103"/>
      <c r="FL74" s="103"/>
      <c r="FM74" s="103"/>
      <c r="FN74" s="103"/>
      <c r="FO74" s="103"/>
      <c r="FP74" s="103"/>
      <c r="FQ74" s="103"/>
      <c r="FR74" s="103"/>
      <c r="FS74" s="103"/>
      <c r="FT74" s="103"/>
      <c r="FU74" s="103"/>
      <c r="FV74" s="103"/>
      <c r="FW74" s="103"/>
      <c r="FX74" s="103"/>
      <c r="FY74" s="103"/>
      <c r="FZ74" s="103"/>
      <c r="GA74" s="103"/>
      <c r="GB74" s="103"/>
      <c r="GC74" s="103"/>
      <c r="GD74" s="103"/>
      <c r="GE74" s="103"/>
      <c r="GF74" s="103"/>
      <c r="GG74" s="103"/>
      <c r="GH74" s="103"/>
      <c r="GI74" s="103"/>
      <c r="GJ74" s="103"/>
      <c r="GK74" s="103"/>
      <c r="GL74" s="103"/>
      <c r="GM74" s="103"/>
      <c r="GN74" s="103"/>
      <c r="GO74" s="103"/>
      <c r="GP74" s="103"/>
      <c r="GQ74" s="103"/>
      <c r="GR74" s="103"/>
      <c r="GS74" s="103"/>
      <c r="GT74" s="103"/>
      <c r="GU74" s="103"/>
      <c r="GV74" s="103"/>
      <c r="GW74" s="103"/>
      <c r="GX74" s="103"/>
      <c r="GY74" s="103"/>
      <c r="GZ74" s="103"/>
      <c r="HA74" s="103"/>
      <c r="HB74" s="103"/>
      <c r="HC74" s="103"/>
      <c r="HD74" s="103"/>
      <c r="HE74" s="103"/>
      <c r="HF74" s="103"/>
      <c r="HG74" s="103"/>
      <c r="HH74" s="103"/>
      <c r="HI74" s="103"/>
      <c r="HJ74" s="103"/>
      <c r="HK74" s="103"/>
      <c r="HL74" s="103"/>
      <c r="HM74" s="103"/>
      <c r="HN74" s="103"/>
      <c r="HO74" s="103"/>
      <c r="HP74" s="103"/>
      <c r="HQ74" s="103"/>
      <c r="HR74" s="103"/>
      <c r="HS74" s="103"/>
      <c r="HT74" s="103"/>
      <c r="HU74" s="103"/>
      <c r="HV74" s="103"/>
      <c r="HW74" s="103"/>
      <c r="HX74" s="103"/>
      <c r="HY74" s="103"/>
      <c r="HZ74" s="103"/>
      <c r="IA74" s="103"/>
      <c r="IB74" s="103"/>
      <c r="IC74" s="103"/>
      <c r="ID74" s="103"/>
      <c r="IE74" s="103"/>
      <c r="IF74" s="103"/>
      <c r="IG74" s="103"/>
      <c r="IH74" s="103"/>
      <c r="II74" s="103"/>
      <c r="IJ74" s="103"/>
      <c r="IK74" s="103"/>
      <c r="IL74" s="103"/>
      <c r="IM74" s="103"/>
      <c r="IN74" s="103"/>
      <c r="IO74" s="103"/>
      <c r="IP74" s="103"/>
      <c r="IQ74" s="103"/>
      <c r="IR74" s="103"/>
      <c r="IS74" s="103"/>
      <c r="IT74" s="103"/>
      <c r="IU74" s="103"/>
      <c r="IV74" s="103"/>
      <c r="IW74" s="103"/>
      <c r="IX74" s="103"/>
      <c r="IY74" s="103"/>
      <c r="IZ74" s="103"/>
      <c r="JA74" s="103"/>
      <c r="JB74" s="103"/>
      <c r="JC74" s="103"/>
      <c r="JD74" s="103"/>
      <c r="JE74" s="103"/>
      <c r="JF74" s="103"/>
      <c r="JG74" s="103"/>
      <c r="JH74" s="103"/>
      <c r="JI74" s="103"/>
      <c r="JJ74" s="103"/>
      <c r="JK74" s="103"/>
      <c r="JL74" s="103"/>
      <c r="JM74" s="103"/>
      <c r="JN74" s="103"/>
      <c r="JO74" s="103"/>
      <c r="JP74" s="103"/>
      <c r="JQ74" s="103"/>
      <c r="JR74" s="103"/>
      <c r="JS74" s="103"/>
      <c r="JT74" s="103"/>
      <c r="JU74" s="103"/>
      <c r="JV74" s="103"/>
      <c r="JW74" s="103"/>
      <c r="JX74" s="103"/>
      <c r="JY74" s="103"/>
      <c r="JZ74" s="103"/>
      <c r="KA74" s="103"/>
      <c r="KB74" s="103"/>
      <c r="KC74" s="103"/>
      <c r="KD74" s="103"/>
      <c r="KE74" s="103"/>
      <c r="KF74" s="103"/>
      <c r="KG74" s="103"/>
      <c r="KH74" s="103"/>
      <c r="KI74" s="103"/>
      <c r="KJ74" s="103"/>
      <c r="KK74" s="103"/>
      <c r="KL74" s="103"/>
      <c r="KM74" s="103"/>
      <c r="KN74" s="103"/>
      <c r="KO74" s="103"/>
      <c r="KP74" s="103"/>
      <c r="KQ74" s="103"/>
      <c r="KR74" s="103"/>
      <c r="KS74" s="103"/>
      <c r="KT74" s="103"/>
      <c r="KU74" s="103"/>
      <c r="KV74" s="103"/>
      <c r="KW74" s="103"/>
      <c r="KX74" s="103"/>
      <c r="KY74" s="103"/>
      <c r="KZ74" s="103"/>
      <c r="LA74" s="103"/>
      <c r="LB74" s="103"/>
      <c r="LC74" s="103"/>
      <c r="LD74" s="103"/>
      <c r="LE74" s="103"/>
      <c r="LF74" s="103"/>
      <c r="LG74" s="103"/>
      <c r="LH74" s="103"/>
      <c r="LI74" s="103"/>
      <c r="LJ74" s="103"/>
    </row>
    <row r="75" spans="1:322" s="208" customFormat="1">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c r="BM75" s="103"/>
      <c r="BN75" s="103"/>
      <c r="BO75" s="103"/>
      <c r="BP75" s="103"/>
      <c r="BQ75" s="103"/>
      <c r="BR75" s="103"/>
      <c r="BS75" s="103"/>
      <c r="BT75" s="103"/>
      <c r="BU75" s="103"/>
      <c r="BV75" s="103"/>
      <c r="BW75" s="103"/>
      <c r="BX75" s="103"/>
      <c r="BY75" s="103"/>
      <c r="BZ75" s="103"/>
      <c r="CA75" s="103"/>
      <c r="CB75" s="103"/>
      <c r="CC75" s="103"/>
      <c r="CD75" s="103"/>
      <c r="CE75" s="103"/>
      <c r="CF75" s="103"/>
      <c r="CG75" s="103"/>
      <c r="CH75" s="103"/>
      <c r="CI75" s="103"/>
      <c r="CJ75" s="103"/>
      <c r="CK75" s="103"/>
      <c r="CL75" s="103"/>
      <c r="CM75" s="103"/>
      <c r="CN75" s="103"/>
      <c r="CO75" s="103"/>
      <c r="CP75" s="103"/>
      <c r="CQ75" s="103"/>
      <c r="CR75" s="103"/>
      <c r="CS75" s="103"/>
      <c r="CT75" s="103"/>
      <c r="CU75" s="103"/>
      <c r="CV75" s="103"/>
      <c r="CW75" s="103"/>
      <c r="CX75" s="103"/>
      <c r="CY75" s="103"/>
      <c r="CZ75" s="103"/>
      <c r="DA75" s="103"/>
      <c r="DB75" s="103"/>
      <c r="DC75" s="103"/>
      <c r="DD75" s="103"/>
      <c r="DE75" s="103"/>
      <c r="DF75" s="103"/>
      <c r="DG75" s="103"/>
      <c r="DH75" s="103"/>
      <c r="DI75" s="103"/>
      <c r="DJ75" s="103"/>
      <c r="DK75" s="103"/>
      <c r="DL75" s="103"/>
      <c r="DM75" s="103"/>
      <c r="DN75" s="103"/>
      <c r="DO75" s="103"/>
      <c r="DP75" s="103"/>
      <c r="DQ75" s="103"/>
      <c r="DR75" s="103"/>
      <c r="DS75" s="103"/>
      <c r="DT75" s="103"/>
      <c r="DU75" s="103"/>
      <c r="DV75" s="103"/>
      <c r="DW75" s="103"/>
      <c r="DX75" s="103"/>
      <c r="DY75" s="103"/>
      <c r="DZ75" s="103"/>
      <c r="EA75" s="103"/>
      <c r="EB75" s="103"/>
      <c r="EC75" s="103"/>
      <c r="ED75" s="103"/>
      <c r="EE75" s="103"/>
      <c r="EF75" s="103"/>
      <c r="EG75" s="103"/>
      <c r="EH75" s="103"/>
      <c r="EI75" s="103"/>
      <c r="EJ75" s="103"/>
      <c r="EK75" s="103"/>
      <c r="EL75" s="103"/>
      <c r="EM75" s="103"/>
      <c r="EN75" s="103"/>
      <c r="EO75" s="103"/>
      <c r="EP75" s="103"/>
      <c r="EQ75" s="103"/>
      <c r="ER75" s="103"/>
      <c r="ES75" s="103"/>
      <c r="ET75" s="103"/>
      <c r="EU75" s="103"/>
      <c r="EV75" s="103"/>
      <c r="EW75" s="103"/>
      <c r="EX75" s="103"/>
      <c r="EY75" s="103"/>
      <c r="EZ75" s="103"/>
      <c r="FA75" s="103"/>
      <c r="FB75" s="103"/>
      <c r="FC75" s="103"/>
      <c r="FD75" s="103"/>
      <c r="FE75" s="103"/>
      <c r="FF75" s="103"/>
      <c r="FG75" s="103"/>
      <c r="FH75" s="103"/>
      <c r="FI75" s="103"/>
      <c r="FJ75" s="103"/>
      <c r="FK75" s="103"/>
      <c r="FL75" s="103"/>
      <c r="FM75" s="103"/>
      <c r="FN75" s="103"/>
      <c r="FO75" s="103"/>
      <c r="FP75" s="103"/>
      <c r="FQ75" s="103"/>
      <c r="FR75" s="103"/>
      <c r="FS75" s="103"/>
      <c r="FT75" s="103"/>
      <c r="FU75" s="103"/>
      <c r="FV75" s="103"/>
      <c r="FW75" s="103"/>
      <c r="FX75" s="103"/>
      <c r="FY75" s="103"/>
      <c r="FZ75" s="103"/>
      <c r="GA75" s="103"/>
      <c r="GB75" s="103"/>
      <c r="GC75" s="103"/>
      <c r="GD75" s="103"/>
      <c r="GE75" s="103"/>
      <c r="GF75" s="103"/>
      <c r="GG75" s="103"/>
      <c r="GH75" s="103"/>
      <c r="GI75" s="103"/>
      <c r="GJ75" s="103"/>
      <c r="GK75" s="103"/>
      <c r="GL75" s="103"/>
      <c r="GM75" s="103"/>
      <c r="GN75" s="103"/>
      <c r="GO75" s="103"/>
      <c r="GP75" s="103"/>
      <c r="GQ75" s="103"/>
      <c r="GR75" s="103"/>
      <c r="GS75" s="103"/>
      <c r="GT75" s="103"/>
      <c r="GU75" s="103"/>
      <c r="GV75" s="103"/>
      <c r="GW75" s="103"/>
      <c r="GX75" s="103"/>
      <c r="GY75" s="103"/>
      <c r="GZ75" s="103"/>
      <c r="HA75" s="103"/>
      <c r="HB75" s="103"/>
      <c r="HC75" s="103"/>
      <c r="HD75" s="103"/>
      <c r="HE75" s="103"/>
      <c r="HF75" s="103"/>
      <c r="HG75" s="103"/>
      <c r="HH75" s="103"/>
      <c r="HI75" s="103"/>
      <c r="HJ75" s="103"/>
      <c r="HK75" s="103"/>
      <c r="HL75" s="103"/>
      <c r="HM75" s="103"/>
      <c r="HN75" s="103"/>
      <c r="HO75" s="103"/>
      <c r="HP75" s="103"/>
      <c r="HQ75" s="103"/>
      <c r="HR75" s="103"/>
      <c r="HS75" s="103"/>
      <c r="HT75" s="103"/>
      <c r="HU75" s="103"/>
      <c r="HV75" s="103"/>
      <c r="HW75" s="103"/>
      <c r="HX75" s="103"/>
      <c r="HY75" s="103"/>
      <c r="HZ75" s="103"/>
      <c r="IA75" s="103"/>
      <c r="IB75" s="103"/>
      <c r="IC75" s="103"/>
      <c r="ID75" s="103"/>
      <c r="IE75" s="103"/>
      <c r="IF75" s="103"/>
      <c r="IG75" s="103"/>
      <c r="IH75" s="103"/>
      <c r="II75" s="103"/>
      <c r="IJ75" s="103"/>
      <c r="IK75" s="103"/>
      <c r="IL75" s="103"/>
      <c r="IM75" s="103"/>
      <c r="IN75" s="103"/>
      <c r="IO75" s="103"/>
      <c r="IP75" s="103"/>
      <c r="IQ75" s="103"/>
      <c r="IR75" s="103"/>
      <c r="IS75" s="103"/>
      <c r="IT75" s="103"/>
      <c r="IU75" s="103"/>
      <c r="IV75" s="103"/>
      <c r="IW75" s="103"/>
      <c r="IX75" s="103"/>
      <c r="IY75" s="103"/>
      <c r="IZ75" s="103"/>
      <c r="JA75" s="103"/>
      <c r="JB75" s="103"/>
      <c r="JC75" s="103"/>
      <c r="JD75" s="103"/>
      <c r="JE75" s="103"/>
      <c r="JF75" s="103"/>
      <c r="JG75" s="103"/>
      <c r="JH75" s="103"/>
      <c r="JI75" s="103"/>
      <c r="JJ75" s="103"/>
      <c r="JK75" s="103"/>
      <c r="JL75" s="103"/>
      <c r="JM75" s="103"/>
      <c r="JN75" s="103"/>
      <c r="JO75" s="103"/>
      <c r="JP75" s="103"/>
      <c r="JQ75" s="103"/>
      <c r="JR75" s="103"/>
      <c r="JS75" s="103"/>
      <c r="JT75" s="103"/>
      <c r="JU75" s="103"/>
      <c r="JV75" s="103"/>
      <c r="JW75" s="103"/>
      <c r="JX75" s="103"/>
      <c r="JY75" s="103"/>
      <c r="JZ75" s="103"/>
      <c r="KA75" s="103"/>
      <c r="KB75" s="103"/>
      <c r="KC75" s="103"/>
      <c r="KD75" s="103"/>
      <c r="KE75" s="103"/>
      <c r="KF75" s="103"/>
      <c r="KG75" s="103"/>
      <c r="KH75" s="103"/>
      <c r="KI75" s="103"/>
      <c r="KJ75" s="103"/>
      <c r="KK75" s="103"/>
      <c r="KL75" s="103"/>
      <c r="KM75" s="103"/>
      <c r="KN75" s="103"/>
      <c r="KO75" s="103"/>
      <c r="KP75" s="103"/>
      <c r="KQ75" s="103"/>
      <c r="KR75" s="103"/>
      <c r="KS75" s="103"/>
      <c r="KT75" s="103"/>
      <c r="KU75" s="103"/>
      <c r="KV75" s="103"/>
      <c r="KW75" s="103"/>
      <c r="KX75" s="103"/>
      <c r="KY75" s="103"/>
      <c r="KZ75" s="103"/>
      <c r="LA75" s="103"/>
      <c r="LB75" s="103"/>
      <c r="LC75" s="103"/>
      <c r="LD75" s="103"/>
      <c r="LE75" s="103"/>
      <c r="LF75" s="103"/>
      <c r="LG75" s="103"/>
      <c r="LH75" s="103"/>
      <c r="LI75" s="103"/>
      <c r="LJ75" s="103"/>
    </row>
    <row r="76" spans="1:322" s="208" customFormat="1">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c r="AB76" s="103"/>
      <c r="AC76" s="103"/>
      <c r="AD76" s="103"/>
      <c r="AE76" s="103"/>
      <c r="AF76" s="103"/>
      <c r="AG76" s="103"/>
      <c r="AH76" s="103"/>
      <c r="AI76" s="103"/>
      <c r="AJ76" s="103"/>
      <c r="AK76" s="103"/>
      <c r="AL76" s="103"/>
      <c r="AM76" s="103"/>
      <c r="AN76" s="103"/>
      <c r="AO76" s="103"/>
      <c r="AP76" s="103"/>
      <c r="AQ76" s="103"/>
      <c r="AR76" s="103"/>
      <c r="AS76" s="103"/>
      <c r="AT76" s="103"/>
      <c r="AU76" s="103"/>
      <c r="AV76" s="103"/>
      <c r="AW76" s="103"/>
      <c r="AX76" s="103"/>
      <c r="AY76" s="103"/>
      <c r="AZ76" s="103"/>
      <c r="BA76" s="103"/>
      <c r="BB76" s="103"/>
      <c r="BC76" s="103"/>
      <c r="BD76" s="103"/>
      <c r="BE76" s="103"/>
      <c r="BF76" s="103"/>
      <c r="BG76" s="103"/>
      <c r="BH76" s="103"/>
      <c r="BI76" s="103"/>
      <c r="BJ76" s="103"/>
      <c r="BK76" s="103"/>
      <c r="BL76" s="103"/>
      <c r="BM76" s="103"/>
      <c r="BN76" s="103"/>
      <c r="BO76" s="103"/>
      <c r="BP76" s="103"/>
      <c r="BQ76" s="103"/>
      <c r="BR76" s="103"/>
      <c r="BS76" s="103"/>
      <c r="BT76" s="103"/>
      <c r="BU76" s="103"/>
      <c r="BV76" s="103"/>
      <c r="BW76" s="103"/>
      <c r="BX76" s="103"/>
      <c r="BY76" s="103"/>
      <c r="BZ76" s="103"/>
      <c r="CA76" s="103"/>
      <c r="CB76" s="103"/>
      <c r="CC76" s="103"/>
      <c r="CD76" s="103"/>
      <c r="CE76" s="103"/>
      <c r="CF76" s="103"/>
      <c r="CG76" s="103"/>
      <c r="CH76" s="103"/>
      <c r="CI76" s="103"/>
      <c r="CJ76" s="103"/>
      <c r="CK76" s="103"/>
      <c r="CL76" s="103"/>
      <c r="CM76" s="103"/>
      <c r="CN76" s="103"/>
      <c r="CO76" s="103"/>
      <c r="CP76" s="103"/>
      <c r="CQ76" s="103"/>
      <c r="CR76" s="103"/>
      <c r="CS76" s="103"/>
      <c r="CT76" s="103"/>
      <c r="CU76" s="103"/>
      <c r="CV76" s="103"/>
      <c r="CW76" s="103"/>
      <c r="CX76" s="103"/>
      <c r="CY76" s="103"/>
      <c r="CZ76" s="103"/>
      <c r="DA76" s="103"/>
      <c r="DB76" s="103"/>
      <c r="DC76" s="103"/>
      <c r="DD76" s="103"/>
      <c r="DE76" s="103"/>
      <c r="DF76" s="103"/>
      <c r="DG76" s="103"/>
      <c r="DH76" s="103"/>
      <c r="DI76" s="103"/>
      <c r="DJ76" s="103"/>
      <c r="DK76" s="103"/>
      <c r="DL76" s="103"/>
      <c r="DM76" s="103"/>
      <c r="DN76" s="103"/>
      <c r="DO76" s="103"/>
      <c r="DP76" s="103"/>
      <c r="DQ76" s="103"/>
      <c r="DR76" s="103"/>
      <c r="DS76" s="103"/>
      <c r="DT76" s="103"/>
      <c r="DU76" s="103"/>
      <c r="DV76" s="103"/>
      <c r="DW76" s="103"/>
      <c r="DX76" s="103"/>
      <c r="DY76" s="103"/>
      <c r="DZ76" s="103"/>
      <c r="EA76" s="103"/>
      <c r="EB76" s="103"/>
      <c r="EC76" s="103"/>
      <c r="ED76" s="103"/>
      <c r="EE76" s="103"/>
      <c r="EF76" s="103"/>
      <c r="EG76" s="103"/>
      <c r="EH76" s="103"/>
      <c r="EI76" s="103"/>
      <c r="EJ76" s="103"/>
      <c r="EK76" s="103"/>
      <c r="EL76" s="103"/>
      <c r="EM76" s="103"/>
      <c r="EN76" s="103"/>
      <c r="EO76" s="103"/>
      <c r="EP76" s="103"/>
      <c r="EQ76" s="103"/>
      <c r="ER76" s="103"/>
      <c r="ES76" s="103"/>
      <c r="ET76" s="103"/>
      <c r="EU76" s="103"/>
      <c r="EV76" s="103"/>
      <c r="EW76" s="103"/>
      <c r="EX76" s="103"/>
      <c r="EY76" s="103"/>
      <c r="EZ76" s="103"/>
      <c r="FA76" s="103"/>
      <c r="FB76" s="103"/>
      <c r="FC76" s="103"/>
      <c r="FD76" s="103"/>
      <c r="FE76" s="103"/>
      <c r="FF76" s="103"/>
      <c r="FG76" s="103"/>
      <c r="FH76" s="103"/>
      <c r="FI76" s="103"/>
      <c r="FJ76" s="103"/>
      <c r="FK76" s="103"/>
      <c r="FL76" s="103"/>
      <c r="FM76" s="103"/>
      <c r="FN76" s="103"/>
      <c r="FO76" s="103"/>
      <c r="FP76" s="103"/>
      <c r="FQ76" s="103"/>
      <c r="FR76" s="103"/>
      <c r="FS76" s="103"/>
      <c r="FT76" s="103"/>
      <c r="FU76" s="103"/>
      <c r="FV76" s="103"/>
      <c r="FW76" s="103"/>
      <c r="FX76" s="103"/>
      <c r="FY76" s="103"/>
      <c r="FZ76" s="103"/>
      <c r="GA76" s="103"/>
      <c r="GB76" s="103"/>
      <c r="GC76" s="103"/>
      <c r="GD76" s="103"/>
      <c r="GE76" s="103"/>
      <c r="GF76" s="103"/>
      <c r="GG76" s="103"/>
      <c r="GH76" s="103"/>
      <c r="GI76" s="103"/>
      <c r="GJ76" s="103"/>
      <c r="GK76" s="103"/>
      <c r="GL76" s="103"/>
      <c r="GM76" s="103"/>
      <c r="GN76" s="103"/>
      <c r="GO76" s="103"/>
      <c r="GP76" s="103"/>
      <c r="GQ76" s="103"/>
      <c r="GR76" s="103"/>
      <c r="GS76" s="103"/>
      <c r="GT76" s="103"/>
      <c r="GU76" s="103"/>
      <c r="GV76" s="103"/>
      <c r="GW76" s="103"/>
      <c r="GX76" s="103"/>
      <c r="GY76" s="103"/>
      <c r="GZ76" s="103"/>
      <c r="HA76" s="103"/>
      <c r="HB76" s="103"/>
      <c r="HC76" s="103"/>
      <c r="HD76" s="103"/>
      <c r="HE76" s="103"/>
      <c r="HF76" s="103"/>
      <c r="HG76" s="103"/>
      <c r="HH76" s="103"/>
      <c r="HI76" s="103"/>
      <c r="HJ76" s="103"/>
      <c r="HK76" s="103"/>
      <c r="HL76" s="103"/>
      <c r="HM76" s="103"/>
      <c r="HN76" s="103"/>
      <c r="HO76" s="103"/>
      <c r="HP76" s="103"/>
      <c r="HQ76" s="103"/>
      <c r="HR76" s="103"/>
      <c r="HS76" s="103"/>
      <c r="HT76" s="103"/>
      <c r="HU76" s="103"/>
      <c r="HV76" s="103"/>
      <c r="HW76" s="103"/>
      <c r="HX76" s="103"/>
      <c r="HY76" s="103"/>
      <c r="HZ76" s="103"/>
      <c r="IA76" s="103"/>
      <c r="IB76" s="103"/>
      <c r="IC76" s="103"/>
      <c r="ID76" s="103"/>
      <c r="IE76" s="103"/>
      <c r="IF76" s="103"/>
      <c r="IG76" s="103"/>
      <c r="IH76" s="103"/>
      <c r="II76" s="103"/>
      <c r="IJ76" s="103"/>
      <c r="IK76" s="103"/>
      <c r="IL76" s="103"/>
      <c r="IM76" s="103"/>
      <c r="IN76" s="103"/>
      <c r="IO76" s="103"/>
      <c r="IP76" s="103"/>
      <c r="IQ76" s="103"/>
      <c r="IR76" s="103"/>
      <c r="IS76" s="103"/>
      <c r="IT76" s="103"/>
      <c r="IU76" s="103"/>
      <c r="IV76" s="103"/>
      <c r="IW76" s="103"/>
      <c r="IX76" s="103"/>
      <c r="IY76" s="103"/>
      <c r="IZ76" s="103"/>
      <c r="JA76" s="103"/>
      <c r="JB76" s="103"/>
      <c r="JC76" s="103"/>
      <c r="JD76" s="103"/>
      <c r="JE76" s="103"/>
      <c r="JF76" s="103"/>
      <c r="JG76" s="103"/>
      <c r="JH76" s="103"/>
      <c r="JI76" s="103"/>
      <c r="JJ76" s="103"/>
      <c r="JK76" s="103"/>
      <c r="JL76" s="103"/>
      <c r="JM76" s="103"/>
      <c r="JN76" s="103"/>
      <c r="JO76" s="103"/>
      <c r="JP76" s="103"/>
      <c r="JQ76" s="103"/>
      <c r="JR76" s="103"/>
      <c r="JS76" s="103"/>
      <c r="JT76" s="103"/>
      <c r="JU76" s="103"/>
      <c r="JV76" s="103"/>
      <c r="JW76" s="103"/>
      <c r="JX76" s="103"/>
      <c r="JY76" s="103"/>
      <c r="JZ76" s="103"/>
      <c r="KA76" s="103"/>
      <c r="KB76" s="103"/>
      <c r="KC76" s="103"/>
      <c r="KD76" s="103"/>
      <c r="KE76" s="103"/>
      <c r="KF76" s="103"/>
      <c r="KG76" s="103"/>
      <c r="KH76" s="103"/>
      <c r="KI76" s="103"/>
      <c r="KJ76" s="103"/>
      <c r="KK76" s="103"/>
      <c r="KL76" s="103"/>
      <c r="KM76" s="103"/>
      <c r="KN76" s="103"/>
      <c r="KO76" s="103"/>
      <c r="KP76" s="103"/>
      <c r="KQ76" s="103"/>
      <c r="KR76" s="103"/>
      <c r="KS76" s="103"/>
      <c r="KT76" s="103"/>
      <c r="KU76" s="103"/>
      <c r="KV76" s="103"/>
      <c r="KW76" s="103"/>
      <c r="KX76" s="103"/>
      <c r="KY76" s="103"/>
      <c r="KZ76" s="103"/>
      <c r="LA76" s="103"/>
      <c r="LB76" s="103"/>
      <c r="LC76" s="103"/>
      <c r="LD76" s="103"/>
      <c r="LE76" s="103"/>
      <c r="LF76" s="103"/>
      <c r="LG76" s="103"/>
      <c r="LH76" s="103"/>
      <c r="LI76" s="103"/>
      <c r="LJ76" s="103"/>
    </row>
    <row r="77" spans="1:322" s="208" customFormat="1">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03"/>
      <c r="AB77" s="103"/>
      <c r="AC77" s="103"/>
      <c r="AD77" s="103"/>
      <c r="AE77" s="103"/>
      <c r="AF77" s="103"/>
      <c r="AG77" s="103"/>
      <c r="AH77" s="103"/>
      <c r="AI77" s="103"/>
      <c r="AJ77" s="103"/>
      <c r="AK77" s="103"/>
      <c r="AL77" s="103"/>
      <c r="AM77" s="103"/>
      <c r="AN77" s="103"/>
      <c r="AO77" s="103"/>
      <c r="AP77" s="103"/>
      <c r="AQ77" s="103"/>
      <c r="AR77" s="103"/>
      <c r="AS77" s="103"/>
      <c r="AT77" s="103"/>
      <c r="AU77" s="103"/>
      <c r="AV77" s="103"/>
      <c r="AW77" s="103"/>
      <c r="AX77" s="103"/>
      <c r="AY77" s="103"/>
      <c r="AZ77" s="103"/>
      <c r="BA77" s="103"/>
      <c r="BB77" s="103"/>
      <c r="BC77" s="103"/>
      <c r="BD77" s="103"/>
      <c r="BE77" s="103"/>
      <c r="BF77" s="103"/>
      <c r="BG77" s="103"/>
      <c r="BH77" s="103"/>
      <c r="BI77" s="103"/>
      <c r="BJ77" s="103"/>
      <c r="BK77" s="103"/>
      <c r="BL77" s="103"/>
      <c r="BM77" s="103"/>
      <c r="BN77" s="103"/>
      <c r="BO77" s="103"/>
      <c r="BP77" s="103"/>
      <c r="BQ77" s="103"/>
      <c r="BR77" s="103"/>
      <c r="BS77" s="103"/>
      <c r="BT77" s="103"/>
      <c r="BU77" s="103"/>
      <c r="BV77" s="103"/>
      <c r="BW77" s="103"/>
      <c r="BX77" s="103"/>
      <c r="BY77" s="103"/>
      <c r="BZ77" s="103"/>
      <c r="CA77" s="103"/>
      <c r="CB77" s="103"/>
      <c r="CC77" s="103"/>
      <c r="CD77" s="103"/>
      <c r="CE77" s="103"/>
      <c r="CF77" s="103"/>
      <c r="CG77" s="103"/>
      <c r="CH77" s="103"/>
      <c r="CI77" s="103"/>
      <c r="CJ77" s="103"/>
      <c r="CK77" s="103"/>
      <c r="CL77" s="103"/>
      <c r="CM77" s="103"/>
      <c r="CN77" s="103"/>
      <c r="CO77" s="103"/>
      <c r="CP77" s="103"/>
      <c r="CQ77" s="103"/>
      <c r="CR77" s="103"/>
      <c r="CS77" s="103"/>
      <c r="CT77" s="103"/>
      <c r="CU77" s="103"/>
      <c r="CV77" s="103"/>
      <c r="CW77" s="103"/>
      <c r="CX77" s="103"/>
      <c r="CY77" s="103"/>
      <c r="CZ77" s="103"/>
      <c r="DA77" s="103"/>
      <c r="DB77" s="103"/>
      <c r="DC77" s="103"/>
      <c r="DD77" s="103"/>
      <c r="DE77" s="103"/>
      <c r="DF77" s="103"/>
      <c r="DG77" s="103"/>
      <c r="DH77" s="103"/>
      <c r="DI77" s="103"/>
      <c r="DJ77" s="103"/>
      <c r="DK77" s="103"/>
      <c r="DL77" s="103"/>
      <c r="DM77" s="103"/>
      <c r="DN77" s="103"/>
      <c r="DO77" s="103"/>
      <c r="DP77" s="103"/>
      <c r="DQ77" s="103"/>
      <c r="DR77" s="103"/>
      <c r="DS77" s="103"/>
      <c r="DT77" s="103"/>
      <c r="DU77" s="103"/>
      <c r="DV77" s="103"/>
      <c r="DW77" s="103"/>
      <c r="DX77" s="103"/>
      <c r="DY77" s="103"/>
      <c r="DZ77" s="103"/>
      <c r="EA77" s="103"/>
      <c r="EB77" s="103"/>
      <c r="EC77" s="103"/>
      <c r="ED77" s="103"/>
      <c r="EE77" s="103"/>
      <c r="EF77" s="103"/>
      <c r="EG77" s="103"/>
      <c r="EH77" s="103"/>
      <c r="EI77" s="103"/>
      <c r="EJ77" s="103"/>
      <c r="EK77" s="103"/>
      <c r="EL77" s="103"/>
      <c r="EM77" s="103"/>
      <c r="EN77" s="103"/>
      <c r="EO77" s="103"/>
      <c r="EP77" s="103"/>
      <c r="EQ77" s="103"/>
      <c r="ER77" s="103"/>
      <c r="ES77" s="103"/>
      <c r="ET77" s="103"/>
      <c r="EU77" s="103"/>
      <c r="EV77" s="103"/>
      <c r="EW77" s="103"/>
      <c r="EX77" s="103"/>
      <c r="EY77" s="103"/>
      <c r="EZ77" s="103"/>
      <c r="FA77" s="103"/>
      <c r="FB77" s="103"/>
      <c r="FC77" s="103"/>
      <c r="FD77" s="103"/>
      <c r="FE77" s="103"/>
      <c r="FF77" s="103"/>
      <c r="FG77" s="103"/>
      <c r="FH77" s="103"/>
      <c r="FI77" s="103"/>
      <c r="FJ77" s="103"/>
      <c r="FK77" s="103"/>
      <c r="FL77" s="103"/>
      <c r="FM77" s="103"/>
      <c r="FN77" s="103"/>
      <c r="FO77" s="103"/>
      <c r="FP77" s="103"/>
      <c r="FQ77" s="103"/>
      <c r="FR77" s="103"/>
      <c r="FS77" s="103"/>
      <c r="FT77" s="103"/>
      <c r="FU77" s="103"/>
      <c r="FV77" s="103"/>
      <c r="FW77" s="103"/>
      <c r="FX77" s="103"/>
      <c r="FY77" s="103"/>
      <c r="FZ77" s="103"/>
      <c r="GA77" s="103"/>
      <c r="GB77" s="103"/>
      <c r="GC77" s="103"/>
      <c r="GD77" s="103"/>
      <c r="GE77" s="103"/>
      <c r="GF77" s="103"/>
      <c r="GG77" s="103"/>
      <c r="GH77" s="103"/>
      <c r="GI77" s="103"/>
      <c r="GJ77" s="103"/>
      <c r="GK77" s="103"/>
      <c r="GL77" s="103"/>
      <c r="GM77" s="103"/>
      <c r="GN77" s="103"/>
      <c r="GO77" s="103"/>
      <c r="GP77" s="103"/>
      <c r="GQ77" s="103"/>
      <c r="GR77" s="103"/>
      <c r="GS77" s="103"/>
      <c r="GT77" s="103"/>
      <c r="GU77" s="103"/>
      <c r="GV77" s="103"/>
      <c r="GW77" s="103"/>
      <c r="GX77" s="103"/>
      <c r="GY77" s="103"/>
      <c r="GZ77" s="103"/>
      <c r="HA77" s="103"/>
      <c r="HB77" s="103"/>
      <c r="HC77" s="103"/>
      <c r="HD77" s="103"/>
      <c r="HE77" s="103"/>
      <c r="HF77" s="103"/>
      <c r="HG77" s="103"/>
      <c r="HH77" s="103"/>
      <c r="HI77" s="103"/>
      <c r="HJ77" s="103"/>
      <c r="HK77" s="103"/>
      <c r="HL77" s="103"/>
      <c r="HM77" s="103"/>
      <c r="HN77" s="103"/>
      <c r="HO77" s="103"/>
      <c r="HP77" s="103"/>
      <c r="HQ77" s="103"/>
      <c r="HR77" s="103"/>
      <c r="HS77" s="103"/>
      <c r="HT77" s="103"/>
      <c r="HU77" s="103"/>
      <c r="HV77" s="103"/>
      <c r="HW77" s="103"/>
      <c r="HX77" s="103"/>
      <c r="HY77" s="103"/>
      <c r="HZ77" s="103"/>
      <c r="IA77" s="103"/>
      <c r="IB77" s="103"/>
      <c r="IC77" s="103"/>
      <c r="ID77" s="103"/>
      <c r="IE77" s="103"/>
      <c r="IF77" s="103"/>
      <c r="IG77" s="103"/>
      <c r="IH77" s="103"/>
      <c r="II77" s="103"/>
      <c r="IJ77" s="103"/>
      <c r="IK77" s="103"/>
      <c r="IL77" s="103"/>
      <c r="IM77" s="103"/>
      <c r="IN77" s="103"/>
      <c r="IO77" s="103"/>
      <c r="IP77" s="103"/>
      <c r="IQ77" s="103"/>
      <c r="IR77" s="103"/>
      <c r="IS77" s="103"/>
      <c r="IT77" s="103"/>
      <c r="IU77" s="103"/>
      <c r="IV77" s="103"/>
      <c r="IW77" s="103"/>
      <c r="IX77" s="103"/>
      <c r="IY77" s="103"/>
      <c r="IZ77" s="103"/>
      <c r="JA77" s="103"/>
      <c r="JB77" s="103"/>
      <c r="JC77" s="103"/>
      <c r="JD77" s="103"/>
      <c r="JE77" s="103"/>
      <c r="JF77" s="103"/>
      <c r="JG77" s="103"/>
      <c r="JH77" s="103"/>
      <c r="JI77" s="103"/>
      <c r="JJ77" s="103"/>
      <c r="JK77" s="103"/>
      <c r="JL77" s="103"/>
      <c r="JM77" s="103"/>
      <c r="JN77" s="103"/>
      <c r="JO77" s="103"/>
      <c r="JP77" s="103"/>
      <c r="JQ77" s="103"/>
      <c r="JR77" s="103"/>
      <c r="JS77" s="103"/>
      <c r="JT77" s="103"/>
      <c r="JU77" s="103"/>
      <c r="JV77" s="103"/>
      <c r="JW77" s="103"/>
      <c r="JX77" s="103"/>
      <c r="JY77" s="103"/>
      <c r="JZ77" s="103"/>
      <c r="KA77" s="103"/>
      <c r="KB77" s="103"/>
      <c r="KC77" s="103"/>
      <c r="KD77" s="103"/>
      <c r="KE77" s="103"/>
      <c r="KF77" s="103"/>
      <c r="KG77" s="103"/>
      <c r="KH77" s="103"/>
      <c r="KI77" s="103"/>
      <c r="KJ77" s="103"/>
      <c r="KK77" s="103"/>
      <c r="KL77" s="103"/>
      <c r="KM77" s="103"/>
      <c r="KN77" s="103"/>
      <c r="KO77" s="103"/>
      <c r="KP77" s="103"/>
      <c r="KQ77" s="103"/>
      <c r="KR77" s="103"/>
      <c r="KS77" s="103"/>
      <c r="KT77" s="103"/>
      <c r="KU77" s="103"/>
      <c r="KV77" s="103"/>
      <c r="KW77" s="103"/>
      <c r="KX77" s="103"/>
      <c r="KY77" s="103"/>
      <c r="KZ77" s="103"/>
      <c r="LA77" s="103"/>
      <c r="LB77" s="103"/>
      <c r="LC77" s="103"/>
      <c r="LD77" s="103"/>
      <c r="LE77" s="103"/>
      <c r="LF77" s="103"/>
      <c r="LG77" s="103"/>
      <c r="LH77" s="103"/>
      <c r="LI77" s="103"/>
      <c r="LJ77" s="103"/>
    </row>
    <row r="78" spans="1:322" s="208" customFormat="1">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c r="AD78" s="103"/>
      <c r="AE78" s="103"/>
      <c r="AF78" s="103"/>
      <c r="AG78" s="103"/>
      <c r="AH78" s="103"/>
      <c r="AI78" s="103"/>
      <c r="AJ78" s="103"/>
      <c r="AK78" s="103"/>
      <c r="AL78" s="103"/>
      <c r="AM78" s="103"/>
      <c r="AN78" s="103"/>
      <c r="AO78" s="103"/>
      <c r="AP78" s="103"/>
      <c r="AQ78" s="103"/>
      <c r="AR78" s="103"/>
      <c r="AS78" s="103"/>
      <c r="AT78" s="103"/>
      <c r="AU78" s="103"/>
      <c r="AV78" s="103"/>
      <c r="AW78" s="103"/>
      <c r="AX78" s="103"/>
      <c r="AY78" s="103"/>
      <c r="AZ78" s="103"/>
      <c r="BA78" s="103"/>
      <c r="BB78" s="103"/>
      <c r="BC78" s="103"/>
      <c r="BD78" s="103"/>
      <c r="BE78" s="103"/>
      <c r="BF78" s="103"/>
      <c r="BG78" s="103"/>
      <c r="BH78" s="103"/>
      <c r="BI78" s="103"/>
      <c r="BJ78" s="103"/>
      <c r="BK78" s="103"/>
      <c r="BL78" s="103"/>
      <c r="BM78" s="103"/>
      <c r="BN78" s="103"/>
      <c r="BO78" s="103"/>
      <c r="BP78" s="103"/>
      <c r="BQ78" s="103"/>
      <c r="BR78" s="103"/>
      <c r="BS78" s="103"/>
      <c r="BT78" s="103"/>
      <c r="BU78" s="103"/>
      <c r="BV78" s="103"/>
      <c r="BW78" s="103"/>
      <c r="BX78" s="103"/>
      <c r="BY78" s="103"/>
      <c r="BZ78" s="103"/>
      <c r="CA78" s="103"/>
      <c r="CB78" s="103"/>
      <c r="CC78" s="103"/>
      <c r="CD78" s="103"/>
      <c r="CE78" s="103"/>
      <c r="CF78" s="103"/>
      <c r="CG78" s="103"/>
      <c r="CH78" s="103"/>
      <c r="CI78" s="103"/>
      <c r="CJ78" s="103"/>
      <c r="CK78" s="103"/>
      <c r="CL78" s="103"/>
      <c r="CM78" s="103"/>
      <c r="CN78" s="103"/>
      <c r="CO78" s="103"/>
      <c r="CP78" s="103"/>
      <c r="CQ78" s="103"/>
      <c r="CR78" s="103"/>
      <c r="CS78" s="103"/>
      <c r="CT78" s="103"/>
      <c r="CU78" s="103"/>
      <c r="CV78" s="103"/>
      <c r="CW78" s="103"/>
      <c r="CX78" s="103"/>
      <c r="CY78" s="103"/>
      <c r="CZ78" s="103"/>
      <c r="DA78" s="103"/>
      <c r="DB78" s="103"/>
      <c r="DC78" s="103"/>
      <c r="DD78" s="103"/>
      <c r="DE78" s="103"/>
      <c r="DF78" s="103"/>
      <c r="DG78" s="103"/>
      <c r="DH78" s="103"/>
      <c r="DI78" s="103"/>
      <c r="DJ78" s="103"/>
      <c r="DK78" s="103"/>
      <c r="DL78" s="103"/>
      <c r="DM78" s="103"/>
      <c r="DN78" s="103"/>
      <c r="DO78" s="103"/>
      <c r="DP78" s="103"/>
      <c r="DQ78" s="103"/>
      <c r="DR78" s="103"/>
      <c r="DS78" s="103"/>
      <c r="DT78" s="103"/>
      <c r="DU78" s="103"/>
      <c r="DV78" s="103"/>
      <c r="DW78" s="103"/>
      <c r="DX78" s="103"/>
      <c r="DY78" s="103"/>
      <c r="DZ78" s="103"/>
      <c r="EA78" s="103"/>
      <c r="EB78" s="103"/>
      <c r="EC78" s="103"/>
      <c r="ED78" s="103"/>
      <c r="EE78" s="103"/>
      <c r="EF78" s="103"/>
      <c r="EG78" s="103"/>
      <c r="EH78" s="103"/>
      <c r="EI78" s="103"/>
      <c r="EJ78" s="103"/>
      <c r="EK78" s="103"/>
      <c r="EL78" s="103"/>
      <c r="EM78" s="103"/>
      <c r="EN78" s="103"/>
      <c r="EO78" s="103"/>
      <c r="EP78" s="103"/>
      <c r="EQ78" s="103"/>
      <c r="ER78" s="103"/>
      <c r="ES78" s="103"/>
      <c r="ET78" s="103"/>
      <c r="EU78" s="103"/>
      <c r="EV78" s="103"/>
      <c r="EW78" s="103"/>
      <c r="EX78" s="103"/>
      <c r="EY78" s="103"/>
      <c r="EZ78" s="103"/>
      <c r="FA78" s="103"/>
      <c r="FB78" s="103"/>
      <c r="FC78" s="103"/>
      <c r="FD78" s="103"/>
      <c r="FE78" s="103"/>
      <c r="FF78" s="103"/>
      <c r="FG78" s="103"/>
      <c r="FH78" s="103"/>
      <c r="FI78" s="103"/>
      <c r="FJ78" s="103"/>
      <c r="FK78" s="103"/>
      <c r="FL78" s="103"/>
      <c r="FM78" s="103"/>
      <c r="FN78" s="103"/>
      <c r="FO78" s="103"/>
      <c r="FP78" s="103"/>
      <c r="FQ78" s="103"/>
      <c r="FR78" s="103"/>
      <c r="FS78" s="103"/>
      <c r="FT78" s="103"/>
      <c r="FU78" s="103"/>
      <c r="FV78" s="103"/>
      <c r="FW78" s="103"/>
      <c r="FX78" s="103"/>
      <c r="FY78" s="103"/>
      <c r="FZ78" s="103"/>
      <c r="GA78" s="103"/>
      <c r="GB78" s="103"/>
      <c r="GC78" s="103"/>
      <c r="GD78" s="103"/>
      <c r="GE78" s="103"/>
      <c r="GF78" s="103"/>
      <c r="GG78" s="103"/>
      <c r="GH78" s="103"/>
      <c r="GI78" s="103"/>
      <c r="GJ78" s="103"/>
      <c r="GK78" s="103"/>
      <c r="GL78" s="103"/>
      <c r="GM78" s="103"/>
      <c r="GN78" s="103"/>
      <c r="GO78" s="103"/>
      <c r="GP78" s="103"/>
      <c r="GQ78" s="103"/>
      <c r="GR78" s="103"/>
      <c r="GS78" s="103"/>
      <c r="GT78" s="103"/>
      <c r="GU78" s="103"/>
      <c r="GV78" s="103"/>
      <c r="GW78" s="103"/>
      <c r="GX78" s="103"/>
      <c r="GY78" s="103"/>
      <c r="GZ78" s="103"/>
      <c r="HA78" s="103"/>
      <c r="HB78" s="103"/>
      <c r="HC78" s="103"/>
      <c r="HD78" s="103"/>
      <c r="HE78" s="103"/>
      <c r="HF78" s="103"/>
      <c r="HG78" s="103"/>
      <c r="HH78" s="103"/>
      <c r="HI78" s="103"/>
      <c r="HJ78" s="103"/>
      <c r="HK78" s="103"/>
      <c r="HL78" s="103"/>
      <c r="HM78" s="103"/>
      <c r="HN78" s="103"/>
      <c r="HO78" s="103"/>
      <c r="HP78" s="103"/>
      <c r="HQ78" s="103"/>
      <c r="HR78" s="103"/>
      <c r="HS78" s="103"/>
      <c r="HT78" s="103"/>
      <c r="HU78" s="103"/>
      <c r="HV78" s="103"/>
      <c r="HW78" s="103"/>
      <c r="HX78" s="103"/>
      <c r="HY78" s="103"/>
      <c r="HZ78" s="103"/>
      <c r="IA78" s="103"/>
      <c r="IB78" s="103"/>
      <c r="IC78" s="103"/>
      <c r="ID78" s="103"/>
      <c r="IE78" s="103"/>
      <c r="IF78" s="103"/>
      <c r="IG78" s="103"/>
      <c r="IH78" s="103"/>
      <c r="II78" s="103"/>
      <c r="IJ78" s="103"/>
      <c r="IK78" s="103"/>
      <c r="IL78" s="103"/>
      <c r="IM78" s="103"/>
      <c r="IN78" s="103"/>
      <c r="IO78" s="103"/>
      <c r="IP78" s="103"/>
      <c r="IQ78" s="103"/>
      <c r="IR78" s="103"/>
      <c r="IS78" s="103"/>
      <c r="IT78" s="103"/>
      <c r="IU78" s="103"/>
      <c r="IV78" s="103"/>
      <c r="IW78" s="103"/>
      <c r="IX78" s="103"/>
      <c r="IY78" s="103"/>
      <c r="IZ78" s="103"/>
      <c r="JA78" s="103"/>
      <c r="JB78" s="103"/>
      <c r="JC78" s="103"/>
      <c r="JD78" s="103"/>
      <c r="JE78" s="103"/>
      <c r="JF78" s="103"/>
      <c r="JG78" s="103"/>
      <c r="JH78" s="103"/>
      <c r="JI78" s="103"/>
      <c r="JJ78" s="103"/>
      <c r="JK78" s="103"/>
      <c r="JL78" s="103"/>
      <c r="JM78" s="103"/>
      <c r="JN78" s="103"/>
      <c r="JO78" s="103"/>
      <c r="JP78" s="103"/>
      <c r="JQ78" s="103"/>
      <c r="JR78" s="103"/>
      <c r="JS78" s="103"/>
      <c r="JT78" s="103"/>
      <c r="JU78" s="103"/>
      <c r="JV78" s="103"/>
      <c r="JW78" s="103"/>
      <c r="JX78" s="103"/>
      <c r="JY78" s="103"/>
      <c r="JZ78" s="103"/>
      <c r="KA78" s="103"/>
      <c r="KB78" s="103"/>
      <c r="KC78" s="103"/>
      <c r="KD78" s="103"/>
      <c r="KE78" s="103"/>
      <c r="KF78" s="103"/>
      <c r="KG78" s="103"/>
      <c r="KH78" s="103"/>
      <c r="KI78" s="103"/>
      <c r="KJ78" s="103"/>
      <c r="KK78" s="103"/>
      <c r="KL78" s="103"/>
      <c r="KM78" s="103"/>
      <c r="KN78" s="103"/>
      <c r="KO78" s="103"/>
      <c r="KP78" s="103"/>
      <c r="KQ78" s="103"/>
      <c r="KR78" s="103"/>
      <c r="KS78" s="103"/>
      <c r="KT78" s="103"/>
      <c r="KU78" s="103"/>
      <c r="KV78" s="103"/>
      <c r="KW78" s="103"/>
      <c r="KX78" s="103"/>
      <c r="KY78" s="103"/>
      <c r="KZ78" s="103"/>
      <c r="LA78" s="103"/>
      <c r="LB78" s="103"/>
      <c r="LC78" s="103"/>
      <c r="LD78" s="103"/>
      <c r="LE78" s="103"/>
      <c r="LF78" s="103"/>
      <c r="LG78" s="103"/>
      <c r="LH78" s="103"/>
      <c r="LI78" s="103"/>
      <c r="LJ78" s="103"/>
    </row>
    <row r="79" spans="1:322" s="208" customFormat="1">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c r="AB79" s="103"/>
      <c r="AC79" s="103"/>
      <c r="AD79" s="103"/>
      <c r="AE79" s="103"/>
      <c r="AF79" s="103"/>
      <c r="AG79" s="103"/>
      <c r="AH79" s="103"/>
      <c r="AI79" s="103"/>
      <c r="AJ79" s="103"/>
      <c r="AK79" s="103"/>
      <c r="AL79" s="103"/>
      <c r="AM79" s="103"/>
      <c r="AN79" s="103"/>
      <c r="AO79" s="103"/>
      <c r="AP79" s="103"/>
      <c r="AQ79" s="103"/>
      <c r="AR79" s="103"/>
      <c r="AS79" s="103"/>
      <c r="AT79" s="103"/>
      <c r="AU79" s="103"/>
      <c r="AV79" s="103"/>
      <c r="AW79" s="103"/>
      <c r="AX79" s="103"/>
      <c r="AY79" s="103"/>
      <c r="AZ79" s="103"/>
      <c r="BA79" s="103"/>
      <c r="BB79" s="103"/>
      <c r="BC79" s="103"/>
      <c r="BD79" s="103"/>
      <c r="BE79" s="103"/>
      <c r="BF79" s="103"/>
      <c r="BG79" s="103"/>
      <c r="BH79" s="103"/>
      <c r="BI79" s="103"/>
      <c r="BJ79" s="103"/>
      <c r="BK79" s="103"/>
      <c r="BL79" s="103"/>
      <c r="BM79" s="103"/>
      <c r="BN79" s="103"/>
      <c r="BO79" s="103"/>
      <c r="BP79" s="103"/>
      <c r="BQ79" s="103"/>
      <c r="BR79" s="103"/>
      <c r="BS79" s="103"/>
      <c r="BT79" s="103"/>
      <c r="BU79" s="103"/>
      <c r="BV79" s="103"/>
      <c r="BW79" s="103"/>
      <c r="BX79" s="103"/>
      <c r="BY79" s="103"/>
      <c r="BZ79" s="103"/>
      <c r="CA79" s="103"/>
      <c r="CB79" s="103"/>
      <c r="CC79" s="103"/>
      <c r="CD79" s="103"/>
      <c r="CE79" s="103"/>
      <c r="CF79" s="103"/>
      <c r="CG79" s="103"/>
      <c r="CH79" s="103"/>
      <c r="CI79" s="103"/>
      <c r="CJ79" s="103"/>
      <c r="CK79" s="103"/>
      <c r="CL79" s="103"/>
      <c r="CM79" s="103"/>
      <c r="CN79" s="103"/>
      <c r="CO79" s="103"/>
      <c r="CP79" s="103"/>
      <c r="CQ79" s="103"/>
      <c r="CR79" s="103"/>
      <c r="CS79" s="103"/>
      <c r="CT79" s="103"/>
      <c r="CU79" s="103"/>
      <c r="CV79" s="103"/>
      <c r="CW79" s="103"/>
      <c r="CX79" s="103"/>
      <c r="CY79" s="103"/>
      <c r="CZ79" s="103"/>
      <c r="DA79" s="103"/>
      <c r="DB79" s="103"/>
      <c r="DC79" s="103"/>
      <c r="DD79" s="103"/>
      <c r="DE79" s="103"/>
      <c r="DF79" s="103"/>
      <c r="DG79" s="103"/>
      <c r="DH79" s="103"/>
      <c r="DI79" s="103"/>
      <c r="DJ79" s="103"/>
      <c r="DK79" s="103"/>
      <c r="DL79" s="103"/>
      <c r="DM79" s="103"/>
      <c r="DN79" s="103"/>
      <c r="DO79" s="103"/>
      <c r="DP79" s="103"/>
      <c r="DQ79" s="103"/>
      <c r="DR79" s="103"/>
      <c r="DS79" s="103"/>
      <c r="DT79" s="103"/>
      <c r="DU79" s="103"/>
      <c r="DV79" s="103"/>
      <c r="DW79" s="103"/>
      <c r="DX79" s="103"/>
      <c r="DY79" s="103"/>
      <c r="DZ79" s="103"/>
      <c r="EA79" s="103"/>
      <c r="EB79" s="103"/>
      <c r="EC79" s="103"/>
      <c r="ED79" s="103"/>
      <c r="EE79" s="103"/>
      <c r="EF79" s="103"/>
      <c r="EG79" s="103"/>
      <c r="EH79" s="103"/>
      <c r="EI79" s="103"/>
      <c r="EJ79" s="103"/>
      <c r="EK79" s="103"/>
      <c r="EL79" s="103"/>
      <c r="EM79" s="103"/>
      <c r="EN79" s="103"/>
      <c r="EO79" s="103"/>
      <c r="EP79" s="103"/>
      <c r="EQ79" s="103"/>
      <c r="ER79" s="103"/>
      <c r="ES79" s="103"/>
      <c r="ET79" s="103"/>
      <c r="EU79" s="103"/>
      <c r="EV79" s="103"/>
      <c r="EW79" s="103"/>
      <c r="EX79" s="103"/>
      <c r="EY79" s="103"/>
      <c r="EZ79" s="103"/>
      <c r="FA79" s="103"/>
      <c r="FB79" s="103"/>
      <c r="FC79" s="103"/>
      <c r="FD79" s="103"/>
      <c r="FE79" s="103"/>
      <c r="FF79" s="103"/>
      <c r="FG79" s="103"/>
      <c r="FH79" s="103"/>
      <c r="FI79" s="103"/>
      <c r="FJ79" s="103"/>
      <c r="FK79" s="103"/>
      <c r="FL79" s="103"/>
      <c r="FM79" s="103"/>
      <c r="FN79" s="103"/>
      <c r="FO79" s="103"/>
      <c r="FP79" s="103"/>
      <c r="FQ79" s="103"/>
      <c r="FR79" s="103"/>
      <c r="FS79" s="103"/>
      <c r="FT79" s="103"/>
      <c r="FU79" s="103"/>
      <c r="FV79" s="103"/>
      <c r="FW79" s="103"/>
      <c r="FX79" s="103"/>
      <c r="FY79" s="103"/>
      <c r="FZ79" s="103"/>
      <c r="GA79" s="103"/>
      <c r="GB79" s="103"/>
      <c r="GC79" s="103"/>
      <c r="GD79" s="103"/>
      <c r="GE79" s="103"/>
      <c r="GF79" s="103"/>
      <c r="GG79" s="103"/>
      <c r="GH79" s="103"/>
      <c r="GI79" s="103"/>
      <c r="GJ79" s="103"/>
      <c r="GK79" s="103"/>
      <c r="GL79" s="103"/>
      <c r="GM79" s="103"/>
      <c r="GN79" s="103"/>
      <c r="GO79" s="103"/>
      <c r="GP79" s="103"/>
      <c r="GQ79" s="103"/>
      <c r="GR79" s="103"/>
      <c r="GS79" s="103"/>
      <c r="GT79" s="103"/>
      <c r="GU79" s="103"/>
      <c r="GV79" s="103"/>
      <c r="GW79" s="103"/>
      <c r="GX79" s="103"/>
      <c r="GY79" s="103"/>
      <c r="GZ79" s="103"/>
      <c r="HA79" s="103"/>
      <c r="HB79" s="103"/>
      <c r="HC79" s="103"/>
      <c r="HD79" s="103"/>
      <c r="HE79" s="103"/>
      <c r="HF79" s="103"/>
      <c r="HG79" s="103"/>
      <c r="HH79" s="103"/>
      <c r="HI79" s="103"/>
      <c r="HJ79" s="103"/>
      <c r="HK79" s="103"/>
      <c r="HL79" s="103"/>
      <c r="HM79" s="103"/>
      <c r="HN79" s="103"/>
      <c r="HO79" s="103"/>
      <c r="HP79" s="103"/>
      <c r="HQ79" s="103"/>
      <c r="HR79" s="103"/>
      <c r="HS79" s="103"/>
      <c r="HT79" s="103"/>
      <c r="HU79" s="103"/>
      <c r="HV79" s="103"/>
      <c r="HW79" s="103"/>
      <c r="HX79" s="103"/>
      <c r="HY79" s="103"/>
      <c r="HZ79" s="103"/>
      <c r="IA79" s="103"/>
      <c r="IB79" s="103"/>
      <c r="IC79" s="103"/>
      <c r="ID79" s="103"/>
      <c r="IE79" s="103"/>
      <c r="IF79" s="103"/>
      <c r="IG79" s="103"/>
      <c r="IH79" s="103"/>
      <c r="II79" s="103"/>
      <c r="IJ79" s="103"/>
      <c r="IK79" s="103"/>
      <c r="IL79" s="103"/>
      <c r="IM79" s="103"/>
      <c r="IN79" s="103"/>
      <c r="IO79" s="103"/>
      <c r="IP79" s="103"/>
      <c r="IQ79" s="103"/>
      <c r="IR79" s="103"/>
      <c r="IS79" s="103"/>
      <c r="IT79" s="103"/>
      <c r="IU79" s="103"/>
      <c r="IV79" s="103"/>
      <c r="IW79" s="103"/>
      <c r="IX79" s="103"/>
      <c r="IY79" s="103"/>
      <c r="IZ79" s="103"/>
      <c r="JA79" s="103"/>
      <c r="JB79" s="103"/>
      <c r="JC79" s="103"/>
      <c r="JD79" s="103"/>
      <c r="JE79" s="103"/>
      <c r="JF79" s="103"/>
      <c r="JG79" s="103"/>
      <c r="JH79" s="103"/>
      <c r="JI79" s="103"/>
      <c r="JJ79" s="103"/>
      <c r="JK79" s="103"/>
      <c r="JL79" s="103"/>
      <c r="JM79" s="103"/>
      <c r="JN79" s="103"/>
      <c r="JO79" s="103"/>
      <c r="JP79" s="103"/>
      <c r="JQ79" s="103"/>
      <c r="JR79" s="103"/>
      <c r="JS79" s="103"/>
      <c r="JT79" s="103"/>
      <c r="JU79" s="103"/>
      <c r="JV79" s="103"/>
      <c r="JW79" s="103"/>
      <c r="JX79" s="103"/>
      <c r="JY79" s="103"/>
      <c r="JZ79" s="103"/>
      <c r="KA79" s="103"/>
      <c r="KB79" s="103"/>
      <c r="KC79" s="103"/>
      <c r="KD79" s="103"/>
      <c r="KE79" s="103"/>
      <c r="KF79" s="103"/>
      <c r="KG79" s="103"/>
      <c r="KH79" s="103"/>
      <c r="KI79" s="103"/>
      <c r="KJ79" s="103"/>
      <c r="KK79" s="103"/>
      <c r="KL79" s="103"/>
      <c r="KM79" s="103"/>
      <c r="KN79" s="103"/>
      <c r="KO79" s="103"/>
      <c r="KP79" s="103"/>
      <c r="KQ79" s="103"/>
      <c r="KR79" s="103"/>
      <c r="KS79" s="103"/>
      <c r="KT79" s="103"/>
      <c r="KU79" s="103"/>
      <c r="KV79" s="103"/>
      <c r="KW79" s="103"/>
      <c r="KX79" s="103"/>
      <c r="KY79" s="103"/>
      <c r="KZ79" s="103"/>
      <c r="LA79" s="103"/>
      <c r="LB79" s="103"/>
      <c r="LC79" s="103"/>
      <c r="LD79" s="103"/>
      <c r="LE79" s="103"/>
      <c r="LF79" s="103"/>
      <c r="LG79" s="103"/>
      <c r="LH79" s="103"/>
      <c r="LI79" s="103"/>
      <c r="LJ79" s="103"/>
    </row>
    <row r="80" spans="1:322" s="208" customFormat="1">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103"/>
      <c r="AH80" s="103"/>
      <c r="AI80" s="103"/>
      <c r="AJ80" s="103"/>
      <c r="AK80" s="103"/>
      <c r="AL80" s="103"/>
      <c r="AM80" s="103"/>
      <c r="AN80" s="103"/>
      <c r="AO80" s="103"/>
      <c r="AP80" s="103"/>
      <c r="AQ80" s="103"/>
      <c r="AR80" s="103"/>
      <c r="AS80" s="103"/>
      <c r="AT80" s="103"/>
      <c r="AU80" s="103"/>
      <c r="AV80" s="103"/>
      <c r="AW80" s="103"/>
      <c r="AX80" s="103"/>
      <c r="AY80" s="103"/>
      <c r="AZ80" s="103"/>
      <c r="BA80" s="103"/>
      <c r="BB80" s="103"/>
      <c r="BC80" s="103"/>
      <c r="BD80" s="103"/>
      <c r="BE80" s="103"/>
      <c r="BF80" s="103"/>
      <c r="BG80" s="103"/>
      <c r="BH80" s="103"/>
      <c r="BI80" s="103"/>
      <c r="BJ80" s="103"/>
      <c r="BK80" s="103"/>
      <c r="BL80" s="103"/>
      <c r="BM80" s="103"/>
      <c r="BN80" s="103"/>
      <c r="BO80" s="103"/>
      <c r="BP80" s="103"/>
      <c r="BQ80" s="103"/>
      <c r="BR80" s="103"/>
      <c r="BS80" s="103"/>
      <c r="BT80" s="103"/>
      <c r="BU80" s="103"/>
      <c r="BV80" s="103"/>
      <c r="BW80" s="103"/>
      <c r="BX80" s="103"/>
      <c r="BY80" s="103"/>
      <c r="BZ80" s="103"/>
      <c r="CA80" s="103"/>
      <c r="CB80" s="103"/>
      <c r="CC80" s="103"/>
      <c r="CD80" s="103"/>
      <c r="CE80" s="103"/>
      <c r="CF80" s="103"/>
      <c r="CG80" s="103"/>
      <c r="CH80" s="103"/>
      <c r="CI80" s="103"/>
      <c r="CJ80" s="103"/>
      <c r="CK80" s="103"/>
      <c r="CL80" s="103"/>
      <c r="CM80" s="103"/>
      <c r="CN80" s="103"/>
      <c r="CO80" s="103"/>
      <c r="CP80" s="103"/>
      <c r="CQ80" s="103"/>
      <c r="CR80" s="103"/>
      <c r="CS80" s="103"/>
      <c r="CT80" s="103"/>
      <c r="CU80" s="103"/>
      <c r="CV80" s="103"/>
      <c r="CW80" s="103"/>
      <c r="CX80" s="103"/>
      <c r="CY80" s="103"/>
      <c r="CZ80" s="103"/>
      <c r="DA80" s="103"/>
      <c r="DB80" s="103"/>
      <c r="DC80" s="103"/>
      <c r="DD80" s="103"/>
      <c r="DE80" s="103"/>
      <c r="DF80" s="103"/>
      <c r="DG80" s="103"/>
      <c r="DH80" s="103"/>
      <c r="DI80" s="103"/>
      <c r="DJ80" s="103"/>
      <c r="DK80" s="103"/>
      <c r="DL80" s="103"/>
      <c r="DM80" s="103"/>
      <c r="DN80" s="103"/>
      <c r="DO80" s="103"/>
      <c r="DP80" s="103"/>
      <c r="DQ80" s="103"/>
      <c r="DR80" s="103"/>
      <c r="DS80" s="103"/>
      <c r="DT80" s="103"/>
      <c r="DU80" s="103"/>
      <c r="DV80" s="103"/>
      <c r="DW80" s="103"/>
      <c r="DX80" s="103"/>
      <c r="DY80" s="103"/>
      <c r="DZ80" s="103"/>
      <c r="EA80" s="103"/>
      <c r="EB80" s="103"/>
      <c r="EC80" s="103"/>
      <c r="ED80" s="103"/>
      <c r="EE80" s="103"/>
      <c r="EF80" s="103"/>
      <c r="EG80" s="103"/>
      <c r="EH80" s="103"/>
      <c r="EI80" s="103"/>
      <c r="EJ80" s="103"/>
      <c r="EK80" s="103"/>
      <c r="EL80" s="103"/>
      <c r="EM80" s="103"/>
      <c r="EN80" s="103"/>
      <c r="EO80" s="103"/>
      <c r="EP80" s="103"/>
      <c r="EQ80" s="103"/>
      <c r="ER80" s="103"/>
      <c r="ES80" s="103"/>
      <c r="ET80" s="103"/>
      <c r="EU80" s="103"/>
      <c r="EV80" s="103"/>
      <c r="EW80" s="103"/>
      <c r="EX80" s="103"/>
      <c r="EY80" s="103"/>
      <c r="EZ80" s="103"/>
      <c r="FA80" s="103"/>
      <c r="FB80" s="103"/>
      <c r="FC80" s="103"/>
      <c r="FD80" s="103"/>
      <c r="FE80" s="103"/>
      <c r="FF80" s="103"/>
      <c r="FG80" s="103"/>
      <c r="FH80" s="103"/>
      <c r="FI80" s="103"/>
      <c r="FJ80" s="103"/>
      <c r="FK80" s="103"/>
      <c r="FL80" s="103"/>
      <c r="FM80" s="103"/>
      <c r="FN80" s="103"/>
      <c r="FO80" s="103"/>
      <c r="FP80" s="103"/>
      <c r="FQ80" s="103"/>
      <c r="FR80" s="103"/>
      <c r="FS80" s="103"/>
      <c r="FT80" s="103"/>
      <c r="FU80" s="103"/>
      <c r="FV80" s="103"/>
      <c r="FW80" s="103"/>
      <c r="FX80" s="103"/>
      <c r="FY80" s="103"/>
      <c r="FZ80" s="103"/>
      <c r="GA80" s="103"/>
      <c r="GB80" s="103"/>
      <c r="GC80" s="103"/>
      <c r="GD80" s="103"/>
      <c r="GE80" s="103"/>
      <c r="GF80" s="103"/>
      <c r="GG80" s="103"/>
      <c r="GH80" s="103"/>
      <c r="GI80" s="103"/>
      <c r="GJ80" s="103"/>
      <c r="GK80" s="103"/>
      <c r="GL80" s="103"/>
      <c r="GM80" s="103"/>
      <c r="GN80" s="103"/>
      <c r="GO80" s="103"/>
      <c r="GP80" s="103"/>
      <c r="GQ80" s="103"/>
      <c r="GR80" s="103"/>
      <c r="GS80" s="103"/>
      <c r="GT80" s="103"/>
      <c r="GU80" s="103"/>
      <c r="GV80" s="103"/>
      <c r="GW80" s="103"/>
      <c r="GX80" s="103"/>
      <c r="GY80" s="103"/>
      <c r="GZ80" s="103"/>
      <c r="HA80" s="103"/>
      <c r="HB80" s="103"/>
      <c r="HC80" s="103"/>
      <c r="HD80" s="103"/>
      <c r="HE80" s="103"/>
      <c r="HF80" s="103"/>
      <c r="HG80" s="103"/>
      <c r="HH80" s="103"/>
      <c r="HI80" s="103"/>
      <c r="HJ80" s="103"/>
      <c r="HK80" s="103"/>
      <c r="HL80" s="103"/>
      <c r="HM80" s="103"/>
      <c r="HN80" s="103"/>
      <c r="HO80" s="103"/>
      <c r="HP80" s="103"/>
      <c r="HQ80" s="103"/>
      <c r="HR80" s="103"/>
      <c r="HS80" s="103"/>
      <c r="HT80" s="103"/>
      <c r="HU80" s="103"/>
      <c r="HV80" s="103"/>
      <c r="HW80" s="103"/>
      <c r="HX80" s="103"/>
      <c r="HY80" s="103"/>
      <c r="HZ80" s="103"/>
      <c r="IA80" s="103"/>
      <c r="IB80" s="103"/>
      <c r="IC80" s="103"/>
      <c r="ID80" s="103"/>
      <c r="IE80" s="103"/>
      <c r="IF80" s="103"/>
      <c r="IG80" s="103"/>
      <c r="IH80" s="103"/>
      <c r="II80" s="103"/>
      <c r="IJ80" s="103"/>
      <c r="IK80" s="103"/>
      <c r="IL80" s="103"/>
      <c r="IM80" s="103"/>
      <c r="IN80" s="103"/>
      <c r="IO80" s="103"/>
      <c r="IP80" s="103"/>
      <c r="IQ80" s="103"/>
      <c r="IR80" s="103"/>
      <c r="IS80" s="103"/>
      <c r="IT80" s="103"/>
      <c r="IU80" s="103"/>
      <c r="IV80" s="103"/>
      <c r="IW80" s="103"/>
      <c r="IX80" s="103"/>
      <c r="IY80" s="103"/>
      <c r="IZ80" s="103"/>
      <c r="JA80" s="103"/>
      <c r="JB80" s="103"/>
      <c r="JC80" s="103"/>
      <c r="JD80" s="103"/>
      <c r="JE80" s="103"/>
      <c r="JF80" s="103"/>
      <c r="JG80" s="103"/>
      <c r="JH80" s="103"/>
      <c r="JI80" s="103"/>
      <c r="JJ80" s="103"/>
      <c r="JK80" s="103"/>
      <c r="JL80" s="103"/>
      <c r="JM80" s="103"/>
      <c r="JN80" s="103"/>
      <c r="JO80" s="103"/>
      <c r="JP80" s="103"/>
      <c r="JQ80" s="103"/>
      <c r="JR80" s="103"/>
      <c r="JS80" s="103"/>
      <c r="JT80" s="103"/>
      <c r="JU80" s="103"/>
      <c r="JV80" s="103"/>
      <c r="JW80" s="103"/>
      <c r="JX80" s="103"/>
      <c r="JY80" s="103"/>
      <c r="JZ80" s="103"/>
      <c r="KA80" s="103"/>
      <c r="KB80" s="103"/>
      <c r="KC80" s="103"/>
      <c r="KD80" s="103"/>
      <c r="KE80" s="103"/>
      <c r="KF80" s="103"/>
      <c r="KG80" s="103"/>
      <c r="KH80" s="103"/>
      <c r="KI80" s="103"/>
      <c r="KJ80" s="103"/>
      <c r="KK80" s="103"/>
      <c r="KL80" s="103"/>
      <c r="KM80" s="103"/>
      <c r="KN80" s="103"/>
      <c r="KO80" s="103"/>
      <c r="KP80" s="103"/>
      <c r="KQ80" s="103"/>
      <c r="KR80" s="103"/>
      <c r="KS80" s="103"/>
      <c r="KT80" s="103"/>
      <c r="KU80" s="103"/>
      <c r="KV80" s="103"/>
      <c r="KW80" s="103"/>
      <c r="KX80" s="103"/>
      <c r="KY80" s="103"/>
      <c r="KZ80" s="103"/>
      <c r="LA80" s="103"/>
      <c r="LB80" s="103"/>
      <c r="LC80" s="103"/>
      <c r="LD80" s="103"/>
      <c r="LE80" s="103"/>
      <c r="LF80" s="103"/>
      <c r="LG80" s="103"/>
      <c r="LH80" s="103"/>
      <c r="LI80" s="103"/>
      <c r="LJ80" s="103"/>
    </row>
    <row r="81" spans="1:322" s="208" customFormat="1">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103"/>
      <c r="AF81" s="103"/>
      <c r="AG81" s="103"/>
      <c r="AH81" s="103"/>
      <c r="AI81" s="103"/>
      <c r="AJ81" s="103"/>
      <c r="AK81" s="103"/>
      <c r="AL81" s="103"/>
      <c r="AM81" s="103"/>
      <c r="AN81" s="103"/>
      <c r="AO81" s="103"/>
      <c r="AP81" s="103"/>
      <c r="AQ81" s="103"/>
      <c r="AR81" s="103"/>
      <c r="AS81" s="103"/>
      <c r="AT81" s="103"/>
      <c r="AU81" s="103"/>
      <c r="AV81" s="103"/>
      <c r="AW81" s="103"/>
      <c r="AX81" s="103"/>
      <c r="AY81" s="103"/>
      <c r="AZ81" s="103"/>
      <c r="BA81" s="103"/>
      <c r="BB81" s="103"/>
      <c r="BC81" s="103"/>
      <c r="BD81" s="103"/>
      <c r="BE81" s="103"/>
      <c r="BF81" s="103"/>
      <c r="BG81" s="103"/>
      <c r="BH81" s="103"/>
      <c r="BI81" s="103"/>
      <c r="BJ81" s="103"/>
      <c r="BK81" s="103"/>
      <c r="BL81" s="103"/>
      <c r="BM81" s="103"/>
      <c r="BN81" s="103"/>
      <c r="BO81" s="103"/>
      <c r="BP81" s="103"/>
      <c r="BQ81" s="103"/>
      <c r="BR81" s="103"/>
      <c r="BS81" s="103"/>
      <c r="BT81" s="103"/>
      <c r="BU81" s="103"/>
      <c r="BV81" s="103"/>
      <c r="BW81" s="103"/>
      <c r="BX81" s="103"/>
      <c r="BY81" s="103"/>
      <c r="BZ81" s="103"/>
      <c r="CA81" s="103"/>
      <c r="CB81" s="103"/>
      <c r="CC81" s="103"/>
      <c r="CD81" s="103"/>
      <c r="CE81" s="103"/>
      <c r="CF81" s="103"/>
      <c r="CG81" s="103"/>
      <c r="CH81" s="103"/>
      <c r="CI81" s="103"/>
      <c r="CJ81" s="103"/>
      <c r="CK81" s="103"/>
      <c r="CL81" s="103"/>
      <c r="CM81" s="103"/>
      <c r="CN81" s="103"/>
      <c r="CO81" s="103"/>
      <c r="CP81" s="103"/>
      <c r="CQ81" s="103"/>
      <c r="CR81" s="103"/>
      <c r="CS81" s="103"/>
      <c r="CT81" s="103"/>
      <c r="CU81" s="103"/>
      <c r="CV81" s="103"/>
      <c r="CW81" s="103"/>
      <c r="CX81" s="103"/>
      <c r="CY81" s="103"/>
      <c r="CZ81" s="103"/>
      <c r="DA81" s="103"/>
      <c r="DB81" s="103"/>
      <c r="DC81" s="103"/>
      <c r="DD81" s="103"/>
      <c r="DE81" s="103"/>
      <c r="DF81" s="103"/>
      <c r="DG81" s="103"/>
      <c r="DH81" s="103"/>
      <c r="DI81" s="103"/>
      <c r="DJ81" s="103"/>
      <c r="DK81" s="103"/>
      <c r="DL81" s="103"/>
      <c r="DM81" s="103"/>
      <c r="DN81" s="103"/>
      <c r="DO81" s="103"/>
      <c r="DP81" s="103"/>
      <c r="DQ81" s="103"/>
      <c r="DR81" s="103"/>
      <c r="DS81" s="103"/>
      <c r="DT81" s="103"/>
      <c r="DU81" s="103"/>
      <c r="DV81" s="103"/>
      <c r="DW81" s="103"/>
      <c r="DX81" s="103"/>
      <c r="DY81" s="103"/>
      <c r="DZ81" s="103"/>
      <c r="EA81" s="103"/>
      <c r="EB81" s="103"/>
      <c r="EC81" s="103"/>
      <c r="ED81" s="103"/>
      <c r="EE81" s="103"/>
      <c r="EF81" s="103"/>
      <c r="EG81" s="103"/>
      <c r="EH81" s="103"/>
      <c r="EI81" s="103"/>
      <c r="EJ81" s="103"/>
      <c r="EK81" s="103"/>
      <c r="EL81" s="103"/>
      <c r="EM81" s="103"/>
      <c r="EN81" s="103"/>
      <c r="EO81" s="103"/>
      <c r="EP81" s="103"/>
      <c r="EQ81" s="103"/>
      <c r="ER81" s="103"/>
      <c r="ES81" s="103"/>
      <c r="ET81" s="103"/>
      <c r="EU81" s="103"/>
      <c r="EV81" s="103"/>
      <c r="EW81" s="103"/>
      <c r="EX81" s="103"/>
      <c r="EY81" s="103"/>
      <c r="EZ81" s="103"/>
      <c r="FA81" s="103"/>
      <c r="FB81" s="103"/>
      <c r="FC81" s="103"/>
      <c r="FD81" s="103"/>
      <c r="FE81" s="103"/>
      <c r="FF81" s="103"/>
      <c r="FG81" s="103"/>
      <c r="FH81" s="103"/>
      <c r="FI81" s="103"/>
      <c r="FJ81" s="103"/>
      <c r="FK81" s="103"/>
      <c r="FL81" s="103"/>
      <c r="FM81" s="103"/>
      <c r="FN81" s="103"/>
      <c r="FO81" s="103"/>
      <c r="FP81" s="103"/>
      <c r="FQ81" s="103"/>
      <c r="FR81" s="103"/>
      <c r="FS81" s="103"/>
      <c r="FT81" s="103"/>
      <c r="FU81" s="103"/>
      <c r="FV81" s="103"/>
      <c r="FW81" s="103"/>
      <c r="FX81" s="103"/>
      <c r="FY81" s="103"/>
      <c r="FZ81" s="103"/>
      <c r="GA81" s="103"/>
      <c r="GB81" s="103"/>
      <c r="GC81" s="103"/>
      <c r="GD81" s="103"/>
      <c r="GE81" s="103"/>
      <c r="GF81" s="103"/>
      <c r="GG81" s="103"/>
      <c r="GH81" s="103"/>
      <c r="GI81" s="103"/>
      <c r="GJ81" s="103"/>
      <c r="GK81" s="103"/>
      <c r="GL81" s="103"/>
      <c r="GM81" s="103"/>
      <c r="GN81" s="103"/>
      <c r="GO81" s="103"/>
      <c r="GP81" s="103"/>
      <c r="GQ81" s="103"/>
      <c r="GR81" s="103"/>
      <c r="GS81" s="103"/>
      <c r="GT81" s="103"/>
      <c r="GU81" s="103"/>
      <c r="GV81" s="103"/>
      <c r="GW81" s="103"/>
      <c r="GX81" s="103"/>
      <c r="GY81" s="103"/>
      <c r="GZ81" s="103"/>
      <c r="HA81" s="103"/>
      <c r="HB81" s="103"/>
      <c r="HC81" s="103"/>
      <c r="HD81" s="103"/>
      <c r="HE81" s="103"/>
      <c r="HF81" s="103"/>
      <c r="HG81" s="103"/>
      <c r="HH81" s="103"/>
      <c r="HI81" s="103"/>
      <c r="HJ81" s="103"/>
      <c r="HK81" s="103"/>
      <c r="HL81" s="103"/>
      <c r="HM81" s="103"/>
      <c r="HN81" s="103"/>
      <c r="HO81" s="103"/>
      <c r="HP81" s="103"/>
      <c r="HQ81" s="103"/>
      <c r="HR81" s="103"/>
      <c r="HS81" s="103"/>
      <c r="HT81" s="103"/>
      <c r="HU81" s="103"/>
      <c r="HV81" s="103"/>
      <c r="HW81" s="103"/>
      <c r="HX81" s="103"/>
      <c r="HY81" s="103"/>
      <c r="HZ81" s="103"/>
      <c r="IA81" s="103"/>
      <c r="IB81" s="103"/>
      <c r="IC81" s="103"/>
      <c r="ID81" s="103"/>
      <c r="IE81" s="103"/>
      <c r="IF81" s="103"/>
      <c r="IG81" s="103"/>
      <c r="IH81" s="103"/>
      <c r="II81" s="103"/>
      <c r="IJ81" s="103"/>
      <c r="IK81" s="103"/>
      <c r="IL81" s="103"/>
      <c r="IM81" s="103"/>
      <c r="IN81" s="103"/>
      <c r="IO81" s="103"/>
      <c r="IP81" s="103"/>
      <c r="IQ81" s="103"/>
      <c r="IR81" s="103"/>
      <c r="IS81" s="103"/>
      <c r="IT81" s="103"/>
      <c r="IU81" s="103"/>
      <c r="IV81" s="103"/>
      <c r="IW81" s="103"/>
      <c r="IX81" s="103"/>
      <c r="IY81" s="103"/>
      <c r="IZ81" s="103"/>
      <c r="JA81" s="103"/>
      <c r="JB81" s="103"/>
      <c r="JC81" s="103"/>
      <c r="JD81" s="103"/>
      <c r="JE81" s="103"/>
      <c r="JF81" s="103"/>
      <c r="JG81" s="103"/>
      <c r="JH81" s="103"/>
      <c r="JI81" s="103"/>
      <c r="JJ81" s="103"/>
      <c r="JK81" s="103"/>
      <c r="JL81" s="103"/>
      <c r="JM81" s="103"/>
      <c r="JN81" s="103"/>
      <c r="JO81" s="103"/>
      <c r="JP81" s="103"/>
      <c r="JQ81" s="103"/>
      <c r="JR81" s="103"/>
      <c r="JS81" s="103"/>
      <c r="JT81" s="103"/>
      <c r="JU81" s="103"/>
      <c r="JV81" s="103"/>
      <c r="JW81" s="103"/>
      <c r="JX81" s="103"/>
      <c r="JY81" s="103"/>
      <c r="JZ81" s="103"/>
      <c r="KA81" s="103"/>
      <c r="KB81" s="103"/>
      <c r="KC81" s="103"/>
      <c r="KD81" s="103"/>
      <c r="KE81" s="103"/>
      <c r="KF81" s="103"/>
      <c r="KG81" s="103"/>
      <c r="KH81" s="103"/>
      <c r="KI81" s="103"/>
      <c r="KJ81" s="103"/>
      <c r="KK81" s="103"/>
      <c r="KL81" s="103"/>
      <c r="KM81" s="103"/>
      <c r="KN81" s="103"/>
      <c r="KO81" s="103"/>
      <c r="KP81" s="103"/>
      <c r="KQ81" s="103"/>
      <c r="KR81" s="103"/>
      <c r="KS81" s="103"/>
      <c r="KT81" s="103"/>
      <c r="KU81" s="103"/>
      <c r="KV81" s="103"/>
      <c r="KW81" s="103"/>
      <c r="KX81" s="103"/>
      <c r="KY81" s="103"/>
      <c r="KZ81" s="103"/>
      <c r="LA81" s="103"/>
      <c r="LB81" s="103"/>
      <c r="LC81" s="103"/>
      <c r="LD81" s="103"/>
      <c r="LE81" s="103"/>
      <c r="LF81" s="103"/>
      <c r="LG81" s="103"/>
      <c r="LH81" s="103"/>
      <c r="LI81" s="103"/>
      <c r="LJ81" s="103"/>
    </row>
    <row r="82" spans="1:322" s="208" customFormat="1">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03"/>
      <c r="AB82" s="103"/>
      <c r="AC82" s="103"/>
      <c r="AD82" s="103"/>
      <c r="AE82" s="103"/>
      <c r="AF82" s="103"/>
      <c r="AG82" s="103"/>
      <c r="AH82" s="103"/>
      <c r="AI82" s="103"/>
      <c r="AJ82" s="103"/>
      <c r="AK82" s="103"/>
      <c r="AL82" s="103"/>
      <c r="AM82" s="103"/>
      <c r="AN82" s="103"/>
      <c r="AO82" s="103"/>
      <c r="AP82" s="103"/>
      <c r="AQ82" s="103"/>
      <c r="AR82" s="103"/>
      <c r="AS82" s="103"/>
      <c r="AT82" s="103"/>
      <c r="AU82" s="103"/>
      <c r="AV82" s="103"/>
      <c r="AW82" s="103"/>
      <c r="AX82" s="103"/>
      <c r="AY82" s="103"/>
      <c r="AZ82" s="103"/>
      <c r="BA82" s="103"/>
      <c r="BB82" s="103"/>
      <c r="BC82" s="103"/>
      <c r="BD82" s="103"/>
      <c r="BE82" s="103"/>
      <c r="BF82" s="103"/>
      <c r="BG82" s="103"/>
      <c r="BH82" s="103"/>
      <c r="BI82" s="103"/>
      <c r="BJ82" s="103"/>
      <c r="BK82" s="103"/>
      <c r="BL82" s="103"/>
      <c r="BM82" s="103"/>
      <c r="BN82" s="103"/>
      <c r="BO82" s="103"/>
      <c r="BP82" s="103"/>
      <c r="BQ82" s="103"/>
      <c r="BR82" s="103"/>
      <c r="BS82" s="103"/>
      <c r="BT82" s="103"/>
      <c r="BU82" s="103"/>
      <c r="BV82" s="103"/>
      <c r="BW82" s="103"/>
      <c r="BX82" s="103"/>
      <c r="BY82" s="103"/>
      <c r="BZ82" s="103"/>
      <c r="CA82" s="103"/>
      <c r="CB82" s="103"/>
      <c r="CC82" s="103"/>
      <c r="CD82" s="103"/>
      <c r="CE82" s="103"/>
      <c r="CF82" s="103"/>
      <c r="CG82" s="103"/>
      <c r="CH82" s="103"/>
      <c r="CI82" s="103"/>
      <c r="CJ82" s="103"/>
      <c r="CK82" s="103"/>
      <c r="CL82" s="103"/>
      <c r="CM82" s="103"/>
      <c r="CN82" s="103"/>
      <c r="CO82" s="103"/>
      <c r="CP82" s="103"/>
      <c r="CQ82" s="103"/>
      <c r="CR82" s="103"/>
      <c r="CS82" s="103"/>
      <c r="CT82" s="103"/>
      <c r="CU82" s="103"/>
      <c r="CV82" s="103"/>
      <c r="CW82" s="103"/>
      <c r="CX82" s="103"/>
      <c r="CY82" s="103"/>
      <c r="CZ82" s="103"/>
      <c r="DA82" s="103"/>
      <c r="DB82" s="103"/>
      <c r="DC82" s="103"/>
      <c r="DD82" s="103"/>
      <c r="DE82" s="103"/>
      <c r="DF82" s="103"/>
      <c r="DG82" s="103"/>
      <c r="DH82" s="103"/>
      <c r="DI82" s="103"/>
      <c r="DJ82" s="103"/>
      <c r="DK82" s="103"/>
      <c r="DL82" s="103"/>
      <c r="DM82" s="103"/>
      <c r="DN82" s="103"/>
      <c r="DO82" s="103"/>
      <c r="DP82" s="103"/>
      <c r="DQ82" s="103"/>
      <c r="DR82" s="103"/>
      <c r="DS82" s="103"/>
      <c r="DT82" s="103"/>
      <c r="DU82" s="103"/>
      <c r="DV82" s="103"/>
      <c r="DW82" s="103"/>
      <c r="DX82" s="103"/>
      <c r="DY82" s="103"/>
      <c r="DZ82" s="103"/>
      <c r="EA82" s="103"/>
      <c r="EB82" s="103"/>
      <c r="EC82" s="103"/>
      <c r="ED82" s="103"/>
      <c r="EE82" s="103"/>
      <c r="EF82" s="103"/>
      <c r="EG82" s="103"/>
      <c r="EH82" s="103"/>
      <c r="EI82" s="103"/>
      <c r="EJ82" s="103"/>
      <c r="EK82" s="103"/>
      <c r="EL82" s="103"/>
      <c r="EM82" s="103"/>
      <c r="EN82" s="103"/>
      <c r="EO82" s="103"/>
      <c r="EP82" s="103"/>
      <c r="EQ82" s="103"/>
      <c r="ER82" s="103"/>
      <c r="ES82" s="103"/>
      <c r="ET82" s="103"/>
      <c r="EU82" s="103"/>
      <c r="EV82" s="103"/>
      <c r="EW82" s="103"/>
      <c r="EX82" s="103"/>
      <c r="EY82" s="103"/>
      <c r="EZ82" s="103"/>
      <c r="FA82" s="103"/>
      <c r="FB82" s="103"/>
      <c r="FC82" s="103"/>
      <c r="FD82" s="103"/>
      <c r="FE82" s="103"/>
      <c r="FF82" s="103"/>
      <c r="FG82" s="103"/>
      <c r="FH82" s="103"/>
      <c r="FI82" s="103"/>
      <c r="FJ82" s="103"/>
      <c r="FK82" s="103"/>
      <c r="FL82" s="103"/>
      <c r="FM82" s="103"/>
      <c r="FN82" s="103"/>
      <c r="FO82" s="103"/>
      <c r="FP82" s="103"/>
      <c r="FQ82" s="103"/>
      <c r="FR82" s="103"/>
      <c r="FS82" s="103"/>
      <c r="FT82" s="103"/>
      <c r="FU82" s="103"/>
      <c r="FV82" s="103"/>
      <c r="FW82" s="103"/>
      <c r="FX82" s="103"/>
      <c r="FY82" s="103"/>
      <c r="FZ82" s="103"/>
      <c r="GA82" s="103"/>
      <c r="GB82" s="103"/>
      <c r="GC82" s="103"/>
      <c r="GD82" s="103"/>
      <c r="GE82" s="103"/>
      <c r="GF82" s="103"/>
      <c r="GG82" s="103"/>
      <c r="GH82" s="103"/>
      <c r="GI82" s="103"/>
      <c r="GJ82" s="103"/>
      <c r="GK82" s="103"/>
      <c r="GL82" s="103"/>
      <c r="GM82" s="103"/>
      <c r="GN82" s="103"/>
      <c r="GO82" s="103"/>
      <c r="GP82" s="103"/>
      <c r="GQ82" s="103"/>
      <c r="GR82" s="103"/>
      <c r="GS82" s="103"/>
      <c r="GT82" s="103"/>
      <c r="GU82" s="103"/>
      <c r="GV82" s="103"/>
      <c r="GW82" s="103"/>
      <c r="GX82" s="103"/>
      <c r="GY82" s="103"/>
      <c r="GZ82" s="103"/>
      <c r="HA82" s="103"/>
      <c r="HB82" s="103"/>
      <c r="HC82" s="103"/>
      <c r="HD82" s="103"/>
      <c r="HE82" s="103"/>
      <c r="HF82" s="103"/>
      <c r="HG82" s="103"/>
      <c r="HH82" s="103"/>
      <c r="HI82" s="103"/>
      <c r="HJ82" s="103"/>
      <c r="HK82" s="103"/>
      <c r="HL82" s="103"/>
      <c r="HM82" s="103"/>
      <c r="HN82" s="103"/>
      <c r="HO82" s="103"/>
      <c r="HP82" s="103"/>
      <c r="HQ82" s="103"/>
      <c r="HR82" s="103"/>
      <c r="HS82" s="103"/>
      <c r="HT82" s="103"/>
      <c r="HU82" s="103"/>
      <c r="HV82" s="103"/>
      <c r="HW82" s="103"/>
      <c r="HX82" s="103"/>
      <c r="HY82" s="103"/>
      <c r="HZ82" s="103"/>
      <c r="IA82" s="103"/>
      <c r="IB82" s="103"/>
      <c r="IC82" s="103"/>
      <c r="ID82" s="103"/>
      <c r="IE82" s="103"/>
      <c r="IF82" s="103"/>
      <c r="IG82" s="103"/>
      <c r="IH82" s="103"/>
      <c r="II82" s="103"/>
      <c r="IJ82" s="103"/>
      <c r="IK82" s="103"/>
      <c r="IL82" s="103"/>
      <c r="IM82" s="103"/>
      <c r="IN82" s="103"/>
      <c r="IO82" s="103"/>
      <c r="IP82" s="103"/>
      <c r="IQ82" s="103"/>
      <c r="IR82" s="103"/>
      <c r="IS82" s="103"/>
      <c r="IT82" s="103"/>
      <c r="IU82" s="103"/>
      <c r="IV82" s="103"/>
      <c r="IW82" s="103"/>
      <c r="IX82" s="103"/>
      <c r="IY82" s="103"/>
      <c r="IZ82" s="103"/>
      <c r="JA82" s="103"/>
      <c r="JB82" s="103"/>
      <c r="JC82" s="103"/>
      <c r="JD82" s="103"/>
      <c r="JE82" s="103"/>
      <c r="JF82" s="103"/>
      <c r="JG82" s="103"/>
      <c r="JH82" s="103"/>
      <c r="JI82" s="103"/>
      <c r="JJ82" s="103"/>
      <c r="JK82" s="103"/>
      <c r="JL82" s="103"/>
      <c r="JM82" s="103"/>
      <c r="JN82" s="103"/>
      <c r="JO82" s="103"/>
      <c r="JP82" s="103"/>
      <c r="JQ82" s="103"/>
      <c r="JR82" s="103"/>
      <c r="JS82" s="103"/>
      <c r="JT82" s="103"/>
      <c r="JU82" s="103"/>
      <c r="JV82" s="103"/>
      <c r="JW82" s="103"/>
      <c r="JX82" s="103"/>
      <c r="JY82" s="103"/>
      <c r="JZ82" s="103"/>
      <c r="KA82" s="103"/>
      <c r="KB82" s="103"/>
      <c r="KC82" s="103"/>
      <c r="KD82" s="103"/>
      <c r="KE82" s="103"/>
      <c r="KF82" s="103"/>
      <c r="KG82" s="103"/>
      <c r="KH82" s="103"/>
      <c r="KI82" s="103"/>
      <c r="KJ82" s="103"/>
      <c r="KK82" s="103"/>
      <c r="KL82" s="103"/>
      <c r="KM82" s="103"/>
      <c r="KN82" s="103"/>
      <c r="KO82" s="103"/>
      <c r="KP82" s="103"/>
      <c r="KQ82" s="103"/>
      <c r="KR82" s="103"/>
      <c r="KS82" s="103"/>
      <c r="KT82" s="103"/>
      <c r="KU82" s="103"/>
      <c r="KV82" s="103"/>
      <c r="KW82" s="103"/>
      <c r="KX82" s="103"/>
      <c r="KY82" s="103"/>
      <c r="KZ82" s="103"/>
      <c r="LA82" s="103"/>
      <c r="LB82" s="103"/>
      <c r="LC82" s="103"/>
      <c r="LD82" s="103"/>
      <c r="LE82" s="103"/>
      <c r="LF82" s="103"/>
      <c r="LG82" s="103"/>
      <c r="LH82" s="103"/>
      <c r="LI82" s="103"/>
      <c r="LJ82" s="103"/>
    </row>
    <row r="83" spans="1:322" s="208" customFormat="1">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103"/>
      <c r="BG83" s="103"/>
      <c r="BH83" s="103"/>
      <c r="BI83" s="103"/>
      <c r="BJ83" s="103"/>
      <c r="BK83" s="103"/>
      <c r="BL83" s="103"/>
      <c r="BM83" s="103"/>
      <c r="BN83" s="103"/>
      <c r="BO83" s="103"/>
      <c r="BP83" s="103"/>
      <c r="BQ83" s="103"/>
      <c r="BR83" s="103"/>
      <c r="BS83" s="103"/>
      <c r="BT83" s="103"/>
      <c r="BU83" s="103"/>
      <c r="BV83" s="103"/>
      <c r="BW83" s="103"/>
      <c r="BX83" s="103"/>
      <c r="BY83" s="103"/>
      <c r="BZ83" s="103"/>
      <c r="CA83" s="103"/>
      <c r="CB83" s="103"/>
      <c r="CC83" s="103"/>
      <c r="CD83" s="103"/>
      <c r="CE83" s="103"/>
      <c r="CF83" s="103"/>
      <c r="CG83" s="103"/>
      <c r="CH83" s="103"/>
      <c r="CI83" s="103"/>
      <c r="CJ83" s="103"/>
      <c r="CK83" s="103"/>
      <c r="CL83" s="103"/>
      <c r="CM83" s="103"/>
      <c r="CN83" s="103"/>
      <c r="CO83" s="103"/>
      <c r="CP83" s="103"/>
      <c r="CQ83" s="103"/>
      <c r="CR83" s="103"/>
      <c r="CS83" s="103"/>
      <c r="CT83" s="103"/>
      <c r="CU83" s="103"/>
      <c r="CV83" s="103"/>
      <c r="CW83" s="103"/>
      <c r="CX83" s="103"/>
      <c r="CY83" s="103"/>
      <c r="CZ83" s="103"/>
      <c r="DA83" s="103"/>
      <c r="DB83" s="103"/>
      <c r="DC83" s="103"/>
      <c r="DD83" s="103"/>
      <c r="DE83" s="103"/>
      <c r="DF83" s="103"/>
      <c r="DG83" s="103"/>
      <c r="DH83" s="103"/>
      <c r="DI83" s="103"/>
      <c r="DJ83" s="103"/>
      <c r="DK83" s="103"/>
      <c r="DL83" s="103"/>
      <c r="DM83" s="103"/>
      <c r="DN83" s="103"/>
      <c r="DO83" s="103"/>
      <c r="DP83" s="103"/>
      <c r="DQ83" s="103"/>
      <c r="DR83" s="103"/>
      <c r="DS83" s="103"/>
      <c r="DT83" s="103"/>
      <c r="DU83" s="103"/>
      <c r="DV83" s="103"/>
      <c r="DW83" s="103"/>
      <c r="DX83" s="103"/>
      <c r="DY83" s="103"/>
      <c r="DZ83" s="103"/>
      <c r="EA83" s="103"/>
      <c r="EB83" s="103"/>
      <c r="EC83" s="103"/>
      <c r="ED83" s="103"/>
      <c r="EE83" s="103"/>
      <c r="EF83" s="103"/>
      <c r="EG83" s="103"/>
      <c r="EH83" s="103"/>
      <c r="EI83" s="103"/>
      <c r="EJ83" s="103"/>
      <c r="EK83" s="103"/>
      <c r="EL83" s="103"/>
      <c r="EM83" s="103"/>
      <c r="EN83" s="103"/>
      <c r="EO83" s="103"/>
      <c r="EP83" s="103"/>
      <c r="EQ83" s="103"/>
      <c r="ER83" s="103"/>
      <c r="ES83" s="103"/>
      <c r="ET83" s="103"/>
      <c r="EU83" s="103"/>
      <c r="EV83" s="103"/>
      <c r="EW83" s="103"/>
      <c r="EX83" s="103"/>
      <c r="EY83" s="103"/>
      <c r="EZ83" s="103"/>
      <c r="FA83" s="103"/>
      <c r="FB83" s="103"/>
      <c r="FC83" s="103"/>
      <c r="FD83" s="103"/>
      <c r="FE83" s="103"/>
      <c r="FF83" s="103"/>
      <c r="FG83" s="103"/>
      <c r="FH83" s="103"/>
      <c r="FI83" s="103"/>
      <c r="FJ83" s="103"/>
      <c r="FK83" s="103"/>
      <c r="FL83" s="103"/>
      <c r="FM83" s="103"/>
      <c r="FN83" s="103"/>
      <c r="FO83" s="103"/>
      <c r="FP83" s="103"/>
      <c r="FQ83" s="103"/>
      <c r="FR83" s="103"/>
      <c r="FS83" s="103"/>
      <c r="FT83" s="103"/>
      <c r="FU83" s="103"/>
      <c r="FV83" s="103"/>
      <c r="FW83" s="103"/>
      <c r="FX83" s="103"/>
      <c r="FY83" s="103"/>
      <c r="FZ83" s="103"/>
      <c r="GA83" s="103"/>
      <c r="GB83" s="103"/>
      <c r="GC83" s="103"/>
      <c r="GD83" s="103"/>
      <c r="GE83" s="103"/>
      <c r="GF83" s="103"/>
      <c r="GG83" s="103"/>
      <c r="GH83" s="103"/>
      <c r="GI83" s="103"/>
      <c r="GJ83" s="103"/>
      <c r="GK83" s="103"/>
      <c r="GL83" s="103"/>
      <c r="GM83" s="103"/>
      <c r="GN83" s="103"/>
      <c r="GO83" s="103"/>
      <c r="GP83" s="103"/>
      <c r="GQ83" s="103"/>
      <c r="GR83" s="103"/>
      <c r="GS83" s="103"/>
      <c r="GT83" s="103"/>
      <c r="GU83" s="103"/>
      <c r="GV83" s="103"/>
      <c r="GW83" s="103"/>
      <c r="GX83" s="103"/>
      <c r="GY83" s="103"/>
      <c r="GZ83" s="103"/>
      <c r="HA83" s="103"/>
      <c r="HB83" s="103"/>
      <c r="HC83" s="103"/>
      <c r="HD83" s="103"/>
      <c r="HE83" s="103"/>
      <c r="HF83" s="103"/>
      <c r="HG83" s="103"/>
      <c r="HH83" s="103"/>
      <c r="HI83" s="103"/>
      <c r="HJ83" s="103"/>
      <c r="HK83" s="103"/>
      <c r="HL83" s="103"/>
      <c r="HM83" s="103"/>
      <c r="HN83" s="103"/>
      <c r="HO83" s="103"/>
      <c r="HP83" s="103"/>
      <c r="HQ83" s="103"/>
      <c r="HR83" s="103"/>
      <c r="HS83" s="103"/>
      <c r="HT83" s="103"/>
      <c r="HU83" s="103"/>
      <c r="HV83" s="103"/>
      <c r="HW83" s="103"/>
      <c r="HX83" s="103"/>
      <c r="HY83" s="103"/>
      <c r="HZ83" s="103"/>
      <c r="IA83" s="103"/>
      <c r="IB83" s="103"/>
      <c r="IC83" s="103"/>
      <c r="ID83" s="103"/>
      <c r="IE83" s="103"/>
      <c r="IF83" s="103"/>
      <c r="IG83" s="103"/>
      <c r="IH83" s="103"/>
      <c r="II83" s="103"/>
      <c r="IJ83" s="103"/>
      <c r="IK83" s="103"/>
      <c r="IL83" s="103"/>
      <c r="IM83" s="103"/>
      <c r="IN83" s="103"/>
      <c r="IO83" s="103"/>
      <c r="IP83" s="103"/>
      <c r="IQ83" s="103"/>
      <c r="IR83" s="103"/>
      <c r="IS83" s="103"/>
      <c r="IT83" s="103"/>
      <c r="IU83" s="103"/>
      <c r="IV83" s="103"/>
      <c r="IW83" s="103"/>
      <c r="IX83" s="103"/>
      <c r="IY83" s="103"/>
      <c r="IZ83" s="103"/>
      <c r="JA83" s="103"/>
      <c r="JB83" s="103"/>
      <c r="JC83" s="103"/>
      <c r="JD83" s="103"/>
      <c r="JE83" s="103"/>
      <c r="JF83" s="103"/>
      <c r="JG83" s="103"/>
      <c r="JH83" s="103"/>
      <c r="JI83" s="103"/>
      <c r="JJ83" s="103"/>
      <c r="JK83" s="103"/>
      <c r="JL83" s="103"/>
      <c r="JM83" s="103"/>
      <c r="JN83" s="103"/>
      <c r="JO83" s="103"/>
      <c r="JP83" s="103"/>
      <c r="JQ83" s="103"/>
      <c r="JR83" s="103"/>
      <c r="JS83" s="103"/>
      <c r="JT83" s="103"/>
      <c r="JU83" s="103"/>
      <c r="JV83" s="103"/>
      <c r="JW83" s="103"/>
      <c r="JX83" s="103"/>
      <c r="JY83" s="103"/>
      <c r="JZ83" s="103"/>
      <c r="KA83" s="103"/>
      <c r="KB83" s="103"/>
      <c r="KC83" s="103"/>
      <c r="KD83" s="103"/>
      <c r="KE83" s="103"/>
      <c r="KF83" s="103"/>
      <c r="KG83" s="103"/>
      <c r="KH83" s="103"/>
      <c r="KI83" s="103"/>
      <c r="KJ83" s="103"/>
      <c r="KK83" s="103"/>
      <c r="KL83" s="103"/>
      <c r="KM83" s="103"/>
      <c r="KN83" s="103"/>
      <c r="KO83" s="103"/>
      <c r="KP83" s="103"/>
      <c r="KQ83" s="103"/>
      <c r="KR83" s="103"/>
      <c r="KS83" s="103"/>
      <c r="KT83" s="103"/>
      <c r="KU83" s="103"/>
      <c r="KV83" s="103"/>
      <c r="KW83" s="103"/>
      <c r="KX83" s="103"/>
      <c r="KY83" s="103"/>
      <c r="KZ83" s="103"/>
      <c r="LA83" s="103"/>
      <c r="LB83" s="103"/>
      <c r="LC83" s="103"/>
      <c r="LD83" s="103"/>
      <c r="LE83" s="103"/>
      <c r="LF83" s="103"/>
      <c r="LG83" s="103"/>
      <c r="LH83" s="103"/>
      <c r="LI83" s="103"/>
      <c r="LJ83" s="103"/>
    </row>
    <row r="84" spans="1:322" s="208" customFormat="1">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c r="AA84" s="103"/>
      <c r="AB84" s="103"/>
      <c r="AC84" s="103"/>
      <c r="AD84" s="103"/>
      <c r="AE84" s="103"/>
      <c r="AF84" s="103"/>
      <c r="AG84" s="103"/>
      <c r="AH84" s="103"/>
      <c r="AI84" s="103"/>
      <c r="AJ84" s="103"/>
      <c r="AK84" s="103"/>
      <c r="AL84" s="103"/>
      <c r="AM84" s="103"/>
      <c r="AN84" s="103"/>
      <c r="AO84" s="103"/>
      <c r="AP84" s="103"/>
      <c r="AQ84" s="103"/>
      <c r="AR84" s="103"/>
      <c r="AS84" s="103"/>
      <c r="AT84" s="103"/>
      <c r="AU84" s="103"/>
      <c r="AV84" s="103"/>
      <c r="AW84" s="103"/>
      <c r="AX84" s="103"/>
      <c r="AY84" s="103"/>
      <c r="AZ84" s="103"/>
      <c r="BA84" s="103"/>
      <c r="BB84" s="103"/>
      <c r="BC84" s="103"/>
      <c r="BD84" s="103"/>
      <c r="BE84" s="103"/>
      <c r="BF84" s="103"/>
      <c r="BG84" s="103"/>
      <c r="BH84" s="103"/>
      <c r="BI84" s="103"/>
      <c r="BJ84" s="103"/>
      <c r="BK84" s="103"/>
      <c r="BL84" s="103"/>
      <c r="BM84" s="103"/>
      <c r="BN84" s="103"/>
      <c r="BO84" s="103"/>
      <c r="BP84" s="103"/>
      <c r="BQ84" s="103"/>
      <c r="BR84" s="103"/>
      <c r="BS84" s="103"/>
      <c r="BT84" s="103"/>
      <c r="BU84" s="103"/>
      <c r="BV84" s="103"/>
      <c r="BW84" s="103"/>
      <c r="BX84" s="103"/>
      <c r="BY84" s="103"/>
      <c r="BZ84" s="103"/>
      <c r="CA84" s="103"/>
      <c r="CB84" s="103"/>
      <c r="CC84" s="103"/>
      <c r="CD84" s="103"/>
      <c r="CE84" s="103"/>
      <c r="CF84" s="103"/>
      <c r="CG84" s="103"/>
      <c r="CH84" s="103"/>
      <c r="CI84" s="103"/>
      <c r="CJ84" s="103"/>
      <c r="CK84" s="103"/>
      <c r="CL84" s="103"/>
      <c r="CM84" s="103"/>
      <c r="CN84" s="103"/>
      <c r="CO84" s="103"/>
      <c r="CP84" s="103"/>
      <c r="CQ84" s="103"/>
      <c r="CR84" s="103"/>
      <c r="CS84" s="103"/>
      <c r="CT84" s="103"/>
      <c r="CU84" s="103"/>
      <c r="CV84" s="103"/>
      <c r="CW84" s="103"/>
      <c r="CX84" s="103"/>
      <c r="CY84" s="103"/>
      <c r="CZ84" s="103"/>
      <c r="DA84" s="103"/>
      <c r="DB84" s="103"/>
      <c r="DC84" s="103"/>
      <c r="DD84" s="103"/>
      <c r="DE84" s="103"/>
      <c r="DF84" s="103"/>
      <c r="DG84" s="103"/>
      <c r="DH84" s="103"/>
      <c r="DI84" s="103"/>
      <c r="DJ84" s="103"/>
      <c r="DK84" s="103"/>
      <c r="DL84" s="103"/>
      <c r="DM84" s="103"/>
      <c r="DN84" s="103"/>
      <c r="DO84" s="103"/>
      <c r="DP84" s="103"/>
      <c r="DQ84" s="103"/>
      <c r="DR84" s="103"/>
      <c r="DS84" s="103"/>
      <c r="DT84" s="103"/>
      <c r="DU84" s="103"/>
      <c r="DV84" s="103"/>
      <c r="DW84" s="103"/>
      <c r="DX84" s="103"/>
      <c r="DY84" s="103"/>
      <c r="DZ84" s="103"/>
      <c r="EA84" s="103"/>
      <c r="EB84" s="103"/>
      <c r="EC84" s="103"/>
      <c r="ED84" s="103"/>
      <c r="EE84" s="103"/>
      <c r="EF84" s="103"/>
      <c r="EG84" s="103"/>
      <c r="EH84" s="103"/>
      <c r="EI84" s="103"/>
      <c r="EJ84" s="103"/>
      <c r="EK84" s="103"/>
      <c r="EL84" s="103"/>
      <c r="EM84" s="103"/>
      <c r="EN84" s="103"/>
      <c r="EO84" s="103"/>
      <c r="EP84" s="103"/>
      <c r="EQ84" s="103"/>
      <c r="ER84" s="103"/>
      <c r="ES84" s="103"/>
      <c r="ET84" s="103"/>
      <c r="EU84" s="103"/>
      <c r="EV84" s="103"/>
      <c r="EW84" s="103"/>
      <c r="EX84" s="103"/>
      <c r="EY84" s="103"/>
      <c r="EZ84" s="103"/>
      <c r="FA84" s="103"/>
      <c r="FB84" s="103"/>
      <c r="FC84" s="103"/>
      <c r="FD84" s="103"/>
      <c r="FE84" s="103"/>
      <c r="FF84" s="103"/>
      <c r="FG84" s="103"/>
      <c r="FH84" s="103"/>
      <c r="FI84" s="103"/>
      <c r="FJ84" s="103"/>
      <c r="FK84" s="103"/>
      <c r="FL84" s="103"/>
      <c r="FM84" s="103"/>
      <c r="FN84" s="103"/>
      <c r="FO84" s="103"/>
      <c r="FP84" s="103"/>
      <c r="FQ84" s="103"/>
      <c r="FR84" s="103"/>
      <c r="FS84" s="103"/>
      <c r="FT84" s="103"/>
      <c r="FU84" s="103"/>
      <c r="FV84" s="103"/>
      <c r="FW84" s="103"/>
      <c r="FX84" s="103"/>
      <c r="FY84" s="103"/>
      <c r="FZ84" s="103"/>
      <c r="GA84" s="103"/>
      <c r="GB84" s="103"/>
      <c r="GC84" s="103"/>
      <c r="GD84" s="103"/>
      <c r="GE84" s="103"/>
      <c r="GF84" s="103"/>
      <c r="GG84" s="103"/>
      <c r="GH84" s="103"/>
      <c r="GI84" s="103"/>
      <c r="GJ84" s="103"/>
      <c r="GK84" s="103"/>
      <c r="GL84" s="103"/>
      <c r="GM84" s="103"/>
      <c r="GN84" s="103"/>
      <c r="GO84" s="103"/>
      <c r="GP84" s="103"/>
      <c r="GQ84" s="103"/>
      <c r="GR84" s="103"/>
      <c r="GS84" s="103"/>
      <c r="GT84" s="103"/>
      <c r="GU84" s="103"/>
      <c r="GV84" s="103"/>
      <c r="GW84" s="103"/>
      <c r="GX84" s="103"/>
      <c r="GY84" s="103"/>
      <c r="GZ84" s="103"/>
      <c r="HA84" s="103"/>
      <c r="HB84" s="103"/>
      <c r="HC84" s="103"/>
      <c r="HD84" s="103"/>
      <c r="HE84" s="103"/>
      <c r="HF84" s="103"/>
      <c r="HG84" s="103"/>
      <c r="HH84" s="103"/>
      <c r="HI84" s="103"/>
      <c r="HJ84" s="103"/>
      <c r="HK84" s="103"/>
      <c r="HL84" s="103"/>
      <c r="HM84" s="103"/>
      <c r="HN84" s="103"/>
      <c r="HO84" s="103"/>
      <c r="HP84" s="103"/>
      <c r="HQ84" s="103"/>
      <c r="HR84" s="103"/>
      <c r="HS84" s="103"/>
      <c r="HT84" s="103"/>
      <c r="HU84" s="103"/>
      <c r="HV84" s="103"/>
      <c r="HW84" s="103"/>
      <c r="HX84" s="103"/>
      <c r="HY84" s="103"/>
      <c r="HZ84" s="103"/>
      <c r="IA84" s="103"/>
      <c r="IB84" s="103"/>
      <c r="IC84" s="103"/>
      <c r="ID84" s="103"/>
      <c r="IE84" s="103"/>
      <c r="IF84" s="103"/>
      <c r="IG84" s="103"/>
      <c r="IH84" s="103"/>
      <c r="II84" s="103"/>
      <c r="IJ84" s="103"/>
      <c r="IK84" s="103"/>
      <c r="IL84" s="103"/>
      <c r="IM84" s="103"/>
      <c r="IN84" s="103"/>
      <c r="IO84" s="103"/>
      <c r="IP84" s="103"/>
      <c r="IQ84" s="103"/>
      <c r="IR84" s="103"/>
      <c r="IS84" s="103"/>
      <c r="IT84" s="103"/>
      <c r="IU84" s="103"/>
      <c r="IV84" s="103"/>
      <c r="IW84" s="103"/>
      <c r="IX84" s="103"/>
      <c r="IY84" s="103"/>
      <c r="IZ84" s="103"/>
      <c r="JA84" s="103"/>
      <c r="JB84" s="103"/>
      <c r="JC84" s="103"/>
      <c r="JD84" s="103"/>
      <c r="JE84" s="103"/>
      <c r="JF84" s="103"/>
      <c r="JG84" s="103"/>
      <c r="JH84" s="103"/>
      <c r="JI84" s="103"/>
      <c r="JJ84" s="103"/>
      <c r="JK84" s="103"/>
      <c r="JL84" s="103"/>
      <c r="JM84" s="103"/>
      <c r="JN84" s="103"/>
      <c r="JO84" s="103"/>
      <c r="JP84" s="103"/>
      <c r="JQ84" s="103"/>
      <c r="JR84" s="103"/>
      <c r="JS84" s="103"/>
      <c r="JT84" s="103"/>
      <c r="JU84" s="103"/>
      <c r="JV84" s="103"/>
      <c r="JW84" s="103"/>
      <c r="JX84" s="103"/>
      <c r="JY84" s="103"/>
      <c r="JZ84" s="103"/>
      <c r="KA84" s="103"/>
      <c r="KB84" s="103"/>
      <c r="KC84" s="103"/>
      <c r="KD84" s="103"/>
      <c r="KE84" s="103"/>
      <c r="KF84" s="103"/>
      <c r="KG84" s="103"/>
      <c r="KH84" s="103"/>
      <c r="KI84" s="103"/>
      <c r="KJ84" s="103"/>
      <c r="KK84" s="103"/>
      <c r="KL84" s="103"/>
      <c r="KM84" s="103"/>
      <c r="KN84" s="103"/>
      <c r="KO84" s="103"/>
      <c r="KP84" s="103"/>
      <c r="KQ84" s="103"/>
      <c r="KR84" s="103"/>
      <c r="KS84" s="103"/>
      <c r="KT84" s="103"/>
      <c r="KU84" s="103"/>
      <c r="KV84" s="103"/>
      <c r="KW84" s="103"/>
      <c r="KX84" s="103"/>
      <c r="KY84" s="103"/>
      <c r="KZ84" s="103"/>
      <c r="LA84" s="103"/>
      <c r="LB84" s="103"/>
      <c r="LC84" s="103"/>
      <c r="LD84" s="103"/>
      <c r="LE84" s="103"/>
      <c r="LF84" s="103"/>
      <c r="LG84" s="103"/>
      <c r="LH84" s="103"/>
      <c r="LI84" s="103"/>
      <c r="LJ84" s="103"/>
    </row>
    <row r="85" spans="1:322" s="208" customFormat="1">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c r="AA85" s="103"/>
      <c r="AB85" s="103"/>
      <c r="AC85" s="103"/>
      <c r="AD85" s="103"/>
      <c r="AE85" s="103"/>
      <c r="AF85" s="103"/>
      <c r="AG85" s="103"/>
      <c r="AH85" s="103"/>
      <c r="AI85" s="103"/>
      <c r="AJ85" s="103"/>
      <c r="AK85" s="103"/>
      <c r="AL85" s="103"/>
      <c r="AM85" s="103"/>
      <c r="AN85" s="103"/>
      <c r="AO85" s="103"/>
      <c r="AP85" s="103"/>
      <c r="AQ85" s="103"/>
      <c r="AR85" s="103"/>
      <c r="AS85" s="103"/>
      <c r="AT85" s="103"/>
      <c r="AU85" s="103"/>
      <c r="AV85" s="103"/>
      <c r="AW85" s="103"/>
      <c r="AX85" s="103"/>
      <c r="AY85" s="103"/>
      <c r="AZ85" s="103"/>
      <c r="BA85" s="103"/>
      <c r="BB85" s="103"/>
      <c r="BC85" s="103"/>
      <c r="BD85" s="103"/>
      <c r="BE85" s="103"/>
      <c r="BF85" s="103"/>
      <c r="BG85" s="103"/>
      <c r="BH85" s="103"/>
      <c r="BI85" s="103"/>
      <c r="BJ85" s="103"/>
      <c r="BK85" s="103"/>
      <c r="BL85" s="103"/>
      <c r="BM85" s="103"/>
      <c r="BN85" s="103"/>
      <c r="BO85" s="103"/>
      <c r="BP85" s="103"/>
      <c r="BQ85" s="103"/>
      <c r="BR85" s="103"/>
      <c r="BS85" s="103"/>
      <c r="BT85" s="103"/>
      <c r="BU85" s="103"/>
      <c r="BV85" s="103"/>
      <c r="BW85" s="103"/>
      <c r="BX85" s="103"/>
      <c r="BY85" s="103"/>
      <c r="BZ85" s="103"/>
      <c r="CA85" s="103"/>
      <c r="CB85" s="103"/>
      <c r="CC85" s="103"/>
      <c r="CD85" s="103"/>
      <c r="CE85" s="103"/>
      <c r="CF85" s="103"/>
      <c r="CG85" s="103"/>
      <c r="CH85" s="103"/>
      <c r="CI85" s="103"/>
      <c r="CJ85" s="103"/>
      <c r="CK85" s="103"/>
      <c r="CL85" s="103"/>
      <c r="CM85" s="103"/>
      <c r="CN85" s="103"/>
      <c r="CO85" s="103"/>
      <c r="CP85" s="103"/>
      <c r="CQ85" s="103"/>
      <c r="CR85" s="103"/>
      <c r="CS85" s="103"/>
      <c r="CT85" s="103"/>
      <c r="CU85" s="103"/>
      <c r="CV85" s="103"/>
      <c r="CW85" s="103"/>
      <c r="CX85" s="103"/>
      <c r="CY85" s="103"/>
      <c r="CZ85" s="103"/>
      <c r="DA85" s="103"/>
      <c r="DB85" s="103"/>
      <c r="DC85" s="103"/>
      <c r="DD85" s="103"/>
      <c r="DE85" s="103"/>
      <c r="DF85" s="103"/>
      <c r="DG85" s="103"/>
      <c r="DH85" s="103"/>
      <c r="DI85" s="103"/>
      <c r="DJ85" s="103"/>
      <c r="DK85" s="103"/>
      <c r="DL85" s="103"/>
      <c r="DM85" s="103"/>
      <c r="DN85" s="103"/>
      <c r="DO85" s="103"/>
      <c r="DP85" s="103"/>
      <c r="DQ85" s="103"/>
      <c r="DR85" s="103"/>
      <c r="DS85" s="103"/>
      <c r="DT85" s="103"/>
      <c r="DU85" s="103"/>
      <c r="DV85" s="103"/>
      <c r="DW85" s="103"/>
      <c r="DX85" s="103"/>
      <c r="DY85" s="103"/>
      <c r="DZ85" s="103"/>
      <c r="EA85" s="103"/>
      <c r="EB85" s="103"/>
      <c r="EC85" s="103"/>
      <c r="ED85" s="103"/>
      <c r="EE85" s="103"/>
      <c r="EF85" s="103"/>
      <c r="EG85" s="103"/>
      <c r="EH85" s="103"/>
      <c r="EI85" s="103"/>
      <c r="EJ85" s="103"/>
      <c r="EK85" s="103"/>
      <c r="EL85" s="103"/>
      <c r="EM85" s="103"/>
      <c r="EN85" s="103"/>
      <c r="EO85" s="103"/>
      <c r="EP85" s="103"/>
      <c r="EQ85" s="103"/>
      <c r="ER85" s="103"/>
      <c r="ES85" s="103"/>
      <c r="ET85" s="103"/>
      <c r="EU85" s="103"/>
      <c r="EV85" s="103"/>
      <c r="EW85" s="103"/>
      <c r="EX85" s="103"/>
      <c r="EY85" s="103"/>
      <c r="EZ85" s="103"/>
      <c r="FA85" s="103"/>
      <c r="FB85" s="103"/>
      <c r="FC85" s="103"/>
      <c r="FD85" s="103"/>
      <c r="FE85" s="103"/>
      <c r="FF85" s="103"/>
      <c r="FG85" s="103"/>
      <c r="FH85" s="103"/>
      <c r="FI85" s="103"/>
      <c r="FJ85" s="103"/>
      <c r="FK85" s="103"/>
      <c r="FL85" s="103"/>
      <c r="FM85" s="103"/>
      <c r="FN85" s="103"/>
      <c r="FO85" s="103"/>
      <c r="FP85" s="103"/>
      <c r="FQ85" s="103"/>
      <c r="FR85" s="103"/>
      <c r="FS85" s="103"/>
      <c r="FT85" s="103"/>
      <c r="FU85" s="103"/>
      <c r="FV85" s="103"/>
      <c r="FW85" s="103"/>
      <c r="FX85" s="103"/>
      <c r="FY85" s="103"/>
      <c r="FZ85" s="103"/>
      <c r="GA85" s="103"/>
      <c r="GB85" s="103"/>
      <c r="GC85" s="103"/>
      <c r="GD85" s="103"/>
      <c r="GE85" s="103"/>
      <c r="GF85" s="103"/>
      <c r="GG85" s="103"/>
      <c r="GH85" s="103"/>
      <c r="GI85" s="103"/>
      <c r="GJ85" s="103"/>
      <c r="GK85" s="103"/>
      <c r="GL85" s="103"/>
      <c r="GM85" s="103"/>
      <c r="GN85" s="103"/>
      <c r="GO85" s="103"/>
      <c r="GP85" s="103"/>
      <c r="GQ85" s="103"/>
      <c r="GR85" s="103"/>
      <c r="GS85" s="103"/>
      <c r="GT85" s="103"/>
      <c r="GU85" s="103"/>
      <c r="GV85" s="103"/>
      <c r="GW85" s="103"/>
      <c r="GX85" s="103"/>
      <c r="GY85" s="103"/>
      <c r="GZ85" s="103"/>
      <c r="HA85" s="103"/>
      <c r="HB85" s="103"/>
      <c r="HC85" s="103"/>
      <c r="HD85" s="103"/>
      <c r="HE85" s="103"/>
      <c r="HF85" s="103"/>
      <c r="HG85" s="103"/>
      <c r="HH85" s="103"/>
      <c r="HI85" s="103"/>
      <c r="HJ85" s="103"/>
      <c r="HK85" s="103"/>
      <c r="HL85" s="103"/>
      <c r="HM85" s="103"/>
      <c r="HN85" s="103"/>
      <c r="HO85" s="103"/>
      <c r="HP85" s="103"/>
      <c r="HQ85" s="103"/>
      <c r="HR85" s="103"/>
      <c r="HS85" s="103"/>
      <c r="HT85" s="103"/>
      <c r="HU85" s="103"/>
      <c r="HV85" s="103"/>
      <c r="HW85" s="103"/>
      <c r="HX85" s="103"/>
      <c r="HY85" s="103"/>
      <c r="HZ85" s="103"/>
      <c r="IA85" s="103"/>
      <c r="IB85" s="103"/>
      <c r="IC85" s="103"/>
      <c r="ID85" s="103"/>
      <c r="IE85" s="103"/>
      <c r="IF85" s="103"/>
      <c r="IG85" s="103"/>
      <c r="IH85" s="103"/>
      <c r="II85" s="103"/>
      <c r="IJ85" s="103"/>
      <c r="IK85" s="103"/>
      <c r="IL85" s="103"/>
      <c r="IM85" s="103"/>
      <c r="IN85" s="103"/>
      <c r="IO85" s="103"/>
      <c r="IP85" s="103"/>
      <c r="IQ85" s="103"/>
      <c r="IR85" s="103"/>
      <c r="IS85" s="103"/>
      <c r="IT85" s="103"/>
      <c r="IU85" s="103"/>
      <c r="IV85" s="103"/>
      <c r="IW85" s="103"/>
      <c r="IX85" s="103"/>
      <c r="IY85" s="103"/>
      <c r="IZ85" s="103"/>
      <c r="JA85" s="103"/>
      <c r="JB85" s="103"/>
      <c r="JC85" s="103"/>
      <c r="JD85" s="103"/>
      <c r="JE85" s="103"/>
      <c r="JF85" s="103"/>
      <c r="JG85" s="103"/>
      <c r="JH85" s="103"/>
      <c r="JI85" s="103"/>
      <c r="JJ85" s="103"/>
      <c r="JK85" s="103"/>
      <c r="JL85" s="103"/>
      <c r="JM85" s="103"/>
      <c r="JN85" s="103"/>
      <c r="JO85" s="103"/>
      <c r="JP85" s="103"/>
      <c r="JQ85" s="103"/>
      <c r="JR85" s="103"/>
      <c r="JS85" s="103"/>
      <c r="JT85" s="103"/>
      <c r="JU85" s="103"/>
      <c r="JV85" s="103"/>
      <c r="JW85" s="103"/>
      <c r="JX85" s="103"/>
      <c r="JY85" s="103"/>
      <c r="JZ85" s="103"/>
      <c r="KA85" s="103"/>
      <c r="KB85" s="103"/>
      <c r="KC85" s="103"/>
      <c r="KD85" s="103"/>
      <c r="KE85" s="103"/>
      <c r="KF85" s="103"/>
      <c r="KG85" s="103"/>
      <c r="KH85" s="103"/>
      <c r="KI85" s="103"/>
      <c r="KJ85" s="103"/>
      <c r="KK85" s="103"/>
      <c r="KL85" s="103"/>
      <c r="KM85" s="103"/>
      <c r="KN85" s="103"/>
      <c r="KO85" s="103"/>
      <c r="KP85" s="103"/>
      <c r="KQ85" s="103"/>
      <c r="KR85" s="103"/>
      <c r="KS85" s="103"/>
      <c r="KT85" s="103"/>
      <c r="KU85" s="103"/>
      <c r="KV85" s="103"/>
      <c r="KW85" s="103"/>
      <c r="KX85" s="103"/>
      <c r="KY85" s="103"/>
      <c r="KZ85" s="103"/>
      <c r="LA85" s="103"/>
      <c r="LB85" s="103"/>
      <c r="LC85" s="103"/>
      <c r="LD85" s="103"/>
      <c r="LE85" s="103"/>
      <c r="LF85" s="103"/>
      <c r="LG85" s="103"/>
      <c r="LH85" s="103"/>
      <c r="LI85" s="103"/>
      <c r="LJ85" s="103"/>
    </row>
    <row r="86" spans="1:322" s="208" customFormat="1">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c r="AB86" s="103"/>
      <c r="AC86" s="103"/>
      <c r="AD86" s="103"/>
      <c r="AE86" s="103"/>
      <c r="AF86" s="103"/>
      <c r="AG86" s="103"/>
      <c r="AH86" s="103"/>
      <c r="AI86" s="103"/>
      <c r="AJ86" s="103"/>
      <c r="AK86" s="103"/>
      <c r="AL86" s="103"/>
      <c r="AM86" s="103"/>
      <c r="AN86" s="103"/>
      <c r="AO86" s="103"/>
      <c r="AP86" s="103"/>
      <c r="AQ86" s="103"/>
      <c r="AR86" s="103"/>
      <c r="AS86" s="103"/>
      <c r="AT86" s="103"/>
      <c r="AU86" s="103"/>
      <c r="AV86" s="103"/>
      <c r="AW86" s="103"/>
      <c r="AX86" s="103"/>
      <c r="AY86" s="103"/>
      <c r="AZ86" s="103"/>
      <c r="BA86" s="103"/>
      <c r="BB86" s="103"/>
      <c r="BC86" s="103"/>
      <c r="BD86" s="103"/>
      <c r="BE86" s="103"/>
      <c r="BF86" s="103"/>
      <c r="BG86" s="103"/>
      <c r="BH86" s="103"/>
      <c r="BI86" s="103"/>
      <c r="BJ86" s="103"/>
      <c r="BK86" s="103"/>
      <c r="BL86" s="103"/>
      <c r="BM86" s="103"/>
      <c r="BN86" s="103"/>
      <c r="BO86" s="103"/>
      <c r="BP86" s="103"/>
      <c r="BQ86" s="103"/>
      <c r="BR86" s="103"/>
      <c r="BS86" s="103"/>
      <c r="BT86" s="103"/>
      <c r="BU86" s="103"/>
      <c r="BV86" s="103"/>
      <c r="BW86" s="103"/>
      <c r="BX86" s="103"/>
      <c r="BY86" s="103"/>
      <c r="BZ86" s="103"/>
      <c r="CA86" s="103"/>
      <c r="CB86" s="103"/>
      <c r="CC86" s="103"/>
      <c r="CD86" s="103"/>
      <c r="CE86" s="103"/>
      <c r="CF86" s="103"/>
      <c r="CG86" s="103"/>
      <c r="CH86" s="103"/>
      <c r="CI86" s="103"/>
      <c r="CJ86" s="103"/>
      <c r="CK86" s="103"/>
      <c r="CL86" s="103"/>
      <c r="CM86" s="103"/>
      <c r="CN86" s="103"/>
      <c r="CO86" s="103"/>
      <c r="CP86" s="103"/>
      <c r="CQ86" s="103"/>
      <c r="CR86" s="103"/>
      <c r="CS86" s="103"/>
      <c r="CT86" s="103"/>
      <c r="CU86" s="103"/>
      <c r="CV86" s="103"/>
      <c r="CW86" s="103"/>
      <c r="CX86" s="103"/>
      <c r="CY86" s="103"/>
      <c r="CZ86" s="103"/>
      <c r="DA86" s="103"/>
      <c r="DB86" s="103"/>
      <c r="DC86" s="103"/>
      <c r="DD86" s="103"/>
      <c r="DE86" s="103"/>
      <c r="DF86" s="103"/>
      <c r="DG86" s="103"/>
      <c r="DH86" s="103"/>
      <c r="DI86" s="103"/>
      <c r="DJ86" s="103"/>
      <c r="DK86" s="103"/>
      <c r="DL86" s="103"/>
      <c r="DM86" s="103"/>
      <c r="DN86" s="103"/>
      <c r="DO86" s="103"/>
      <c r="DP86" s="103"/>
      <c r="DQ86" s="103"/>
      <c r="DR86" s="103"/>
      <c r="DS86" s="103"/>
      <c r="DT86" s="103"/>
      <c r="DU86" s="103"/>
      <c r="DV86" s="103"/>
      <c r="DW86" s="103"/>
      <c r="DX86" s="103"/>
      <c r="DY86" s="103"/>
      <c r="DZ86" s="103"/>
      <c r="EA86" s="103"/>
      <c r="EB86" s="103"/>
      <c r="EC86" s="103"/>
      <c r="ED86" s="103"/>
      <c r="EE86" s="103"/>
      <c r="EF86" s="103"/>
      <c r="EG86" s="103"/>
      <c r="EH86" s="103"/>
      <c r="EI86" s="103"/>
      <c r="EJ86" s="103"/>
      <c r="EK86" s="103"/>
      <c r="EL86" s="103"/>
      <c r="EM86" s="103"/>
      <c r="EN86" s="103"/>
      <c r="EO86" s="103"/>
      <c r="EP86" s="103"/>
      <c r="EQ86" s="103"/>
      <c r="ER86" s="103"/>
      <c r="ES86" s="103"/>
      <c r="ET86" s="103"/>
      <c r="EU86" s="103"/>
      <c r="EV86" s="103"/>
      <c r="EW86" s="103"/>
      <c r="EX86" s="103"/>
      <c r="EY86" s="103"/>
      <c r="EZ86" s="103"/>
      <c r="FA86" s="103"/>
      <c r="FB86" s="103"/>
      <c r="FC86" s="103"/>
      <c r="FD86" s="103"/>
      <c r="FE86" s="103"/>
      <c r="FF86" s="103"/>
      <c r="FG86" s="103"/>
      <c r="FH86" s="103"/>
      <c r="FI86" s="103"/>
      <c r="FJ86" s="103"/>
      <c r="FK86" s="103"/>
      <c r="FL86" s="103"/>
      <c r="FM86" s="103"/>
      <c r="FN86" s="103"/>
      <c r="FO86" s="103"/>
      <c r="FP86" s="103"/>
      <c r="FQ86" s="103"/>
      <c r="FR86" s="103"/>
      <c r="FS86" s="103"/>
      <c r="FT86" s="103"/>
      <c r="FU86" s="103"/>
      <c r="FV86" s="103"/>
      <c r="FW86" s="103"/>
      <c r="FX86" s="103"/>
      <c r="FY86" s="103"/>
      <c r="FZ86" s="103"/>
      <c r="GA86" s="103"/>
      <c r="GB86" s="103"/>
      <c r="GC86" s="103"/>
      <c r="GD86" s="103"/>
      <c r="GE86" s="103"/>
      <c r="GF86" s="103"/>
      <c r="GG86" s="103"/>
      <c r="GH86" s="103"/>
      <c r="GI86" s="103"/>
      <c r="GJ86" s="103"/>
      <c r="GK86" s="103"/>
      <c r="GL86" s="103"/>
      <c r="GM86" s="103"/>
      <c r="GN86" s="103"/>
      <c r="GO86" s="103"/>
      <c r="GP86" s="103"/>
      <c r="GQ86" s="103"/>
      <c r="GR86" s="103"/>
      <c r="GS86" s="103"/>
      <c r="GT86" s="103"/>
      <c r="GU86" s="103"/>
      <c r="GV86" s="103"/>
      <c r="GW86" s="103"/>
      <c r="GX86" s="103"/>
      <c r="GY86" s="103"/>
      <c r="GZ86" s="103"/>
      <c r="HA86" s="103"/>
      <c r="HB86" s="103"/>
      <c r="HC86" s="103"/>
      <c r="HD86" s="103"/>
      <c r="HE86" s="103"/>
      <c r="HF86" s="103"/>
      <c r="HG86" s="103"/>
      <c r="HH86" s="103"/>
      <c r="HI86" s="103"/>
      <c r="HJ86" s="103"/>
      <c r="HK86" s="103"/>
      <c r="HL86" s="103"/>
      <c r="HM86" s="103"/>
      <c r="HN86" s="103"/>
      <c r="HO86" s="103"/>
      <c r="HP86" s="103"/>
      <c r="HQ86" s="103"/>
      <c r="HR86" s="103"/>
      <c r="HS86" s="103"/>
      <c r="HT86" s="103"/>
      <c r="HU86" s="103"/>
      <c r="HV86" s="103"/>
      <c r="HW86" s="103"/>
      <c r="HX86" s="103"/>
      <c r="HY86" s="103"/>
      <c r="HZ86" s="103"/>
      <c r="IA86" s="103"/>
      <c r="IB86" s="103"/>
      <c r="IC86" s="103"/>
      <c r="ID86" s="103"/>
      <c r="IE86" s="103"/>
      <c r="IF86" s="103"/>
      <c r="IG86" s="103"/>
      <c r="IH86" s="103"/>
      <c r="II86" s="103"/>
      <c r="IJ86" s="103"/>
      <c r="IK86" s="103"/>
      <c r="IL86" s="103"/>
      <c r="IM86" s="103"/>
      <c r="IN86" s="103"/>
      <c r="IO86" s="103"/>
      <c r="IP86" s="103"/>
      <c r="IQ86" s="103"/>
      <c r="IR86" s="103"/>
      <c r="IS86" s="103"/>
      <c r="IT86" s="103"/>
      <c r="IU86" s="103"/>
      <c r="IV86" s="103"/>
      <c r="IW86" s="103"/>
      <c r="IX86" s="103"/>
      <c r="IY86" s="103"/>
      <c r="IZ86" s="103"/>
      <c r="JA86" s="103"/>
      <c r="JB86" s="103"/>
      <c r="JC86" s="103"/>
      <c r="JD86" s="103"/>
      <c r="JE86" s="103"/>
      <c r="JF86" s="103"/>
      <c r="JG86" s="103"/>
      <c r="JH86" s="103"/>
      <c r="JI86" s="103"/>
      <c r="JJ86" s="103"/>
      <c r="JK86" s="103"/>
      <c r="JL86" s="103"/>
      <c r="JM86" s="103"/>
      <c r="JN86" s="103"/>
      <c r="JO86" s="103"/>
      <c r="JP86" s="103"/>
      <c r="JQ86" s="103"/>
      <c r="JR86" s="103"/>
      <c r="JS86" s="103"/>
      <c r="JT86" s="103"/>
      <c r="JU86" s="103"/>
      <c r="JV86" s="103"/>
      <c r="JW86" s="103"/>
      <c r="JX86" s="103"/>
      <c r="JY86" s="103"/>
      <c r="JZ86" s="103"/>
      <c r="KA86" s="103"/>
      <c r="KB86" s="103"/>
      <c r="KC86" s="103"/>
      <c r="KD86" s="103"/>
      <c r="KE86" s="103"/>
      <c r="KF86" s="103"/>
      <c r="KG86" s="103"/>
      <c r="KH86" s="103"/>
      <c r="KI86" s="103"/>
      <c r="KJ86" s="103"/>
      <c r="KK86" s="103"/>
      <c r="KL86" s="103"/>
      <c r="KM86" s="103"/>
      <c r="KN86" s="103"/>
      <c r="KO86" s="103"/>
      <c r="KP86" s="103"/>
      <c r="KQ86" s="103"/>
      <c r="KR86" s="103"/>
      <c r="KS86" s="103"/>
      <c r="KT86" s="103"/>
      <c r="KU86" s="103"/>
      <c r="KV86" s="103"/>
      <c r="KW86" s="103"/>
      <c r="KX86" s="103"/>
      <c r="KY86" s="103"/>
      <c r="KZ86" s="103"/>
      <c r="LA86" s="103"/>
      <c r="LB86" s="103"/>
      <c r="LC86" s="103"/>
      <c r="LD86" s="103"/>
      <c r="LE86" s="103"/>
      <c r="LF86" s="103"/>
      <c r="LG86" s="103"/>
      <c r="LH86" s="103"/>
      <c r="LI86" s="103"/>
      <c r="LJ86" s="103"/>
    </row>
    <row r="87" spans="1:322" s="208" customFormat="1">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c r="AB87" s="103"/>
      <c r="AC87" s="103"/>
      <c r="AD87" s="103"/>
      <c r="AE87" s="103"/>
      <c r="AF87" s="103"/>
      <c r="AG87" s="103"/>
      <c r="AH87" s="103"/>
      <c r="AI87" s="103"/>
      <c r="AJ87" s="103"/>
      <c r="AK87" s="103"/>
      <c r="AL87" s="103"/>
      <c r="AM87" s="103"/>
      <c r="AN87" s="103"/>
      <c r="AO87" s="103"/>
      <c r="AP87" s="103"/>
      <c r="AQ87" s="103"/>
      <c r="AR87" s="103"/>
      <c r="AS87" s="103"/>
      <c r="AT87" s="103"/>
      <c r="AU87" s="103"/>
      <c r="AV87" s="103"/>
      <c r="AW87" s="103"/>
      <c r="AX87" s="103"/>
      <c r="AY87" s="103"/>
      <c r="AZ87" s="103"/>
      <c r="BA87" s="103"/>
      <c r="BB87" s="103"/>
      <c r="BC87" s="103"/>
      <c r="BD87" s="103"/>
      <c r="BE87" s="103"/>
      <c r="BF87" s="103"/>
      <c r="BG87" s="103"/>
      <c r="BH87" s="103"/>
      <c r="BI87" s="103"/>
      <c r="BJ87" s="103"/>
      <c r="BK87" s="103"/>
      <c r="BL87" s="103"/>
      <c r="BM87" s="103"/>
      <c r="BN87" s="103"/>
      <c r="BO87" s="103"/>
      <c r="BP87" s="103"/>
      <c r="BQ87" s="103"/>
      <c r="BR87" s="103"/>
      <c r="BS87" s="103"/>
      <c r="BT87" s="103"/>
      <c r="BU87" s="103"/>
      <c r="BV87" s="103"/>
      <c r="BW87" s="103"/>
      <c r="BX87" s="103"/>
      <c r="BY87" s="103"/>
      <c r="BZ87" s="103"/>
      <c r="CA87" s="103"/>
      <c r="CB87" s="103"/>
      <c r="CC87" s="103"/>
      <c r="CD87" s="103"/>
      <c r="CE87" s="103"/>
      <c r="CF87" s="103"/>
      <c r="CG87" s="103"/>
      <c r="CH87" s="103"/>
      <c r="CI87" s="103"/>
      <c r="CJ87" s="103"/>
      <c r="CK87" s="103"/>
      <c r="CL87" s="103"/>
      <c r="CM87" s="103"/>
      <c r="CN87" s="103"/>
      <c r="CO87" s="103"/>
      <c r="CP87" s="103"/>
      <c r="CQ87" s="103"/>
      <c r="CR87" s="103"/>
      <c r="CS87" s="103"/>
      <c r="CT87" s="103"/>
      <c r="CU87" s="103"/>
      <c r="CV87" s="103"/>
      <c r="CW87" s="103"/>
      <c r="CX87" s="103"/>
      <c r="CY87" s="103"/>
      <c r="CZ87" s="103"/>
      <c r="DA87" s="103"/>
      <c r="DB87" s="103"/>
      <c r="DC87" s="103"/>
      <c r="DD87" s="103"/>
      <c r="DE87" s="103"/>
      <c r="DF87" s="103"/>
      <c r="DG87" s="103"/>
      <c r="DH87" s="103"/>
      <c r="DI87" s="103"/>
      <c r="DJ87" s="103"/>
      <c r="DK87" s="103"/>
      <c r="DL87" s="103"/>
      <c r="DM87" s="103"/>
      <c r="DN87" s="103"/>
      <c r="DO87" s="103"/>
      <c r="DP87" s="103"/>
      <c r="DQ87" s="103"/>
      <c r="DR87" s="103"/>
      <c r="DS87" s="103"/>
      <c r="DT87" s="103"/>
      <c r="DU87" s="103"/>
      <c r="DV87" s="103"/>
      <c r="DW87" s="103"/>
      <c r="DX87" s="103"/>
      <c r="DY87" s="103"/>
      <c r="DZ87" s="103"/>
      <c r="EA87" s="103"/>
      <c r="EB87" s="103"/>
      <c r="EC87" s="103"/>
      <c r="ED87" s="103"/>
      <c r="EE87" s="103"/>
      <c r="EF87" s="103"/>
      <c r="EG87" s="103"/>
      <c r="EH87" s="103"/>
      <c r="EI87" s="103"/>
      <c r="EJ87" s="103"/>
      <c r="EK87" s="103"/>
      <c r="EL87" s="103"/>
      <c r="EM87" s="103"/>
      <c r="EN87" s="103"/>
      <c r="EO87" s="103"/>
      <c r="EP87" s="103"/>
      <c r="EQ87" s="103"/>
      <c r="ER87" s="103"/>
      <c r="ES87" s="103"/>
      <c r="ET87" s="103"/>
      <c r="EU87" s="103"/>
      <c r="EV87" s="103"/>
      <c r="EW87" s="103"/>
      <c r="EX87" s="103"/>
      <c r="EY87" s="103"/>
      <c r="EZ87" s="103"/>
      <c r="FA87" s="103"/>
      <c r="FB87" s="103"/>
      <c r="FC87" s="103"/>
      <c r="FD87" s="103"/>
      <c r="FE87" s="103"/>
      <c r="FF87" s="103"/>
      <c r="FG87" s="103"/>
      <c r="FH87" s="103"/>
      <c r="FI87" s="103"/>
      <c r="FJ87" s="103"/>
      <c r="FK87" s="103"/>
      <c r="FL87" s="103"/>
      <c r="FM87" s="103"/>
      <c r="FN87" s="103"/>
      <c r="FO87" s="103"/>
      <c r="FP87" s="103"/>
      <c r="FQ87" s="103"/>
      <c r="FR87" s="103"/>
      <c r="FS87" s="103"/>
      <c r="FT87" s="103"/>
      <c r="FU87" s="103"/>
      <c r="FV87" s="103"/>
      <c r="FW87" s="103"/>
      <c r="FX87" s="103"/>
      <c r="FY87" s="103"/>
      <c r="FZ87" s="103"/>
      <c r="GA87" s="103"/>
      <c r="GB87" s="103"/>
      <c r="GC87" s="103"/>
      <c r="GD87" s="103"/>
      <c r="GE87" s="103"/>
      <c r="GF87" s="103"/>
      <c r="GG87" s="103"/>
      <c r="GH87" s="103"/>
      <c r="GI87" s="103"/>
      <c r="GJ87" s="103"/>
      <c r="GK87" s="103"/>
      <c r="GL87" s="103"/>
      <c r="GM87" s="103"/>
      <c r="GN87" s="103"/>
      <c r="GO87" s="103"/>
      <c r="GP87" s="103"/>
      <c r="GQ87" s="103"/>
      <c r="GR87" s="103"/>
      <c r="GS87" s="103"/>
      <c r="GT87" s="103"/>
      <c r="GU87" s="103"/>
      <c r="GV87" s="103"/>
      <c r="GW87" s="103"/>
      <c r="GX87" s="103"/>
      <c r="GY87" s="103"/>
      <c r="GZ87" s="103"/>
      <c r="HA87" s="103"/>
      <c r="HB87" s="103"/>
      <c r="HC87" s="103"/>
      <c r="HD87" s="103"/>
      <c r="HE87" s="103"/>
      <c r="HF87" s="103"/>
      <c r="HG87" s="103"/>
      <c r="HH87" s="103"/>
      <c r="HI87" s="103"/>
      <c r="HJ87" s="103"/>
      <c r="HK87" s="103"/>
      <c r="HL87" s="103"/>
      <c r="HM87" s="103"/>
      <c r="HN87" s="103"/>
      <c r="HO87" s="103"/>
      <c r="HP87" s="103"/>
      <c r="HQ87" s="103"/>
      <c r="HR87" s="103"/>
      <c r="HS87" s="103"/>
      <c r="HT87" s="103"/>
      <c r="HU87" s="103"/>
      <c r="HV87" s="103"/>
      <c r="HW87" s="103"/>
      <c r="HX87" s="103"/>
      <c r="HY87" s="103"/>
      <c r="HZ87" s="103"/>
      <c r="IA87" s="103"/>
      <c r="IB87" s="103"/>
      <c r="IC87" s="103"/>
      <c r="ID87" s="103"/>
      <c r="IE87" s="103"/>
      <c r="IF87" s="103"/>
      <c r="IG87" s="103"/>
      <c r="IH87" s="103"/>
      <c r="II87" s="103"/>
      <c r="IJ87" s="103"/>
      <c r="IK87" s="103"/>
      <c r="IL87" s="103"/>
      <c r="IM87" s="103"/>
      <c r="IN87" s="103"/>
      <c r="IO87" s="103"/>
      <c r="IP87" s="103"/>
      <c r="IQ87" s="103"/>
      <c r="IR87" s="103"/>
      <c r="IS87" s="103"/>
      <c r="IT87" s="103"/>
      <c r="IU87" s="103"/>
      <c r="IV87" s="103"/>
      <c r="IW87" s="103"/>
      <c r="IX87" s="103"/>
      <c r="IY87" s="103"/>
      <c r="IZ87" s="103"/>
      <c r="JA87" s="103"/>
      <c r="JB87" s="103"/>
      <c r="JC87" s="103"/>
      <c r="JD87" s="103"/>
      <c r="JE87" s="103"/>
      <c r="JF87" s="103"/>
      <c r="JG87" s="103"/>
      <c r="JH87" s="103"/>
      <c r="JI87" s="103"/>
      <c r="JJ87" s="103"/>
      <c r="JK87" s="103"/>
      <c r="JL87" s="103"/>
      <c r="JM87" s="103"/>
      <c r="JN87" s="103"/>
      <c r="JO87" s="103"/>
      <c r="JP87" s="103"/>
      <c r="JQ87" s="103"/>
      <c r="JR87" s="103"/>
      <c r="JS87" s="103"/>
      <c r="JT87" s="103"/>
      <c r="JU87" s="103"/>
      <c r="JV87" s="103"/>
      <c r="JW87" s="103"/>
      <c r="JX87" s="103"/>
      <c r="JY87" s="103"/>
      <c r="JZ87" s="103"/>
      <c r="KA87" s="103"/>
      <c r="KB87" s="103"/>
      <c r="KC87" s="103"/>
      <c r="KD87" s="103"/>
      <c r="KE87" s="103"/>
      <c r="KF87" s="103"/>
      <c r="KG87" s="103"/>
      <c r="KH87" s="103"/>
      <c r="KI87" s="103"/>
      <c r="KJ87" s="103"/>
      <c r="KK87" s="103"/>
      <c r="KL87" s="103"/>
      <c r="KM87" s="103"/>
      <c r="KN87" s="103"/>
      <c r="KO87" s="103"/>
      <c r="KP87" s="103"/>
      <c r="KQ87" s="103"/>
      <c r="KR87" s="103"/>
      <c r="KS87" s="103"/>
      <c r="KT87" s="103"/>
      <c r="KU87" s="103"/>
      <c r="KV87" s="103"/>
      <c r="KW87" s="103"/>
      <c r="KX87" s="103"/>
      <c r="KY87" s="103"/>
      <c r="KZ87" s="103"/>
      <c r="LA87" s="103"/>
      <c r="LB87" s="103"/>
      <c r="LC87" s="103"/>
      <c r="LD87" s="103"/>
      <c r="LE87" s="103"/>
      <c r="LF87" s="103"/>
      <c r="LG87" s="103"/>
      <c r="LH87" s="103"/>
      <c r="LI87" s="103"/>
      <c r="LJ87" s="103"/>
    </row>
    <row r="88" spans="1:322" s="208" customFormat="1">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c r="AA88" s="103"/>
      <c r="AB88" s="103"/>
      <c r="AC88" s="103"/>
      <c r="AD88" s="103"/>
      <c r="AE88" s="103"/>
      <c r="AF88" s="103"/>
      <c r="AG88" s="103"/>
      <c r="AH88" s="103"/>
      <c r="AI88" s="103"/>
      <c r="AJ88" s="103"/>
      <c r="AK88" s="103"/>
      <c r="AL88" s="103"/>
      <c r="AM88" s="103"/>
      <c r="AN88" s="103"/>
      <c r="AO88" s="103"/>
      <c r="AP88" s="103"/>
      <c r="AQ88" s="103"/>
      <c r="AR88" s="103"/>
      <c r="AS88" s="103"/>
      <c r="AT88" s="103"/>
      <c r="AU88" s="103"/>
      <c r="AV88" s="103"/>
      <c r="AW88" s="103"/>
      <c r="AX88" s="103"/>
      <c r="AY88" s="103"/>
      <c r="AZ88" s="103"/>
      <c r="BA88" s="103"/>
      <c r="BB88" s="103"/>
      <c r="BC88" s="103"/>
      <c r="BD88" s="103"/>
      <c r="BE88" s="103"/>
      <c r="BF88" s="103"/>
      <c r="BG88" s="103"/>
      <c r="BH88" s="103"/>
      <c r="BI88" s="103"/>
      <c r="BJ88" s="103"/>
      <c r="BK88" s="103"/>
      <c r="BL88" s="103"/>
      <c r="BM88" s="103"/>
      <c r="BN88" s="103"/>
      <c r="BO88" s="103"/>
      <c r="BP88" s="103"/>
      <c r="BQ88" s="103"/>
      <c r="BR88" s="103"/>
      <c r="BS88" s="103"/>
      <c r="BT88" s="103"/>
      <c r="BU88" s="103"/>
      <c r="BV88" s="103"/>
      <c r="BW88" s="103"/>
      <c r="BX88" s="103"/>
      <c r="BY88" s="103"/>
      <c r="BZ88" s="103"/>
      <c r="CA88" s="103"/>
      <c r="CB88" s="103"/>
      <c r="CC88" s="103"/>
      <c r="CD88" s="103"/>
      <c r="CE88" s="103"/>
      <c r="CF88" s="103"/>
      <c r="CG88" s="103"/>
      <c r="CH88" s="103"/>
      <c r="CI88" s="103"/>
      <c r="CJ88" s="103"/>
      <c r="CK88" s="103"/>
      <c r="CL88" s="103"/>
      <c r="CM88" s="103"/>
      <c r="CN88" s="103"/>
      <c r="CO88" s="103"/>
      <c r="CP88" s="103"/>
      <c r="CQ88" s="103"/>
      <c r="CR88" s="103"/>
      <c r="CS88" s="103"/>
      <c r="CT88" s="103"/>
      <c r="CU88" s="103"/>
      <c r="CV88" s="103"/>
      <c r="CW88" s="103"/>
      <c r="CX88" s="103"/>
      <c r="CY88" s="103"/>
      <c r="CZ88" s="103"/>
      <c r="DA88" s="103"/>
      <c r="DB88" s="103"/>
      <c r="DC88" s="103"/>
      <c r="DD88" s="103"/>
      <c r="DE88" s="103"/>
      <c r="DF88" s="103"/>
      <c r="DG88" s="103"/>
      <c r="DH88" s="103"/>
      <c r="DI88" s="103"/>
      <c r="DJ88" s="103"/>
      <c r="DK88" s="103"/>
      <c r="DL88" s="103"/>
      <c r="DM88" s="103"/>
      <c r="DN88" s="103"/>
      <c r="DO88" s="103"/>
      <c r="DP88" s="103"/>
      <c r="DQ88" s="103"/>
      <c r="DR88" s="103"/>
      <c r="DS88" s="103"/>
      <c r="DT88" s="103"/>
      <c r="DU88" s="103"/>
      <c r="DV88" s="103"/>
      <c r="DW88" s="103"/>
      <c r="DX88" s="103"/>
      <c r="DY88" s="103"/>
      <c r="DZ88" s="103"/>
      <c r="EA88" s="103"/>
      <c r="EB88" s="103"/>
      <c r="EC88" s="103"/>
      <c r="ED88" s="103"/>
      <c r="EE88" s="103"/>
      <c r="EF88" s="103"/>
      <c r="EG88" s="103"/>
      <c r="EH88" s="103"/>
      <c r="EI88" s="103"/>
      <c r="EJ88" s="103"/>
      <c r="EK88" s="103"/>
      <c r="EL88" s="103"/>
      <c r="EM88" s="103"/>
      <c r="EN88" s="103"/>
      <c r="EO88" s="103"/>
      <c r="EP88" s="103"/>
      <c r="EQ88" s="103"/>
      <c r="ER88" s="103"/>
      <c r="ES88" s="103"/>
      <c r="ET88" s="103"/>
      <c r="EU88" s="103"/>
      <c r="EV88" s="103"/>
      <c r="EW88" s="103"/>
      <c r="EX88" s="103"/>
      <c r="EY88" s="103"/>
      <c r="EZ88" s="103"/>
      <c r="FA88" s="103"/>
      <c r="FB88" s="103"/>
      <c r="FC88" s="103"/>
      <c r="FD88" s="103"/>
      <c r="FE88" s="103"/>
      <c r="FF88" s="103"/>
      <c r="FG88" s="103"/>
      <c r="FH88" s="103"/>
      <c r="FI88" s="103"/>
      <c r="FJ88" s="103"/>
      <c r="FK88" s="103"/>
      <c r="FL88" s="103"/>
      <c r="FM88" s="103"/>
      <c r="FN88" s="103"/>
      <c r="FO88" s="103"/>
      <c r="FP88" s="103"/>
      <c r="FQ88" s="103"/>
      <c r="FR88" s="103"/>
      <c r="FS88" s="103"/>
      <c r="FT88" s="103"/>
      <c r="FU88" s="103"/>
      <c r="FV88" s="103"/>
      <c r="FW88" s="103"/>
      <c r="FX88" s="103"/>
      <c r="FY88" s="103"/>
      <c r="FZ88" s="103"/>
      <c r="GA88" s="103"/>
      <c r="GB88" s="103"/>
      <c r="GC88" s="103"/>
      <c r="GD88" s="103"/>
      <c r="GE88" s="103"/>
      <c r="GF88" s="103"/>
      <c r="GG88" s="103"/>
      <c r="GH88" s="103"/>
      <c r="GI88" s="103"/>
      <c r="GJ88" s="103"/>
      <c r="GK88" s="103"/>
      <c r="GL88" s="103"/>
      <c r="GM88" s="103"/>
      <c r="GN88" s="103"/>
      <c r="GO88" s="103"/>
      <c r="GP88" s="103"/>
      <c r="GQ88" s="103"/>
      <c r="GR88" s="103"/>
      <c r="GS88" s="103"/>
      <c r="GT88" s="103"/>
      <c r="GU88" s="103"/>
      <c r="GV88" s="103"/>
      <c r="GW88" s="103"/>
      <c r="GX88" s="103"/>
      <c r="GY88" s="103"/>
      <c r="GZ88" s="103"/>
      <c r="HA88" s="103"/>
      <c r="HB88" s="103"/>
      <c r="HC88" s="103"/>
      <c r="HD88" s="103"/>
      <c r="HE88" s="103"/>
      <c r="HF88" s="103"/>
      <c r="HG88" s="103"/>
      <c r="HH88" s="103"/>
      <c r="HI88" s="103"/>
      <c r="HJ88" s="103"/>
      <c r="HK88" s="103"/>
      <c r="HL88" s="103"/>
      <c r="HM88" s="103"/>
      <c r="HN88" s="103"/>
      <c r="HO88" s="103"/>
      <c r="HP88" s="103"/>
      <c r="HQ88" s="103"/>
      <c r="HR88" s="103"/>
      <c r="HS88" s="103"/>
      <c r="HT88" s="103"/>
      <c r="HU88" s="103"/>
      <c r="HV88" s="103"/>
      <c r="HW88" s="103"/>
      <c r="HX88" s="103"/>
      <c r="HY88" s="103"/>
      <c r="HZ88" s="103"/>
      <c r="IA88" s="103"/>
      <c r="IB88" s="103"/>
      <c r="IC88" s="103"/>
      <c r="ID88" s="103"/>
      <c r="IE88" s="103"/>
      <c r="IF88" s="103"/>
      <c r="IG88" s="103"/>
      <c r="IH88" s="103"/>
      <c r="II88" s="103"/>
      <c r="IJ88" s="103"/>
      <c r="IK88" s="103"/>
      <c r="IL88" s="103"/>
      <c r="IM88" s="103"/>
      <c r="IN88" s="103"/>
      <c r="IO88" s="103"/>
      <c r="IP88" s="103"/>
      <c r="IQ88" s="103"/>
      <c r="IR88" s="103"/>
      <c r="IS88" s="103"/>
      <c r="IT88" s="103"/>
      <c r="IU88" s="103"/>
      <c r="IV88" s="103"/>
      <c r="IW88" s="103"/>
      <c r="IX88" s="103"/>
      <c r="IY88" s="103"/>
      <c r="IZ88" s="103"/>
      <c r="JA88" s="103"/>
      <c r="JB88" s="103"/>
      <c r="JC88" s="103"/>
      <c r="JD88" s="103"/>
      <c r="JE88" s="103"/>
      <c r="JF88" s="103"/>
      <c r="JG88" s="103"/>
      <c r="JH88" s="103"/>
      <c r="JI88" s="103"/>
      <c r="JJ88" s="103"/>
      <c r="JK88" s="103"/>
      <c r="JL88" s="103"/>
      <c r="JM88" s="103"/>
      <c r="JN88" s="103"/>
      <c r="JO88" s="103"/>
      <c r="JP88" s="103"/>
      <c r="JQ88" s="103"/>
      <c r="JR88" s="103"/>
      <c r="JS88" s="103"/>
      <c r="JT88" s="103"/>
      <c r="JU88" s="103"/>
      <c r="JV88" s="103"/>
      <c r="JW88" s="103"/>
      <c r="JX88" s="103"/>
      <c r="JY88" s="103"/>
      <c r="JZ88" s="103"/>
      <c r="KA88" s="103"/>
      <c r="KB88" s="103"/>
      <c r="KC88" s="103"/>
      <c r="KD88" s="103"/>
      <c r="KE88" s="103"/>
      <c r="KF88" s="103"/>
      <c r="KG88" s="103"/>
      <c r="KH88" s="103"/>
      <c r="KI88" s="103"/>
      <c r="KJ88" s="103"/>
      <c r="KK88" s="103"/>
      <c r="KL88" s="103"/>
      <c r="KM88" s="103"/>
      <c r="KN88" s="103"/>
      <c r="KO88" s="103"/>
      <c r="KP88" s="103"/>
      <c r="KQ88" s="103"/>
      <c r="KR88" s="103"/>
      <c r="KS88" s="103"/>
      <c r="KT88" s="103"/>
      <c r="KU88" s="103"/>
      <c r="KV88" s="103"/>
      <c r="KW88" s="103"/>
      <c r="KX88" s="103"/>
      <c r="KY88" s="103"/>
      <c r="KZ88" s="103"/>
      <c r="LA88" s="103"/>
      <c r="LB88" s="103"/>
      <c r="LC88" s="103"/>
      <c r="LD88" s="103"/>
      <c r="LE88" s="103"/>
      <c r="LF88" s="103"/>
      <c r="LG88" s="103"/>
      <c r="LH88" s="103"/>
      <c r="LI88" s="103"/>
      <c r="LJ88" s="103"/>
    </row>
    <row r="89" spans="1:322" s="208" customFormat="1">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3"/>
      <c r="AT89" s="103"/>
      <c r="AU89" s="103"/>
      <c r="AV89" s="103"/>
      <c r="AW89" s="103"/>
      <c r="AX89" s="103"/>
      <c r="AY89" s="103"/>
      <c r="AZ89" s="103"/>
      <c r="BA89" s="103"/>
      <c r="BB89" s="103"/>
      <c r="BC89" s="103"/>
      <c r="BD89" s="103"/>
      <c r="BE89" s="103"/>
      <c r="BF89" s="103"/>
      <c r="BG89" s="103"/>
      <c r="BH89" s="103"/>
      <c r="BI89" s="103"/>
      <c r="BJ89" s="103"/>
      <c r="BK89" s="103"/>
      <c r="BL89" s="103"/>
      <c r="BM89" s="103"/>
      <c r="BN89" s="103"/>
      <c r="BO89" s="103"/>
      <c r="BP89" s="103"/>
      <c r="BQ89" s="103"/>
      <c r="BR89" s="103"/>
      <c r="BS89" s="103"/>
      <c r="BT89" s="103"/>
      <c r="BU89" s="103"/>
      <c r="BV89" s="103"/>
      <c r="BW89" s="103"/>
      <c r="BX89" s="103"/>
      <c r="BY89" s="103"/>
      <c r="BZ89" s="103"/>
      <c r="CA89" s="103"/>
      <c r="CB89" s="103"/>
      <c r="CC89" s="103"/>
      <c r="CD89" s="103"/>
      <c r="CE89" s="103"/>
      <c r="CF89" s="103"/>
      <c r="CG89" s="103"/>
      <c r="CH89" s="103"/>
      <c r="CI89" s="103"/>
      <c r="CJ89" s="103"/>
      <c r="CK89" s="103"/>
      <c r="CL89" s="103"/>
      <c r="CM89" s="103"/>
      <c r="CN89" s="103"/>
      <c r="CO89" s="103"/>
      <c r="CP89" s="103"/>
      <c r="CQ89" s="103"/>
      <c r="CR89" s="103"/>
      <c r="CS89" s="103"/>
      <c r="CT89" s="103"/>
      <c r="CU89" s="103"/>
      <c r="CV89" s="103"/>
      <c r="CW89" s="103"/>
      <c r="CX89" s="103"/>
      <c r="CY89" s="103"/>
      <c r="CZ89" s="103"/>
      <c r="DA89" s="103"/>
      <c r="DB89" s="103"/>
      <c r="DC89" s="103"/>
      <c r="DD89" s="103"/>
      <c r="DE89" s="103"/>
      <c r="DF89" s="103"/>
      <c r="DG89" s="103"/>
      <c r="DH89" s="103"/>
      <c r="DI89" s="103"/>
      <c r="DJ89" s="103"/>
      <c r="DK89" s="103"/>
      <c r="DL89" s="103"/>
      <c r="DM89" s="103"/>
      <c r="DN89" s="103"/>
      <c r="DO89" s="103"/>
      <c r="DP89" s="103"/>
      <c r="DQ89" s="103"/>
      <c r="DR89" s="103"/>
      <c r="DS89" s="103"/>
      <c r="DT89" s="103"/>
      <c r="DU89" s="103"/>
      <c r="DV89" s="103"/>
      <c r="DW89" s="103"/>
      <c r="DX89" s="103"/>
      <c r="DY89" s="103"/>
      <c r="DZ89" s="103"/>
      <c r="EA89" s="103"/>
      <c r="EB89" s="103"/>
      <c r="EC89" s="103"/>
      <c r="ED89" s="103"/>
      <c r="EE89" s="103"/>
      <c r="EF89" s="103"/>
      <c r="EG89" s="103"/>
      <c r="EH89" s="103"/>
      <c r="EI89" s="103"/>
      <c r="EJ89" s="103"/>
      <c r="EK89" s="103"/>
      <c r="EL89" s="103"/>
      <c r="EM89" s="103"/>
      <c r="EN89" s="103"/>
      <c r="EO89" s="103"/>
      <c r="EP89" s="103"/>
      <c r="EQ89" s="103"/>
      <c r="ER89" s="103"/>
      <c r="ES89" s="103"/>
      <c r="ET89" s="103"/>
      <c r="EU89" s="103"/>
      <c r="EV89" s="103"/>
      <c r="EW89" s="103"/>
      <c r="EX89" s="103"/>
      <c r="EY89" s="103"/>
      <c r="EZ89" s="103"/>
      <c r="FA89" s="103"/>
      <c r="FB89" s="103"/>
      <c r="FC89" s="103"/>
      <c r="FD89" s="103"/>
      <c r="FE89" s="103"/>
      <c r="FF89" s="103"/>
      <c r="FG89" s="103"/>
      <c r="FH89" s="103"/>
      <c r="FI89" s="103"/>
      <c r="FJ89" s="103"/>
      <c r="FK89" s="103"/>
      <c r="FL89" s="103"/>
      <c r="FM89" s="103"/>
      <c r="FN89" s="103"/>
      <c r="FO89" s="103"/>
      <c r="FP89" s="103"/>
      <c r="FQ89" s="103"/>
      <c r="FR89" s="103"/>
      <c r="FS89" s="103"/>
      <c r="FT89" s="103"/>
      <c r="FU89" s="103"/>
      <c r="FV89" s="103"/>
      <c r="FW89" s="103"/>
      <c r="FX89" s="103"/>
      <c r="FY89" s="103"/>
      <c r="FZ89" s="103"/>
      <c r="GA89" s="103"/>
      <c r="GB89" s="103"/>
      <c r="GC89" s="103"/>
      <c r="GD89" s="103"/>
      <c r="GE89" s="103"/>
      <c r="GF89" s="103"/>
      <c r="GG89" s="103"/>
      <c r="GH89" s="103"/>
      <c r="GI89" s="103"/>
      <c r="GJ89" s="103"/>
      <c r="GK89" s="103"/>
      <c r="GL89" s="103"/>
      <c r="GM89" s="103"/>
      <c r="GN89" s="103"/>
      <c r="GO89" s="103"/>
      <c r="GP89" s="103"/>
      <c r="GQ89" s="103"/>
      <c r="GR89" s="103"/>
      <c r="GS89" s="103"/>
      <c r="GT89" s="103"/>
      <c r="GU89" s="103"/>
      <c r="GV89" s="103"/>
      <c r="GW89" s="103"/>
      <c r="GX89" s="103"/>
      <c r="GY89" s="103"/>
      <c r="GZ89" s="103"/>
      <c r="HA89" s="103"/>
      <c r="HB89" s="103"/>
      <c r="HC89" s="103"/>
      <c r="HD89" s="103"/>
      <c r="HE89" s="103"/>
      <c r="HF89" s="103"/>
      <c r="HG89" s="103"/>
      <c r="HH89" s="103"/>
      <c r="HI89" s="103"/>
      <c r="HJ89" s="103"/>
      <c r="HK89" s="103"/>
      <c r="HL89" s="103"/>
      <c r="HM89" s="103"/>
      <c r="HN89" s="103"/>
      <c r="HO89" s="103"/>
      <c r="HP89" s="103"/>
      <c r="HQ89" s="103"/>
      <c r="HR89" s="103"/>
      <c r="HS89" s="103"/>
      <c r="HT89" s="103"/>
      <c r="HU89" s="103"/>
      <c r="HV89" s="103"/>
      <c r="HW89" s="103"/>
      <c r="HX89" s="103"/>
      <c r="HY89" s="103"/>
      <c r="HZ89" s="103"/>
      <c r="IA89" s="103"/>
      <c r="IB89" s="103"/>
      <c r="IC89" s="103"/>
      <c r="ID89" s="103"/>
      <c r="IE89" s="103"/>
      <c r="IF89" s="103"/>
      <c r="IG89" s="103"/>
      <c r="IH89" s="103"/>
      <c r="II89" s="103"/>
      <c r="IJ89" s="103"/>
      <c r="IK89" s="103"/>
      <c r="IL89" s="103"/>
      <c r="IM89" s="103"/>
      <c r="IN89" s="103"/>
      <c r="IO89" s="103"/>
      <c r="IP89" s="103"/>
      <c r="IQ89" s="103"/>
      <c r="IR89" s="103"/>
      <c r="IS89" s="103"/>
      <c r="IT89" s="103"/>
      <c r="IU89" s="103"/>
      <c r="IV89" s="103"/>
      <c r="IW89" s="103"/>
      <c r="IX89" s="103"/>
      <c r="IY89" s="103"/>
      <c r="IZ89" s="103"/>
      <c r="JA89" s="103"/>
      <c r="JB89" s="103"/>
      <c r="JC89" s="103"/>
      <c r="JD89" s="103"/>
      <c r="JE89" s="103"/>
      <c r="JF89" s="103"/>
      <c r="JG89" s="103"/>
      <c r="JH89" s="103"/>
      <c r="JI89" s="103"/>
      <c r="JJ89" s="103"/>
      <c r="JK89" s="103"/>
      <c r="JL89" s="103"/>
      <c r="JM89" s="103"/>
      <c r="JN89" s="103"/>
      <c r="JO89" s="103"/>
      <c r="JP89" s="103"/>
      <c r="JQ89" s="103"/>
      <c r="JR89" s="103"/>
      <c r="JS89" s="103"/>
      <c r="JT89" s="103"/>
      <c r="JU89" s="103"/>
      <c r="JV89" s="103"/>
      <c r="JW89" s="103"/>
      <c r="JX89" s="103"/>
      <c r="JY89" s="103"/>
      <c r="JZ89" s="103"/>
      <c r="KA89" s="103"/>
      <c r="KB89" s="103"/>
      <c r="KC89" s="103"/>
      <c r="KD89" s="103"/>
      <c r="KE89" s="103"/>
      <c r="KF89" s="103"/>
      <c r="KG89" s="103"/>
      <c r="KH89" s="103"/>
      <c r="KI89" s="103"/>
      <c r="KJ89" s="103"/>
      <c r="KK89" s="103"/>
      <c r="KL89" s="103"/>
      <c r="KM89" s="103"/>
      <c r="KN89" s="103"/>
      <c r="KO89" s="103"/>
      <c r="KP89" s="103"/>
      <c r="KQ89" s="103"/>
      <c r="KR89" s="103"/>
      <c r="KS89" s="103"/>
      <c r="KT89" s="103"/>
      <c r="KU89" s="103"/>
      <c r="KV89" s="103"/>
      <c r="KW89" s="103"/>
      <c r="KX89" s="103"/>
      <c r="KY89" s="103"/>
      <c r="KZ89" s="103"/>
      <c r="LA89" s="103"/>
      <c r="LB89" s="103"/>
      <c r="LC89" s="103"/>
      <c r="LD89" s="103"/>
      <c r="LE89" s="103"/>
      <c r="LF89" s="103"/>
      <c r="LG89" s="103"/>
      <c r="LH89" s="103"/>
      <c r="LI89" s="103"/>
      <c r="LJ89" s="103"/>
    </row>
    <row r="90" spans="1:322" s="208" customFormat="1">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c r="AA90" s="103"/>
      <c r="AB90" s="103"/>
      <c r="AC90" s="103"/>
      <c r="AD90" s="103"/>
      <c r="AE90" s="103"/>
      <c r="AF90" s="103"/>
      <c r="AG90" s="103"/>
      <c r="AH90" s="103"/>
      <c r="AI90" s="103"/>
      <c r="AJ90" s="103"/>
      <c r="AK90" s="103"/>
      <c r="AL90" s="103"/>
      <c r="AM90" s="103"/>
      <c r="AN90" s="103"/>
      <c r="AO90" s="103"/>
      <c r="AP90" s="103"/>
      <c r="AQ90" s="103"/>
      <c r="AR90" s="103"/>
      <c r="AS90" s="103"/>
      <c r="AT90" s="103"/>
      <c r="AU90" s="103"/>
      <c r="AV90" s="103"/>
      <c r="AW90" s="103"/>
      <c r="AX90" s="103"/>
      <c r="AY90" s="103"/>
      <c r="AZ90" s="103"/>
      <c r="BA90" s="103"/>
      <c r="BB90" s="103"/>
      <c r="BC90" s="103"/>
      <c r="BD90" s="103"/>
      <c r="BE90" s="103"/>
      <c r="BF90" s="103"/>
      <c r="BG90" s="103"/>
      <c r="BH90" s="103"/>
      <c r="BI90" s="103"/>
      <c r="BJ90" s="103"/>
      <c r="BK90" s="103"/>
      <c r="BL90" s="103"/>
      <c r="BM90" s="103"/>
      <c r="BN90" s="103"/>
      <c r="BO90" s="103"/>
      <c r="BP90" s="103"/>
      <c r="BQ90" s="103"/>
      <c r="BR90" s="103"/>
      <c r="BS90" s="103"/>
      <c r="BT90" s="103"/>
      <c r="BU90" s="103"/>
      <c r="BV90" s="103"/>
      <c r="BW90" s="103"/>
      <c r="BX90" s="103"/>
      <c r="BY90" s="103"/>
      <c r="BZ90" s="103"/>
      <c r="CA90" s="103"/>
      <c r="CB90" s="103"/>
      <c r="CC90" s="103"/>
      <c r="CD90" s="103"/>
      <c r="CE90" s="103"/>
      <c r="CF90" s="103"/>
      <c r="CG90" s="103"/>
      <c r="CH90" s="103"/>
      <c r="CI90" s="103"/>
      <c r="CJ90" s="103"/>
      <c r="CK90" s="103"/>
      <c r="CL90" s="103"/>
      <c r="CM90" s="103"/>
      <c r="CN90" s="103"/>
      <c r="CO90" s="103"/>
      <c r="CP90" s="103"/>
      <c r="CQ90" s="103"/>
      <c r="CR90" s="103"/>
      <c r="CS90" s="103"/>
      <c r="CT90" s="103"/>
      <c r="CU90" s="103"/>
      <c r="CV90" s="103"/>
      <c r="CW90" s="103"/>
      <c r="CX90" s="103"/>
      <c r="CY90" s="103"/>
      <c r="CZ90" s="103"/>
      <c r="DA90" s="103"/>
      <c r="DB90" s="103"/>
      <c r="DC90" s="103"/>
      <c r="DD90" s="103"/>
      <c r="DE90" s="103"/>
      <c r="DF90" s="103"/>
      <c r="DG90" s="103"/>
      <c r="DH90" s="103"/>
      <c r="DI90" s="103"/>
      <c r="DJ90" s="103"/>
      <c r="DK90" s="103"/>
      <c r="DL90" s="103"/>
      <c r="DM90" s="103"/>
      <c r="DN90" s="103"/>
      <c r="DO90" s="103"/>
      <c r="DP90" s="103"/>
      <c r="DQ90" s="103"/>
      <c r="DR90" s="103"/>
      <c r="DS90" s="103"/>
      <c r="DT90" s="103"/>
      <c r="DU90" s="103"/>
      <c r="DV90" s="103"/>
      <c r="DW90" s="103"/>
      <c r="DX90" s="103"/>
      <c r="DY90" s="103"/>
      <c r="DZ90" s="103"/>
      <c r="EA90" s="103"/>
      <c r="EB90" s="103"/>
      <c r="EC90" s="103"/>
      <c r="ED90" s="103"/>
      <c r="EE90" s="103"/>
      <c r="EF90" s="103"/>
      <c r="EG90" s="103"/>
      <c r="EH90" s="103"/>
      <c r="EI90" s="103"/>
      <c r="EJ90" s="103"/>
      <c r="EK90" s="103"/>
      <c r="EL90" s="103"/>
      <c r="EM90" s="103"/>
      <c r="EN90" s="103"/>
      <c r="EO90" s="103"/>
      <c r="EP90" s="103"/>
      <c r="EQ90" s="103"/>
      <c r="ER90" s="103"/>
      <c r="ES90" s="103"/>
      <c r="ET90" s="103"/>
      <c r="EU90" s="103"/>
      <c r="EV90" s="103"/>
      <c r="EW90" s="103"/>
      <c r="EX90" s="103"/>
      <c r="EY90" s="103"/>
      <c r="EZ90" s="103"/>
      <c r="FA90" s="103"/>
      <c r="FB90" s="103"/>
      <c r="FC90" s="103"/>
      <c r="FD90" s="103"/>
      <c r="FE90" s="103"/>
      <c r="FF90" s="103"/>
      <c r="FG90" s="103"/>
      <c r="FH90" s="103"/>
      <c r="FI90" s="103"/>
      <c r="FJ90" s="103"/>
      <c r="FK90" s="103"/>
      <c r="FL90" s="103"/>
      <c r="FM90" s="103"/>
      <c r="FN90" s="103"/>
      <c r="FO90" s="103"/>
      <c r="FP90" s="103"/>
      <c r="FQ90" s="103"/>
      <c r="FR90" s="103"/>
      <c r="FS90" s="103"/>
      <c r="FT90" s="103"/>
      <c r="FU90" s="103"/>
      <c r="FV90" s="103"/>
      <c r="FW90" s="103"/>
      <c r="FX90" s="103"/>
      <c r="FY90" s="103"/>
      <c r="FZ90" s="103"/>
      <c r="GA90" s="103"/>
      <c r="GB90" s="103"/>
      <c r="GC90" s="103"/>
      <c r="GD90" s="103"/>
      <c r="GE90" s="103"/>
      <c r="GF90" s="103"/>
      <c r="GG90" s="103"/>
      <c r="GH90" s="103"/>
      <c r="GI90" s="103"/>
      <c r="GJ90" s="103"/>
      <c r="GK90" s="103"/>
      <c r="GL90" s="103"/>
      <c r="GM90" s="103"/>
      <c r="GN90" s="103"/>
      <c r="GO90" s="103"/>
      <c r="GP90" s="103"/>
      <c r="GQ90" s="103"/>
      <c r="GR90" s="103"/>
      <c r="GS90" s="103"/>
      <c r="GT90" s="103"/>
      <c r="GU90" s="103"/>
      <c r="GV90" s="103"/>
      <c r="GW90" s="103"/>
      <c r="GX90" s="103"/>
      <c r="GY90" s="103"/>
      <c r="GZ90" s="103"/>
      <c r="HA90" s="103"/>
      <c r="HB90" s="103"/>
      <c r="HC90" s="103"/>
      <c r="HD90" s="103"/>
      <c r="HE90" s="103"/>
      <c r="HF90" s="103"/>
      <c r="HG90" s="103"/>
      <c r="HH90" s="103"/>
      <c r="HI90" s="103"/>
      <c r="HJ90" s="103"/>
      <c r="HK90" s="103"/>
      <c r="HL90" s="103"/>
      <c r="HM90" s="103"/>
      <c r="HN90" s="103"/>
      <c r="HO90" s="103"/>
      <c r="HP90" s="103"/>
      <c r="HQ90" s="103"/>
      <c r="HR90" s="103"/>
      <c r="HS90" s="103"/>
      <c r="HT90" s="103"/>
      <c r="HU90" s="103"/>
      <c r="HV90" s="103"/>
      <c r="HW90" s="103"/>
      <c r="HX90" s="103"/>
      <c r="HY90" s="103"/>
      <c r="HZ90" s="103"/>
      <c r="IA90" s="103"/>
      <c r="IB90" s="103"/>
      <c r="IC90" s="103"/>
      <c r="ID90" s="103"/>
      <c r="IE90" s="103"/>
      <c r="IF90" s="103"/>
      <c r="IG90" s="103"/>
      <c r="IH90" s="103"/>
      <c r="II90" s="103"/>
      <c r="IJ90" s="103"/>
      <c r="IK90" s="103"/>
      <c r="IL90" s="103"/>
      <c r="IM90" s="103"/>
      <c r="IN90" s="103"/>
      <c r="IO90" s="103"/>
      <c r="IP90" s="103"/>
      <c r="IQ90" s="103"/>
      <c r="IR90" s="103"/>
      <c r="IS90" s="103"/>
      <c r="IT90" s="103"/>
      <c r="IU90" s="103"/>
      <c r="IV90" s="103"/>
      <c r="IW90" s="103"/>
      <c r="IX90" s="103"/>
      <c r="IY90" s="103"/>
      <c r="IZ90" s="103"/>
      <c r="JA90" s="103"/>
      <c r="JB90" s="103"/>
      <c r="JC90" s="103"/>
      <c r="JD90" s="103"/>
      <c r="JE90" s="103"/>
      <c r="JF90" s="103"/>
      <c r="JG90" s="103"/>
      <c r="JH90" s="103"/>
      <c r="JI90" s="103"/>
      <c r="JJ90" s="103"/>
      <c r="JK90" s="103"/>
      <c r="JL90" s="103"/>
      <c r="JM90" s="103"/>
      <c r="JN90" s="103"/>
      <c r="JO90" s="103"/>
      <c r="JP90" s="103"/>
      <c r="JQ90" s="103"/>
      <c r="JR90" s="103"/>
      <c r="JS90" s="103"/>
      <c r="JT90" s="103"/>
      <c r="JU90" s="103"/>
      <c r="JV90" s="103"/>
      <c r="JW90" s="103"/>
      <c r="JX90" s="103"/>
      <c r="JY90" s="103"/>
      <c r="JZ90" s="103"/>
      <c r="KA90" s="103"/>
      <c r="KB90" s="103"/>
      <c r="KC90" s="103"/>
      <c r="KD90" s="103"/>
      <c r="KE90" s="103"/>
      <c r="KF90" s="103"/>
      <c r="KG90" s="103"/>
      <c r="KH90" s="103"/>
      <c r="KI90" s="103"/>
      <c r="KJ90" s="103"/>
      <c r="KK90" s="103"/>
      <c r="KL90" s="103"/>
      <c r="KM90" s="103"/>
      <c r="KN90" s="103"/>
      <c r="KO90" s="103"/>
      <c r="KP90" s="103"/>
      <c r="KQ90" s="103"/>
      <c r="KR90" s="103"/>
      <c r="KS90" s="103"/>
      <c r="KT90" s="103"/>
      <c r="KU90" s="103"/>
      <c r="KV90" s="103"/>
      <c r="KW90" s="103"/>
      <c r="KX90" s="103"/>
      <c r="KY90" s="103"/>
      <c r="KZ90" s="103"/>
      <c r="LA90" s="103"/>
      <c r="LB90" s="103"/>
      <c r="LC90" s="103"/>
      <c r="LD90" s="103"/>
      <c r="LE90" s="103"/>
      <c r="LF90" s="103"/>
      <c r="LG90" s="103"/>
      <c r="LH90" s="103"/>
      <c r="LI90" s="103"/>
      <c r="LJ90" s="103"/>
    </row>
    <row r="91" spans="1:322" s="208" customFormat="1">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c r="AA91" s="103"/>
      <c r="AB91" s="103"/>
      <c r="AC91" s="103"/>
      <c r="AD91" s="103"/>
      <c r="AE91" s="103"/>
      <c r="AF91" s="103"/>
      <c r="AG91" s="103"/>
      <c r="AH91" s="103"/>
      <c r="AI91" s="103"/>
      <c r="AJ91" s="103"/>
      <c r="AK91" s="103"/>
      <c r="AL91" s="103"/>
      <c r="AM91" s="103"/>
      <c r="AN91" s="103"/>
      <c r="AO91" s="103"/>
      <c r="AP91" s="103"/>
      <c r="AQ91" s="103"/>
      <c r="AR91" s="103"/>
      <c r="AS91" s="103"/>
      <c r="AT91" s="103"/>
      <c r="AU91" s="103"/>
      <c r="AV91" s="103"/>
      <c r="AW91" s="103"/>
      <c r="AX91" s="103"/>
      <c r="AY91" s="103"/>
      <c r="AZ91" s="103"/>
      <c r="BA91" s="103"/>
      <c r="BB91" s="103"/>
      <c r="BC91" s="103"/>
      <c r="BD91" s="103"/>
      <c r="BE91" s="103"/>
      <c r="BF91" s="103"/>
      <c r="BG91" s="103"/>
      <c r="BH91" s="103"/>
      <c r="BI91" s="103"/>
      <c r="BJ91" s="103"/>
      <c r="BK91" s="103"/>
      <c r="BL91" s="103"/>
      <c r="BM91" s="103"/>
      <c r="BN91" s="103"/>
      <c r="BO91" s="103"/>
      <c r="BP91" s="103"/>
      <c r="BQ91" s="103"/>
      <c r="BR91" s="103"/>
      <c r="BS91" s="103"/>
      <c r="BT91" s="103"/>
      <c r="BU91" s="103"/>
      <c r="BV91" s="103"/>
      <c r="BW91" s="103"/>
      <c r="BX91" s="103"/>
      <c r="BY91" s="103"/>
      <c r="BZ91" s="103"/>
      <c r="CA91" s="103"/>
      <c r="CB91" s="103"/>
      <c r="CC91" s="103"/>
      <c r="CD91" s="103"/>
      <c r="CE91" s="103"/>
      <c r="CF91" s="103"/>
      <c r="CG91" s="103"/>
      <c r="CH91" s="103"/>
      <c r="CI91" s="103"/>
      <c r="CJ91" s="103"/>
      <c r="CK91" s="103"/>
      <c r="CL91" s="103"/>
      <c r="CM91" s="103"/>
      <c r="CN91" s="103"/>
      <c r="CO91" s="103"/>
      <c r="CP91" s="103"/>
      <c r="CQ91" s="103"/>
      <c r="CR91" s="103"/>
      <c r="CS91" s="103"/>
      <c r="CT91" s="103"/>
      <c r="CU91" s="103"/>
      <c r="CV91" s="103"/>
      <c r="CW91" s="103"/>
      <c r="CX91" s="103"/>
      <c r="CY91" s="103"/>
      <c r="CZ91" s="103"/>
      <c r="DA91" s="103"/>
      <c r="DB91" s="103"/>
      <c r="DC91" s="103"/>
      <c r="DD91" s="103"/>
      <c r="DE91" s="103"/>
      <c r="DF91" s="103"/>
      <c r="DG91" s="103"/>
      <c r="DH91" s="103"/>
      <c r="DI91" s="103"/>
      <c r="DJ91" s="103"/>
      <c r="DK91" s="103"/>
      <c r="DL91" s="103"/>
      <c r="DM91" s="103"/>
      <c r="DN91" s="103"/>
      <c r="DO91" s="103"/>
      <c r="DP91" s="103"/>
      <c r="DQ91" s="103"/>
      <c r="DR91" s="103"/>
      <c r="DS91" s="103"/>
      <c r="DT91" s="103"/>
      <c r="DU91" s="103"/>
      <c r="DV91" s="103"/>
      <c r="DW91" s="103"/>
      <c r="DX91" s="103"/>
      <c r="DY91" s="103"/>
      <c r="DZ91" s="103"/>
      <c r="EA91" s="103"/>
      <c r="EB91" s="103"/>
      <c r="EC91" s="103"/>
      <c r="ED91" s="103"/>
      <c r="EE91" s="103"/>
      <c r="EF91" s="103"/>
      <c r="EG91" s="103"/>
      <c r="EH91" s="103"/>
      <c r="EI91" s="103"/>
      <c r="EJ91" s="103"/>
      <c r="EK91" s="103"/>
      <c r="EL91" s="103"/>
      <c r="EM91" s="103"/>
      <c r="EN91" s="103"/>
      <c r="EO91" s="103"/>
      <c r="EP91" s="103"/>
      <c r="EQ91" s="103"/>
      <c r="ER91" s="103"/>
      <c r="ES91" s="103"/>
      <c r="ET91" s="103"/>
      <c r="EU91" s="103"/>
      <c r="EV91" s="103"/>
      <c r="EW91" s="103"/>
      <c r="EX91" s="103"/>
      <c r="EY91" s="103"/>
      <c r="EZ91" s="103"/>
      <c r="FA91" s="103"/>
      <c r="FB91" s="103"/>
      <c r="FC91" s="103"/>
      <c r="FD91" s="103"/>
      <c r="FE91" s="103"/>
      <c r="FF91" s="103"/>
      <c r="FG91" s="103"/>
      <c r="FH91" s="103"/>
      <c r="FI91" s="103"/>
      <c r="FJ91" s="103"/>
      <c r="FK91" s="103"/>
      <c r="FL91" s="103"/>
      <c r="FM91" s="103"/>
      <c r="FN91" s="103"/>
      <c r="FO91" s="103"/>
      <c r="FP91" s="103"/>
      <c r="FQ91" s="103"/>
      <c r="FR91" s="103"/>
      <c r="FS91" s="103"/>
      <c r="FT91" s="103"/>
      <c r="FU91" s="103"/>
      <c r="FV91" s="103"/>
      <c r="FW91" s="103"/>
      <c r="FX91" s="103"/>
      <c r="FY91" s="103"/>
      <c r="FZ91" s="103"/>
      <c r="GA91" s="103"/>
      <c r="GB91" s="103"/>
      <c r="GC91" s="103"/>
      <c r="GD91" s="103"/>
      <c r="GE91" s="103"/>
      <c r="GF91" s="103"/>
      <c r="GG91" s="103"/>
      <c r="GH91" s="103"/>
      <c r="GI91" s="103"/>
      <c r="GJ91" s="103"/>
      <c r="GK91" s="103"/>
      <c r="GL91" s="103"/>
      <c r="GM91" s="103"/>
      <c r="GN91" s="103"/>
      <c r="GO91" s="103"/>
      <c r="GP91" s="103"/>
      <c r="GQ91" s="103"/>
      <c r="GR91" s="103"/>
      <c r="GS91" s="103"/>
      <c r="GT91" s="103"/>
      <c r="GU91" s="103"/>
      <c r="GV91" s="103"/>
      <c r="GW91" s="103"/>
      <c r="GX91" s="103"/>
      <c r="GY91" s="103"/>
      <c r="GZ91" s="103"/>
      <c r="HA91" s="103"/>
      <c r="HB91" s="103"/>
      <c r="HC91" s="103"/>
      <c r="HD91" s="103"/>
      <c r="HE91" s="103"/>
      <c r="HF91" s="103"/>
      <c r="HG91" s="103"/>
      <c r="HH91" s="103"/>
      <c r="HI91" s="103"/>
      <c r="HJ91" s="103"/>
      <c r="HK91" s="103"/>
      <c r="HL91" s="103"/>
      <c r="HM91" s="103"/>
      <c r="HN91" s="103"/>
      <c r="HO91" s="103"/>
      <c r="HP91" s="103"/>
      <c r="HQ91" s="103"/>
      <c r="HR91" s="103"/>
      <c r="HS91" s="103"/>
      <c r="HT91" s="103"/>
      <c r="HU91" s="103"/>
      <c r="HV91" s="103"/>
      <c r="HW91" s="103"/>
      <c r="HX91" s="103"/>
      <c r="HY91" s="103"/>
      <c r="HZ91" s="103"/>
      <c r="IA91" s="103"/>
      <c r="IB91" s="103"/>
      <c r="IC91" s="103"/>
      <c r="ID91" s="103"/>
      <c r="IE91" s="103"/>
      <c r="IF91" s="103"/>
      <c r="IG91" s="103"/>
      <c r="IH91" s="103"/>
      <c r="II91" s="103"/>
      <c r="IJ91" s="103"/>
      <c r="IK91" s="103"/>
      <c r="IL91" s="103"/>
      <c r="IM91" s="103"/>
      <c r="IN91" s="103"/>
      <c r="IO91" s="103"/>
      <c r="IP91" s="103"/>
      <c r="IQ91" s="103"/>
      <c r="IR91" s="103"/>
      <c r="IS91" s="103"/>
      <c r="IT91" s="103"/>
      <c r="IU91" s="103"/>
      <c r="IV91" s="103"/>
      <c r="IW91" s="103"/>
      <c r="IX91" s="103"/>
      <c r="IY91" s="103"/>
      <c r="IZ91" s="103"/>
      <c r="JA91" s="103"/>
      <c r="JB91" s="103"/>
      <c r="JC91" s="103"/>
      <c r="JD91" s="103"/>
      <c r="JE91" s="103"/>
      <c r="JF91" s="103"/>
      <c r="JG91" s="103"/>
      <c r="JH91" s="103"/>
      <c r="JI91" s="103"/>
      <c r="JJ91" s="103"/>
      <c r="JK91" s="103"/>
      <c r="JL91" s="103"/>
      <c r="JM91" s="103"/>
      <c r="JN91" s="103"/>
      <c r="JO91" s="103"/>
      <c r="JP91" s="103"/>
      <c r="JQ91" s="103"/>
      <c r="JR91" s="103"/>
      <c r="JS91" s="103"/>
      <c r="JT91" s="103"/>
      <c r="JU91" s="103"/>
      <c r="JV91" s="103"/>
      <c r="JW91" s="103"/>
      <c r="JX91" s="103"/>
      <c r="JY91" s="103"/>
      <c r="JZ91" s="103"/>
      <c r="KA91" s="103"/>
      <c r="KB91" s="103"/>
      <c r="KC91" s="103"/>
      <c r="KD91" s="103"/>
      <c r="KE91" s="103"/>
      <c r="KF91" s="103"/>
      <c r="KG91" s="103"/>
      <c r="KH91" s="103"/>
      <c r="KI91" s="103"/>
      <c r="KJ91" s="103"/>
      <c r="KK91" s="103"/>
      <c r="KL91" s="103"/>
      <c r="KM91" s="103"/>
      <c r="KN91" s="103"/>
      <c r="KO91" s="103"/>
      <c r="KP91" s="103"/>
      <c r="KQ91" s="103"/>
      <c r="KR91" s="103"/>
      <c r="KS91" s="103"/>
      <c r="KT91" s="103"/>
      <c r="KU91" s="103"/>
      <c r="KV91" s="103"/>
      <c r="KW91" s="103"/>
      <c r="KX91" s="103"/>
      <c r="KY91" s="103"/>
      <c r="KZ91" s="103"/>
      <c r="LA91" s="103"/>
      <c r="LB91" s="103"/>
      <c r="LC91" s="103"/>
      <c r="LD91" s="103"/>
      <c r="LE91" s="103"/>
      <c r="LF91" s="103"/>
      <c r="LG91" s="103"/>
      <c r="LH91" s="103"/>
      <c r="LI91" s="103"/>
      <c r="LJ91" s="103"/>
    </row>
    <row r="92" spans="1:322" s="208" customFormat="1">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c r="CU92" s="103"/>
      <c r="CV92" s="103"/>
      <c r="CW92" s="103"/>
      <c r="CX92" s="103"/>
      <c r="CY92" s="103"/>
      <c r="CZ92" s="103"/>
      <c r="DA92" s="103"/>
      <c r="DB92" s="103"/>
      <c r="DC92" s="103"/>
      <c r="DD92" s="103"/>
      <c r="DE92" s="103"/>
      <c r="DF92" s="103"/>
      <c r="DG92" s="103"/>
      <c r="DH92" s="103"/>
      <c r="DI92" s="103"/>
      <c r="DJ92" s="103"/>
      <c r="DK92" s="103"/>
      <c r="DL92" s="103"/>
      <c r="DM92" s="103"/>
      <c r="DN92" s="103"/>
      <c r="DO92" s="103"/>
      <c r="DP92" s="103"/>
      <c r="DQ92" s="103"/>
      <c r="DR92" s="103"/>
      <c r="DS92" s="103"/>
      <c r="DT92" s="103"/>
      <c r="DU92" s="103"/>
      <c r="DV92" s="103"/>
      <c r="DW92" s="103"/>
      <c r="DX92" s="103"/>
      <c r="DY92" s="103"/>
      <c r="DZ92" s="103"/>
      <c r="EA92" s="103"/>
      <c r="EB92" s="103"/>
      <c r="EC92" s="103"/>
      <c r="ED92" s="103"/>
      <c r="EE92" s="103"/>
      <c r="EF92" s="103"/>
      <c r="EG92" s="103"/>
      <c r="EH92" s="103"/>
      <c r="EI92" s="103"/>
      <c r="EJ92" s="103"/>
      <c r="EK92" s="103"/>
      <c r="EL92" s="103"/>
      <c r="EM92" s="103"/>
      <c r="EN92" s="103"/>
      <c r="EO92" s="103"/>
      <c r="EP92" s="103"/>
      <c r="EQ92" s="103"/>
      <c r="ER92" s="103"/>
      <c r="ES92" s="103"/>
      <c r="ET92" s="103"/>
      <c r="EU92" s="103"/>
      <c r="EV92" s="103"/>
      <c r="EW92" s="103"/>
      <c r="EX92" s="103"/>
      <c r="EY92" s="103"/>
      <c r="EZ92" s="103"/>
      <c r="FA92" s="103"/>
      <c r="FB92" s="103"/>
      <c r="FC92" s="103"/>
      <c r="FD92" s="103"/>
      <c r="FE92" s="103"/>
      <c r="FF92" s="103"/>
      <c r="FG92" s="103"/>
      <c r="FH92" s="103"/>
      <c r="FI92" s="103"/>
      <c r="FJ92" s="103"/>
      <c r="FK92" s="103"/>
      <c r="FL92" s="103"/>
      <c r="FM92" s="103"/>
      <c r="FN92" s="103"/>
      <c r="FO92" s="103"/>
      <c r="FP92" s="103"/>
      <c r="FQ92" s="103"/>
      <c r="FR92" s="103"/>
      <c r="FS92" s="103"/>
      <c r="FT92" s="103"/>
      <c r="FU92" s="103"/>
      <c r="FV92" s="103"/>
      <c r="FW92" s="103"/>
      <c r="FX92" s="103"/>
      <c r="FY92" s="103"/>
      <c r="FZ92" s="103"/>
      <c r="GA92" s="103"/>
      <c r="GB92" s="103"/>
      <c r="GC92" s="103"/>
      <c r="GD92" s="103"/>
      <c r="GE92" s="103"/>
      <c r="GF92" s="103"/>
      <c r="GG92" s="103"/>
      <c r="GH92" s="103"/>
      <c r="GI92" s="103"/>
      <c r="GJ92" s="103"/>
      <c r="GK92" s="103"/>
      <c r="GL92" s="103"/>
      <c r="GM92" s="103"/>
      <c r="GN92" s="103"/>
      <c r="GO92" s="103"/>
      <c r="GP92" s="103"/>
      <c r="GQ92" s="103"/>
      <c r="GR92" s="103"/>
      <c r="GS92" s="103"/>
      <c r="GT92" s="103"/>
      <c r="GU92" s="103"/>
      <c r="GV92" s="103"/>
      <c r="GW92" s="103"/>
      <c r="GX92" s="103"/>
      <c r="GY92" s="103"/>
      <c r="GZ92" s="103"/>
      <c r="HA92" s="103"/>
      <c r="HB92" s="103"/>
      <c r="HC92" s="103"/>
      <c r="HD92" s="103"/>
      <c r="HE92" s="103"/>
      <c r="HF92" s="103"/>
      <c r="HG92" s="103"/>
      <c r="HH92" s="103"/>
      <c r="HI92" s="103"/>
      <c r="HJ92" s="103"/>
      <c r="HK92" s="103"/>
      <c r="HL92" s="103"/>
      <c r="HM92" s="103"/>
      <c r="HN92" s="103"/>
      <c r="HO92" s="103"/>
      <c r="HP92" s="103"/>
      <c r="HQ92" s="103"/>
      <c r="HR92" s="103"/>
      <c r="HS92" s="103"/>
      <c r="HT92" s="103"/>
      <c r="HU92" s="103"/>
      <c r="HV92" s="103"/>
      <c r="HW92" s="103"/>
      <c r="HX92" s="103"/>
      <c r="HY92" s="103"/>
      <c r="HZ92" s="103"/>
      <c r="IA92" s="103"/>
      <c r="IB92" s="103"/>
      <c r="IC92" s="103"/>
      <c r="ID92" s="103"/>
      <c r="IE92" s="103"/>
      <c r="IF92" s="103"/>
      <c r="IG92" s="103"/>
      <c r="IH92" s="103"/>
      <c r="II92" s="103"/>
      <c r="IJ92" s="103"/>
      <c r="IK92" s="103"/>
      <c r="IL92" s="103"/>
      <c r="IM92" s="103"/>
      <c r="IN92" s="103"/>
      <c r="IO92" s="103"/>
      <c r="IP92" s="103"/>
      <c r="IQ92" s="103"/>
      <c r="IR92" s="103"/>
      <c r="IS92" s="103"/>
      <c r="IT92" s="103"/>
      <c r="IU92" s="103"/>
      <c r="IV92" s="103"/>
      <c r="IW92" s="103"/>
      <c r="IX92" s="103"/>
      <c r="IY92" s="103"/>
      <c r="IZ92" s="103"/>
      <c r="JA92" s="103"/>
      <c r="JB92" s="103"/>
      <c r="JC92" s="103"/>
      <c r="JD92" s="103"/>
      <c r="JE92" s="103"/>
      <c r="JF92" s="103"/>
      <c r="JG92" s="103"/>
      <c r="JH92" s="103"/>
      <c r="JI92" s="103"/>
      <c r="JJ92" s="103"/>
      <c r="JK92" s="103"/>
      <c r="JL92" s="103"/>
      <c r="JM92" s="103"/>
      <c r="JN92" s="103"/>
      <c r="JO92" s="103"/>
      <c r="JP92" s="103"/>
      <c r="JQ92" s="103"/>
      <c r="JR92" s="103"/>
      <c r="JS92" s="103"/>
      <c r="JT92" s="103"/>
      <c r="JU92" s="103"/>
      <c r="JV92" s="103"/>
      <c r="JW92" s="103"/>
      <c r="JX92" s="103"/>
      <c r="JY92" s="103"/>
      <c r="JZ92" s="103"/>
      <c r="KA92" s="103"/>
      <c r="KB92" s="103"/>
      <c r="KC92" s="103"/>
      <c r="KD92" s="103"/>
      <c r="KE92" s="103"/>
      <c r="KF92" s="103"/>
      <c r="KG92" s="103"/>
      <c r="KH92" s="103"/>
      <c r="KI92" s="103"/>
      <c r="KJ92" s="103"/>
      <c r="KK92" s="103"/>
      <c r="KL92" s="103"/>
      <c r="KM92" s="103"/>
      <c r="KN92" s="103"/>
      <c r="KO92" s="103"/>
      <c r="KP92" s="103"/>
      <c r="KQ92" s="103"/>
      <c r="KR92" s="103"/>
      <c r="KS92" s="103"/>
      <c r="KT92" s="103"/>
      <c r="KU92" s="103"/>
      <c r="KV92" s="103"/>
      <c r="KW92" s="103"/>
      <c r="KX92" s="103"/>
      <c r="KY92" s="103"/>
      <c r="KZ92" s="103"/>
      <c r="LA92" s="103"/>
      <c r="LB92" s="103"/>
      <c r="LC92" s="103"/>
      <c r="LD92" s="103"/>
      <c r="LE92" s="103"/>
      <c r="LF92" s="103"/>
      <c r="LG92" s="103"/>
      <c r="LH92" s="103"/>
      <c r="LI92" s="103"/>
      <c r="LJ92" s="103"/>
    </row>
    <row r="93" spans="1:322" s="208" customFormat="1">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c r="CU93" s="103"/>
      <c r="CV93" s="103"/>
      <c r="CW93" s="103"/>
      <c r="CX93" s="103"/>
      <c r="CY93" s="103"/>
      <c r="CZ93" s="103"/>
      <c r="DA93" s="103"/>
      <c r="DB93" s="103"/>
      <c r="DC93" s="103"/>
      <c r="DD93" s="103"/>
      <c r="DE93" s="103"/>
      <c r="DF93" s="103"/>
      <c r="DG93" s="103"/>
      <c r="DH93" s="103"/>
      <c r="DI93" s="103"/>
      <c r="DJ93" s="103"/>
      <c r="DK93" s="103"/>
      <c r="DL93" s="103"/>
      <c r="DM93" s="103"/>
      <c r="DN93" s="103"/>
      <c r="DO93" s="103"/>
      <c r="DP93" s="103"/>
      <c r="DQ93" s="103"/>
      <c r="DR93" s="103"/>
      <c r="DS93" s="103"/>
      <c r="DT93" s="103"/>
      <c r="DU93" s="103"/>
      <c r="DV93" s="103"/>
      <c r="DW93" s="103"/>
      <c r="DX93" s="103"/>
      <c r="DY93" s="103"/>
      <c r="DZ93" s="103"/>
      <c r="EA93" s="103"/>
      <c r="EB93" s="103"/>
      <c r="EC93" s="103"/>
      <c r="ED93" s="103"/>
      <c r="EE93" s="103"/>
      <c r="EF93" s="103"/>
      <c r="EG93" s="103"/>
      <c r="EH93" s="103"/>
      <c r="EI93" s="103"/>
      <c r="EJ93" s="103"/>
      <c r="EK93" s="103"/>
      <c r="EL93" s="103"/>
      <c r="EM93" s="103"/>
      <c r="EN93" s="103"/>
      <c r="EO93" s="103"/>
      <c r="EP93" s="103"/>
      <c r="EQ93" s="103"/>
      <c r="ER93" s="103"/>
      <c r="ES93" s="103"/>
      <c r="ET93" s="103"/>
      <c r="EU93" s="103"/>
      <c r="EV93" s="103"/>
      <c r="EW93" s="103"/>
      <c r="EX93" s="103"/>
      <c r="EY93" s="103"/>
      <c r="EZ93" s="103"/>
      <c r="FA93" s="103"/>
      <c r="FB93" s="103"/>
      <c r="FC93" s="103"/>
      <c r="FD93" s="103"/>
      <c r="FE93" s="103"/>
      <c r="FF93" s="103"/>
      <c r="FG93" s="103"/>
      <c r="FH93" s="103"/>
      <c r="FI93" s="103"/>
      <c r="FJ93" s="103"/>
      <c r="FK93" s="103"/>
      <c r="FL93" s="103"/>
      <c r="FM93" s="103"/>
      <c r="FN93" s="103"/>
      <c r="FO93" s="103"/>
      <c r="FP93" s="103"/>
      <c r="FQ93" s="103"/>
      <c r="FR93" s="103"/>
      <c r="FS93" s="103"/>
      <c r="FT93" s="103"/>
      <c r="FU93" s="103"/>
      <c r="FV93" s="103"/>
      <c r="FW93" s="103"/>
      <c r="FX93" s="103"/>
      <c r="FY93" s="103"/>
      <c r="FZ93" s="103"/>
      <c r="GA93" s="103"/>
      <c r="GB93" s="103"/>
      <c r="GC93" s="103"/>
      <c r="GD93" s="103"/>
      <c r="GE93" s="103"/>
      <c r="GF93" s="103"/>
      <c r="GG93" s="103"/>
      <c r="GH93" s="103"/>
      <c r="GI93" s="103"/>
      <c r="GJ93" s="103"/>
      <c r="GK93" s="103"/>
      <c r="GL93" s="103"/>
      <c r="GM93" s="103"/>
      <c r="GN93" s="103"/>
      <c r="GO93" s="103"/>
      <c r="GP93" s="103"/>
      <c r="GQ93" s="103"/>
      <c r="GR93" s="103"/>
      <c r="GS93" s="103"/>
      <c r="GT93" s="103"/>
      <c r="GU93" s="103"/>
      <c r="GV93" s="103"/>
      <c r="GW93" s="103"/>
      <c r="GX93" s="103"/>
      <c r="GY93" s="103"/>
      <c r="GZ93" s="103"/>
      <c r="HA93" s="103"/>
      <c r="HB93" s="103"/>
      <c r="HC93" s="103"/>
      <c r="HD93" s="103"/>
      <c r="HE93" s="103"/>
      <c r="HF93" s="103"/>
      <c r="HG93" s="103"/>
      <c r="HH93" s="103"/>
      <c r="HI93" s="103"/>
      <c r="HJ93" s="103"/>
      <c r="HK93" s="103"/>
      <c r="HL93" s="103"/>
      <c r="HM93" s="103"/>
      <c r="HN93" s="103"/>
      <c r="HO93" s="103"/>
      <c r="HP93" s="103"/>
      <c r="HQ93" s="103"/>
      <c r="HR93" s="103"/>
      <c r="HS93" s="103"/>
      <c r="HT93" s="103"/>
      <c r="HU93" s="103"/>
      <c r="HV93" s="103"/>
      <c r="HW93" s="103"/>
      <c r="HX93" s="103"/>
      <c r="HY93" s="103"/>
      <c r="HZ93" s="103"/>
      <c r="IA93" s="103"/>
      <c r="IB93" s="103"/>
      <c r="IC93" s="103"/>
      <c r="ID93" s="103"/>
      <c r="IE93" s="103"/>
      <c r="IF93" s="103"/>
      <c r="IG93" s="103"/>
      <c r="IH93" s="103"/>
      <c r="II93" s="103"/>
      <c r="IJ93" s="103"/>
      <c r="IK93" s="103"/>
      <c r="IL93" s="103"/>
      <c r="IM93" s="103"/>
      <c r="IN93" s="103"/>
      <c r="IO93" s="103"/>
      <c r="IP93" s="103"/>
      <c r="IQ93" s="103"/>
      <c r="IR93" s="103"/>
      <c r="IS93" s="103"/>
      <c r="IT93" s="103"/>
      <c r="IU93" s="103"/>
      <c r="IV93" s="103"/>
      <c r="IW93" s="103"/>
      <c r="IX93" s="103"/>
      <c r="IY93" s="103"/>
      <c r="IZ93" s="103"/>
      <c r="JA93" s="103"/>
      <c r="JB93" s="103"/>
      <c r="JC93" s="103"/>
      <c r="JD93" s="103"/>
      <c r="JE93" s="103"/>
      <c r="JF93" s="103"/>
      <c r="JG93" s="103"/>
      <c r="JH93" s="103"/>
      <c r="JI93" s="103"/>
      <c r="JJ93" s="103"/>
      <c r="JK93" s="103"/>
      <c r="JL93" s="103"/>
      <c r="JM93" s="103"/>
      <c r="JN93" s="103"/>
      <c r="JO93" s="103"/>
      <c r="JP93" s="103"/>
      <c r="JQ93" s="103"/>
      <c r="JR93" s="103"/>
      <c r="JS93" s="103"/>
      <c r="JT93" s="103"/>
      <c r="JU93" s="103"/>
      <c r="JV93" s="103"/>
      <c r="JW93" s="103"/>
      <c r="JX93" s="103"/>
      <c r="JY93" s="103"/>
      <c r="JZ93" s="103"/>
      <c r="KA93" s="103"/>
      <c r="KB93" s="103"/>
      <c r="KC93" s="103"/>
      <c r="KD93" s="103"/>
      <c r="KE93" s="103"/>
      <c r="KF93" s="103"/>
      <c r="KG93" s="103"/>
      <c r="KH93" s="103"/>
      <c r="KI93" s="103"/>
      <c r="KJ93" s="103"/>
      <c r="KK93" s="103"/>
      <c r="KL93" s="103"/>
      <c r="KM93" s="103"/>
      <c r="KN93" s="103"/>
      <c r="KO93" s="103"/>
      <c r="KP93" s="103"/>
      <c r="KQ93" s="103"/>
      <c r="KR93" s="103"/>
      <c r="KS93" s="103"/>
      <c r="KT93" s="103"/>
      <c r="KU93" s="103"/>
      <c r="KV93" s="103"/>
      <c r="KW93" s="103"/>
      <c r="KX93" s="103"/>
      <c r="KY93" s="103"/>
      <c r="KZ93" s="103"/>
      <c r="LA93" s="103"/>
      <c r="LB93" s="103"/>
      <c r="LC93" s="103"/>
      <c r="LD93" s="103"/>
      <c r="LE93" s="103"/>
      <c r="LF93" s="103"/>
      <c r="LG93" s="103"/>
      <c r="LH93" s="103"/>
      <c r="LI93" s="103"/>
      <c r="LJ93" s="103"/>
    </row>
    <row r="94" spans="1:322" s="208" customFormat="1">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c r="CU94" s="103"/>
      <c r="CV94" s="103"/>
      <c r="CW94" s="103"/>
      <c r="CX94" s="103"/>
      <c r="CY94" s="103"/>
      <c r="CZ94" s="103"/>
      <c r="DA94" s="103"/>
      <c r="DB94" s="103"/>
      <c r="DC94" s="103"/>
      <c r="DD94" s="103"/>
      <c r="DE94" s="103"/>
      <c r="DF94" s="103"/>
      <c r="DG94" s="103"/>
      <c r="DH94" s="103"/>
      <c r="DI94" s="103"/>
      <c r="DJ94" s="103"/>
      <c r="DK94" s="103"/>
      <c r="DL94" s="103"/>
      <c r="DM94" s="103"/>
      <c r="DN94" s="103"/>
      <c r="DO94" s="103"/>
      <c r="DP94" s="103"/>
      <c r="DQ94" s="103"/>
      <c r="DR94" s="103"/>
      <c r="DS94" s="103"/>
      <c r="DT94" s="103"/>
      <c r="DU94" s="103"/>
      <c r="DV94" s="103"/>
      <c r="DW94" s="103"/>
      <c r="DX94" s="103"/>
      <c r="DY94" s="103"/>
      <c r="DZ94" s="103"/>
      <c r="EA94" s="103"/>
      <c r="EB94" s="103"/>
      <c r="EC94" s="103"/>
      <c r="ED94" s="103"/>
      <c r="EE94" s="103"/>
      <c r="EF94" s="103"/>
      <c r="EG94" s="103"/>
      <c r="EH94" s="103"/>
      <c r="EI94" s="103"/>
      <c r="EJ94" s="103"/>
      <c r="EK94" s="103"/>
      <c r="EL94" s="103"/>
      <c r="EM94" s="103"/>
      <c r="EN94" s="103"/>
      <c r="EO94" s="103"/>
      <c r="EP94" s="103"/>
      <c r="EQ94" s="103"/>
      <c r="ER94" s="103"/>
      <c r="ES94" s="103"/>
      <c r="ET94" s="103"/>
      <c r="EU94" s="103"/>
      <c r="EV94" s="103"/>
      <c r="EW94" s="103"/>
      <c r="EX94" s="103"/>
      <c r="EY94" s="103"/>
      <c r="EZ94" s="103"/>
      <c r="FA94" s="103"/>
      <c r="FB94" s="103"/>
      <c r="FC94" s="103"/>
      <c r="FD94" s="103"/>
      <c r="FE94" s="103"/>
      <c r="FF94" s="103"/>
      <c r="FG94" s="103"/>
      <c r="FH94" s="103"/>
      <c r="FI94" s="103"/>
      <c r="FJ94" s="103"/>
      <c r="FK94" s="103"/>
      <c r="FL94" s="103"/>
      <c r="FM94" s="103"/>
      <c r="FN94" s="103"/>
      <c r="FO94" s="103"/>
      <c r="FP94" s="103"/>
      <c r="FQ94" s="103"/>
      <c r="FR94" s="103"/>
      <c r="FS94" s="103"/>
      <c r="FT94" s="103"/>
      <c r="FU94" s="103"/>
      <c r="FV94" s="103"/>
      <c r="FW94" s="103"/>
      <c r="FX94" s="103"/>
      <c r="FY94" s="103"/>
      <c r="FZ94" s="103"/>
      <c r="GA94" s="103"/>
      <c r="GB94" s="103"/>
      <c r="GC94" s="103"/>
      <c r="GD94" s="103"/>
      <c r="GE94" s="103"/>
      <c r="GF94" s="103"/>
      <c r="GG94" s="103"/>
      <c r="GH94" s="103"/>
      <c r="GI94" s="103"/>
      <c r="GJ94" s="103"/>
      <c r="GK94" s="103"/>
      <c r="GL94" s="103"/>
      <c r="GM94" s="103"/>
      <c r="GN94" s="103"/>
      <c r="GO94" s="103"/>
      <c r="GP94" s="103"/>
      <c r="GQ94" s="103"/>
      <c r="GR94" s="103"/>
      <c r="GS94" s="103"/>
      <c r="GT94" s="103"/>
      <c r="GU94" s="103"/>
      <c r="GV94" s="103"/>
      <c r="GW94" s="103"/>
      <c r="GX94" s="103"/>
      <c r="GY94" s="103"/>
      <c r="GZ94" s="103"/>
      <c r="HA94" s="103"/>
      <c r="HB94" s="103"/>
      <c r="HC94" s="103"/>
      <c r="HD94" s="103"/>
      <c r="HE94" s="103"/>
      <c r="HF94" s="103"/>
      <c r="HG94" s="103"/>
      <c r="HH94" s="103"/>
      <c r="HI94" s="103"/>
      <c r="HJ94" s="103"/>
      <c r="HK94" s="103"/>
      <c r="HL94" s="103"/>
      <c r="HM94" s="103"/>
      <c r="HN94" s="103"/>
      <c r="HO94" s="103"/>
      <c r="HP94" s="103"/>
      <c r="HQ94" s="103"/>
      <c r="HR94" s="103"/>
      <c r="HS94" s="103"/>
      <c r="HT94" s="103"/>
      <c r="HU94" s="103"/>
      <c r="HV94" s="103"/>
      <c r="HW94" s="103"/>
      <c r="HX94" s="103"/>
      <c r="HY94" s="103"/>
      <c r="HZ94" s="103"/>
      <c r="IA94" s="103"/>
      <c r="IB94" s="103"/>
      <c r="IC94" s="103"/>
      <c r="ID94" s="103"/>
      <c r="IE94" s="103"/>
      <c r="IF94" s="103"/>
      <c r="IG94" s="103"/>
      <c r="IH94" s="103"/>
      <c r="II94" s="103"/>
      <c r="IJ94" s="103"/>
      <c r="IK94" s="103"/>
      <c r="IL94" s="103"/>
      <c r="IM94" s="103"/>
      <c r="IN94" s="103"/>
      <c r="IO94" s="103"/>
      <c r="IP94" s="103"/>
      <c r="IQ94" s="103"/>
      <c r="IR94" s="103"/>
      <c r="IS94" s="103"/>
      <c r="IT94" s="103"/>
      <c r="IU94" s="103"/>
      <c r="IV94" s="103"/>
      <c r="IW94" s="103"/>
      <c r="IX94" s="103"/>
      <c r="IY94" s="103"/>
      <c r="IZ94" s="103"/>
      <c r="JA94" s="103"/>
      <c r="JB94" s="103"/>
      <c r="JC94" s="103"/>
      <c r="JD94" s="103"/>
      <c r="JE94" s="103"/>
      <c r="JF94" s="103"/>
      <c r="JG94" s="103"/>
      <c r="JH94" s="103"/>
      <c r="JI94" s="103"/>
      <c r="JJ94" s="103"/>
      <c r="JK94" s="103"/>
      <c r="JL94" s="103"/>
      <c r="JM94" s="103"/>
      <c r="JN94" s="103"/>
      <c r="JO94" s="103"/>
      <c r="JP94" s="103"/>
      <c r="JQ94" s="103"/>
      <c r="JR94" s="103"/>
      <c r="JS94" s="103"/>
      <c r="JT94" s="103"/>
      <c r="JU94" s="103"/>
      <c r="JV94" s="103"/>
      <c r="JW94" s="103"/>
      <c r="JX94" s="103"/>
      <c r="JY94" s="103"/>
      <c r="JZ94" s="103"/>
      <c r="KA94" s="103"/>
      <c r="KB94" s="103"/>
      <c r="KC94" s="103"/>
      <c r="KD94" s="103"/>
      <c r="KE94" s="103"/>
      <c r="KF94" s="103"/>
      <c r="KG94" s="103"/>
      <c r="KH94" s="103"/>
      <c r="KI94" s="103"/>
      <c r="KJ94" s="103"/>
      <c r="KK94" s="103"/>
      <c r="KL94" s="103"/>
      <c r="KM94" s="103"/>
      <c r="KN94" s="103"/>
      <c r="KO94" s="103"/>
      <c r="KP94" s="103"/>
      <c r="KQ94" s="103"/>
      <c r="KR94" s="103"/>
      <c r="KS94" s="103"/>
      <c r="KT94" s="103"/>
      <c r="KU94" s="103"/>
      <c r="KV94" s="103"/>
      <c r="KW94" s="103"/>
      <c r="KX94" s="103"/>
      <c r="KY94" s="103"/>
      <c r="KZ94" s="103"/>
      <c r="LA94" s="103"/>
      <c r="LB94" s="103"/>
      <c r="LC94" s="103"/>
      <c r="LD94" s="103"/>
      <c r="LE94" s="103"/>
      <c r="LF94" s="103"/>
      <c r="LG94" s="103"/>
      <c r="LH94" s="103"/>
      <c r="LI94" s="103"/>
      <c r="LJ94" s="103"/>
    </row>
    <row r="95" spans="1:322" s="208" customFormat="1">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c r="CU95" s="103"/>
      <c r="CV95" s="103"/>
      <c r="CW95" s="103"/>
      <c r="CX95" s="103"/>
      <c r="CY95" s="103"/>
      <c r="CZ95" s="103"/>
      <c r="DA95" s="103"/>
      <c r="DB95" s="103"/>
      <c r="DC95" s="103"/>
      <c r="DD95" s="103"/>
      <c r="DE95" s="103"/>
      <c r="DF95" s="103"/>
      <c r="DG95" s="103"/>
      <c r="DH95" s="103"/>
      <c r="DI95" s="103"/>
      <c r="DJ95" s="103"/>
      <c r="DK95" s="103"/>
      <c r="DL95" s="103"/>
      <c r="DM95" s="103"/>
      <c r="DN95" s="103"/>
      <c r="DO95" s="103"/>
      <c r="DP95" s="103"/>
      <c r="DQ95" s="103"/>
      <c r="DR95" s="103"/>
      <c r="DS95" s="103"/>
      <c r="DT95" s="103"/>
      <c r="DU95" s="103"/>
      <c r="DV95" s="103"/>
      <c r="DW95" s="103"/>
      <c r="DX95" s="103"/>
      <c r="DY95" s="103"/>
      <c r="DZ95" s="103"/>
      <c r="EA95" s="103"/>
      <c r="EB95" s="103"/>
      <c r="EC95" s="103"/>
      <c r="ED95" s="103"/>
      <c r="EE95" s="103"/>
      <c r="EF95" s="103"/>
      <c r="EG95" s="103"/>
      <c r="EH95" s="103"/>
      <c r="EI95" s="103"/>
      <c r="EJ95" s="103"/>
      <c r="EK95" s="103"/>
      <c r="EL95" s="103"/>
      <c r="EM95" s="103"/>
      <c r="EN95" s="103"/>
      <c r="EO95" s="103"/>
      <c r="EP95" s="103"/>
      <c r="EQ95" s="103"/>
      <c r="ER95" s="103"/>
      <c r="ES95" s="103"/>
      <c r="ET95" s="103"/>
      <c r="EU95" s="103"/>
      <c r="EV95" s="103"/>
      <c r="EW95" s="103"/>
      <c r="EX95" s="103"/>
      <c r="EY95" s="103"/>
      <c r="EZ95" s="103"/>
      <c r="FA95" s="103"/>
      <c r="FB95" s="103"/>
      <c r="FC95" s="103"/>
      <c r="FD95" s="103"/>
      <c r="FE95" s="103"/>
      <c r="FF95" s="103"/>
      <c r="FG95" s="103"/>
      <c r="FH95" s="103"/>
      <c r="FI95" s="103"/>
      <c r="FJ95" s="103"/>
      <c r="FK95" s="103"/>
      <c r="FL95" s="103"/>
      <c r="FM95" s="103"/>
      <c r="FN95" s="103"/>
      <c r="FO95" s="103"/>
      <c r="FP95" s="103"/>
      <c r="FQ95" s="103"/>
      <c r="FR95" s="103"/>
      <c r="FS95" s="103"/>
      <c r="FT95" s="103"/>
      <c r="FU95" s="103"/>
      <c r="FV95" s="103"/>
      <c r="FW95" s="103"/>
      <c r="FX95" s="103"/>
      <c r="FY95" s="103"/>
      <c r="FZ95" s="103"/>
      <c r="GA95" s="103"/>
      <c r="GB95" s="103"/>
      <c r="GC95" s="103"/>
      <c r="GD95" s="103"/>
      <c r="GE95" s="103"/>
      <c r="GF95" s="103"/>
      <c r="GG95" s="103"/>
      <c r="GH95" s="103"/>
      <c r="GI95" s="103"/>
      <c r="GJ95" s="103"/>
      <c r="GK95" s="103"/>
      <c r="GL95" s="103"/>
      <c r="GM95" s="103"/>
      <c r="GN95" s="103"/>
      <c r="GO95" s="103"/>
      <c r="GP95" s="103"/>
      <c r="GQ95" s="103"/>
      <c r="GR95" s="103"/>
      <c r="GS95" s="103"/>
      <c r="GT95" s="103"/>
      <c r="GU95" s="103"/>
      <c r="GV95" s="103"/>
      <c r="GW95" s="103"/>
      <c r="GX95" s="103"/>
      <c r="GY95" s="103"/>
      <c r="GZ95" s="103"/>
      <c r="HA95" s="103"/>
      <c r="HB95" s="103"/>
      <c r="HC95" s="103"/>
      <c r="HD95" s="103"/>
      <c r="HE95" s="103"/>
      <c r="HF95" s="103"/>
      <c r="HG95" s="103"/>
      <c r="HH95" s="103"/>
      <c r="HI95" s="103"/>
      <c r="HJ95" s="103"/>
      <c r="HK95" s="103"/>
      <c r="HL95" s="103"/>
      <c r="HM95" s="103"/>
      <c r="HN95" s="103"/>
      <c r="HO95" s="103"/>
      <c r="HP95" s="103"/>
      <c r="HQ95" s="103"/>
      <c r="HR95" s="103"/>
      <c r="HS95" s="103"/>
      <c r="HT95" s="103"/>
      <c r="HU95" s="103"/>
      <c r="HV95" s="103"/>
      <c r="HW95" s="103"/>
      <c r="HX95" s="103"/>
      <c r="HY95" s="103"/>
      <c r="HZ95" s="103"/>
      <c r="IA95" s="103"/>
      <c r="IB95" s="103"/>
      <c r="IC95" s="103"/>
      <c r="ID95" s="103"/>
      <c r="IE95" s="103"/>
      <c r="IF95" s="103"/>
      <c r="IG95" s="103"/>
      <c r="IH95" s="103"/>
      <c r="II95" s="103"/>
      <c r="IJ95" s="103"/>
      <c r="IK95" s="103"/>
      <c r="IL95" s="103"/>
      <c r="IM95" s="103"/>
      <c r="IN95" s="103"/>
      <c r="IO95" s="103"/>
      <c r="IP95" s="103"/>
      <c r="IQ95" s="103"/>
      <c r="IR95" s="103"/>
      <c r="IS95" s="103"/>
      <c r="IT95" s="103"/>
      <c r="IU95" s="103"/>
      <c r="IV95" s="103"/>
      <c r="IW95" s="103"/>
      <c r="IX95" s="103"/>
      <c r="IY95" s="103"/>
      <c r="IZ95" s="103"/>
      <c r="JA95" s="103"/>
      <c r="JB95" s="103"/>
      <c r="JC95" s="103"/>
      <c r="JD95" s="103"/>
      <c r="JE95" s="103"/>
      <c r="JF95" s="103"/>
      <c r="JG95" s="103"/>
      <c r="JH95" s="103"/>
      <c r="JI95" s="103"/>
      <c r="JJ95" s="103"/>
      <c r="JK95" s="103"/>
      <c r="JL95" s="103"/>
      <c r="JM95" s="103"/>
      <c r="JN95" s="103"/>
      <c r="JO95" s="103"/>
      <c r="JP95" s="103"/>
      <c r="JQ95" s="103"/>
      <c r="JR95" s="103"/>
      <c r="JS95" s="103"/>
      <c r="JT95" s="103"/>
      <c r="JU95" s="103"/>
      <c r="JV95" s="103"/>
      <c r="JW95" s="103"/>
      <c r="JX95" s="103"/>
      <c r="JY95" s="103"/>
      <c r="JZ95" s="103"/>
      <c r="KA95" s="103"/>
      <c r="KB95" s="103"/>
      <c r="KC95" s="103"/>
      <c r="KD95" s="103"/>
      <c r="KE95" s="103"/>
      <c r="KF95" s="103"/>
      <c r="KG95" s="103"/>
      <c r="KH95" s="103"/>
      <c r="KI95" s="103"/>
      <c r="KJ95" s="103"/>
      <c r="KK95" s="103"/>
      <c r="KL95" s="103"/>
      <c r="KM95" s="103"/>
      <c r="KN95" s="103"/>
      <c r="KO95" s="103"/>
      <c r="KP95" s="103"/>
      <c r="KQ95" s="103"/>
      <c r="KR95" s="103"/>
      <c r="KS95" s="103"/>
      <c r="KT95" s="103"/>
      <c r="KU95" s="103"/>
      <c r="KV95" s="103"/>
      <c r="KW95" s="103"/>
      <c r="KX95" s="103"/>
      <c r="KY95" s="103"/>
      <c r="KZ95" s="103"/>
      <c r="LA95" s="103"/>
      <c r="LB95" s="103"/>
      <c r="LC95" s="103"/>
      <c r="LD95" s="103"/>
      <c r="LE95" s="103"/>
      <c r="LF95" s="103"/>
      <c r="LG95" s="103"/>
      <c r="LH95" s="103"/>
      <c r="LI95" s="103"/>
      <c r="LJ95" s="103"/>
    </row>
    <row r="96" spans="1:322" s="208" customFormat="1">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c r="CU96" s="103"/>
      <c r="CV96" s="103"/>
      <c r="CW96" s="103"/>
      <c r="CX96" s="103"/>
      <c r="CY96" s="103"/>
      <c r="CZ96" s="103"/>
      <c r="DA96" s="103"/>
      <c r="DB96" s="103"/>
      <c r="DC96" s="103"/>
      <c r="DD96" s="103"/>
      <c r="DE96" s="103"/>
      <c r="DF96" s="103"/>
      <c r="DG96" s="103"/>
      <c r="DH96" s="103"/>
      <c r="DI96" s="103"/>
      <c r="DJ96" s="103"/>
      <c r="DK96" s="103"/>
      <c r="DL96" s="103"/>
      <c r="DM96" s="103"/>
      <c r="DN96" s="103"/>
      <c r="DO96" s="103"/>
      <c r="DP96" s="103"/>
      <c r="DQ96" s="103"/>
      <c r="DR96" s="103"/>
      <c r="DS96" s="103"/>
      <c r="DT96" s="103"/>
      <c r="DU96" s="103"/>
      <c r="DV96" s="103"/>
      <c r="DW96" s="103"/>
      <c r="DX96" s="103"/>
      <c r="DY96" s="103"/>
      <c r="DZ96" s="103"/>
      <c r="EA96" s="103"/>
      <c r="EB96" s="103"/>
      <c r="EC96" s="103"/>
      <c r="ED96" s="103"/>
      <c r="EE96" s="103"/>
      <c r="EF96" s="103"/>
      <c r="EG96" s="103"/>
      <c r="EH96" s="103"/>
      <c r="EI96" s="103"/>
      <c r="EJ96" s="103"/>
      <c r="EK96" s="103"/>
      <c r="EL96" s="103"/>
      <c r="EM96" s="103"/>
      <c r="EN96" s="103"/>
      <c r="EO96" s="103"/>
      <c r="EP96" s="103"/>
      <c r="EQ96" s="103"/>
      <c r="ER96" s="103"/>
      <c r="ES96" s="103"/>
      <c r="ET96" s="103"/>
      <c r="EU96" s="103"/>
      <c r="EV96" s="103"/>
      <c r="EW96" s="103"/>
      <c r="EX96" s="103"/>
      <c r="EY96" s="103"/>
      <c r="EZ96" s="103"/>
      <c r="FA96" s="103"/>
      <c r="FB96" s="103"/>
      <c r="FC96" s="103"/>
      <c r="FD96" s="103"/>
      <c r="FE96" s="103"/>
      <c r="FF96" s="103"/>
      <c r="FG96" s="103"/>
      <c r="FH96" s="103"/>
      <c r="FI96" s="103"/>
      <c r="FJ96" s="103"/>
      <c r="FK96" s="103"/>
      <c r="FL96" s="103"/>
      <c r="FM96" s="103"/>
      <c r="FN96" s="103"/>
      <c r="FO96" s="103"/>
      <c r="FP96" s="103"/>
      <c r="FQ96" s="103"/>
      <c r="FR96" s="103"/>
      <c r="FS96" s="103"/>
      <c r="FT96" s="103"/>
      <c r="FU96" s="103"/>
      <c r="FV96" s="103"/>
      <c r="FW96" s="103"/>
      <c r="FX96" s="103"/>
      <c r="FY96" s="103"/>
      <c r="FZ96" s="103"/>
      <c r="GA96" s="103"/>
      <c r="GB96" s="103"/>
      <c r="GC96" s="103"/>
      <c r="GD96" s="103"/>
      <c r="GE96" s="103"/>
      <c r="GF96" s="103"/>
      <c r="GG96" s="103"/>
      <c r="GH96" s="103"/>
      <c r="GI96" s="103"/>
      <c r="GJ96" s="103"/>
      <c r="GK96" s="103"/>
      <c r="GL96" s="103"/>
      <c r="GM96" s="103"/>
      <c r="GN96" s="103"/>
      <c r="GO96" s="103"/>
      <c r="GP96" s="103"/>
      <c r="GQ96" s="103"/>
      <c r="GR96" s="103"/>
      <c r="GS96" s="103"/>
      <c r="GT96" s="103"/>
      <c r="GU96" s="103"/>
      <c r="GV96" s="103"/>
      <c r="GW96" s="103"/>
      <c r="GX96" s="103"/>
      <c r="GY96" s="103"/>
      <c r="GZ96" s="103"/>
      <c r="HA96" s="103"/>
      <c r="HB96" s="103"/>
      <c r="HC96" s="103"/>
      <c r="HD96" s="103"/>
      <c r="HE96" s="103"/>
      <c r="HF96" s="103"/>
      <c r="HG96" s="103"/>
      <c r="HH96" s="103"/>
      <c r="HI96" s="103"/>
      <c r="HJ96" s="103"/>
      <c r="HK96" s="103"/>
      <c r="HL96" s="103"/>
      <c r="HM96" s="103"/>
      <c r="HN96" s="103"/>
      <c r="HO96" s="103"/>
      <c r="HP96" s="103"/>
      <c r="HQ96" s="103"/>
      <c r="HR96" s="103"/>
      <c r="HS96" s="103"/>
      <c r="HT96" s="103"/>
      <c r="HU96" s="103"/>
      <c r="HV96" s="103"/>
      <c r="HW96" s="103"/>
      <c r="HX96" s="103"/>
      <c r="HY96" s="103"/>
      <c r="HZ96" s="103"/>
      <c r="IA96" s="103"/>
      <c r="IB96" s="103"/>
      <c r="IC96" s="103"/>
      <c r="ID96" s="103"/>
      <c r="IE96" s="103"/>
      <c r="IF96" s="103"/>
      <c r="IG96" s="103"/>
      <c r="IH96" s="103"/>
      <c r="II96" s="103"/>
      <c r="IJ96" s="103"/>
      <c r="IK96" s="103"/>
      <c r="IL96" s="103"/>
      <c r="IM96" s="103"/>
      <c r="IN96" s="103"/>
      <c r="IO96" s="103"/>
      <c r="IP96" s="103"/>
      <c r="IQ96" s="103"/>
      <c r="IR96" s="103"/>
      <c r="IS96" s="103"/>
      <c r="IT96" s="103"/>
      <c r="IU96" s="103"/>
      <c r="IV96" s="103"/>
      <c r="IW96" s="103"/>
      <c r="IX96" s="103"/>
      <c r="IY96" s="103"/>
      <c r="IZ96" s="103"/>
      <c r="JA96" s="103"/>
      <c r="JB96" s="103"/>
      <c r="JC96" s="103"/>
      <c r="JD96" s="103"/>
      <c r="JE96" s="103"/>
      <c r="JF96" s="103"/>
      <c r="JG96" s="103"/>
      <c r="JH96" s="103"/>
      <c r="JI96" s="103"/>
      <c r="JJ96" s="103"/>
      <c r="JK96" s="103"/>
      <c r="JL96" s="103"/>
      <c r="JM96" s="103"/>
      <c r="JN96" s="103"/>
      <c r="JO96" s="103"/>
      <c r="JP96" s="103"/>
      <c r="JQ96" s="103"/>
      <c r="JR96" s="103"/>
      <c r="JS96" s="103"/>
      <c r="JT96" s="103"/>
      <c r="JU96" s="103"/>
      <c r="JV96" s="103"/>
      <c r="JW96" s="103"/>
      <c r="JX96" s="103"/>
      <c r="JY96" s="103"/>
      <c r="JZ96" s="103"/>
      <c r="KA96" s="103"/>
      <c r="KB96" s="103"/>
      <c r="KC96" s="103"/>
      <c r="KD96" s="103"/>
      <c r="KE96" s="103"/>
      <c r="KF96" s="103"/>
      <c r="KG96" s="103"/>
      <c r="KH96" s="103"/>
      <c r="KI96" s="103"/>
      <c r="KJ96" s="103"/>
      <c r="KK96" s="103"/>
      <c r="KL96" s="103"/>
      <c r="KM96" s="103"/>
      <c r="KN96" s="103"/>
      <c r="KO96" s="103"/>
      <c r="KP96" s="103"/>
      <c r="KQ96" s="103"/>
      <c r="KR96" s="103"/>
      <c r="KS96" s="103"/>
      <c r="KT96" s="103"/>
      <c r="KU96" s="103"/>
      <c r="KV96" s="103"/>
      <c r="KW96" s="103"/>
      <c r="KX96" s="103"/>
      <c r="KY96" s="103"/>
      <c r="KZ96" s="103"/>
      <c r="LA96" s="103"/>
      <c r="LB96" s="103"/>
      <c r="LC96" s="103"/>
      <c r="LD96" s="103"/>
      <c r="LE96" s="103"/>
      <c r="LF96" s="103"/>
      <c r="LG96" s="103"/>
      <c r="LH96" s="103"/>
      <c r="LI96" s="103"/>
      <c r="LJ96" s="103"/>
    </row>
    <row r="97" spans="1:322" s="208" customFormat="1">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c r="CU97" s="103"/>
      <c r="CV97" s="103"/>
      <c r="CW97" s="103"/>
      <c r="CX97" s="103"/>
      <c r="CY97" s="103"/>
      <c r="CZ97" s="103"/>
      <c r="DA97" s="103"/>
      <c r="DB97" s="103"/>
      <c r="DC97" s="103"/>
      <c r="DD97" s="103"/>
      <c r="DE97" s="103"/>
      <c r="DF97" s="103"/>
      <c r="DG97" s="103"/>
      <c r="DH97" s="103"/>
      <c r="DI97" s="103"/>
      <c r="DJ97" s="103"/>
      <c r="DK97" s="103"/>
      <c r="DL97" s="103"/>
      <c r="DM97" s="103"/>
      <c r="DN97" s="103"/>
      <c r="DO97" s="103"/>
      <c r="DP97" s="103"/>
      <c r="DQ97" s="103"/>
      <c r="DR97" s="103"/>
      <c r="DS97" s="103"/>
      <c r="DT97" s="103"/>
      <c r="DU97" s="103"/>
      <c r="DV97" s="103"/>
      <c r="DW97" s="103"/>
      <c r="DX97" s="103"/>
      <c r="DY97" s="103"/>
      <c r="DZ97" s="103"/>
      <c r="EA97" s="103"/>
      <c r="EB97" s="103"/>
      <c r="EC97" s="103"/>
      <c r="ED97" s="103"/>
      <c r="EE97" s="103"/>
      <c r="EF97" s="103"/>
      <c r="EG97" s="103"/>
      <c r="EH97" s="103"/>
      <c r="EI97" s="103"/>
      <c r="EJ97" s="103"/>
      <c r="EK97" s="103"/>
      <c r="EL97" s="103"/>
      <c r="EM97" s="103"/>
      <c r="EN97" s="103"/>
      <c r="EO97" s="103"/>
      <c r="EP97" s="103"/>
      <c r="EQ97" s="103"/>
      <c r="ER97" s="103"/>
      <c r="ES97" s="103"/>
      <c r="ET97" s="103"/>
      <c r="EU97" s="103"/>
      <c r="EV97" s="103"/>
      <c r="EW97" s="103"/>
      <c r="EX97" s="103"/>
      <c r="EY97" s="103"/>
      <c r="EZ97" s="103"/>
      <c r="FA97" s="103"/>
      <c r="FB97" s="103"/>
      <c r="FC97" s="103"/>
      <c r="FD97" s="103"/>
      <c r="FE97" s="103"/>
      <c r="FF97" s="103"/>
      <c r="FG97" s="103"/>
      <c r="FH97" s="103"/>
      <c r="FI97" s="103"/>
      <c r="FJ97" s="103"/>
      <c r="FK97" s="103"/>
      <c r="FL97" s="103"/>
      <c r="FM97" s="103"/>
      <c r="FN97" s="103"/>
      <c r="FO97" s="103"/>
      <c r="FP97" s="103"/>
      <c r="FQ97" s="103"/>
      <c r="FR97" s="103"/>
      <c r="FS97" s="103"/>
      <c r="FT97" s="103"/>
      <c r="FU97" s="103"/>
      <c r="FV97" s="103"/>
      <c r="FW97" s="103"/>
      <c r="FX97" s="103"/>
      <c r="FY97" s="103"/>
      <c r="FZ97" s="103"/>
      <c r="GA97" s="103"/>
      <c r="GB97" s="103"/>
      <c r="GC97" s="103"/>
      <c r="GD97" s="103"/>
      <c r="GE97" s="103"/>
      <c r="GF97" s="103"/>
      <c r="GG97" s="103"/>
      <c r="GH97" s="103"/>
      <c r="GI97" s="103"/>
      <c r="GJ97" s="103"/>
      <c r="GK97" s="103"/>
      <c r="GL97" s="103"/>
      <c r="GM97" s="103"/>
      <c r="GN97" s="103"/>
      <c r="GO97" s="103"/>
      <c r="GP97" s="103"/>
      <c r="GQ97" s="103"/>
      <c r="GR97" s="103"/>
      <c r="GS97" s="103"/>
      <c r="GT97" s="103"/>
      <c r="GU97" s="103"/>
      <c r="GV97" s="103"/>
      <c r="GW97" s="103"/>
      <c r="GX97" s="103"/>
      <c r="GY97" s="103"/>
      <c r="GZ97" s="103"/>
      <c r="HA97" s="103"/>
      <c r="HB97" s="103"/>
      <c r="HC97" s="103"/>
      <c r="HD97" s="103"/>
      <c r="HE97" s="103"/>
      <c r="HF97" s="103"/>
      <c r="HG97" s="103"/>
      <c r="HH97" s="103"/>
      <c r="HI97" s="103"/>
      <c r="HJ97" s="103"/>
      <c r="HK97" s="103"/>
      <c r="HL97" s="103"/>
      <c r="HM97" s="103"/>
      <c r="HN97" s="103"/>
      <c r="HO97" s="103"/>
      <c r="HP97" s="103"/>
      <c r="HQ97" s="103"/>
      <c r="HR97" s="103"/>
      <c r="HS97" s="103"/>
      <c r="HT97" s="103"/>
      <c r="HU97" s="103"/>
      <c r="HV97" s="103"/>
      <c r="HW97" s="103"/>
      <c r="HX97" s="103"/>
      <c r="HY97" s="103"/>
      <c r="HZ97" s="103"/>
      <c r="IA97" s="103"/>
      <c r="IB97" s="103"/>
      <c r="IC97" s="103"/>
      <c r="ID97" s="103"/>
      <c r="IE97" s="103"/>
      <c r="IF97" s="103"/>
      <c r="IG97" s="103"/>
      <c r="IH97" s="103"/>
      <c r="II97" s="103"/>
      <c r="IJ97" s="103"/>
      <c r="IK97" s="103"/>
      <c r="IL97" s="103"/>
      <c r="IM97" s="103"/>
      <c r="IN97" s="103"/>
      <c r="IO97" s="103"/>
      <c r="IP97" s="103"/>
      <c r="IQ97" s="103"/>
      <c r="IR97" s="103"/>
      <c r="IS97" s="103"/>
      <c r="IT97" s="103"/>
      <c r="IU97" s="103"/>
      <c r="IV97" s="103"/>
      <c r="IW97" s="103"/>
      <c r="IX97" s="103"/>
      <c r="IY97" s="103"/>
      <c r="IZ97" s="103"/>
      <c r="JA97" s="103"/>
      <c r="JB97" s="103"/>
      <c r="JC97" s="103"/>
      <c r="JD97" s="103"/>
      <c r="JE97" s="103"/>
      <c r="JF97" s="103"/>
      <c r="JG97" s="103"/>
      <c r="JH97" s="103"/>
      <c r="JI97" s="103"/>
      <c r="JJ97" s="103"/>
      <c r="JK97" s="103"/>
      <c r="JL97" s="103"/>
      <c r="JM97" s="103"/>
      <c r="JN97" s="103"/>
      <c r="JO97" s="103"/>
      <c r="JP97" s="103"/>
      <c r="JQ97" s="103"/>
      <c r="JR97" s="103"/>
      <c r="JS97" s="103"/>
      <c r="JT97" s="103"/>
      <c r="JU97" s="103"/>
      <c r="JV97" s="103"/>
      <c r="JW97" s="103"/>
      <c r="JX97" s="103"/>
      <c r="JY97" s="103"/>
      <c r="JZ97" s="103"/>
      <c r="KA97" s="103"/>
      <c r="KB97" s="103"/>
      <c r="KC97" s="103"/>
      <c r="KD97" s="103"/>
      <c r="KE97" s="103"/>
      <c r="KF97" s="103"/>
      <c r="KG97" s="103"/>
      <c r="KH97" s="103"/>
      <c r="KI97" s="103"/>
      <c r="KJ97" s="103"/>
      <c r="KK97" s="103"/>
      <c r="KL97" s="103"/>
      <c r="KM97" s="103"/>
      <c r="KN97" s="103"/>
      <c r="KO97" s="103"/>
      <c r="KP97" s="103"/>
      <c r="KQ97" s="103"/>
      <c r="KR97" s="103"/>
      <c r="KS97" s="103"/>
      <c r="KT97" s="103"/>
      <c r="KU97" s="103"/>
      <c r="KV97" s="103"/>
      <c r="KW97" s="103"/>
      <c r="KX97" s="103"/>
      <c r="KY97" s="103"/>
      <c r="KZ97" s="103"/>
      <c r="LA97" s="103"/>
      <c r="LB97" s="103"/>
      <c r="LC97" s="103"/>
      <c r="LD97" s="103"/>
      <c r="LE97" s="103"/>
      <c r="LF97" s="103"/>
      <c r="LG97" s="103"/>
      <c r="LH97" s="103"/>
      <c r="LI97" s="103"/>
      <c r="LJ97" s="103"/>
    </row>
    <row r="98" spans="1:322" s="208" customFormat="1">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c r="AA98" s="103"/>
      <c r="AB98" s="103"/>
      <c r="AC98" s="103"/>
      <c r="AD98" s="103"/>
      <c r="AE98" s="103"/>
      <c r="AF98" s="103"/>
      <c r="AG98" s="103"/>
      <c r="AH98" s="103"/>
      <c r="AI98" s="103"/>
      <c r="AJ98" s="103"/>
      <c r="AK98" s="103"/>
      <c r="AL98" s="103"/>
      <c r="AM98" s="103"/>
      <c r="AN98" s="103"/>
      <c r="AO98" s="103"/>
      <c r="AP98" s="103"/>
      <c r="AQ98" s="103"/>
      <c r="AR98" s="103"/>
      <c r="AS98" s="103"/>
      <c r="AT98" s="103"/>
      <c r="AU98" s="103"/>
      <c r="AV98" s="103"/>
      <c r="AW98" s="103"/>
      <c r="AX98" s="103"/>
      <c r="AY98" s="103"/>
      <c r="AZ98" s="103"/>
      <c r="BA98" s="103"/>
      <c r="BB98" s="103"/>
      <c r="BC98" s="103"/>
      <c r="BD98" s="103"/>
      <c r="BE98" s="103"/>
      <c r="BF98" s="103"/>
      <c r="BG98" s="103"/>
      <c r="BH98" s="103"/>
      <c r="BI98" s="103"/>
      <c r="BJ98" s="103"/>
      <c r="BK98" s="103"/>
      <c r="BL98" s="103"/>
      <c r="BM98" s="103"/>
      <c r="BN98" s="103"/>
      <c r="BO98" s="103"/>
      <c r="BP98" s="103"/>
      <c r="BQ98" s="103"/>
      <c r="BR98" s="103"/>
      <c r="BS98" s="103"/>
      <c r="BT98" s="103"/>
      <c r="BU98" s="103"/>
      <c r="BV98" s="103"/>
      <c r="BW98" s="103"/>
      <c r="BX98" s="103"/>
      <c r="BY98" s="103"/>
      <c r="BZ98" s="103"/>
      <c r="CA98" s="103"/>
      <c r="CB98" s="103"/>
      <c r="CC98" s="103"/>
      <c r="CD98" s="103"/>
      <c r="CE98" s="103"/>
      <c r="CF98" s="103"/>
      <c r="CG98" s="103"/>
      <c r="CH98" s="103"/>
      <c r="CI98" s="103"/>
      <c r="CJ98" s="103"/>
      <c r="CK98" s="103"/>
      <c r="CL98" s="103"/>
      <c r="CM98" s="103"/>
      <c r="CN98" s="103"/>
      <c r="CO98" s="103"/>
      <c r="CP98" s="103"/>
      <c r="CQ98" s="103"/>
      <c r="CR98" s="103"/>
      <c r="CS98" s="103"/>
      <c r="CT98" s="103"/>
      <c r="CU98" s="103"/>
      <c r="CV98" s="103"/>
      <c r="CW98" s="103"/>
      <c r="CX98" s="103"/>
      <c r="CY98" s="103"/>
      <c r="CZ98" s="103"/>
      <c r="DA98" s="103"/>
      <c r="DB98" s="103"/>
      <c r="DC98" s="103"/>
      <c r="DD98" s="103"/>
      <c r="DE98" s="103"/>
      <c r="DF98" s="103"/>
      <c r="DG98" s="103"/>
      <c r="DH98" s="103"/>
      <c r="DI98" s="103"/>
      <c r="DJ98" s="103"/>
      <c r="DK98" s="103"/>
      <c r="DL98" s="103"/>
      <c r="DM98" s="103"/>
      <c r="DN98" s="103"/>
      <c r="DO98" s="103"/>
      <c r="DP98" s="103"/>
      <c r="DQ98" s="103"/>
      <c r="DR98" s="103"/>
      <c r="DS98" s="103"/>
      <c r="DT98" s="103"/>
      <c r="DU98" s="103"/>
      <c r="DV98" s="103"/>
      <c r="DW98" s="103"/>
      <c r="DX98" s="103"/>
      <c r="DY98" s="103"/>
      <c r="DZ98" s="103"/>
      <c r="EA98" s="103"/>
      <c r="EB98" s="103"/>
      <c r="EC98" s="103"/>
      <c r="ED98" s="103"/>
      <c r="EE98" s="103"/>
      <c r="EF98" s="103"/>
      <c r="EG98" s="103"/>
      <c r="EH98" s="103"/>
      <c r="EI98" s="103"/>
      <c r="EJ98" s="103"/>
      <c r="EK98" s="103"/>
      <c r="EL98" s="103"/>
      <c r="EM98" s="103"/>
      <c r="EN98" s="103"/>
      <c r="EO98" s="103"/>
      <c r="EP98" s="103"/>
      <c r="EQ98" s="103"/>
      <c r="ER98" s="103"/>
      <c r="ES98" s="103"/>
      <c r="ET98" s="103"/>
      <c r="EU98" s="103"/>
      <c r="EV98" s="103"/>
      <c r="EW98" s="103"/>
      <c r="EX98" s="103"/>
      <c r="EY98" s="103"/>
      <c r="EZ98" s="103"/>
      <c r="FA98" s="103"/>
      <c r="FB98" s="103"/>
      <c r="FC98" s="103"/>
      <c r="FD98" s="103"/>
      <c r="FE98" s="103"/>
      <c r="FF98" s="103"/>
      <c r="FG98" s="103"/>
      <c r="FH98" s="103"/>
      <c r="FI98" s="103"/>
      <c r="FJ98" s="103"/>
      <c r="FK98" s="103"/>
      <c r="FL98" s="103"/>
      <c r="FM98" s="103"/>
      <c r="FN98" s="103"/>
      <c r="FO98" s="103"/>
      <c r="FP98" s="103"/>
      <c r="FQ98" s="103"/>
      <c r="FR98" s="103"/>
      <c r="FS98" s="103"/>
      <c r="FT98" s="103"/>
      <c r="FU98" s="103"/>
      <c r="FV98" s="103"/>
      <c r="FW98" s="103"/>
      <c r="FX98" s="103"/>
      <c r="FY98" s="103"/>
      <c r="FZ98" s="103"/>
      <c r="GA98" s="103"/>
      <c r="GB98" s="103"/>
      <c r="GC98" s="103"/>
      <c r="GD98" s="103"/>
      <c r="GE98" s="103"/>
      <c r="GF98" s="103"/>
      <c r="GG98" s="103"/>
      <c r="GH98" s="103"/>
      <c r="GI98" s="103"/>
      <c r="GJ98" s="103"/>
      <c r="GK98" s="103"/>
      <c r="GL98" s="103"/>
      <c r="GM98" s="103"/>
      <c r="GN98" s="103"/>
      <c r="GO98" s="103"/>
      <c r="GP98" s="103"/>
      <c r="GQ98" s="103"/>
      <c r="GR98" s="103"/>
      <c r="GS98" s="103"/>
      <c r="GT98" s="103"/>
      <c r="GU98" s="103"/>
      <c r="GV98" s="103"/>
      <c r="GW98" s="103"/>
      <c r="GX98" s="103"/>
      <c r="GY98" s="103"/>
      <c r="GZ98" s="103"/>
      <c r="HA98" s="103"/>
      <c r="HB98" s="103"/>
      <c r="HC98" s="103"/>
      <c r="HD98" s="103"/>
      <c r="HE98" s="103"/>
      <c r="HF98" s="103"/>
      <c r="HG98" s="103"/>
      <c r="HH98" s="103"/>
      <c r="HI98" s="103"/>
      <c r="HJ98" s="103"/>
      <c r="HK98" s="103"/>
      <c r="HL98" s="103"/>
      <c r="HM98" s="103"/>
      <c r="HN98" s="103"/>
      <c r="HO98" s="103"/>
      <c r="HP98" s="103"/>
      <c r="HQ98" s="103"/>
      <c r="HR98" s="103"/>
      <c r="HS98" s="103"/>
      <c r="HT98" s="103"/>
      <c r="HU98" s="103"/>
      <c r="HV98" s="103"/>
      <c r="HW98" s="103"/>
      <c r="HX98" s="103"/>
      <c r="HY98" s="103"/>
      <c r="HZ98" s="103"/>
      <c r="IA98" s="103"/>
      <c r="IB98" s="103"/>
      <c r="IC98" s="103"/>
      <c r="ID98" s="103"/>
      <c r="IE98" s="103"/>
      <c r="IF98" s="103"/>
      <c r="IG98" s="103"/>
      <c r="IH98" s="103"/>
      <c r="II98" s="103"/>
      <c r="IJ98" s="103"/>
      <c r="IK98" s="103"/>
      <c r="IL98" s="103"/>
      <c r="IM98" s="103"/>
      <c r="IN98" s="103"/>
      <c r="IO98" s="103"/>
      <c r="IP98" s="103"/>
      <c r="IQ98" s="103"/>
      <c r="IR98" s="103"/>
      <c r="IS98" s="103"/>
      <c r="IT98" s="103"/>
      <c r="IU98" s="103"/>
      <c r="IV98" s="103"/>
      <c r="IW98" s="103"/>
      <c r="IX98" s="103"/>
      <c r="IY98" s="103"/>
      <c r="IZ98" s="103"/>
      <c r="JA98" s="103"/>
      <c r="JB98" s="103"/>
      <c r="JC98" s="103"/>
      <c r="JD98" s="103"/>
      <c r="JE98" s="103"/>
      <c r="JF98" s="103"/>
      <c r="JG98" s="103"/>
      <c r="JH98" s="103"/>
      <c r="JI98" s="103"/>
      <c r="JJ98" s="103"/>
      <c r="JK98" s="103"/>
      <c r="JL98" s="103"/>
      <c r="JM98" s="103"/>
      <c r="JN98" s="103"/>
      <c r="JO98" s="103"/>
      <c r="JP98" s="103"/>
      <c r="JQ98" s="103"/>
      <c r="JR98" s="103"/>
      <c r="JS98" s="103"/>
      <c r="JT98" s="103"/>
      <c r="JU98" s="103"/>
      <c r="JV98" s="103"/>
      <c r="JW98" s="103"/>
      <c r="JX98" s="103"/>
      <c r="JY98" s="103"/>
      <c r="JZ98" s="103"/>
      <c r="KA98" s="103"/>
      <c r="KB98" s="103"/>
      <c r="KC98" s="103"/>
      <c r="KD98" s="103"/>
      <c r="KE98" s="103"/>
      <c r="KF98" s="103"/>
      <c r="KG98" s="103"/>
      <c r="KH98" s="103"/>
      <c r="KI98" s="103"/>
      <c r="KJ98" s="103"/>
      <c r="KK98" s="103"/>
      <c r="KL98" s="103"/>
      <c r="KM98" s="103"/>
      <c r="KN98" s="103"/>
      <c r="KO98" s="103"/>
      <c r="KP98" s="103"/>
      <c r="KQ98" s="103"/>
      <c r="KR98" s="103"/>
      <c r="KS98" s="103"/>
      <c r="KT98" s="103"/>
      <c r="KU98" s="103"/>
      <c r="KV98" s="103"/>
      <c r="KW98" s="103"/>
      <c r="KX98" s="103"/>
      <c r="KY98" s="103"/>
      <c r="KZ98" s="103"/>
      <c r="LA98" s="103"/>
      <c r="LB98" s="103"/>
      <c r="LC98" s="103"/>
      <c r="LD98" s="103"/>
      <c r="LE98" s="103"/>
      <c r="LF98" s="103"/>
      <c r="LG98" s="103"/>
      <c r="LH98" s="103"/>
      <c r="LI98" s="103"/>
      <c r="LJ98" s="103"/>
    </row>
    <row r="99" spans="1:322" s="208" customFormat="1">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03"/>
      <c r="AO99" s="103"/>
      <c r="AP99" s="103"/>
      <c r="AQ99" s="103"/>
      <c r="AR99" s="103"/>
      <c r="AS99" s="103"/>
      <c r="AT99" s="103"/>
      <c r="AU99" s="103"/>
      <c r="AV99" s="103"/>
      <c r="AW99" s="103"/>
      <c r="AX99" s="103"/>
      <c r="AY99" s="103"/>
      <c r="AZ99" s="103"/>
      <c r="BA99" s="103"/>
      <c r="BB99" s="103"/>
      <c r="BC99" s="103"/>
      <c r="BD99" s="103"/>
      <c r="BE99" s="103"/>
      <c r="BF99" s="103"/>
      <c r="BG99" s="103"/>
      <c r="BH99" s="103"/>
      <c r="BI99" s="103"/>
      <c r="BJ99" s="103"/>
      <c r="BK99" s="103"/>
      <c r="BL99" s="103"/>
      <c r="BM99" s="103"/>
      <c r="BN99" s="103"/>
      <c r="BO99" s="103"/>
      <c r="BP99" s="103"/>
      <c r="BQ99" s="103"/>
      <c r="BR99" s="103"/>
      <c r="BS99" s="103"/>
      <c r="BT99" s="103"/>
      <c r="BU99" s="103"/>
      <c r="BV99" s="103"/>
      <c r="BW99" s="103"/>
      <c r="BX99" s="103"/>
      <c r="BY99" s="103"/>
      <c r="BZ99" s="103"/>
      <c r="CA99" s="103"/>
      <c r="CB99" s="103"/>
      <c r="CC99" s="103"/>
      <c r="CD99" s="103"/>
      <c r="CE99" s="103"/>
      <c r="CF99" s="103"/>
      <c r="CG99" s="103"/>
      <c r="CH99" s="103"/>
      <c r="CI99" s="103"/>
      <c r="CJ99" s="103"/>
      <c r="CK99" s="103"/>
      <c r="CL99" s="103"/>
      <c r="CM99" s="103"/>
      <c r="CN99" s="103"/>
      <c r="CO99" s="103"/>
      <c r="CP99" s="103"/>
      <c r="CQ99" s="103"/>
      <c r="CR99" s="103"/>
      <c r="CS99" s="103"/>
      <c r="CT99" s="103"/>
      <c r="CU99" s="103"/>
      <c r="CV99" s="103"/>
      <c r="CW99" s="103"/>
      <c r="CX99" s="103"/>
      <c r="CY99" s="103"/>
      <c r="CZ99" s="103"/>
      <c r="DA99" s="103"/>
      <c r="DB99" s="103"/>
      <c r="DC99" s="103"/>
      <c r="DD99" s="103"/>
      <c r="DE99" s="103"/>
      <c r="DF99" s="103"/>
      <c r="DG99" s="103"/>
      <c r="DH99" s="103"/>
      <c r="DI99" s="103"/>
      <c r="DJ99" s="103"/>
      <c r="DK99" s="103"/>
      <c r="DL99" s="103"/>
      <c r="DM99" s="103"/>
      <c r="DN99" s="103"/>
      <c r="DO99" s="103"/>
      <c r="DP99" s="103"/>
      <c r="DQ99" s="103"/>
      <c r="DR99" s="103"/>
      <c r="DS99" s="103"/>
      <c r="DT99" s="103"/>
      <c r="DU99" s="103"/>
      <c r="DV99" s="103"/>
      <c r="DW99" s="103"/>
      <c r="DX99" s="103"/>
      <c r="DY99" s="103"/>
      <c r="DZ99" s="103"/>
      <c r="EA99" s="103"/>
      <c r="EB99" s="103"/>
      <c r="EC99" s="103"/>
      <c r="ED99" s="103"/>
      <c r="EE99" s="103"/>
      <c r="EF99" s="103"/>
      <c r="EG99" s="103"/>
      <c r="EH99" s="103"/>
      <c r="EI99" s="103"/>
      <c r="EJ99" s="103"/>
      <c r="EK99" s="103"/>
      <c r="EL99" s="103"/>
      <c r="EM99" s="103"/>
      <c r="EN99" s="103"/>
      <c r="EO99" s="103"/>
      <c r="EP99" s="103"/>
      <c r="EQ99" s="103"/>
      <c r="ER99" s="103"/>
      <c r="ES99" s="103"/>
      <c r="ET99" s="103"/>
      <c r="EU99" s="103"/>
      <c r="EV99" s="103"/>
      <c r="EW99" s="103"/>
      <c r="EX99" s="103"/>
      <c r="EY99" s="103"/>
      <c r="EZ99" s="103"/>
      <c r="FA99" s="103"/>
      <c r="FB99" s="103"/>
      <c r="FC99" s="103"/>
      <c r="FD99" s="103"/>
      <c r="FE99" s="103"/>
      <c r="FF99" s="103"/>
      <c r="FG99" s="103"/>
      <c r="FH99" s="103"/>
      <c r="FI99" s="103"/>
      <c r="FJ99" s="103"/>
      <c r="FK99" s="103"/>
      <c r="FL99" s="103"/>
      <c r="FM99" s="103"/>
      <c r="FN99" s="103"/>
      <c r="FO99" s="103"/>
      <c r="FP99" s="103"/>
      <c r="FQ99" s="103"/>
      <c r="FR99" s="103"/>
      <c r="FS99" s="103"/>
      <c r="FT99" s="103"/>
      <c r="FU99" s="103"/>
      <c r="FV99" s="103"/>
      <c r="FW99" s="103"/>
      <c r="FX99" s="103"/>
      <c r="FY99" s="103"/>
      <c r="FZ99" s="103"/>
      <c r="GA99" s="103"/>
      <c r="GB99" s="103"/>
      <c r="GC99" s="103"/>
      <c r="GD99" s="103"/>
      <c r="GE99" s="103"/>
      <c r="GF99" s="103"/>
      <c r="GG99" s="103"/>
      <c r="GH99" s="103"/>
      <c r="GI99" s="103"/>
      <c r="GJ99" s="103"/>
      <c r="GK99" s="103"/>
      <c r="GL99" s="103"/>
      <c r="GM99" s="103"/>
      <c r="GN99" s="103"/>
      <c r="GO99" s="103"/>
      <c r="GP99" s="103"/>
      <c r="GQ99" s="103"/>
      <c r="GR99" s="103"/>
      <c r="GS99" s="103"/>
      <c r="GT99" s="103"/>
      <c r="GU99" s="103"/>
      <c r="GV99" s="103"/>
      <c r="GW99" s="103"/>
      <c r="GX99" s="103"/>
      <c r="GY99" s="103"/>
      <c r="GZ99" s="103"/>
      <c r="HA99" s="103"/>
      <c r="HB99" s="103"/>
      <c r="HC99" s="103"/>
      <c r="HD99" s="103"/>
      <c r="HE99" s="103"/>
      <c r="HF99" s="103"/>
      <c r="HG99" s="103"/>
      <c r="HH99" s="103"/>
      <c r="HI99" s="103"/>
      <c r="HJ99" s="103"/>
      <c r="HK99" s="103"/>
      <c r="HL99" s="103"/>
      <c r="HM99" s="103"/>
      <c r="HN99" s="103"/>
      <c r="HO99" s="103"/>
      <c r="HP99" s="103"/>
      <c r="HQ99" s="103"/>
      <c r="HR99" s="103"/>
      <c r="HS99" s="103"/>
      <c r="HT99" s="103"/>
      <c r="HU99" s="103"/>
      <c r="HV99" s="103"/>
      <c r="HW99" s="103"/>
      <c r="HX99" s="103"/>
      <c r="HY99" s="103"/>
      <c r="HZ99" s="103"/>
      <c r="IA99" s="103"/>
      <c r="IB99" s="103"/>
      <c r="IC99" s="103"/>
      <c r="ID99" s="103"/>
      <c r="IE99" s="103"/>
      <c r="IF99" s="103"/>
      <c r="IG99" s="103"/>
      <c r="IH99" s="103"/>
      <c r="II99" s="103"/>
      <c r="IJ99" s="103"/>
      <c r="IK99" s="103"/>
      <c r="IL99" s="103"/>
      <c r="IM99" s="103"/>
      <c r="IN99" s="103"/>
      <c r="IO99" s="103"/>
      <c r="IP99" s="103"/>
      <c r="IQ99" s="103"/>
      <c r="IR99" s="103"/>
      <c r="IS99" s="103"/>
      <c r="IT99" s="103"/>
      <c r="IU99" s="103"/>
      <c r="IV99" s="103"/>
      <c r="IW99" s="103"/>
      <c r="IX99" s="103"/>
      <c r="IY99" s="103"/>
      <c r="IZ99" s="103"/>
      <c r="JA99" s="103"/>
      <c r="JB99" s="103"/>
      <c r="JC99" s="103"/>
      <c r="JD99" s="103"/>
      <c r="JE99" s="103"/>
      <c r="JF99" s="103"/>
      <c r="JG99" s="103"/>
      <c r="JH99" s="103"/>
      <c r="JI99" s="103"/>
      <c r="JJ99" s="103"/>
      <c r="JK99" s="103"/>
      <c r="JL99" s="103"/>
      <c r="JM99" s="103"/>
      <c r="JN99" s="103"/>
      <c r="JO99" s="103"/>
      <c r="JP99" s="103"/>
      <c r="JQ99" s="103"/>
      <c r="JR99" s="103"/>
      <c r="JS99" s="103"/>
      <c r="JT99" s="103"/>
      <c r="JU99" s="103"/>
      <c r="JV99" s="103"/>
      <c r="JW99" s="103"/>
      <c r="JX99" s="103"/>
      <c r="JY99" s="103"/>
      <c r="JZ99" s="103"/>
      <c r="KA99" s="103"/>
      <c r="KB99" s="103"/>
      <c r="KC99" s="103"/>
      <c r="KD99" s="103"/>
      <c r="KE99" s="103"/>
      <c r="KF99" s="103"/>
      <c r="KG99" s="103"/>
      <c r="KH99" s="103"/>
      <c r="KI99" s="103"/>
      <c r="KJ99" s="103"/>
      <c r="KK99" s="103"/>
      <c r="KL99" s="103"/>
      <c r="KM99" s="103"/>
      <c r="KN99" s="103"/>
      <c r="KO99" s="103"/>
      <c r="KP99" s="103"/>
      <c r="KQ99" s="103"/>
      <c r="KR99" s="103"/>
      <c r="KS99" s="103"/>
      <c r="KT99" s="103"/>
      <c r="KU99" s="103"/>
      <c r="KV99" s="103"/>
      <c r="KW99" s="103"/>
      <c r="KX99" s="103"/>
      <c r="KY99" s="103"/>
      <c r="KZ99" s="103"/>
      <c r="LA99" s="103"/>
      <c r="LB99" s="103"/>
      <c r="LC99" s="103"/>
      <c r="LD99" s="103"/>
      <c r="LE99" s="103"/>
      <c r="LF99" s="103"/>
      <c r="LG99" s="103"/>
      <c r="LH99" s="103"/>
      <c r="LI99" s="103"/>
      <c r="LJ99" s="103"/>
    </row>
    <row r="100" spans="1:322" s="208" customFormat="1">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c r="CU100" s="103"/>
      <c r="CV100" s="103"/>
      <c r="CW100" s="103"/>
      <c r="CX100" s="103"/>
      <c r="CY100" s="103"/>
      <c r="CZ100" s="103"/>
      <c r="DA100" s="103"/>
      <c r="DB100" s="103"/>
      <c r="DC100" s="103"/>
      <c r="DD100" s="103"/>
      <c r="DE100" s="103"/>
      <c r="DF100" s="103"/>
      <c r="DG100" s="103"/>
      <c r="DH100" s="103"/>
      <c r="DI100" s="103"/>
      <c r="DJ100" s="103"/>
      <c r="DK100" s="103"/>
      <c r="DL100" s="103"/>
      <c r="DM100" s="103"/>
      <c r="DN100" s="103"/>
      <c r="DO100" s="103"/>
      <c r="DP100" s="103"/>
      <c r="DQ100" s="103"/>
      <c r="DR100" s="103"/>
      <c r="DS100" s="103"/>
      <c r="DT100" s="103"/>
      <c r="DU100" s="103"/>
      <c r="DV100" s="103"/>
      <c r="DW100" s="103"/>
      <c r="DX100" s="103"/>
      <c r="DY100" s="103"/>
      <c r="DZ100" s="103"/>
      <c r="EA100" s="103"/>
      <c r="EB100" s="103"/>
      <c r="EC100" s="103"/>
      <c r="ED100" s="103"/>
      <c r="EE100" s="103"/>
      <c r="EF100" s="103"/>
      <c r="EG100" s="103"/>
      <c r="EH100" s="103"/>
      <c r="EI100" s="103"/>
      <c r="EJ100" s="103"/>
      <c r="EK100" s="103"/>
      <c r="EL100" s="103"/>
      <c r="EM100" s="103"/>
      <c r="EN100" s="103"/>
      <c r="EO100" s="103"/>
      <c r="EP100" s="103"/>
      <c r="EQ100" s="103"/>
      <c r="ER100" s="103"/>
      <c r="ES100" s="103"/>
      <c r="ET100" s="103"/>
      <c r="EU100" s="103"/>
      <c r="EV100" s="103"/>
      <c r="EW100" s="103"/>
      <c r="EX100" s="103"/>
      <c r="EY100" s="103"/>
      <c r="EZ100" s="103"/>
      <c r="FA100" s="103"/>
      <c r="FB100" s="103"/>
      <c r="FC100" s="103"/>
      <c r="FD100" s="103"/>
      <c r="FE100" s="103"/>
      <c r="FF100" s="103"/>
      <c r="FG100" s="103"/>
      <c r="FH100" s="103"/>
      <c r="FI100" s="103"/>
      <c r="FJ100" s="103"/>
      <c r="FK100" s="103"/>
      <c r="FL100" s="103"/>
      <c r="FM100" s="103"/>
      <c r="FN100" s="103"/>
      <c r="FO100" s="103"/>
      <c r="FP100" s="103"/>
      <c r="FQ100" s="103"/>
      <c r="FR100" s="103"/>
      <c r="FS100" s="103"/>
      <c r="FT100" s="103"/>
      <c r="FU100" s="103"/>
      <c r="FV100" s="103"/>
      <c r="FW100" s="103"/>
      <c r="FX100" s="103"/>
      <c r="FY100" s="103"/>
      <c r="FZ100" s="103"/>
      <c r="GA100" s="103"/>
      <c r="GB100" s="103"/>
      <c r="GC100" s="103"/>
      <c r="GD100" s="103"/>
      <c r="GE100" s="103"/>
      <c r="GF100" s="103"/>
      <c r="GG100" s="103"/>
      <c r="GH100" s="103"/>
      <c r="GI100" s="103"/>
      <c r="GJ100" s="103"/>
      <c r="GK100" s="103"/>
      <c r="GL100" s="103"/>
      <c r="GM100" s="103"/>
      <c r="GN100" s="103"/>
      <c r="GO100" s="103"/>
      <c r="GP100" s="103"/>
      <c r="GQ100" s="103"/>
      <c r="GR100" s="103"/>
      <c r="GS100" s="103"/>
      <c r="GT100" s="103"/>
      <c r="GU100" s="103"/>
      <c r="GV100" s="103"/>
      <c r="GW100" s="103"/>
      <c r="GX100" s="103"/>
      <c r="GY100" s="103"/>
      <c r="GZ100" s="103"/>
      <c r="HA100" s="103"/>
      <c r="HB100" s="103"/>
      <c r="HC100" s="103"/>
      <c r="HD100" s="103"/>
      <c r="HE100" s="103"/>
      <c r="HF100" s="103"/>
      <c r="HG100" s="103"/>
      <c r="HH100" s="103"/>
      <c r="HI100" s="103"/>
      <c r="HJ100" s="103"/>
      <c r="HK100" s="103"/>
      <c r="HL100" s="103"/>
      <c r="HM100" s="103"/>
      <c r="HN100" s="103"/>
      <c r="HO100" s="103"/>
      <c r="HP100" s="103"/>
      <c r="HQ100" s="103"/>
      <c r="HR100" s="103"/>
      <c r="HS100" s="103"/>
      <c r="HT100" s="103"/>
      <c r="HU100" s="103"/>
      <c r="HV100" s="103"/>
      <c r="HW100" s="103"/>
      <c r="HX100" s="103"/>
      <c r="HY100" s="103"/>
      <c r="HZ100" s="103"/>
      <c r="IA100" s="103"/>
      <c r="IB100" s="103"/>
      <c r="IC100" s="103"/>
      <c r="ID100" s="103"/>
      <c r="IE100" s="103"/>
      <c r="IF100" s="103"/>
      <c r="IG100" s="103"/>
      <c r="IH100" s="103"/>
      <c r="II100" s="103"/>
      <c r="IJ100" s="103"/>
      <c r="IK100" s="103"/>
      <c r="IL100" s="103"/>
      <c r="IM100" s="103"/>
      <c r="IN100" s="103"/>
      <c r="IO100" s="103"/>
      <c r="IP100" s="103"/>
      <c r="IQ100" s="103"/>
      <c r="IR100" s="103"/>
      <c r="IS100" s="103"/>
      <c r="IT100" s="103"/>
      <c r="IU100" s="103"/>
      <c r="IV100" s="103"/>
      <c r="IW100" s="103"/>
      <c r="IX100" s="103"/>
      <c r="IY100" s="103"/>
      <c r="IZ100" s="103"/>
      <c r="JA100" s="103"/>
      <c r="JB100" s="103"/>
      <c r="JC100" s="103"/>
      <c r="JD100" s="103"/>
      <c r="JE100" s="103"/>
      <c r="JF100" s="103"/>
      <c r="JG100" s="103"/>
      <c r="JH100" s="103"/>
      <c r="JI100" s="103"/>
      <c r="JJ100" s="103"/>
      <c r="JK100" s="103"/>
      <c r="JL100" s="103"/>
      <c r="JM100" s="103"/>
      <c r="JN100" s="103"/>
      <c r="JO100" s="103"/>
      <c r="JP100" s="103"/>
      <c r="JQ100" s="103"/>
      <c r="JR100" s="103"/>
      <c r="JS100" s="103"/>
      <c r="JT100" s="103"/>
      <c r="JU100" s="103"/>
      <c r="JV100" s="103"/>
      <c r="JW100" s="103"/>
      <c r="JX100" s="103"/>
      <c r="JY100" s="103"/>
      <c r="JZ100" s="103"/>
      <c r="KA100" s="103"/>
      <c r="KB100" s="103"/>
      <c r="KC100" s="103"/>
      <c r="KD100" s="103"/>
      <c r="KE100" s="103"/>
      <c r="KF100" s="103"/>
      <c r="KG100" s="103"/>
      <c r="KH100" s="103"/>
      <c r="KI100" s="103"/>
      <c r="KJ100" s="103"/>
      <c r="KK100" s="103"/>
      <c r="KL100" s="103"/>
      <c r="KM100" s="103"/>
      <c r="KN100" s="103"/>
      <c r="KO100" s="103"/>
      <c r="KP100" s="103"/>
      <c r="KQ100" s="103"/>
      <c r="KR100" s="103"/>
      <c r="KS100" s="103"/>
      <c r="KT100" s="103"/>
      <c r="KU100" s="103"/>
      <c r="KV100" s="103"/>
      <c r="KW100" s="103"/>
      <c r="KX100" s="103"/>
      <c r="KY100" s="103"/>
      <c r="KZ100" s="103"/>
      <c r="LA100" s="103"/>
      <c r="LB100" s="103"/>
      <c r="LC100" s="103"/>
      <c r="LD100" s="103"/>
      <c r="LE100" s="103"/>
      <c r="LF100" s="103"/>
      <c r="LG100" s="103"/>
      <c r="LH100" s="103"/>
      <c r="LI100" s="103"/>
      <c r="LJ100" s="103"/>
    </row>
    <row r="101" spans="1:322" s="208" customFormat="1">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c r="CU101" s="103"/>
      <c r="CV101" s="103"/>
      <c r="CW101" s="103"/>
      <c r="CX101" s="103"/>
      <c r="CY101" s="103"/>
      <c r="CZ101" s="103"/>
      <c r="DA101" s="103"/>
      <c r="DB101" s="103"/>
      <c r="DC101" s="103"/>
      <c r="DD101" s="103"/>
      <c r="DE101" s="103"/>
      <c r="DF101" s="103"/>
      <c r="DG101" s="103"/>
      <c r="DH101" s="103"/>
      <c r="DI101" s="103"/>
      <c r="DJ101" s="103"/>
      <c r="DK101" s="103"/>
      <c r="DL101" s="103"/>
      <c r="DM101" s="103"/>
      <c r="DN101" s="103"/>
      <c r="DO101" s="103"/>
      <c r="DP101" s="103"/>
      <c r="DQ101" s="103"/>
      <c r="DR101" s="103"/>
      <c r="DS101" s="103"/>
      <c r="DT101" s="103"/>
      <c r="DU101" s="103"/>
      <c r="DV101" s="103"/>
      <c r="DW101" s="103"/>
      <c r="DX101" s="103"/>
      <c r="DY101" s="103"/>
      <c r="DZ101" s="103"/>
      <c r="EA101" s="103"/>
      <c r="EB101" s="103"/>
      <c r="EC101" s="103"/>
      <c r="ED101" s="103"/>
      <c r="EE101" s="103"/>
      <c r="EF101" s="103"/>
      <c r="EG101" s="103"/>
      <c r="EH101" s="103"/>
      <c r="EI101" s="103"/>
      <c r="EJ101" s="103"/>
      <c r="EK101" s="103"/>
      <c r="EL101" s="103"/>
      <c r="EM101" s="103"/>
      <c r="EN101" s="103"/>
      <c r="EO101" s="103"/>
      <c r="EP101" s="103"/>
      <c r="EQ101" s="103"/>
      <c r="ER101" s="103"/>
      <c r="ES101" s="103"/>
      <c r="ET101" s="103"/>
      <c r="EU101" s="103"/>
      <c r="EV101" s="103"/>
      <c r="EW101" s="103"/>
      <c r="EX101" s="103"/>
      <c r="EY101" s="103"/>
      <c r="EZ101" s="103"/>
      <c r="FA101" s="103"/>
      <c r="FB101" s="103"/>
      <c r="FC101" s="103"/>
      <c r="FD101" s="103"/>
      <c r="FE101" s="103"/>
      <c r="FF101" s="103"/>
      <c r="FG101" s="103"/>
      <c r="FH101" s="103"/>
      <c r="FI101" s="103"/>
      <c r="FJ101" s="103"/>
      <c r="FK101" s="103"/>
      <c r="FL101" s="103"/>
      <c r="FM101" s="103"/>
      <c r="FN101" s="103"/>
      <c r="FO101" s="103"/>
      <c r="FP101" s="103"/>
      <c r="FQ101" s="103"/>
      <c r="FR101" s="103"/>
      <c r="FS101" s="103"/>
      <c r="FT101" s="103"/>
      <c r="FU101" s="103"/>
      <c r="FV101" s="103"/>
      <c r="FW101" s="103"/>
      <c r="FX101" s="103"/>
      <c r="FY101" s="103"/>
      <c r="FZ101" s="103"/>
      <c r="GA101" s="103"/>
      <c r="GB101" s="103"/>
      <c r="GC101" s="103"/>
      <c r="GD101" s="103"/>
      <c r="GE101" s="103"/>
      <c r="GF101" s="103"/>
      <c r="GG101" s="103"/>
      <c r="GH101" s="103"/>
      <c r="GI101" s="103"/>
      <c r="GJ101" s="103"/>
      <c r="GK101" s="103"/>
      <c r="GL101" s="103"/>
      <c r="GM101" s="103"/>
      <c r="GN101" s="103"/>
      <c r="GO101" s="103"/>
      <c r="GP101" s="103"/>
      <c r="GQ101" s="103"/>
      <c r="GR101" s="103"/>
      <c r="GS101" s="103"/>
      <c r="GT101" s="103"/>
      <c r="GU101" s="103"/>
      <c r="GV101" s="103"/>
      <c r="GW101" s="103"/>
      <c r="GX101" s="103"/>
      <c r="GY101" s="103"/>
      <c r="GZ101" s="103"/>
      <c r="HA101" s="103"/>
      <c r="HB101" s="103"/>
      <c r="HC101" s="103"/>
      <c r="HD101" s="103"/>
      <c r="HE101" s="103"/>
      <c r="HF101" s="103"/>
      <c r="HG101" s="103"/>
      <c r="HH101" s="103"/>
      <c r="HI101" s="103"/>
      <c r="HJ101" s="103"/>
      <c r="HK101" s="103"/>
      <c r="HL101" s="103"/>
      <c r="HM101" s="103"/>
      <c r="HN101" s="103"/>
      <c r="HO101" s="103"/>
      <c r="HP101" s="103"/>
      <c r="HQ101" s="103"/>
      <c r="HR101" s="103"/>
      <c r="HS101" s="103"/>
      <c r="HT101" s="103"/>
      <c r="HU101" s="103"/>
      <c r="HV101" s="103"/>
      <c r="HW101" s="103"/>
      <c r="HX101" s="103"/>
      <c r="HY101" s="103"/>
      <c r="HZ101" s="103"/>
      <c r="IA101" s="103"/>
      <c r="IB101" s="103"/>
      <c r="IC101" s="103"/>
      <c r="ID101" s="103"/>
      <c r="IE101" s="103"/>
      <c r="IF101" s="103"/>
      <c r="IG101" s="103"/>
      <c r="IH101" s="103"/>
      <c r="II101" s="103"/>
      <c r="IJ101" s="103"/>
      <c r="IK101" s="103"/>
      <c r="IL101" s="103"/>
      <c r="IM101" s="103"/>
      <c r="IN101" s="103"/>
      <c r="IO101" s="103"/>
      <c r="IP101" s="103"/>
      <c r="IQ101" s="103"/>
      <c r="IR101" s="103"/>
      <c r="IS101" s="103"/>
      <c r="IT101" s="103"/>
      <c r="IU101" s="103"/>
      <c r="IV101" s="103"/>
      <c r="IW101" s="103"/>
      <c r="IX101" s="103"/>
      <c r="IY101" s="103"/>
      <c r="IZ101" s="103"/>
      <c r="JA101" s="103"/>
      <c r="JB101" s="103"/>
      <c r="JC101" s="103"/>
      <c r="JD101" s="103"/>
      <c r="JE101" s="103"/>
      <c r="JF101" s="103"/>
      <c r="JG101" s="103"/>
      <c r="JH101" s="103"/>
      <c r="JI101" s="103"/>
      <c r="JJ101" s="103"/>
      <c r="JK101" s="103"/>
      <c r="JL101" s="103"/>
      <c r="JM101" s="103"/>
      <c r="JN101" s="103"/>
      <c r="JO101" s="103"/>
      <c r="JP101" s="103"/>
      <c r="JQ101" s="103"/>
      <c r="JR101" s="103"/>
      <c r="JS101" s="103"/>
      <c r="JT101" s="103"/>
      <c r="JU101" s="103"/>
      <c r="JV101" s="103"/>
      <c r="JW101" s="103"/>
      <c r="JX101" s="103"/>
      <c r="JY101" s="103"/>
      <c r="JZ101" s="103"/>
      <c r="KA101" s="103"/>
      <c r="KB101" s="103"/>
      <c r="KC101" s="103"/>
      <c r="KD101" s="103"/>
      <c r="KE101" s="103"/>
      <c r="KF101" s="103"/>
      <c r="KG101" s="103"/>
      <c r="KH101" s="103"/>
      <c r="KI101" s="103"/>
      <c r="KJ101" s="103"/>
      <c r="KK101" s="103"/>
      <c r="KL101" s="103"/>
      <c r="KM101" s="103"/>
      <c r="KN101" s="103"/>
      <c r="KO101" s="103"/>
      <c r="KP101" s="103"/>
      <c r="KQ101" s="103"/>
      <c r="KR101" s="103"/>
      <c r="KS101" s="103"/>
      <c r="KT101" s="103"/>
      <c r="KU101" s="103"/>
      <c r="KV101" s="103"/>
      <c r="KW101" s="103"/>
      <c r="KX101" s="103"/>
      <c r="KY101" s="103"/>
      <c r="KZ101" s="103"/>
      <c r="LA101" s="103"/>
      <c r="LB101" s="103"/>
      <c r="LC101" s="103"/>
      <c r="LD101" s="103"/>
      <c r="LE101" s="103"/>
      <c r="LF101" s="103"/>
      <c r="LG101" s="103"/>
      <c r="LH101" s="103"/>
      <c r="LI101" s="103"/>
      <c r="LJ101" s="103"/>
    </row>
  </sheetData>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4"/>
  <sheetViews>
    <sheetView workbookViewId="0">
      <selection activeCell="E5" sqref="E5"/>
    </sheetView>
  </sheetViews>
  <sheetFormatPr baseColWidth="10" defaultColWidth="11.44140625" defaultRowHeight="13.8"/>
  <cols>
    <col min="1" max="2" width="11.44140625" style="103"/>
    <col min="3" max="5" width="20.6640625" style="179" customWidth="1"/>
    <col min="6" max="16384" width="11.44140625" style="103"/>
  </cols>
  <sheetData>
    <row r="1" spans="1:5" ht="15.6">
      <c r="A1" s="116" t="s">
        <v>248</v>
      </c>
    </row>
    <row r="2" spans="1:5" ht="15.6">
      <c r="A2" s="116"/>
    </row>
    <row r="3" spans="1:5" ht="16.2" thickBot="1">
      <c r="A3" s="116"/>
    </row>
    <row r="4" spans="1:5" ht="42" thickBot="1">
      <c r="B4" s="192"/>
      <c r="C4" s="193" t="s">
        <v>119</v>
      </c>
      <c r="D4" s="193" t="s">
        <v>120</v>
      </c>
      <c r="E4" s="193" t="s">
        <v>121</v>
      </c>
    </row>
    <row r="5" spans="1:5">
      <c r="B5" s="175">
        <v>2004</v>
      </c>
      <c r="C5" s="180">
        <v>1.4</v>
      </c>
      <c r="D5" s="180">
        <v>1.6</v>
      </c>
      <c r="E5" s="180">
        <v>1.5</v>
      </c>
    </row>
    <row r="6" spans="1:5">
      <c r="B6" s="181">
        <v>2005</v>
      </c>
      <c r="C6" s="570">
        <v>1.4</v>
      </c>
      <c r="D6" s="570">
        <v>1.8</v>
      </c>
      <c r="E6" s="570">
        <v>1.2</v>
      </c>
    </row>
    <row r="7" spans="1:5">
      <c r="B7" s="181">
        <v>2006</v>
      </c>
      <c r="C7" s="570">
        <v>1.3</v>
      </c>
      <c r="D7" s="570">
        <v>2.2000000000000002</v>
      </c>
      <c r="E7" s="570">
        <v>1</v>
      </c>
    </row>
    <row r="8" spans="1:5">
      <c r="B8" s="181">
        <v>2007</v>
      </c>
      <c r="C8" s="570">
        <v>1.5</v>
      </c>
      <c r="D8" s="570">
        <v>1.9</v>
      </c>
      <c r="E8" s="570">
        <v>0.9</v>
      </c>
    </row>
    <row r="9" spans="1:5">
      <c r="B9" s="181">
        <v>2008</v>
      </c>
      <c r="C9" s="570">
        <v>1.7</v>
      </c>
      <c r="D9" s="570">
        <v>1.2</v>
      </c>
      <c r="E9" s="570">
        <v>1.3</v>
      </c>
    </row>
    <row r="10" spans="1:5">
      <c r="B10" s="181">
        <v>2009</v>
      </c>
      <c r="C10" s="570">
        <v>1.7</v>
      </c>
      <c r="D10" s="570">
        <v>2.1</v>
      </c>
      <c r="E10" s="570">
        <v>0.4</v>
      </c>
    </row>
    <row r="11" spans="1:5">
      <c r="B11" s="181">
        <v>2010</v>
      </c>
      <c r="C11" s="570">
        <v>2</v>
      </c>
      <c r="D11" s="570">
        <v>1.4</v>
      </c>
      <c r="E11" s="570">
        <v>0.8</v>
      </c>
    </row>
    <row r="12" spans="1:5">
      <c r="B12" s="181">
        <v>2011</v>
      </c>
      <c r="C12" s="570">
        <v>1.7</v>
      </c>
      <c r="D12" s="570">
        <v>2.2000000000000002</v>
      </c>
      <c r="E12" s="570">
        <v>0.2</v>
      </c>
    </row>
    <row r="13" spans="1:5">
      <c r="B13" s="182">
        <v>2012</v>
      </c>
      <c r="C13" s="183">
        <v>2.2000000000000002</v>
      </c>
      <c r="D13" s="183">
        <v>1.1000000000000001</v>
      </c>
      <c r="E13" s="183">
        <v>1</v>
      </c>
    </row>
    <row r="14" spans="1:5" ht="14.4" thickBot="1">
      <c r="B14" s="177">
        <v>2013</v>
      </c>
      <c r="C14" s="184">
        <v>1.8</v>
      </c>
      <c r="D14" s="184">
        <v>1.5</v>
      </c>
      <c r="E14" s="184">
        <v>1</v>
      </c>
    </row>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K10"/>
  <sheetViews>
    <sheetView topLeftCell="E1" zoomScaleNormal="100" workbookViewId="0">
      <selection activeCell="BK10" sqref="BK10"/>
    </sheetView>
  </sheetViews>
  <sheetFormatPr baseColWidth="10" defaultColWidth="11.44140625" defaultRowHeight="13.8"/>
  <cols>
    <col min="1" max="1" width="11.44140625" style="103"/>
    <col min="2" max="2" width="25.6640625" style="103" customWidth="1"/>
    <col min="3" max="16384" width="11.44140625" style="103"/>
  </cols>
  <sheetData>
    <row r="1" spans="1:63" ht="15.6">
      <c r="A1" s="116" t="s">
        <v>204</v>
      </c>
    </row>
    <row r="3" spans="1:63" ht="14.4" thickBot="1"/>
    <row r="4" spans="1:63" ht="14.4" thickBot="1">
      <c r="B4" s="571"/>
      <c r="C4" s="571">
        <v>1930</v>
      </c>
      <c r="D4" s="571">
        <v>1931</v>
      </c>
      <c r="E4" s="571">
        <v>1932</v>
      </c>
      <c r="F4" s="571">
        <v>1933</v>
      </c>
      <c r="G4" s="571">
        <v>1934</v>
      </c>
      <c r="H4" s="571">
        <v>1935</v>
      </c>
      <c r="I4" s="571">
        <v>1936</v>
      </c>
      <c r="J4" s="571">
        <v>1937</v>
      </c>
      <c r="K4" s="571">
        <v>1938</v>
      </c>
      <c r="L4" s="571">
        <v>1939</v>
      </c>
      <c r="M4" s="571">
        <v>1940</v>
      </c>
      <c r="N4" s="571">
        <v>1941</v>
      </c>
      <c r="O4" s="571">
        <v>1942</v>
      </c>
      <c r="P4" s="571">
        <v>1943</v>
      </c>
      <c r="Q4" s="571">
        <v>1944</v>
      </c>
      <c r="R4" s="571">
        <v>1945</v>
      </c>
      <c r="S4" s="571">
        <v>1946</v>
      </c>
      <c r="T4" s="571">
        <v>1947</v>
      </c>
      <c r="U4" s="571">
        <v>1948</v>
      </c>
      <c r="V4" s="571">
        <v>1949</v>
      </c>
      <c r="W4" s="571">
        <v>1950</v>
      </c>
      <c r="X4" s="571">
        <v>1951</v>
      </c>
      <c r="Y4" s="571">
        <v>1952</v>
      </c>
      <c r="Z4" s="571">
        <v>1953</v>
      </c>
      <c r="AA4" s="571">
        <v>1954</v>
      </c>
      <c r="AB4" s="571">
        <v>1955</v>
      </c>
      <c r="AC4" s="571">
        <v>1956</v>
      </c>
      <c r="AD4" s="571">
        <v>1957</v>
      </c>
      <c r="AE4" s="571">
        <v>1958</v>
      </c>
      <c r="AF4" s="571">
        <v>1959</v>
      </c>
      <c r="AG4" s="571">
        <v>1960</v>
      </c>
      <c r="AH4" s="571">
        <v>1961</v>
      </c>
      <c r="AI4" s="571">
        <v>1962</v>
      </c>
      <c r="AJ4" s="571">
        <v>1963</v>
      </c>
      <c r="AK4" s="571">
        <v>1964</v>
      </c>
      <c r="AL4" s="571">
        <v>1965</v>
      </c>
      <c r="AM4" s="571">
        <v>1966</v>
      </c>
      <c r="AN4" s="571">
        <v>1967</v>
      </c>
      <c r="AO4" s="571">
        <v>1968</v>
      </c>
      <c r="AP4" s="571">
        <v>1969</v>
      </c>
      <c r="AQ4" s="571">
        <v>1970</v>
      </c>
      <c r="AR4" s="571">
        <v>1971</v>
      </c>
      <c r="AS4" s="571">
        <v>1972</v>
      </c>
      <c r="AT4" s="571">
        <v>1973</v>
      </c>
      <c r="AU4" s="571">
        <v>1974</v>
      </c>
      <c r="AV4" s="571">
        <v>1975</v>
      </c>
      <c r="AW4" s="571">
        <v>1976</v>
      </c>
      <c r="AX4" s="571">
        <v>1977</v>
      </c>
      <c r="AY4" s="571">
        <v>1978</v>
      </c>
      <c r="AZ4" s="571">
        <v>1979</v>
      </c>
      <c r="BA4" s="571">
        <v>1980</v>
      </c>
      <c r="BB4" s="571">
        <v>1981</v>
      </c>
      <c r="BC4" s="571">
        <v>1982</v>
      </c>
      <c r="BD4" s="571">
        <v>1983</v>
      </c>
      <c r="BE4" s="571">
        <v>1984</v>
      </c>
      <c r="BF4" s="571">
        <v>1985</v>
      </c>
      <c r="BG4" s="571">
        <v>1986</v>
      </c>
      <c r="BH4" s="571">
        <v>1987</v>
      </c>
      <c r="BI4" s="571">
        <v>1988</v>
      </c>
      <c r="BJ4" s="571">
        <v>1989</v>
      </c>
      <c r="BK4" s="571">
        <v>1990</v>
      </c>
    </row>
    <row r="5" spans="1:63" ht="27.6">
      <c r="B5" s="572" t="s">
        <v>180</v>
      </c>
      <c r="C5" s="215">
        <v>1.6</v>
      </c>
      <c r="D5" s="215"/>
      <c r="E5" s="215">
        <v>1.7</v>
      </c>
      <c r="F5" s="215"/>
      <c r="G5" s="215">
        <v>1.7</v>
      </c>
      <c r="H5" s="215"/>
      <c r="I5" s="215">
        <v>1.6</v>
      </c>
      <c r="J5" s="215"/>
      <c r="K5" s="215">
        <v>1.4</v>
      </c>
      <c r="L5" s="215"/>
      <c r="M5" s="215">
        <v>1.1000000000000001</v>
      </c>
      <c r="N5" s="215"/>
      <c r="O5" s="215">
        <v>0.9</v>
      </c>
      <c r="P5" s="215">
        <v>0.8</v>
      </c>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row>
    <row r="6" spans="1:63" ht="27.6">
      <c r="B6" s="216" t="s">
        <v>199</v>
      </c>
      <c r="C6" s="215">
        <v>1.6</v>
      </c>
      <c r="D6" s="215"/>
      <c r="E6" s="215">
        <v>1.7</v>
      </c>
      <c r="F6" s="215"/>
      <c r="G6" s="215">
        <v>1.7</v>
      </c>
      <c r="H6" s="215"/>
      <c r="I6" s="215">
        <v>1.5</v>
      </c>
      <c r="J6" s="215"/>
      <c r="K6" s="215">
        <v>1.4</v>
      </c>
      <c r="L6" s="215"/>
      <c r="M6" s="215">
        <v>1.1000000000000001</v>
      </c>
      <c r="N6" s="215"/>
      <c r="O6" s="215">
        <v>0.9</v>
      </c>
      <c r="P6" s="215">
        <v>0.9</v>
      </c>
      <c r="Q6" s="215">
        <v>0.8</v>
      </c>
      <c r="R6" s="215">
        <v>0.9</v>
      </c>
      <c r="S6" s="215">
        <v>0.9</v>
      </c>
      <c r="T6" s="215">
        <v>0.9</v>
      </c>
      <c r="U6" s="215">
        <v>0.9</v>
      </c>
      <c r="V6" s="215"/>
      <c r="W6" s="215"/>
      <c r="X6" s="215"/>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row>
    <row r="7" spans="1:63" ht="28.2" thickBot="1">
      <c r="B7" s="217" t="s">
        <v>181</v>
      </c>
      <c r="C7" s="218">
        <v>0.6</v>
      </c>
      <c r="D7" s="218"/>
      <c r="E7" s="218">
        <v>0.7</v>
      </c>
      <c r="F7" s="218"/>
      <c r="G7" s="218">
        <v>0.6</v>
      </c>
      <c r="H7" s="218"/>
      <c r="I7" s="218">
        <v>0.5</v>
      </c>
      <c r="J7" s="218"/>
      <c r="K7" s="218">
        <v>0.4</v>
      </c>
      <c r="L7" s="218"/>
      <c r="M7" s="218">
        <v>0.3</v>
      </c>
      <c r="N7" s="218"/>
      <c r="O7" s="218">
        <v>0.2</v>
      </c>
      <c r="P7" s="218">
        <v>0.2</v>
      </c>
      <c r="Q7" s="218">
        <v>0.2</v>
      </c>
      <c r="R7" s="218">
        <v>0.3</v>
      </c>
      <c r="S7" s="218">
        <v>0.4</v>
      </c>
      <c r="T7" s="218">
        <v>0.5</v>
      </c>
      <c r="U7" s="218">
        <v>0.5</v>
      </c>
      <c r="V7" s="218">
        <v>0.5</v>
      </c>
      <c r="W7" s="218">
        <v>0.5</v>
      </c>
      <c r="X7" s="218">
        <v>0.5</v>
      </c>
      <c r="Y7" s="218">
        <v>0.4</v>
      </c>
      <c r="Z7" s="218">
        <v>0.2</v>
      </c>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8"/>
      <c r="BF7" s="218"/>
      <c r="BG7" s="218"/>
      <c r="BH7" s="218"/>
      <c r="BI7" s="218"/>
      <c r="BJ7" s="218"/>
      <c r="BK7" s="218"/>
    </row>
    <row r="8" spans="1:63" ht="27.6">
      <c r="B8" s="572" t="s">
        <v>182</v>
      </c>
      <c r="C8" s="573"/>
      <c r="D8" s="573"/>
      <c r="E8" s="573"/>
      <c r="F8" s="573"/>
      <c r="G8" s="573"/>
      <c r="H8" s="573"/>
      <c r="I8" s="573"/>
      <c r="J8" s="573"/>
      <c r="K8" s="573"/>
      <c r="L8" s="573"/>
      <c r="M8" s="573"/>
      <c r="N8" s="573"/>
      <c r="O8" s="573"/>
      <c r="P8" s="573"/>
      <c r="Q8" s="573">
        <v>0.8</v>
      </c>
      <c r="R8" s="573">
        <v>0.9</v>
      </c>
      <c r="S8" s="573">
        <v>0.9</v>
      </c>
      <c r="T8" s="573">
        <v>0.9</v>
      </c>
      <c r="U8" s="573">
        <v>0.9</v>
      </c>
      <c r="V8" s="573">
        <v>0.9</v>
      </c>
      <c r="W8" s="573">
        <v>0.7</v>
      </c>
      <c r="X8" s="573">
        <v>0.7</v>
      </c>
      <c r="Y8" s="573">
        <v>0.7</v>
      </c>
      <c r="Z8" s="573">
        <v>0.6</v>
      </c>
      <c r="AA8" s="573">
        <v>0.7</v>
      </c>
      <c r="AB8" s="573">
        <v>0.6</v>
      </c>
      <c r="AC8" s="573">
        <v>0.5</v>
      </c>
      <c r="AD8" s="573">
        <v>0.4</v>
      </c>
      <c r="AE8" s="573">
        <v>0.3</v>
      </c>
      <c r="AF8" s="573">
        <v>0.3</v>
      </c>
      <c r="AG8" s="573">
        <v>0.2</v>
      </c>
      <c r="AH8" s="573">
        <v>0.2</v>
      </c>
      <c r="AI8" s="573">
        <v>0.2</v>
      </c>
      <c r="AJ8" s="573">
        <v>0.2</v>
      </c>
      <c r="AK8" s="573">
        <v>0.1</v>
      </c>
      <c r="AL8" s="573">
        <v>0</v>
      </c>
      <c r="AM8" s="573">
        <v>0</v>
      </c>
      <c r="AN8" s="573">
        <v>-0.1</v>
      </c>
      <c r="AO8" s="573">
        <v>-0.1</v>
      </c>
      <c r="AP8" s="573">
        <v>-0.2</v>
      </c>
      <c r="AQ8" s="573">
        <v>-0.1</v>
      </c>
      <c r="AR8" s="573">
        <v>-0.2</v>
      </c>
      <c r="AS8" s="573">
        <v>-0.1</v>
      </c>
      <c r="AT8" s="573">
        <v>-0.2</v>
      </c>
      <c r="AU8" s="573">
        <v>-0.3</v>
      </c>
      <c r="AV8" s="573">
        <v>-0.3</v>
      </c>
      <c r="AW8" s="573">
        <v>-0.3</v>
      </c>
      <c r="AX8" s="573">
        <v>-0.4</v>
      </c>
      <c r="AY8" s="573">
        <v>-0.4</v>
      </c>
      <c r="AZ8" s="573">
        <v>-0.4</v>
      </c>
      <c r="BA8" s="573">
        <v>-0.5</v>
      </c>
      <c r="BB8" s="573">
        <v>-0.5</v>
      </c>
      <c r="BC8" s="573">
        <v>-0.6</v>
      </c>
      <c r="BD8" s="573">
        <v>-0.6</v>
      </c>
      <c r="BE8" s="573">
        <v>-0.6</v>
      </c>
      <c r="BF8" s="573">
        <v>-0.6</v>
      </c>
      <c r="BG8" s="573">
        <v>-0.6</v>
      </c>
      <c r="BH8" s="573">
        <v>-0.5</v>
      </c>
      <c r="BI8" s="573">
        <v>-0.4</v>
      </c>
      <c r="BJ8" s="573">
        <v>-0.4</v>
      </c>
      <c r="BK8" s="573">
        <v>-0.4</v>
      </c>
    </row>
    <row r="9" spans="1:63" ht="27.6">
      <c r="B9" s="216" t="s">
        <v>200</v>
      </c>
      <c r="C9" s="574"/>
      <c r="D9" s="574"/>
      <c r="E9" s="574"/>
      <c r="F9" s="574"/>
      <c r="G9" s="574"/>
      <c r="H9" s="574"/>
      <c r="I9" s="574"/>
      <c r="J9" s="574"/>
      <c r="K9" s="574"/>
      <c r="L9" s="574"/>
      <c r="M9" s="574"/>
      <c r="N9" s="574"/>
      <c r="O9" s="574"/>
      <c r="P9" s="574"/>
      <c r="Q9" s="574"/>
      <c r="R9" s="574"/>
      <c r="S9" s="574"/>
      <c r="T9" s="575"/>
      <c r="U9" s="574"/>
      <c r="V9" s="574">
        <v>0.9</v>
      </c>
      <c r="W9" s="574">
        <v>0.7</v>
      </c>
      <c r="X9" s="574">
        <v>0.8</v>
      </c>
      <c r="Y9" s="574">
        <v>0.7</v>
      </c>
      <c r="Z9" s="574">
        <v>0.6</v>
      </c>
      <c r="AA9" s="574">
        <v>0.6</v>
      </c>
      <c r="AB9" s="574">
        <v>0.5</v>
      </c>
      <c r="AC9" s="574">
        <v>0.5</v>
      </c>
      <c r="AD9" s="574">
        <v>0.4</v>
      </c>
      <c r="AE9" s="574">
        <v>0.4</v>
      </c>
      <c r="AF9" s="574">
        <v>0.3</v>
      </c>
      <c r="AG9" s="574">
        <v>0.3</v>
      </c>
      <c r="AH9" s="574">
        <v>0.3</v>
      </c>
      <c r="AI9" s="574">
        <v>0.3</v>
      </c>
      <c r="AJ9" s="574">
        <v>0.3</v>
      </c>
      <c r="AK9" s="574">
        <v>0.2</v>
      </c>
      <c r="AL9" s="574">
        <v>0.2</v>
      </c>
      <c r="AM9" s="574">
        <v>0.2</v>
      </c>
      <c r="AN9" s="574">
        <v>0.1</v>
      </c>
      <c r="AO9" s="574">
        <v>0.1</v>
      </c>
      <c r="AP9" s="574">
        <v>0.1</v>
      </c>
      <c r="AQ9" s="574">
        <v>0.1</v>
      </c>
      <c r="AR9" s="574">
        <v>0.1</v>
      </c>
      <c r="AS9" s="574">
        <v>0.1</v>
      </c>
      <c r="AT9" s="574">
        <v>0.1</v>
      </c>
      <c r="AU9" s="574">
        <v>0</v>
      </c>
      <c r="AV9" s="574">
        <v>0</v>
      </c>
      <c r="AW9" s="574">
        <v>0</v>
      </c>
      <c r="AX9" s="574">
        <v>-0.1</v>
      </c>
      <c r="AY9" s="574">
        <v>-0.1</v>
      </c>
      <c r="AZ9" s="574">
        <v>-0.1</v>
      </c>
      <c r="BA9" s="574">
        <v>-0.2</v>
      </c>
      <c r="BB9" s="574">
        <v>-0.3</v>
      </c>
      <c r="BC9" s="574">
        <v>-0.3</v>
      </c>
      <c r="BD9" s="574">
        <v>-0.3</v>
      </c>
      <c r="BE9" s="574">
        <v>-0.3</v>
      </c>
      <c r="BF9" s="574">
        <v>-0.3</v>
      </c>
      <c r="BG9" s="574">
        <v>-0.3</v>
      </c>
      <c r="BH9" s="574">
        <v>-0.3</v>
      </c>
      <c r="BI9" s="574">
        <v>-0.2</v>
      </c>
      <c r="BJ9" s="574">
        <v>-0.2</v>
      </c>
      <c r="BK9" s="574">
        <v>-0.2</v>
      </c>
    </row>
    <row r="10" spans="1:63" ht="28.2" thickBot="1">
      <c r="B10" s="219" t="s">
        <v>183</v>
      </c>
      <c r="C10" s="220"/>
      <c r="D10" s="220"/>
      <c r="E10" s="220"/>
      <c r="F10" s="220"/>
      <c r="G10" s="220"/>
      <c r="H10" s="220"/>
      <c r="I10" s="220"/>
      <c r="J10" s="220"/>
      <c r="K10" s="220"/>
      <c r="L10" s="220"/>
      <c r="M10" s="220"/>
      <c r="N10" s="220"/>
      <c r="O10" s="220"/>
      <c r="P10" s="220"/>
      <c r="Q10" s="220"/>
      <c r="R10" s="220"/>
      <c r="S10" s="220"/>
      <c r="T10" s="221"/>
      <c r="U10" s="221"/>
      <c r="V10" s="221"/>
      <c r="W10" s="221"/>
      <c r="X10" s="221"/>
      <c r="Y10" s="221"/>
      <c r="Z10" s="221"/>
      <c r="AA10" s="221">
        <v>0.2</v>
      </c>
      <c r="AB10" s="221">
        <v>0.2</v>
      </c>
      <c r="AC10" s="221">
        <v>0.1</v>
      </c>
      <c r="AD10" s="221">
        <v>0.1</v>
      </c>
      <c r="AE10" s="221">
        <v>0.1</v>
      </c>
      <c r="AF10" s="221">
        <v>0.1</v>
      </c>
      <c r="AG10" s="221">
        <v>0.1</v>
      </c>
      <c r="AH10" s="221">
        <v>0.1</v>
      </c>
      <c r="AI10" s="221">
        <v>0.1</v>
      </c>
      <c r="AJ10" s="221">
        <v>0.1</v>
      </c>
      <c r="AK10" s="221">
        <v>0.2</v>
      </c>
      <c r="AL10" s="221">
        <v>0.2</v>
      </c>
      <c r="AM10" s="221">
        <v>0.2</v>
      </c>
      <c r="AN10" s="221">
        <v>0.2</v>
      </c>
      <c r="AO10" s="221">
        <v>0.2</v>
      </c>
      <c r="AP10" s="221">
        <v>0.2</v>
      </c>
      <c r="AQ10" s="221">
        <v>0.2</v>
      </c>
      <c r="AR10" s="221">
        <v>0.2</v>
      </c>
      <c r="AS10" s="221">
        <v>0.2</v>
      </c>
      <c r="AT10" s="221">
        <v>0.2</v>
      </c>
      <c r="AU10" s="221">
        <v>0.2</v>
      </c>
      <c r="AV10" s="221">
        <v>0.2</v>
      </c>
      <c r="AW10" s="221">
        <v>0.2</v>
      </c>
      <c r="AX10" s="221">
        <v>0.2</v>
      </c>
      <c r="AY10" s="221">
        <v>0.2</v>
      </c>
      <c r="AZ10" s="221">
        <v>0.2</v>
      </c>
      <c r="BA10" s="221">
        <v>0.1</v>
      </c>
      <c r="BB10" s="221">
        <v>0.1</v>
      </c>
      <c r="BC10" s="221">
        <v>0.1</v>
      </c>
      <c r="BD10" s="221">
        <v>0.1</v>
      </c>
      <c r="BE10" s="221">
        <v>0.1</v>
      </c>
      <c r="BF10" s="221">
        <v>0.1</v>
      </c>
      <c r="BG10" s="221">
        <v>0.1</v>
      </c>
      <c r="BH10" s="221">
        <v>0.1</v>
      </c>
      <c r="BI10" s="221">
        <v>0.1</v>
      </c>
      <c r="BJ10" s="221">
        <v>0.1</v>
      </c>
      <c r="BK10" s="221">
        <v>0.1</v>
      </c>
    </row>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4"/>
  <sheetViews>
    <sheetView workbookViewId="0">
      <selection activeCell="G5" sqref="G5"/>
    </sheetView>
  </sheetViews>
  <sheetFormatPr baseColWidth="10" defaultColWidth="11.44140625" defaultRowHeight="13.8"/>
  <cols>
    <col min="1" max="2" width="11.44140625" style="103"/>
    <col min="3" max="5" width="15.6640625" style="103" customWidth="1"/>
    <col min="6" max="16384" width="11.44140625" style="103"/>
  </cols>
  <sheetData>
    <row r="1" spans="1:4" ht="15.6">
      <c r="A1" s="83" t="s">
        <v>203</v>
      </c>
    </row>
    <row r="3" spans="1:4" ht="14.4" thickBot="1"/>
    <row r="4" spans="1:4" ht="62.25" customHeight="1" thickBot="1">
      <c r="B4" s="192" t="s">
        <v>111</v>
      </c>
      <c r="C4" s="207" t="s">
        <v>115</v>
      </c>
      <c r="D4" s="207" t="s">
        <v>116</v>
      </c>
    </row>
    <row r="5" spans="1:4">
      <c r="B5" s="175">
        <v>1924</v>
      </c>
      <c r="C5" s="560">
        <v>0.74399999999999999</v>
      </c>
      <c r="D5" s="560">
        <v>0.70699999999999996</v>
      </c>
    </row>
    <row r="6" spans="1:4">
      <c r="B6" s="175">
        <v>1926</v>
      </c>
      <c r="C6" s="560">
        <v>0.752</v>
      </c>
      <c r="D6" s="560">
        <v>0.68700000000000006</v>
      </c>
    </row>
    <row r="7" spans="1:4">
      <c r="B7" s="175">
        <v>1928</v>
      </c>
      <c r="C7" s="560">
        <v>0.74299999999999999</v>
      </c>
      <c r="D7" s="560">
        <v>0.65500000000000003</v>
      </c>
    </row>
    <row r="8" spans="1:4">
      <c r="B8" s="175">
        <v>1930</v>
      </c>
      <c r="C8" s="560">
        <v>0.753</v>
      </c>
      <c r="D8" s="560">
        <v>0.66</v>
      </c>
    </row>
    <row r="9" spans="1:4">
      <c r="B9" s="181">
        <v>1932</v>
      </c>
      <c r="C9" s="560">
        <v>0.75900000000000001</v>
      </c>
      <c r="D9" s="560">
        <v>0.66100000000000003</v>
      </c>
    </row>
    <row r="10" spans="1:4">
      <c r="B10" s="175">
        <v>1934</v>
      </c>
      <c r="C10" s="176">
        <v>0.77100000000000002</v>
      </c>
      <c r="D10" s="176">
        <v>0.67600000000000005</v>
      </c>
    </row>
    <row r="11" spans="1:4">
      <c r="B11" s="181">
        <v>1936</v>
      </c>
      <c r="C11" s="560">
        <v>0.79300000000000004</v>
      </c>
      <c r="D11" s="560">
        <v>0.69699999999999995</v>
      </c>
    </row>
    <row r="12" spans="1:4">
      <c r="B12" s="181">
        <v>1938</v>
      </c>
      <c r="C12" s="560">
        <v>0.81299999999999994</v>
      </c>
      <c r="D12" s="560">
        <v>0.71799999999999997</v>
      </c>
    </row>
    <row r="13" spans="1:4">
      <c r="B13" s="181">
        <v>1940</v>
      </c>
      <c r="C13" s="560">
        <v>0.83499999999999996</v>
      </c>
      <c r="D13" s="560">
        <v>0.73899999999999999</v>
      </c>
    </row>
    <row r="14" spans="1:4" ht="14.4" thickBot="1">
      <c r="B14" s="177">
        <v>1942</v>
      </c>
      <c r="C14" s="178">
        <v>0.85599999999999998</v>
      </c>
      <c r="D14" s="178">
        <v>0.76500000000000001</v>
      </c>
    </row>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
  <sheetViews>
    <sheetView workbookViewId="0"/>
  </sheetViews>
  <sheetFormatPr baseColWidth="10"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32</vt:i4>
      </vt:variant>
    </vt:vector>
  </HeadingPairs>
  <TitlesOfParts>
    <vt:vector size="32" baseType="lpstr">
      <vt:lpstr>Fig 2.1</vt:lpstr>
      <vt:lpstr>Fig 2.2</vt:lpstr>
      <vt:lpstr>Fig 2.3</vt:lpstr>
      <vt:lpstr>Fig 2.4</vt:lpstr>
      <vt:lpstr>Fig 2.5</vt:lpstr>
      <vt:lpstr>Fig 2.6</vt:lpstr>
      <vt:lpstr>Fig 2.7</vt:lpstr>
      <vt:lpstr>Fig 2.8</vt:lpstr>
      <vt:lpstr>Fig 2.9</vt:lpstr>
      <vt:lpstr>Fig 2.10</vt:lpstr>
      <vt:lpstr>Fig 2.11</vt:lpstr>
      <vt:lpstr>Fig 2.12</vt:lpstr>
      <vt:lpstr>Fig 2.13</vt:lpstr>
      <vt:lpstr>Fig 2.14</vt:lpstr>
      <vt:lpstr>Fig 2.15</vt:lpstr>
      <vt:lpstr>Tab 2.16</vt:lpstr>
      <vt:lpstr>Fig 2.17</vt:lpstr>
      <vt:lpstr>Fig 2.18</vt:lpstr>
      <vt:lpstr>Fig 2.19</vt:lpstr>
      <vt:lpstr>Fig 2.20</vt:lpstr>
      <vt:lpstr>Fig 2.21</vt:lpstr>
      <vt:lpstr>Fig 2.22</vt:lpstr>
      <vt:lpstr>Fig 2.23</vt:lpstr>
      <vt:lpstr>Fig 2.24</vt:lpstr>
      <vt:lpstr>Fig 2.25</vt:lpstr>
      <vt:lpstr>Fig 2.26</vt:lpstr>
      <vt:lpstr>Fig 2.27</vt:lpstr>
      <vt:lpstr>Fig 2.28</vt:lpstr>
      <vt:lpstr>Fig 2.29</vt:lpstr>
      <vt:lpstr>Fig 2.30</vt:lpstr>
      <vt:lpstr>Fig 2.31</vt:lpstr>
      <vt:lpstr>Feuil1</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AUBERT Patrick</dc:creator>
  <cp:lastModifiedBy>Gilles GRIMA</cp:lastModifiedBy>
  <dcterms:created xsi:type="dcterms:W3CDTF">2014-05-09T16:18:22Z</dcterms:created>
  <dcterms:modified xsi:type="dcterms:W3CDTF">2025-08-15T20:31:40Z</dcterms:modified>
</cp:coreProperties>
</file>